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F:\DEV\home_n8n\scripts\h04_planning\output_v1\"/>
    </mc:Choice>
  </mc:AlternateContent>
  <xr:revisionPtr revIDLastSave="0" documentId="13_ncr:1_{028BD1D8-19A3-4B11-B23C-AF6CAECF213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OptimizedNearestRoute_DualPoint" sheetId="1" r:id="rId1"/>
    <sheet name="Sheet1" sheetId="2" r:id="rId2"/>
  </sheets>
  <externalReferences>
    <externalReference r:id="rId3"/>
    <externalReference r:id="rId4"/>
  </externalReferences>
  <definedNames>
    <definedName name="_xlnm._FilterDatabase" localSheetId="0" hidden="1">OptimizedNearestRoute_DualPoint!$A$1:$AK$1659</definedName>
    <definedName name="_xlnm._FilterDatabase" localSheetId="1" hidden="1">Sheet1!$B$1:$I$87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60" i="1" l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2" i="1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AG1515" i="1"/>
  <c r="AH1515" i="1"/>
  <c r="AG1516" i="1"/>
  <c r="AH1516" i="1"/>
  <c r="AG1517" i="1"/>
  <c r="AH1517" i="1"/>
  <c r="AG1518" i="1"/>
  <c r="AH1518" i="1"/>
  <c r="AG1519" i="1"/>
  <c r="AH1519" i="1"/>
  <c r="AG1520" i="1"/>
  <c r="AH1520" i="1"/>
  <c r="AG1521" i="1"/>
  <c r="AH1521" i="1"/>
  <c r="AG1522" i="1"/>
  <c r="AH1522" i="1"/>
  <c r="AG1523" i="1"/>
  <c r="AH1523" i="1"/>
  <c r="AG1524" i="1"/>
  <c r="AH1524" i="1"/>
  <c r="AG1525" i="1"/>
  <c r="AH1525" i="1"/>
  <c r="AG1526" i="1"/>
  <c r="AH1526" i="1"/>
  <c r="AG1527" i="1"/>
  <c r="AH1527" i="1"/>
  <c r="AG1528" i="1"/>
  <c r="AH1528" i="1"/>
  <c r="AG1529" i="1"/>
  <c r="AH1529" i="1"/>
  <c r="AG1530" i="1"/>
  <c r="AH1530" i="1"/>
  <c r="AG1531" i="1"/>
  <c r="AH1531" i="1"/>
  <c r="AG1532" i="1"/>
  <c r="AH1532" i="1"/>
  <c r="AG1533" i="1"/>
  <c r="AH1533" i="1"/>
  <c r="AG1534" i="1"/>
  <c r="AH1534" i="1"/>
  <c r="AG1535" i="1"/>
  <c r="AH1535" i="1"/>
  <c r="AG1536" i="1"/>
  <c r="AH1536" i="1"/>
  <c r="AG1537" i="1"/>
  <c r="AH1537" i="1"/>
  <c r="AG1538" i="1"/>
  <c r="AH1538" i="1"/>
  <c r="AG1539" i="1"/>
  <c r="AH1539" i="1"/>
  <c r="AG1540" i="1"/>
  <c r="AH1540" i="1"/>
  <c r="AG1541" i="1"/>
  <c r="AH1541" i="1"/>
  <c r="AG1542" i="1"/>
  <c r="AH1542" i="1"/>
  <c r="AG1543" i="1"/>
  <c r="AH1543" i="1"/>
  <c r="AG1544" i="1"/>
  <c r="AH1544" i="1"/>
  <c r="AG1545" i="1"/>
  <c r="AH1545" i="1"/>
  <c r="AG1546" i="1"/>
  <c r="AH1546" i="1"/>
  <c r="AG1547" i="1"/>
  <c r="AH1547" i="1"/>
  <c r="AG1548" i="1"/>
  <c r="AH1548" i="1"/>
  <c r="AG1549" i="1"/>
  <c r="AH1549" i="1"/>
  <c r="AG1550" i="1"/>
  <c r="AH1550" i="1"/>
  <c r="AG1551" i="1"/>
  <c r="AH1551" i="1"/>
  <c r="AG1552" i="1"/>
  <c r="AH1552" i="1"/>
  <c r="AG1553" i="1"/>
  <c r="AH1553" i="1"/>
  <c r="AG1554" i="1"/>
  <c r="AH1554" i="1"/>
  <c r="AG1555" i="1"/>
  <c r="AH1555" i="1"/>
  <c r="AG1556" i="1"/>
  <c r="AH1556" i="1"/>
  <c r="AG1557" i="1"/>
  <c r="AH1557" i="1"/>
  <c r="AG1558" i="1"/>
  <c r="AH1558" i="1"/>
  <c r="AG1559" i="1"/>
  <c r="AH1559" i="1"/>
  <c r="AG1560" i="1"/>
  <c r="AH1560" i="1"/>
  <c r="AG1561" i="1"/>
  <c r="AH1561" i="1"/>
  <c r="AG1562" i="1"/>
  <c r="AH1562" i="1"/>
  <c r="AG1563" i="1"/>
  <c r="AH1563" i="1"/>
  <c r="AG1564" i="1"/>
  <c r="AH1564" i="1"/>
  <c r="AG1565" i="1"/>
  <c r="AH1565" i="1"/>
  <c r="AG1566" i="1"/>
  <c r="AH1566" i="1"/>
  <c r="AG1567" i="1"/>
  <c r="AH1567" i="1"/>
  <c r="AG1568" i="1"/>
  <c r="AH1568" i="1"/>
  <c r="AG1569" i="1"/>
  <c r="AH1569" i="1"/>
  <c r="AG1570" i="1"/>
  <c r="AH1570" i="1"/>
  <c r="AG1571" i="1"/>
  <c r="AH1571" i="1"/>
  <c r="AG1572" i="1"/>
  <c r="AH1572" i="1"/>
  <c r="AG1573" i="1"/>
  <c r="AH1573" i="1"/>
  <c r="AG1574" i="1"/>
  <c r="AH1574" i="1"/>
  <c r="AG1575" i="1"/>
  <c r="AH1575" i="1"/>
  <c r="AG1576" i="1"/>
  <c r="AH1576" i="1"/>
  <c r="AG1577" i="1"/>
  <c r="AH1577" i="1"/>
  <c r="AG1578" i="1"/>
  <c r="AH1578" i="1"/>
  <c r="AG1579" i="1"/>
  <c r="AH1579" i="1"/>
  <c r="AG1580" i="1"/>
  <c r="AH1580" i="1"/>
  <c r="AG1581" i="1"/>
  <c r="AH1581" i="1"/>
  <c r="AG1582" i="1"/>
  <c r="AH1582" i="1"/>
  <c r="AG1583" i="1"/>
  <c r="AH1583" i="1"/>
  <c r="AG1584" i="1"/>
  <c r="AH1584" i="1"/>
  <c r="AG1585" i="1"/>
  <c r="AH1585" i="1"/>
  <c r="AG1586" i="1"/>
  <c r="AH1586" i="1"/>
  <c r="AG1587" i="1"/>
  <c r="AH1587" i="1"/>
  <c r="AG1588" i="1"/>
  <c r="AH1588" i="1"/>
  <c r="AG1589" i="1"/>
  <c r="AH1589" i="1"/>
  <c r="AG1590" i="1"/>
  <c r="AH1590" i="1"/>
  <c r="AG1591" i="1"/>
  <c r="AH1591" i="1"/>
  <c r="AG1592" i="1"/>
  <c r="AH1592" i="1"/>
  <c r="AG1593" i="1"/>
  <c r="AH1593" i="1"/>
  <c r="AG1594" i="1"/>
  <c r="AH1594" i="1"/>
  <c r="AG1595" i="1"/>
  <c r="AH1595" i="1"/>
  <c r="AG1596" i="1"/>
  <c r="AH1596" i="1"/>
  <c r="AG1597" i="1"/>
  <c r="AH1597" i="1"/>
  <c r="AG1598" i="1"/>
  <c r="AH1598" i="1"/>
  <c r="AG1599" i="1"/>
  <c r="AH1599" i="1"/>
  <c r="AG1600" i="1"/>
  <c r="AH1600" i="1"/>
  <c r="AG1601" i="1"/>
  <c r="AH1601" i="1"/>
  <c r="AG1602" i="1"/>
  <c r="AH1602" i="1"/>
  <c r="AG1603" i="1"/>
  <c r="AH1603" i="1"/>
  <c r="AG1604" i="1"/>
  <c r="AH1604" i="1"/>
  <c r="AG1605" i="1"/>
  <c r="AH1605" i="1"/>
  <c r="AG1606" i="1"/>
  <c r="AH1606" i="1"/>
  <c r="AG1607" i="1"/>
  <c r="AH1607" i="1"/>
  <c r="AG1608" i="1"/>
  <c r="AH1608" i="1"/>
  <c r="AG1609" i="1"/>
  <c r="AH1609" i="1"/>
  <c r="AG1610" i="1"/>
  <c r="AH1610" i="1"/>
  <c r="AG1611" i="1"/>
  <c r="AH1611" i="1"/>
  <c r="AG1612" i="1"/>
  <c r="AH1612" i="1"/>
  <c r="AG1613" i="1"/>
  <c r="AH1613" i="1"/>
  <c r="AG1614" i="1"/>
  <c r="AH1614" i="1"/>
  <c r="AG1615" i="1"/>
  <c r="AH1615" i="1"/>
  <c r="AG1616" i="1"/>
  <c r="AH1616" i="1"/>
  <c r="AG1617" i="1"/>
  <c r="AH1617" i="1"/>
  <c r="AG1618" i="1"/>
  <c r="AH1618" i="1"/>
  <c r="AG1619" i="1"/>
  <c r="AH1619" i="1"/>
  <c r="AG1620" i="1"/>
  <c r="AH1620" i="1"/>
  <c r="AG1621" i="1"/>
  <c r="AH1621" i="1"/>
  <c r="AG1622" i="1"/>
  <c r="AH1622" i="1"/>
  <c r="AG1623" i="1"/>
  <c r="AH1623" i="1"/>
  <c r="AG1624" i="1"/>
  <c r="AH1624" i="1"/>
  <c r="AG1625" i="1"/>
  <c r="AH1625" i="1"/>
  <c r="AG1626" i="1"/>
  <c r="AH1626" i="1"/>
  <c r="AG1627" i="1"/>
  <c r="AH1627" i="1"/>
  <c r="AG1628" i="1"/>
  <c r="AH1628" i="1"/>
  <c r="AG1629" i="1"/>
  <c r="AH1629" i="1"/>
  <c r="AG1630" i="1"/>
  <c r="AH1630" i="1"/>
  <c r="AG1631" i="1"/>
  <c r="AH1631" i="1"/>
  <c r="AG1632" i="1"/>
  <c r="AH1632" i="1"/>
  <c r="AG1633" i="1"/>
  <c r="AH1633" i="1"/>
  <c r="AG1634" i="1"/>
  <c r="AH1634" i="1"/>
  <c r="AG1635" i="1"/>
  <c r="AH1635" i="1"/>
  <c r="AG1636" i="1"/>
  <c r="AH1636" i="1"/>
  <c r="AG1637" i="1"/>
  <c r="AH1637" i="1"/>
  <c r="AG1638" i="1"/>
  <c r="AH1638" i="1"/>
  <c r="AG1639" i="1"/>
  <c r="AH1639" i="1"/>
  <c r="AG1640" i="1"/>
  <c r="AH1640" i="1"/>
  <c r="AG1641" i="1"/>
  <c r="AH1641" i="1"/>
  <c r="AG1642" i="1"/>
  <c r="AH1642" i="1"/>
  <c r="AG1643" i="1"/>
  <c r="AH1643" i="1"/>
  <c r="AG1644" i="1"/>
  <c r="AH1644" i="1"/>
  <c r="AG1645" i="1"/>
  <c r="AH1645" i="1"/>
  <c r="AG1646" i="1"/>
  <c r="AH1646" i="1"/>
  <c r="AG1647" i="1"/>
  <c r="AH1647" i="1"/>
  <c r="AG1648" i="1"/>
  <c r="AH1648" i="1"/>
  <c r="AG1649" i="1"/>
  <c r="AH1649" i="1"/>
  <c r="AG1650" i="1"/>
  <c r="AH1650" i="1"/>
  <c r="AG1651" i="1"/>
  <c r="AH1651" i="1"/>
  <c r="AG1652" i="1"/>
  <c r="AH1652" i="1"/>
  <c r="AG1653" i="1"/>
  <c r="AH1653" i="1"/>
  <c r="AG1654" i="1"/>
  <c r="AH1654" i="1"/>
  <c r="AG1655" i="1"/>
  <c r="AH1655" i="1"/>
  <c r="AG1656" i="1"/>
  <c r="AH1656" i="1"/>
  <c r="AG1657" i="1"/>
  <c r="AH1657" i="1"/>
  <c r="AG1658" i="1"/>
  <c r="AH1658" i="1"/>
  <c r="AG1659" i="1"/>
  <c r="AH1659" i="1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2" i="2"/>
  <c r="AL1546" i="1"/>
  <c r="AM1546" i="1"/>
  <c r="AL1547" i="1"/>
  <c r="AM1547" i="1"/>
  <c r="AL1548" i="1"/>
  <c r="AM1548" i="1"/>
  <c r="AL1549" i="1"/>
  <c r="AM1549" i="1"/>
  <c r="AL1550" i="1"/>
  <c r="AM1550" i="1"/>
  <c r="AL1551" i="1"/>
  <c r="AM1551" i="1"/>
  <c r="AL1552" i="1"/>
  <c r="AM1552" i="1"/>
  <c r="AL1553" i="1"/>
  <c r="AM1553" i="1"/>
  <c r="AL1554" i="1"/>
  <c r="AM1554" i="1"/>
  <c r="AL1555" i="1"/>
  <c r="AM1555" i="1"/>
  <c r="AL1556" i="1"/>
  <c r="AM1556" i="1"/>
  <c r="AL1557" i="1"/>
  <c r="AM1557" i="1"/>
  <c r="AL1558" i="1"/>
  <c r="AM1558" i="1"/>
  <c r="AL1559" i="1"/>
  <c r="AM1559" i="1"/>
  <c r="AL1560" i="1"/>
  <c r="AM1560" i="1"/>
  <c r="AL1561" i="1"/>
  <c r="AM1561" i="1"/>
  <c r="AL1562" i="1"/>
  <c r="AM1562" i="1"/>
  <c r="AL1563" i="1"/>
  <c r="AM1563" i="1"/>
  <c r="AL1564" i="1"/>
  <c r="AM1564" i="1"/>
  <c r="AL1565" i="1"/>
  <c r="AM1565" i="1"/>
  <c r="AL1566" i="1"/>
  <c r="AM1566" i="1"/>
  <c r="AL1567" i="1"/>
  <c r="AM1567" i="1"/>
  <c r="AL1568" i="1"/>
  <c r="AM1568" i="1"/>
  <c r="AL1569" i="1"/>
  <c r="AM1569" i="1"/>
  <c r="AL1570" i="1"/>
  <c r="AM1570" i="1"/>
  <c r="AL1571" i="1"/>
  <c r="AM1571" i="1"/>
  <c r="AL1572" i="1"/>
  <c r="AM1572" i="1"/>
  <c r="AL1573" i="1"/>
  <c r="AM1573" i="1"/>
  <c r="AL1574" i="1"/>
  <c r="AM1574" i="1"/>
  <c r="AL1575" i="1"/>
  <c r="AM1575" i="1"/>
  <c r="AL1576" i="1"/>
  <c r="AM1576" i="1"/>
  <c r="AL1577" i="1"/>
  <c r="AM1577" i="1"/>
  <c r="AL1578" i="1"/>
  <c r="AM1578" i="1"/>
  <c r="AL1579" i="1"/>
  <c r="AM1579" i="1"/>
  <c r="AL1580" i="1"/>
  <c r="AM1580" i="1"/>
  <c r="AL1581" i="1"/>
  <c r="AM1581" i="1"/>
  <c r="AL1582" i="1"/>
  <c r="AM1582" i="1"/>
  <c r="AL1583" i="1"/>
  <c r="AM1583" i="1"/>
  <c r="AL1584" i="1"/>
  <c r="AM1584" i="1"/>
  <c r="AL1585" i="1"/>
  <c r="AM1585" i="1"/>
  <c r="AL1586" i="1"/>
  <c r="AM1586" i="1"/>
  <c r="AL1587" i="1"/>
  <c r="AM1587" i="1"/>
  <c r="AL1588" i="1"/>
  <c r="AM1588" i="1"/>
  <c r="AL1589" i="1"/>
  <c r="AM1589" i="1"/>
  <c r="AL1590" i="1"/>
  <c r="AM1590" i="1"/>
  <c r="AL1591" i="1"/>
  <c r="AM1591" i="1"/>
  <c r="AL1592" i="1"/>
  <c r="AM1592" i="1"/>
  <c r="AL1593" i="1"/>
  <c r="AM1593" i="1"/>
  <c r="AL1594" i="1"/>
  <c r="AM1594" i="1"/>
  <c r="AL1595" i="1"/>
  <c r="AM1595" i="1"/>
  <c r="AL1596" i="1"/>
  <c r="AM1596" i="1"/>
  <c r="AL1597" i="1"/>
  <c r="AM1597" i="1"/>
  <c r="AL1598" i="1"/>
  <c r="AM1598" i="1"/>
  <c r="AL1599" i="1"/>
  <c r="AM1599" i="1"/>
  <c r="AL1600" i="1"/>
  <c r="AM1600" i="1"/>
  <c r="AL1601" i="1"/>
  <c r="AM1601" i="1"/>
  <c r="AL1602" i="1"/>
  <c r="AM1602" i="1"/>
  <c r="AL1603" i="1"/>
  <c r="AM1603" i="1"/>
  <c r="AL1604" i="1"/>
  <c r="AM1604" i="1"/>
  <c r="AL1605" i="1"/>
  <c r="AM1605" i="1"/>
  <c r="AL1606" i="1"/>
  <c r="AM1606" i="1"/>
  <c r="AL1607" i="1"/>
  <c r="AM1607" i="1"/>
  <c r="AL1608" i="1"/>
  <c r="AM1608" i="1"/>
  <c r="AL1609" i="1"/>
  <c r="AM1609" i="1"/>
  <c r="AL1610" i="1"/>
  <c r="AM1610" i="1"/>
  <c r="AL1611" i="1"/>
  <c r="AM1611" i="1"/>
  <c r="AL1612" i="1"/>
  <c r="AM1612" i="1"/>
  <c r="AL1613" i="1"/>
  <c r="AM1613" i="1"/>
  <c r="AL1614" i="1"/>
  <c r="AM1614" i="1"/>
  <c r="AL1615" i="1"/>
  <c r="AM1615" i="1"/>
  <c r="AL1616" i="1"/>
  <c r="AM1616" i="1"/>
  <c r="AL1617" i="1"/>
  <c r="AM1617" i="1"/>
  <c r="AL1618" i="1"/>
  <c r="AM1618" i="1"/>
  <c r="AL1619" i="1"/>
  <c r="AM1619" i="1"/>
  <c r="AL1620" i="1"/>
  <c r="AM1620" i="1"/>
  <c r="AL1621" i="1"/>
  <c r="AM1621" i="1"/>
  <c r="AL1622" i="1"/>
  <c r="AM1622" i="1"/>
  <c r="AL1623" i="1"/>
  <c r="AM1623" i="1"/>
  <c r="AL1624" i="1"/>
  <c r="AM1624" i="1"/>
  <c r="AL1625" i="1"/>
  <c r="AM1625" i="1"/>
  <c r="AL1626" i="1"/>
  <c r="AM1626" i="1"/>
  <c r="AL1627" i="1"/>
  <c r="AM1627" i="1"/>
  <c r="AL1628" i="1"/>
  <c r="AM1628" i="1"/>
  <c r="AL1629" i="1"/>
  <c r="AM1629" i="1"/>
  <c r="AL1630" i="1"/>
  <c r="AM1630" i="1"/>
  <c r="AL1631" i="1"/>
  <c r="AM1631" i="1"/>
  <c r="AL1632" i="1"/>
  <c r="AM1632" i="1"/>
  <c r="AL1633" i="1"/>
  <c r="AM1633" i="1"/>
  <c r="AL1634" i="1"/>
  <c r="AM1634" i="1"/>
  <c r="AL1635" i="1"/>
  <c r="AM1635" i="1"/>
  <c r="AL1636" i="1"/>
  <c r="AM1636" i="1"/>
  <c r="AL1637" i="1"/>
  <c r="AM1637" i="1"/>
  <c r="AL1638" i="1"/>
  <c r="AM1638" i="1"/>
  <c r="AL1639" i="1"/>
  <c r="AM1639" i="1"/>
  <c r="AL1640" i="1"/>
  <c r="AM1640" i="1"/>
  <c r="AL1641" i="1"/>
  <c r="AM1641" i="1"/>
  <c r="AL1642" i="1"/>
  <c r="AM1642" i="1"/>
  <c r="AL1643" i="1"/>
  <c r="AM1643" i="1"/>
  <c r="AL1644" i="1"/>
  <c r="AM1644" i="1"/>
  <c r="AL1645" i="1"/>
  <c r="AM1645" i="1"/>
  <c r="AL1646" i="1"/>
  <c r="AM1646" i="1"/>
  <c r="AL1647" i="1"/>
  <c r="AM1647" i="1"/>
  <c r="AL1648" i="1"/>
  <c r="AM1648" i="1"/>
  <c r="AL1649" i="1"/>
  <c r="AM1649" i="1"/>
  <c r="AL1650" i="1"/>
  <c r="AM1650" i="1"/>
  <c r="AL1651" i="1"/>
  <c r="AM1651" i="1"/>
  <c r="AL1652" i="1"/>
  <c r="AM1652" i="1"/>
  <c r="AL1653" i="1"/>
  <c r="AM1653" i="1"/>
  <c r="AL1654" i="1"/>
  <c r="AM1654" i="1"/>
  <c r="AL1655" i="1"/>
  <c r="AM1655" i="1"/>
  <c r="AL1656" i="1"/>
  <c r="AM1656" i="1"/>
  <c r="AL1657" i="1"/>
  <c r="AM1657" i="1"/>
  <c r="AL1658" i="1"/>
  <c r="AM1658" i="1"/>
  <c r="AL1659" i="1"/>
  <c r="AM1659" i="1"/>
  <c r="AL1519" i="1"/>
  <c r="AM1519" i="1"/>
  <c r="AL1520" i="1"/>
  <c r="AM1520" i="1"/>
  <c r="AL1521" i="1"/>
  <c r="AM1521" i="1"/>
  <c r="AL1522" i="1"/>
  <c r="AM1522" i="1"/>
  <c r="AL1523" i="1"/>
  <c r="AM1523" i="1"/>
  <c r="AL1524" i="1"/>
  <c r="AM1524" i="1"/>
  <c r="AL1525" i="1"/>
  <c r="AM1525" i="1"/>
  <c r="AL1526" i="1"/>
  <c r="AM1526" i="1"/>
  <c r="AL1527" i="1"/>
  <c r="AM1527" i="1"/>
  <c r="AL1528" i="1"/>
  <c r="AM1528" i="1"/>
  <c r="AL1529" i="1"/>
  <c r="AM1529" i="1"/>
  <c r="AL1530" i="1"/>
  <c r="AM1530" i="1"/>
  <c r="AL1531" i="1"/>
  <c r="AM1531" i="1"/>
  <c r="AL1532" i="1"/>
  <c r="AM1532" i="1"/>
  <c r="AL1533" i="1"/>
  <c r="AM1533" i="1"/>
  <c r="AL1534" i="1"/>
  <c r="AM1534" i="1"/>
  <c r="AL1535" i="1"/>
  <c r="AM1535" i="1"/>
  <c r="AL1536" i="1"/>
  <c r="AM1536" i="1"/>
  <c r="AL1537" i="1"/>
  <c r="AM1537" i="1"/>
  <c r="AL1538" i="1"/>
  <c r="AM1538" i="1"/>
  <c r="AL1539" i="1"/>
  <c r="AM1539" i="1"/>
  <c r="AL1540" i="1"/>
  <c r="AM1540" i="1"/>
  <c r="AL1541" i="1"/>
  <c r="AM1541" i="1"/>
  <c r="AL1542" i="1"/>
  <c r="AM1542" i="1"/>
  <c r="AL1543" i="1"/>
  <c r="AM1543" i="1"/>
  <c r="AL1544" i="1"/>
  <c r="AM1544" i="1"/>
  <c r="AL1545" i="1"/>
  <c r="AM1545" i="1"/>
  <c r="AL1508" i="1"/>
  <c r="AM1508" i="1"/>
  <c r="AL1509" i="1"/>
  <c r="AM1509" i="1"/>
  <c r="AL1510" i="1"/>
  <c r="AM1510" i="1"/>
  <c r="AL1511" i="1"/>
  <c r="AM1511" i="1"/>
  <c r="AL1512" i="1"/>
  <c r="AM1512" i="1"/>
  <c r="AL1513" i="1"/>
  <c r="AM1513" i="1"/>
  <c r="AL1514" i="1"/>
  <c r="AM1514" i="1"/>
  <c r="AL1515" i="1"/>
  <c r="AM1515" i="1"/>
  <c r="AL1516" i="1"/>
  <c r="AM1516" i="1"/>
  <c r="AL1517" i="1"/>
  <c r="AM1517" i="1"/>
  <c r="AL1518" i="1"/>
  <c r="AM1518" i="1"/>
  <c r="AG1508" i="1"/>
  <c r="AH1508" i="1"/>
  <c r="AG1509" i="1"/>
  <c r="AH1509" i="1"/>
  <c r="AG1510" i="1"/>
  <c r="AH1510" i="1"/>
  <c r="AG1511" i="1"/>
  <c r="AH1511" i="1"/>
  <c r="AG1512" i="1"/>
  <c r="AH1512" i="1"/>
  <c r="AG1513" i="1"/>
  <c r="AH1513" i="1"/>
  <c r="AG1514" i="1"/>
  <c r="AH1514" i="1"/>
  <c r="AN1615" i="1" l="1"/>
  <c r="AN1655" i="1"/>
  <c r="AP1655" i="1" s="1"/>
  <c r="AN1643" i="1"/>
  <c r="AN1627" i="1"/>
  <c r="AN1623" i="1"/>
  <c r="AP1623" i="1" s="1"/>
  <c r="AN1617" i="1"/>
  <c r="AQ1617" i="1" s="1"/>
  <c r="AN1613" i="1"/>
  <c r="AN1611" i="1"/>
  <c r="AN1609" i="1"/>
  <c r="AQ1609" i="1" s="1"/>
  <c r="AN1607" i="1"/>
  <c r="AP1607" i="1" s="1"/>
  <c r="AN1605" i="1"/>
  <c r="AN1601" i="1"/>
  <c r="AN1599" i="1"/>
  <c r="AQ1599" i="1" s="1"/>
  <c r="AN1597" i="1"/>
  <c r="AP1597" i="1" s="1"/>
  <c r="AN1595" i="1"/>
  <c r="AN1593" i="1"/>
  <c r="AN1591" i="1"/>
  <c r="AP1591" i="1" s="1"/>
  <c r="AN1589" i="1"/>
  <c r="AP1589" i="1" s="1"/>
  <c r="AN1587" i="1"/>
  <c r="AN1585" i="1"/>
  <c r="AN1583" i="1"/>
  <c r="AP1583" i="1" s="1"/>
  <c r="AN1581" i="1"/>
  <c r="AP1581" i="1" s="1"/>
  <c r="AN1579" i="1"/>
  <c r="AN1577" i="1"/>
  <c r="AN1575" i="1"/>
  <c r="AQ1575" i="1" s="1"/>
  <c r="AN1573" i="1"/>
  <c r="AQ1573" i="1" s="1"/>
  <c r="AN1569" i="1"/>
  <c r="AN1567" i="1"/>
  <c r="AN1565" i="1"/>
  <c r="AQ1565" i="1" s="1"/>
  <c r="AN1563" i="1"/>
  <c r="AP1563" i="1" s="1"/>
  <c r="AN1559" i="1"/>
  <c r="AN1557" i="1"/>
  <c r="AN1553" i="1"/>
  <c r="AP1553" i="1" s="1"/>
  <c r="AN1551" i="1"/>
  <c r="AQ1551" i="1" s="1"/>
  <c r="AN1549" i="1"/>
  <c r="AN1547" i="1"/>
  <c r="AN1543" i="1"/>
  <c r="AP1543" i="1" s="1"/>
  <c r="AN1541" i="1"/>
  <c r="AQ1541" i="1" s="1"/>
  <c r="AN1537" i="1"/>
  <c r="AN1535" i="1"/>
  <c r="AN1533" i="1"/>
  <c r="AP1533" i="1" s="1"/>
  <c r="AN1531" i="1"/>
  <c r="AQ1531" i="1" s="1"/>
  <c r="AN1527" i="1"/>
  <c r="AN1525" i="1"/>
  <c r="AN1521" i="1"/>
  <c r="AP1521" i="1" s="1"/>
  <c r="AN1519" i="1"/>
  <c r="AQ1519" i="1" s="1"/>
  <c r="AN1517" i="1"/>
  <c r="AN1515" i="1"/>
  <c r="AN1650" i="1"/>
  <c r="AP1650" i="1" s="1"/>
  <c r="AN1590" i="1"/>
  <c r="AP1590" i="1" s="1"/>
  <c r="AN1578" i="1"/>
  <c r="AN1566" i="1"/>
  <c r="AQ1566" i="1" s="1"/>
  <c r="AN1534" i="1"/>
  <c r="AQ1534" i="1" s="1"/>
  <c r="AN1511" i="1"/>
  <c r="AQ1511" i="1" s="1"/>
  <c r="AN1659" i="1"/>
  <c r="AN1651" i="1"/>
  <c r="AN1645" i="1"/>
  <c r="AP1645" i="1" s="1"/>
  <c r="AN1641" i="1"/>
  <c r="AQ1641" i="1" s="1"/>
  <c r="AN1635" i="1"/>
  <c r="AN1633" i="1"/>
  <c r="AQ1633" i="1" s="1"/>
  <c r="AN1625" i="1"/>
  <c r="AP1625" i="1" s="1"/>
  <c r="AN1619" i="1"/>
  <c r="AQ1619" i="1" s="1"/>
  <c r="AN1508" i="1"/>
  <c r="AN1634" i="1"/>
  <c r="AN1618" i="1"/>
  <c r="AQ1618" i="1" s="1"/>
  <c r="AN1582" i="1"/>
  <c r="AQ1582" i="1" s="1"/>
  <c r="AN1574" i="1"/>
  <c r="AN1570" i="1"/>
  <c r="AN1562" i="1"/>
  <c r="AQ1562" i="1" s="1"/>
  <c r="AN1558" i="1"/>
  <c r="AP1558" i="1" s="1"/>
  <c r="AN1554" i="1"/>
  <c r="AN1550" i="1"/>
  <c r="AQ1550" i="1" s="1"/>
  <c r="AN1546" i="1"/>
  <c r="AQ1546" i="1" s="1"/>
  <c r="AN1542" i="1"/>
  <c r="AP1542" i="1" s="1"/>
  <c r="AN1538" i="1"/>
  <c r="AN1530" i="1"/>
  <c r="AN1526" i="1"/>
  <c r="AQ1526" i="1" s="1"/>
  <c r="AN1522" i="1"/>
  <c r="AQ1522" i="1" s="1"/>
  <c r="AN1518" i="1"/>
  <c r="AP1518" i="1" s="1"/>
  <c r="AN1657" i="1"/>
  <c r="AN1653" i="1"/>
  <c r="AP1653" i="1" s="1"/>
  <c r="AN1649" i="1"/>
  <c r="AP1649" i="1" s="1"/>
  <c r="AN1647" i="1"/>
  <c r="AN1639" i="1"/>
  <c r="AN1637" i="1"/>
  <c r="AP1637" i="1" s="1"/>
  <c r="AN1631" i="1"/>
  <c r="AP1631" i="1" s="1"/>
  <c r="AN1629" i="1"/>
  <c r="AN1621" i="1"/>
  <c r="AP1621" i="1" s="1"/>
  <c r="AN1571" i="1"/>
  <c r="AP1571" i="1" s="1"/>
  <c r="AN1561" i="1"/>
  <c r="AQ1561" i="1" s="1"/>
  <c r="AN1555" i="1"/>
  <c r="AN1545" i="1"/>
  <c r="AN1539" i="1"/>
  <c r="AQ1539" i="1" s="1"/>
  <c r="AN1529" i="1"/>
  <c r="AP1529" i="1" s="1"/>
  <c r="AN1523" i="1"/>
  <c r="AN1514" i="1"/>
  <c r="AP1514" i="1" s="1"/>
  <c r="AN1512" i="1"/>
  <c r="AQ1512" i="1" s="1"/>
  <c r="AN1510" i="1"/>
  <c r="AP1510" i="1" s="1"/>
  <c r="AN1658" i="1"/>
  <c r="AN1656" i="1"/>
  <c r="AN1654" i="1"/>
  <c r="AQ1654" i="1" s="1"/>
  <c r="AN1652" i="1"/>
  <c r="AP1652" i="1" s="1"/>
  <c r="AN1648" i="1"/>
  <c r="AN1646" i="1"/>
  <c r="AQ1646" i="1" s="1"/>
  <c r="AN1644" i="1"/>
  <c r="AQ1644" i="1" s="1"/>
  <c r="AN1642" i="1"/>
  <c r="AQ1642" i="1" s="1"/>
  <c r="AN1640" i="1"/>
  <c r="AN1638" i="1"/>
  <c r="AP1638" i="1" s="1"/>
  <c r="AN1636" i="1"/>
  <c r="AP1636" i="1" s="1"/>
  <c r="AN1632" i="1"/>
  <c r="AQ1632" i="1" s="1"/>
  <c r="AN1630" i="1"/>
  <c r="AN1628" i="1"/>
  <c r="AN1626" i="1"/>
  <c r="AQ1626" i="1" s="1"/>
  <c r="AN1624" i="1"/>
  <c r="AQ1624" i="1" s="1"/>
  <c r="AN1622" i="1"/>
  <c r="AN1620" i="1"/>
  <c r="AN1616" i="1"/>
  <c r="AP1616" i="1" s="1"/>
  <c r="AN1614" i="1"/>
  <c r="AQ1614" i="1" s="1"/>
  <c r="AN1612" i="1"/>
  <c r="AN1610" i="1"/>
  <c r="AP1610" i="1" s="1"/>
  <c r="AN1608" i="1"/>
  <c r="AP1608" i="1" s="1"/>
  <c r="AN1606" i="1"/>
  <c r="AP1606" i="1" s="1"/>
  <c r="AN1604" i="1"/>
  <c r="AN1602" i="1"/>
  <c r="AP1602" i="1" s="1"/>
  <c r="AN1600" i="1"/>
  <c r="AP1600" i="1" s="1"/>
  <c r="AN1598" i="1"/>
  <c r="AQ1598" i="1" s="1"/>
  <c r="AN1596" i="1"/>
  <c r="AN1594" i="1"/>
  <c r="AP1594" i="1" s="1"/>
  <c r="AN1592" i="1"/>
  <c r="AP1592" i="1" s="1"/>
  <c r="AN1588" i="1"/>
  <c r="AQ1588" i="1" s="1"/>
  <c r="AN1586" i="1"/>
  <c r="AN1584" i="1"/>
  <c r="AN1580" i="1"/>
  <c r="AP1580" i="1" s="1"/>
  <c r="AN1576" i="1"/>
  <c r="AQ1576" i="1" s="1"/>
  <c r="AN1572" i="1"/>
  <c r="AQ1572" i="1" s="1"/>
  <c r="AN1568" i="1"/>
  <c r="AQ1568" i="1" s="1"/>
  <c r="AN1564" i="1"/>
  <c r="AQ1564" i="1" s="1"/>
  <c r="AN1560" i="1"/>
  <c r="AQ1560" i="1" s="1"/>
  <c r="AN1556" i="1"/>
  <c r="AQ1556" i="1" s="1"/>
  <c r="AN1552" i="1"/>
  <c r="AQ1552" i="1" s="1"/>
  <c r="AN1548" i="1"/>
  <c r="AQ1548" i="1" s="1"/>
  <c r="AN1544" i="1"/>
  <c r="AQ1544" i="1" s="1"/>
  <c r="AN1540" i="1"/>
  <c r="AQ1540" i="1" s="1"/>
  <c r="AN1536" i="1"/>
  <c r="AQ1536" i="1" s="1"/>
  <c r="AN1532" i="1"/>
  <c r="AP1532" i="1" s="1"/>
  <c r="AN1528" i="1"/>
  <c r="AP1528" i="1" s="1"/>
  <c r="AN1524" i="1"/>
  <c r="AP1524" i="1" s="1"/>
  <c r="AN1520" i="1"/>
  <c r="AP1520" i="1" s="1"/>
  <c r="AP1508" i="1"/>
  <c r="AQ1508" i="1"/>
  <c r="AQ1514" i="1"/>
  <c r="AP1647" i="1"/>
  <c r="AQ1647" i="1"/>
  <c r="AQ1658" i="1"/>
  <c r="AP1658" i="1"/>
  <c r="AP1630" i="1"/>
  <c r="AQ1630" i="1"/>
  <c r="AP1622" i="1"/>
  <c r="AQ1622" i="1"/>
  <c r="AQ1610" i="1"/>
  <c r="AP1586" i="1"/>
  <c r="AQ1586" i="1"/>
  <c r="AP1659" i="1"/>
  <c r="AQ1659" i="1"/>
  <c r="AP1643" i="1"/>
  <c r="AQ1643" i="1"/>
  <c r="AP1633" i="1"/>
  <c r="AP1627" i="1"/>
  <c r="AQ1627" i="1"/>
  <c r="AP1617" i="1"/>
  <c r="AP1611" i="1"/>
  <c r="AQ1611" i="1"/>
  <c r="AP1599" i="1"/>
  <c r="AQ1578" i="1"/>
  <c r="AP1578" i="1"/>
  <c r="AP1573" i="1"/>
  <c r="AP1559" i="1"/>
  <c r="AQ1559" i="1"/>
  <c r="AP1547" i="1"/>
  <c r="AQ1547" i="1"/>
  <c r="AP1541" i="1"/>
  <c r="AQ1527" i="1"/>
  <c r="AP1527" i="1"/>
  <c r="AQ1521" i="1"/>
  <c r="AQ1515" i="1"/>
  <c r="AP1515" i="1"/>
  <c r="AP1615" i="1"/>
  <c r="AQ1615" i="1"/>
  <c r="AP1605" i="1"/>
  <c r="AQ1605" i="1"/>
  <c r="AP1593" i="1"/>
  <c r="AQ1593" i="1"/>
  <c r="AP1587" i="1"/>
  <c r="AQ1587" i="1"/>
  <c r="AP1577" i="1"/>
  <c r="AQ1577" i="1"/>
  <c r="AQ1570" i="1"/>
  <c r="AP1570" i="1"/>
  <c r="AP1565" i="1"/>
  <c r="AQ1538" i="1"/>
  <c r="AP1538" i="1"/>
  <c r="AP1526" i="1"/>
  <c r="AN1513" i="1"/>
  <c r="AN1509" i="1"/>
  <c r="AP1657" i="1"/>
  <c r="AQ1657" i="1"/>
  <c r="AP1651" i="1"/>
  <c r="AQ1651" i="1"/>
  <c r="AP1635" i="1"/>
  <c r="AQ1635" i="1"/>
  <c r="AP1609" i="1"/>
  <c r="AP1575" i="1"/>
  <c r="AP1569" i="1"/>
  <c r="AQ1569" i="1"/>
  <c r="AQ1563" i="1"/>
  <c r="AP1557" i="1"/>
  <c r="AQ1557" i="1"/>
  <c r="AQ1543" i="1"/>
  <c r="AP1537" i="1"/>
  <c r="AQ1537" i="1"/>
  <c r="AP1531" i="1"/>
  <c r="AQ1525" i="1"/>
  <c r="AP1525" i="1"/>
  <c r="AP1555" i="1"/>
  <c r="AQ1555" i="1"/>
  <c r="AP1545" i="1"/>
  <c r="AQ1545" i="1"/>
  <c r="AP1539" i="1"/>
  <c r="AQ1523" i="1"/>
  <c r="AP1523" i="1"/>
  <c r="AQ1650" i="1"/>
  <c r="AP1639" i="1"/>
  <c r="AQ1639" i="1"/>
  <c r="AP1634" i="1"/>
  <c r="AQ1634" i="1"/>
  <c r="AP1629" i="1"/>
  <c r="AQ1629" i="1"/>
  <c r="AP1618" i="1"/>
  <c r="AP1613" i="1"/>
  <c r="AQ1613" i="1"/>
  <c r="AQ1607" i="1"/>
  <c r="AP1601" i="1"/>
  <c r="AQ1601" i="1"/>
  <c r="AP1595" i="1"/>
  <c r="AQ1595" i="1"/>
  <c r="AP1585" i="1"/>
  <c r="AQ1585" i="1"/>
  <c r="AP1579" i="1"/>
  <c r="AQ1579" i="1"/>
  <c r="AQ1574" i="1"/>
  <c r="AP1574" i="1"/>
  <c r="AP1567" i="1"/>
  <c r="AQ1567" i="1"/>
  <c r="AQ1554" i="1"/>
  <c r="AP1554" i="1"/>
  <c r="AP1549" i="1"/>
  <c r="AQ1549" i="1"/>
  <c r="AP1535" i="1"/>
  <c r="AQ1535" i="1"/>
  <c r="AP1530" i="1"/>
  <c r="AQ1530" i="1"/>
  <c r="AQ1517" i="1"/>
  <c r="AP1517" i="1"/>
  <c r="AQ1656" i="1"/>
  <c r="AP1656" i="1"/>
  <c r="AQ1648" i="1"/>
  <c r="AP1648" i="1"/>
  <c r="AQ1640" i="1"/>
  <c r="AP1640" i="1"/>
  <c r="AP1628" i="1"/>
  <c r="AQ1628" i="1"/>
  <c r="AP1620" i="1"/>
  <c r="AQ1620" i="1"/>
  <c r="AQ1616" i="1"/>
  <c r="AP1612" i="1"/>
  <c r="AQ1612" i="1"/>
  <c r="AQ1608" i="1"/>
  <c r="AP1604" i="1"/>
  <c r="AQ1604" i="1"/>
  <c r="AQ1600" i="1"/>
  <c r="AP1596" i="1"/>
  <c r="AQ1596" i="1"/>
  <c r="AQ1592" i="1"/>
  <c r="AP1584" i="1"/>
  <c r="AQ1584" i="1"/>
  <c r="AP1572" i="1"/>
  <c r="AP1568" i="1"/>
  <c r="AP1566" i="1"/>
  <c r="AP1556" i="1"/>
  <c r="AP1552" i="1"/>
  <c r="AP1550" i="1"/>
  <c r="AP1544" i="1"/>
  <c r="AP1540" i="1"/>
  <c r="AP1536" i="1"/>
  <c r="AN1603" i="1"/>
  <c r="AQ1532" i="1"/>
  <c r="AQ1524" i="1"/>
  <c r="AQ1520" i="1"/>
  <c r="AQ1518" i="1"/>
  <c r="AQ1580" i="1"/>
  <c r="AN1516" i="1"/>
  <c r="AQ1623" i="1" l="1"/>
  <c r="AQ1645" i="1"/>
  <c r="AQ1571" i="1"/>
  <c r="AQ1591" i="1"/>
  <c r="AQ1625" i="1"/>
  <c r="AQ1533" i="1"/>
  <c r="AP1546" i="1"/>
  <c r="AQ1583" i="1"/>
  <c r="AP1534" i="1"/>
  <c r="AP1548" i="1"/>
  <c r="AP1564" i="1"/>
  <c r="AQ1636" i="1"/>
  <c r="AP1644" i="1"/>
  <c r="AP1562" i="1"/>
  <c r="AQ1553" i="1"/>
  <c r="AP1582" i="1"/>
  <c r="AP1512" i="1"/>
  <c r="AP1551" i="1"/>
  <c r="AQ1594" i="1"/>
  <c r="AP1626" i="1"/>
  <c r="AP1519" i="1"/>
  <c r="AQ1558" i="1"/>
  <c r="AQ1589" i="1"/>
  <c r="AQ1510" i="1"/>
  <c r="AP1632" i="1"/>
  <c r="AQ1590" i="1"/>
  <c r="AQ1655" i="1"/>
  <c r="AQ1581" i="1"/>
  <c r="AQ1597" i="1"/>
  <c r="AP1641" i="1"/>
  <c r="AP1624" i="1"/>
  <c r="AP1522" i="1"/>
  <c r="AQ1606" i="1"/>
  <c r="AP1614" i="1"/>
  <c r="AQ1528" i="1"/>
  <c r="AP1576" i="1"/>
  <c r="AP1588" i="1"/>
  <c r="AQ1652" i="1"/>
  <c r="AQ1542" i="1"/>
  <c r="AQ1529" i="1"/>
  <c r="AP1561" i="1"/>
  <c r="AP1619" i="1"/>
  <c r="AQ1649" i="1"/>
  <c r="AP1598" i="1"/>
  <c r="AP1642" i="1"/>
  <c r="AQ1631" i="1"/>
  <c r="AP1511" i="1"/>
  <c r="AQ1602" i="1"/>
  <c r="AP1560" i="1"/>
  <c r="AQ1638" i="1"/>
  <c r="AP1646" i="1"/>
  <c r="AQ1621" i="1"/>
  <c r="AP1654" i="1"/>
  <c r="AQ1637" i="1"/>
  <c r="AQ1653" i="1"/>
  <c r="AP1516" i="1"/>
  <c r="AQ1516" i="1"/>
  <c r="AQ1509" i="1"/>
  <c r="AP1509" i="1"/>
  <c r="AQ1513" i="1"/>
  <c r="AP1513" i="1"/>
  <c r="AP1603" i="1"/>
  <c r="AQ1603" i="1"/>
  <c r="AL20" i="1" l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L844" i="1"/>
  <c r="AL845" i="1"/>
  <c r="AL846" i="1"/>
  <c r="AL847" i="1"/>
  <c r="AL848" i="1"/>
  <c r="AL849" i="1"/>
  <c r="AL850" i="1"/>
  <c r="AL851" i="1"/>
  <c r="AL852" i="1"/>
  <c r="AL853" i="1"/>
  <c r="AL854" i="1"/>
  <c r="AL855" i="1"/>
  <c r="AL856" i="1"/>
  <c r="AL857" i="1"/>
  <c r="AL858" i="1"/>
  <c r="AL859" i="1"/>
  <c r="AL860" i="1"/>
  <c r="AL861" i="1"/>
  <c r="AL862" i="1"/>
  <c r="AL863" i="1"/>
  <c r="AL864" i="1"/>
  <c r="AL865" i="1"/>
  <c r="AL866" i="1"/>
  <c r="AL867" i="1"/>
  <c r="AL868" i="1"/>
  <c r="AL869" i="1"/>
  <c r="AL870" i="1"/>
  <c r="AL871" i="1"/>
  <c r="AL872" i="1"/>
  <c r="AL873" i="1"/>
  <c r="AL874" i="1"/>
  <c r="AL875" i="1"/>
  <c r="AL876" i="1"/>
  <c r="AL877" i="1"/>
  <c r="AL878" i="1"/>
  <c r="AL879" i="1"/>
  <c r="AL880" i="1"/>
  <c r="AL881" i="1"/>
  <c r="AL882" i="1"/>
  <c r="AL883" i="1"/>
  <c r="AL884" i="1"/>
  <c r="AL885" i="1"/>
  <c r="AL886" i="1"/>
  <c r="AL887" i="1"/>
  <c r="AL888" i="1"/>
  <c r="AL889" i="1"/>
  <c r="AL890" i="1"/>
  <c r="AL891" i="1"/>
  <c r="AL892" i="1"/>
  <c r="AL893" i="1"/>
  <c r="AL894" i="1"/>
  <c r="AL895" i="1"/>
  <c r="AL896" i="1"/>
  <c r="AL897" i="1"/>
  <c r="AL898" i="1"/>
  <c r="AL899" i="1"/>
  <c r="AL900" i="1"/>
  <c r="AL901" i="1"/>
  <c r="AL902" i="1"/>
  <c r="AL903" i="1"/>
  <c r="AL904" i="1"/>
  <c r="AL905" i="1"/>
  <c r="AL906" i="1"/>
  <c r="AL907" i="1"/>
  <c r="AL908" i="1"/>
  <c r="AL909" i="1"/>
  <c r="AL910" i="1"/>
  <c r="AL911" i="1"/>
  <c r="AL912" i="1"/>
  <c r="AL913" i="1"/>
  <c r="AL914" i="1"/>
  <c r="AL915" i="1"/>
  <c r="AL916" i="1"/>
  <c r="AL917" i="1"/>
  <c r="AL918" i="1"/>
  <c r="AL919" i="1"/>
  <c r="AL920" i="1"/>
  <c r="AL921" i="1"/>
  <c r="AL922" i="1"/>
  <c r="AL923" i="1"/>
  <c r="AL924" i="1"/>
  <c r="AL925" i="1"/>
  <c r="AL926" i="1"/>
  <c r="AL927" i="1"/>
  <c r="AL928" i="1"/>
  <c r="AL929" i="1"/>
  <c r="AL930" i="1"/>
  <c r="AL931" i="1"/>
  <c r="AL932" i="1"/>
  <c r="AL933" i="1"/>
  <c r="AL934" i="1"/>
  <c r="AL935" i="1"/>
  <c r="AL936" i="1"/>
  <c r="AL937" i="1"/>
  <c r="AL938" i="1"/>
  <c r="AL939" i="1"/>
  <c r="AL940" i="1"/>
  <c r="AL941" i="1"/>
  <c r="AL942" i="1"/>
  <c r="AL943" i="1"/>
  <c r="AL944" i="1"/>
  <c r="AL945" i="1"/>
  <c r="AL946" i="1"/>
  <c r="AL947" i="1"/>
  <c r="AL948" i="1"/>
  <c r="AL949" i="1"/>
  <c r="AL950" i="1"/>
  <c r="AL951" i="1"/>
  <c r="AL952" i="1"/>
  <c r="AL953" i="1"/>
  <c r="AL954" i="1"/>
  <c r="AL955" i="1"/>
  <c r="AL956" i="1"/>
  <c r="AL957" i="1"/>
  <c r="AL958" i="1"/>
  <c r="AL959" i="1"/>
  <c r="AL960" i="1"/>
  <c r="AL961" i="1"/>
  <c r="AL962" i="1"/>
  <c r="AL963" i="1"/>
  <c r="AL964" i="1"/>
  <c r="AL965" i="1"/>
  <c r="AL966" i="1"/>
  <c r="AL967" i="1"/>
  <c r="AL968" i="1"/>
  <c r="AL969" i="1"/>
  <c r="AL970" i="1"/>
  <c r="AL971" i="1"/>
  <c r="AL972" i="1"/>
  <c r="AL973" i="1"/>
  <c r="AL974" i="1"/>
  <c r="AL975" i="1"/>
  <c r="AL976" i="1"/>
  <c r="AL977" i="1"/>
  <c r="AL978" i="1"/>
  <c r="AL979" i="1"/>
  <c r="AL980" i="1"/>
  <c r="AL981" i="1"/>
  <c r="AL982" i="1"/>
  <c r="AL983" i="1"/>
  <c r="AL984" i="1"/>
  <c r="AL985" i="1"/>
  <c r="AL986" i="1"/>
  <c r="AL987" i="1"/>
  <c r="AL988" i="1"/>
  <c r="AL989" i="1"/>
  <c r="AL990" i="1"/>
  <c r="AL991" i="1"/>
  <c r="AL992" i="1"/>
  <c r="AL993" i="1"/>
  <c r="AL994" i="1"/>
  <c r="AL995" i="1"/>
  <c r="AL996" i="1"/>
  <c r="AL997" i="1"/>
  <c r="AL998" i="1"/>
  <c r="AL999" i="1"/>
  <c r="AL1000" i="1"/>
  <c r="AL1001" i="1"/>
  <c r="AL1002" i="1"/>
  <c r="AL1003" i="1"/>
  <c r="AL1004" i="1"/>
  <c r="AL1005" i="1"/>
  <c r="AL1006" i="1"/>
  <c r="AL1007" i="1"/>
  <c r="AL1008" i="1"/>
  <c r="AL1009" i="1"/>
  <c r="AL1010" i="1"/>
  <c r="AL1011" i="1"/>
  <c r="AL1012" i="1"/>
  <c r="AL1013" i="1"/>
  <c r="AL1014" i="1"/>
  <c r="AL1015" i="1"/>
  <c r="AL1016" i="1"/>
  <c r="AL1017" i="1"/>
  <c r="AL1018" i="1"/>
  <c r="AL1019" i="1"/>
  <c r="AL1020" i="1"/>
  <c r="AL1021" i="1"/>
  <c r="AL1022" i="1"/>
  <c r="AL1023" i="1"/>
  <c r="AL1024" i="1"/>
  <c r="AL1025" i="1"/>
  <c r="AL1026" i="1"/>
  <c r="AL1027" i="1"/>
  <c r="AL1028" i="1"/>
  <c r="AL1029" i="1"/>
  <c r="AL1030" i="1"/>
  <c r="AL1031" i="1"/>
  <c r="AL1032" i="1"/>
  <c r="AL1033" i="1"/>
  <c r="AL1034" i="1"/>
  <c r="AL1035" i="1"/>
  <c r="AL1036" i="1"/>
  <c r="AL1037" i="1"/>
  <c r="AL1038" i="1"/>
  <c r="AL1039" i="1"/>
  <c r="AL1040" i="1"/>
  <c r="AL1041" i="1"/>
  <c r="AL1042" i="1"/>
  <c r="AL1043" i="1"/>
  <c r="AL1044" i="1"/>
  <c r="AL1045" i="1"/>
  <c r="AL1046" i="1"/>
  <c r="AL1047" i="1"/>
  <c r="AL1048" i="1"/>
  <c r="AL1049" i="1"/>
  <c r="AL1050" i="1"/>
  <c r="AL1051" i="1"/>
  <c r="AL1052" i="1"/>
  <c r="AL1053" i="1"/>
  <c r="AL1054" i="1"/>
  <c r="AL1055" i="1"/>
  <c r="AL1056" i="1"/>
  <c r="AL1057" i="1"/>
  <c r="AL1058" i="1"/>
  <c r="AL1059" i="1"/>
  <c r="AL1060" i="1"/>
  <c r="AL1061" i="1"/>
  <c r="AL1062" i="1"/>
  <c r="AL1063" i="1"/>
  <c r="AL1064" i="1"/>
  <c r="AL1065" i="1"/>
  <c r="AL1066" i="1"/>
  <c r="AL1067" i="1"/>
  <c r="AL1068" i="1"/>
  <c r="AL1069" i="1"/>
  <c r="AL1070" i="1"/>
  <c r="AL1071" i="1"/>
  <c r="AL1072" i="1"/>
  <c r="AL1073" i="1"/>
  <c r="AL1074" i="1"/>
  <c r="AL1075" i="1"/>
  <c r="AL1076" i="1"/>
  <c r="AL1077" i="1"/>
  <c r="AL1078" i="1"/>
  <c r="AL1079" i="1"/>
  <c r="AL1080" i="1"/>
  <c r="AL1081" i="1"/>
  <c r="AL1082" i="1"/>
  <c r="AL1083" i="1"/>
  <c r="AL1084" i="1"/>
  <c r="AL1085" i="1"/>
  <c r="AL1086" i="1"/>
  <c r="AL1087" i="1"/>
  <c r="AL1088" i="1"/>
  <c r="AL1089" i="1"/>
  <c r="AL1090" i="1"/>
  <c r="AL1091" i="1"/>
  <c r="AL1092" i="1"/>
  <c r="AL1093" i="1"/>
  <c r="AL1094" i="1"/>
  <c r="AL1095" i="1"/>
  <c r="AL1096" i="1"/>
  <c r="AL1097" i="1"/>
  <c r="AL1098" i="1"/>
  <c r="AL1099" i="1"/>
  <c r="AL1100" i="1"/>
  <c r="AL1101" i="1"/>
  <c r="AL1102" i="1"/>
  <c r="AL1103" i="1"/>
  <c r="AL1104" i="1"/>
  <c r="AL1105" i="1"/>
  <c r="AL1106" i="1"/>
  <c r="AL1107" i="1"/>
  <c r="AL1108" i="1"/>
  <c r="AL1109" i="1"/>
  <c r="AL1110" i="1"/>
  <c r="AL1111" i="1"/>
  <c r="AL1112" i="1"/>
  <c r="AL1113" i="1"/>
  <c r="AL1114" i="1"/>
  <c r="AL1115" i="1"/>
  <c r="AL1116" i="1"/>
  <c r="AL1117" i="1"/>
  <c r="AL1118" i="1"/>
  <c r="AL1119" i="1"/>
  <c r="AL1120" i="1"/>
  <c r="AL1121" i="1"/>
  <c r="AL1122" i="1"/>
  <c r="AL1123" i="1"/>
  <c r="AL1124" i="1"/>
  <c r="AL1125" i="1"/>
  <c r="AL1126" i="1"/>
  <c r="AL1127" i="1"/>
  <c r="AL1128" i="1"/>
  <c r="AL1129" i="1"/>
  <c r="AL1130" i="1"/>
  <c r="AL1131" i="1"/>
  <c r="AL1132" i="1"/>
  <c r="AL1133" i="1"/>
  <c r="AL1134" i="1"/>
  <c r="AL1135" i="1"/>
  <c r="AL1136" i="1"/>
  <c r="AL1137" i="1"/>
  <c r="AL1138" i="1"/>
  <c r="AL1139" i="1"/>
  <c r="AL1140" i="1"/>
  <c r="AL1141" i="1"/>
  <c r="AL1142" i="1"/>
  <c r="AL1143" i="1"/>
  <c r="AL1144" i="1"/>
  <c r="AL1145" i="1"/>
  <c r="AL1146" i="1"/>
  <c r="AL1147" i="1"/>
  <c r="AL1148" i="1"/>
  <c r="AL1149" i="1"/>
  <c r="AL1150" i="1"/>
  <c r="AL1151" i="1"/>
  <c r="AL1152" i="1"/>
  <c r="AL1153" i="1"/>
  <c r="AL1154" i="1"/>
  <c r="AL1155" i="1"/>
  <c r="AL1156" i="1"/>
  <c r="AL1157" i="1"/>
  <c r="AL1158" i="1"/>
  <c r="AL1159" i="1"/>
  <c r="AL1160" i="1"/>
  <c r="AL1161" i="1"/>
  <c r="AL1162" i="1"/>
  <c r="AL1163" i="1"/>
  <c r="AL1164" i="1"/>
  <c r="AL1165" i="1"/>
  <c r="AL1166" i="1"/>
  <c r="AL1167" i="1"/>
  <c r="AL1168" i="1"/>
  <c r="AL1169" i="1"/>
  <c r="AL1170" i="1"/>
  <c r="AL1171" i="1"/>
  <c r="AL1172" i="1"/>
  <c r="AL1173" i="1"/>
  <c r="AL1174" i="1"/>
  <c r="AL1175" i="1"/>
  <c r="AL1176" i="1"/>
  <c r="AL1177" i="1"/>
  <c r="AL1178" i="1"/>
  <c r="AL1179" i="1"/>
  <c r="AL1180" i="1"/>
  <c r="AL1181" i="1"/>
  <c r="AL1182" i="1"/>
  <c r="AL1183" i="1"/>
  <c r="AL1184" i="1"/>
  <c r="AL1185" i="1"/>
  <c r="AL1186" i="1"/>
  <c r="AL1187" i="1"/>
  <c r="AL1188" i="1"/>
  <c r="AL1189" i="1"/>
  <c r="AL1190" i="1"/>
  <c r="AL1191" i="1"/>
  <c r="AL1192" i="1"/>
  <c r="AL1193" i="1"/>
  <c r="AL1194" i="1"/>
  <c r="AL1195" i="1"/>
  <c r="AL1196" i="1"/>
  <c r="AL1197" i="1"/>
  <c r="AL1198" i="1"/>
  <c r="AL1199" i="1"/>
  <c r="AL1200" i="1"/>
  <c r="AL1201" i="1"/>
  <c r="AL1202" i="1"/>
  <c r="AL1203" i="1"/>
  <c r="AL1204" i="1"/>
  <c r="AL1205" i="1"/>
  <c r="AL1206" i="1"/>
  <c r="AL1207" i="1"/>
  <c r="AL1208" i="1"/>
  <c r="AL1209" i="1"/>
  <c r="AL1210" i="1"/>
  <c r="AL1211" i="1"/>
  <c r="AL1212" i="1"/>
  <c r="AL1213" i="1"/>
  <c r="AL1214" i="1"/>
  <c r="AL1215" i="1"/>
  <c r="AL1216" i="1"/>
  <c r="AL1217" i="1"/>
  <c r="AL1218" i="1"/>
  <c r="AL1219" i="1"/>
  <c r="AL1220" i="1"/>
  <c r="AL1221" i="1"/>
  <c r="AL1222" i="1"/>
  <c r="AL1223" i="1"/>
  <c r="AL1224" i="1"/>
  <c r="AL1225" i="1"/>
  <c r="AL1226" i="1"/>
  <c r="AL1227" i="1"/>
  <c r="AL1228" i="1"/>
  <c r="AL1229" i="1"/>
  <c r="AL1230" i="1"/>
  <c r="AL1231" i="1"/>
  <c r="AL1232" i="1"/>
  <c r="AL1233" i="1"/>
  <c r="AL1234" i="1"/>
  <c r="AL1235" i="1"/>
  <c r="AL1236" i="1"/>
  <c r="AL1237" i="1"/>
  <c r="AL1238" i="1"/>
  <c r="AL1239" i="1"/>
  <c r="AL1240" i="1"/>
  <c r="AL1241" i="1"/>
  <c r="AL1242" i="1"/>
  <c r="AL1243" i="1"/>
  <c r="AL1244" i="1"/>
  <c r="AL1245" i="1"/>
  <c r="AL1246" i="1"/>
  <c r="AL1247" i="1"/>
  <c r="AL1248" i="1"/>
  <c r="AL1249" i="1"/>
  <c r="AL1250" i="1"/>
  <c r="AL1251" i="1"/>
  <c r="AL1252" i="1"/>
  <c r="AL1253" i="1"/>
  <c r="AL1254" i="1"/>
  <c r="AL1255" i="1"/>
  <c r="AL1256" i="1"/>
  <c r="AL1257" i="1"/>
  <c r="AL1258" i="1"/>
  <c r="AL1259" i="1"/>
  <c r="AL1260" i="1"/>
  <c r="AL1261" i="1"/>
  <c r="AL1262" i="1"/>
  <c r="AL1263" i="1"/>
  <c r="AL1264" i="1"/>
  <c r="AL1265" i="1"/>
  <c r="AL1266" i="1"/>
  <c r="AL1267" i="1"/>
  <c r="AL1268" i="1"/>
  <c r="AL1269" i="1"/>
  <c r="AL1270" i="1"/>
  <c r="AL1271" i="1"/>
  <c r="AL1272" i="1"/>
  <c r="AL1273" i="1"/>
  <c r="AL1274" i="1"/>
  <c r="AL1275" i="1"/>
  <c r="AL1276" i="1"/>
  <c r="AL1277" i="1"/>
  <c r="AL1278" i="1"/>
  <c r="AL1279" i="1"/>
  <c r="AL1280" i="1"/>
  <c r="AL1281" i="1"/>
  <c r="AL1282" i="1"/>
  <c r="AL1283" i="1"/>
  <c r="AL1284" i="1"/>
  <c r="AL1285" i="1"/>
  <c r="AL1286" i="1"/>
  <c r="AL1287" i="1"/>
  <c r="AL1288" i="1"/>
  <c r="AL1289" i="1"/>
  <c r="AL1290" i="1"/>
  <c r="AL1291" i="1"/>
  <c r="AL1292" i="1"/>
  <c r="AL1293" i="1"/>
  <c r="AL1294" i="1"/>
  <c r="AL1295" i="1"/>
  <c r="AL1296" i="1"/>
  <c r="AL1297" i="1"/>
  <c r="AL1298" i="1"/>
  <c r="AL1299" i="1"/>
  <c r="AL1300" i="1"/>
  <c r="AL1301" i="1"/>
  <c r="AL1302" i="1"/>
  <c r="AL1303" i="1"/>
  <c r="AL1304" i="1"/>
  <c r="AL1305" i="1"/>
  <c r="AL1306" i="1"/>
  <c r="AL1307" i="1"/>
  <c r="AL1308" i="1"/>
  <c r="AL1309" i="1"/>
  <c r="AL1310" i="1"/>
  <c r="AL1311" i="1"/>
  <c r="AL1312" i="1"/>
  <c r="AL1313" i="1"/>
  <c r="AL1314" i="1"/>
  <c r="AL1315" i="1"/>
  <c r="AL1316" i="1"/>
  <c r="AL1317" i="1"/>
  <c r="AL1318" i="1"/>
  <c r="AL1319" i="1"/>
  <c r="AL1320" i="1"/>
  <c r="AL1321" i="1"/>
  <c r="AL1322" i="1"/>
  <c r="AL1323" i="1"/>
  <c r="AL1324" i="1"/>
  <c r="AL1325" i="1"/>
  <c r="AL1326" i="1"/>
  <c r="AL1327" i="1"/>
  <c r="AL1328" i="1"/>
  <c r="AL1329" i="1"/>
  <c r="AL1330" i="1"/>
  <c r="AL1331" i="1"/>
  <c r="AL1332" i="1"/>
  <c r="AL1333" i="1"/>
  <c r="AL1334" i="1"/>
  <c r="AL1335" i="1"/>
  <c r="AL1336" i="1"/>
  <c r="AL1337" i="1"/>
  <c r="AL1338" i="1"/>
  <c r="AL1339" i="1"/>
  <c r="AL1340" i="1"/>
  <c r="AL1341" i="1"/>
  <c r="AL1342" i="1"/>
  <c r="AL1343" i="1"/>
  <c r="AL1344" i="1"/>
  <c r="AL1345" i="1"/>
  <c r="AL1346" i="1"/>
  <c r="AL1347" i="1"/>
  <c r="AL1348" i="1"/>
  <c r="AL1349" i="1"/>
  <c r="AL1350" i="1"/>
  <c r="AL1351" i="1"/>
  <c r="AL1352" i="1"/>
  <c r="AL1353" i="1"/>
  <c r="AL1354" i="1"/>
  <c r="AL1355" i="1"/>
  <c r="AL1356" i="1"/>
  <c r="AL1357" i="1"/>
  <c r="AL1358" i="1"/>
  <c r="AL1359" i="1"/>
  <c r="AL1360" i="1"/>
  <c r="AL1361" i="1"/>
  <c r="AL1362" i="1"/>
  <c r="AL1363" i="1"/>
  <c r="AL1364" i="1"/>
  <c r="AL1365" i="1"/>
  <c r="AL1366" i="1"/>
  <c r="AL1367" i="1"/>
  <c r="AL1368" i="1"/>
  <c r="AL1369" i="1"/>
  <c r="AL1370" i="1"/>
  <c r="AL1371" i="1"/>
  <c r="AL1372" i="1"/>
  <c r="AL1373" i="1"/>
  <c r="AL1374" i="1"/>
  <c r="AL1375" i="1"/>
  <c r="AL1376" i="1"/>
  <c r="AL1377" i="1"/>
  <c r="AL1378" i="1"/>
  <c r="AL1379" i="1"/>
  <c r="AL1380" i="1"/>
  <c r="AL1381" i="1"/>
  <c r="AL1382" i="1"/>
  <c r="AL1383" i="1"/>
  <c r="AL1384" i="1"/>
  <c r="AL1385" i="1"/>
  <c r="AL1386" i="1"/>
  <c r="AL1387" i="1"/>
  <c r="AL1388" i="1"/>
  <c r="AL1389" i="1"/>
  <c r="AL1390" i="1"/>
  <c r="AL1391" i="1"/>
  <c r="AL1392" i="1"/>
  <c r="AL1393" i="1"/>
  <c r="AL1394" i="1"/>
  <c r="AL1395" i="1"/>
  <c r="AL1396" i="1"/>
  <c r="AL1397" i="1"/>
  <c r="AL1398" i="1"/>
  <c r="AL1399" i="1"/>
  <c r="AL1400" i="1"/>
  <c r="AL1401" i="1"/>
  <c r="AL1402" i="1"/>
  <c r="AL1403" i="1"/>
  <c r="AL1404" i="1"/>
  <c r="AL1405" i="1"/>
  <c r="AL1406" i="1"/>
  <c r="AL1407" i="1"/>
  <c r="AL1408" i="1"/>
  <c r="AL1409" i="1"/>
  <c r="AL1410" i="1"/>
  <c r="AL1411" i="1"/>
  <c r="AL1412" i="1"/>
  <c r="AL1413" i="1"/>
  <c r="AL1414" i="1"/>
  <c r="AL1415" i="1"/>
  <c r="AL1416" i="1"/>
  <c r="AL1417" i="1"/>
  <c r="AL1418" i="1"/>
  <c r="AL1419" i="1"/>
  <c r="AL1420" i="1"/>
  <c r="AL1421" i="1"/>
  <c r="AL1422" i="1"/>
  <c r="AL1423" i="1"/>
  <c r="AL1424" i="1"/>
  <c r="AL1425" i="1"/>
  <c r="AL1426" i="1"/>
  <c r="AL1427" i="1"/>
  <c r="AL1428" i="1"/>
  <c r="AL1429" i="1"/>
  <c r="AL1430" i="1"/>
  <c r="AL1431" i="1"/>
  <c r="AL1432" i="1"/>
  <c r="AL1433" i="1"/>
  <c r="AL1434" i="1"/>
  <c r="AL1435" i="1"/>
  <c r="AL1436" i="1"/>
  <c r="AL1437" i="1"/>
  <c r="AL1438" i="1"/>
  <c r="AL1439" i="1"/>
  <c r="AL1440" i="1"/>
  <c r="AL1441" i="1"/>
  <c r="AL1442" i="1"/>
  <c r="AL1443" i="1"/>
  <c r="AL1444" i="1"/>
  <c r="AL1445" i="1"/>
  <c r="AL1446" i="1"/>
  <c r="AL1447" i="1"/>
  <c r="AL1448" i="1"/>
  <c r="AL1449" i="1"/>
  <c r="AL1450" i="1"/>
  <c r="AL1451" i="1"/>
  <c r="AL1452" i="1"/>
  <c r="AL1453" i="1"/>
  <c r="AL1454" i="1"/>
  <c r="AL1455" i="1"/>
  <c r="AL1456" i="1"/>
  <c r="AL1457" i="1"/>
  <c r="AL1458" i="1"/>
  <c r="AL1459" i="1"/>
  <c r="AL1460" i="1"/>
  <c r="AL1461" i="1"/>
  <c r="AL1462" i="1"/>
  <c r="AL1463" i="1"/>
  <c r="AL1464" i="1"/>
  <c r="AL1465" i="1"/>
  <c r="AL1466" i="1"/>
  <c r="AL1467" i="1"/>
  <c r="AL1468" i="1"/>
  <c r="AL1469" i="1"/>
  <c r="AL1470" i="1"/>
  <c r="AL1471" i="1"/>
  <c r="AL1472" i="1"/>
  <c r="AL1473" i="1"/>
  <c r="AL1474" i="1"/>
  <c r="AL1475" i="1"/>
  <c r="AL1476" i="1"/>
  <c r="AL1477" i="1"/>
  <c r="AL1478" i="1"/>
  <c r="AL1479" i="1"/>
  <c r="AL1480" i="1"/>
  <c r="AL1481" i="1"/>
  <c r="AL1482" i="1"/>
  <c r="AL1483" i="1"/>
  <c r="AL1484" i="1"/>
  <c r="AL1485" i="1"/>
  <c r="AL1486" i="1"/>
  <c r="AL1487" i="1"/>
  <c r="AL1488" i="1"/>
  <c r="AL1489" i="1"/>
  <c r="AL1490" i="1"/>
  <c r="AL1491" i="1"/>
  <c r="AL1492" i="1"/>
  <c r="AL1493" i="1"/>
  <c r="AL1494" i="1"/>
  <c r="AL1495" i="1"/>
  <c r="AL1496" i="1"/>
  <c r="AL1497" i="1"/>
  <c r="AL1498" i="1"/>
  <c r="AL1499" i="1"/>
  <c r="AL1500" i="1"/>
  <c r="AL1501" i="1"/>
  <c r="AL1502" i="1"/>
  <c r="AL1503" i="1"/>
  <c r="AL1504" i="1"/>
  <c r="AL1505" i="1"/>
  <c r="AL1506" i="1"/>
  <c r="AL1507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2" i="1"/>
  <c r="AJ3" i="1"/>
  <c r="AK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8" i="1"/>
  <c r="AK18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3" i="1"/>
  <c r="AK123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3" i="1"/>
  <c r="AK133" i="1"/>
  <c r="AJ134" i="1"/>
  <c r="AK134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203" i="1"/>
  <c r="AK203" i="1"/>
  <c r="AJ204" i="1"/>
  <c r="AK204" i="1"/>
  <c r="AJ205" i="1"/>
  <c r="AK205" i="1"/>
  <c r="AJ206" i="1"/>
  <c r="AK206" i="1"/>
  <c r="AJ207" i="1"/>
  <c r="AK207" i="1"/>
  <c r="AJ208" i="1"/>
  <c r="AK208" i="1"/>
  <c r="AJ209" i="1"/>
  <c r="AK209" i="1"/>
  <c r="AJ210" i="1"/>
  <c r="AK210" i="1"/>
  <c r="AJ211" i="1"/>
  <c r="AK211" i="1"/>
  <c r="AJ212" i="1"/>
  <c r="AK212" i="1"/>
  <c r="AJ213" i="1"/>
  <c r="AK213" i="1"/>
  <c r="AJ214" i="1"/>
  <c r="AK214" i="1"/>
  <c r="AJ215" i="1"/>
  <c r="AK215" i="1"/>
  <c r="AJ216" i="1"/>
  <c r="AK216" i="1"/>
  <c r="AJ217" i="1"/>
  <c r="AK217" i="1"/>
  <c r="AJ218" i="1"/>
  <c r="AK218" i="1"/>
  <c r="AJ219" i="1"/>
  <c r="AK219" i="1"/>
  <c r="AJ220" i="1"/>
  <c r="AK220" i="1"/>
  <c r="AJ221" i="1"/>
  <c r="AK221" i="1"/>
  <c r="AJ222" i="1"/>
  <c r="AK222" i="1"/>
  <c r="AJ223" i="1"/>
  <c r="AK223" i="1"/>
  <c r="AJ224" i="1"/>
  <c r="AK224" i="1"/>
  <c r="AJ225" i="1"/>
  <c r="AK225" i="1"/>
  <c r="AJ226" i="1"/>
  <c r="AK226" i="1"/>
  <c r="AJ227" i="1"/>
  <c r="AK227" i="1"/>
  <c r="AJ228" i="1"/>
  <c r="AK228" i="1"/>
  <c r="AJ229" i="1"/>
  <c r="AK229" i="1"/>
  <c r="AJ230" i="1"/>
  <c r="AK230" i="1"/>
  <c r="AJ231" i="1"/>
  <c r="AK231" i="1"/>
  <c r="AJ232" i="1"/>
  <c r="AK232" i="1"/>
  <c r="AJ233" i="1"/>
  <c r="AK233" i="1"/>
  <c r="AJ234" i="1"/>
  <c r="AK234" i="1"/>
  <c r="AJ235" i="1"/>
  <c r="AK235" i="1"/>
  <c r="AJ236" i="1"/>
  <c r="AK236" i="1"/>
  <c r="AJ237" i="1"/>
  <c r="AK237" i="1"/>
  <c r="AJ238" i="1"/>
  <c r="AK238" i="1"/>
  <c r="AJ239" i="1"/>
  <c r="AK239" i="1"/>
  <c r="AJ240" i="1"/>
  <c r="AK240" i="1"/>
  <c r="AJ241" i="1"/>
  <c r="AK241" i="1"/>
  <c r="AJ242" i="1"/>
  <c r="AK242" i="1"/>
  <c r="AJ243" i="1"/>
  <c r="AK243" i="1"/>
  <c r="AJ244" i="1"/>
  <c r="AK244" i="1"/>
  <c r="AJ245" i="1"/>
  <c r="AK245" i="1"/>
  <c r="AJ246" i="1"/>
  <c r="AK246" i="1"/>
  <c r="AJ247" i="1"/>
  <c r="AK247" i="1"/>
  <c r="AJ248" i="1"/>
  <c r="AK248" i="1"/>
  <c r="AJ249" i="1"/>
  <c r="AK249" i="1"/>
  <c r="AJ250" i="1"/>
  <c r="AK250" i="1"/>
  <c r="AJ251" i="1"/>
  <c r="AK251" i="1"/>
  <c r="AJ252" i="1"/>
  <c r="AK252" i="1"/>
  <c r="AJ253" i="1"/>
  <c r="AK253" i="1"/>
  <c r="AJ254" i="1"/>
  <c r="AK254" i="1"/>
  <c r="AJ255" i="1"/>
  <c r="AK255" i="1"/>
  <c r="AJ256" i="1"/>
  <c r="AK256" i="1"/>
  <c r="AJ257" i="1"/>
  <c r="AK257" i="1"/>
  <c r="AJ258" i="1"/>
  <c r="AK258" i="1"/>
  <c r="AJ259" i="1"/>
  <c r="AK259" i="1"/>
  <c r="AJ260" i="1"/>
  <c r="AK260" i="1"/>
  <c r="AJ261" i="1"/>
  <c r="AK261" i="1"/>
  <c r="AJ262" i="1"/>
  <c r="AK262" i="1"/>
  <c r="AJ263" i="1"/>
  <c r="AK263" i="1"/>
  <c r="AJ264" i="1"/>
  <c r="AK264" i="1"/>
  <c r="AJ265" i="1"/>
  <c r="AK265" i="1"/>
  <c r="AJ266" i="1"/>
  <c r="AK266" i="1"/>
  <c r="AJ267" i="1"/>
  <c r="AK267" i="1"/>
  <c r="AJ268" i="1"/>
  <c r="AK268" i="1"/>
  <c r="AJ269" i="1"/>
  <c r="AK269" i="1"/>
  <c r="AJ270" i="1"/>
  <c r="AK270" i="1"/>
  <c r="AJ271" i="1"/>
  <c r="AK271" i="1"/>
  <c r="AJ272" i="1"/>
  <c r="AK272" i="1"/>
  <c r="AJ273" i="1"/>
  <c r="AK273" i="1"/>
  <c r="AJ274" i="1"/>
  <c r="AK274" i="1"/>
  <c r="AJ275" i="1"/>
  <c r="AK275" i="1"/>
  <c r="AJ276" i="1"/>
  <c r="AK276" i="1"/>
  <c r="AJ277" i="1"/>
  <c r="AK277" i="1"/>
  <c r="AJ278" i="1"/>
  <c r="AK278" i="1"/>
  <c r="AJ279" i="1"/>
  <c r="AK279" i="1"/>
  <c r="AJ280" i="1"/>
  <c r="AK280" i="1"/>
  <c r="AJ281" i="1"/>
  <c r="AK281" i="1"/>
  <c r="AJ282" i="1"/>
  <c r="AK282" i="1"/>
  <c r="AJ283" i="1"/>
  <c r="AK283" i="1"/>
  <c r="AJ284" i="1"/>
  <c r="AK284" i="1"/>
  <c r="AJ285" i="1"/>
  <c r="AK285" i="1"/>
  <c r="AJ286" i="1"/>
  <c r="AK286" i="1"/>
  <c r="AJ287" i="1"/>
  <c r="AK287" i="1"/>
  <c r="AJ288" i="1"/>
  <c r="AK288" i="1"/>
  <c r="AJ289" i="1"/>
  <c r="AK289" i="1"/>
  <c r="AJ290" i="1"/>
  <c r="AK290" i="1"/>
  <c r="AJ291" i="1"/>
  <c r="AK291" i="1"/>
  <c r="AJ292" i="1"/>
  <c r="AK292" i="1"/>
  <c r="AJ293" i="1"/>
  <c r="AK293" i="1"/>
  <c r="AJ294" i="1"/>
  <c r="AK294" i="1"/>
  <c r="AJ295" i="1"/>
  <c r="AK295" i="1"/>
  <c r="AJ296" i="1"/>
  <c r="AK296" i="1"/>
  <c r="AJ297" i="1"/>
  <c r="AK297" i="1"/>
  <c r="AJ298" i="1"/>
  <c r="AK298" i="1"/>
  <c r="AJ299" i="1"/>
  <c r="AK299" i="1"/>
  <c r="AJ300" i="1"/>
  <c r="AK300" i="1"/>
  <c r="AJ301" i="1"/>
  <c r="AK301" i="1"/>
  <c r="AJ302" i="1"/>
  <c r="AK302" i="1"/>
  <c r="AJ303" i="1"/>
  <c r="AK303" i="1"/>
  <c r="AJ304" i="1"/>
  <c r="AK304" i="1"/>
  <c r="AJ305" i="1"/>
  <c r="AK305" i="1"/>
  <c r="AJ306" i="1"/>
  <c r="AK306" i="1"/>
  <c r="AJ307" i="1"/>
  <c r="AK307" i="1"/>
  <c r="AJ308" i="1"/>
  <c r="AK308" i="1"/>
  <c r="AJ309" i="1"/>
  <c r="AK309" i="1"/>
  <c r="AJ310" i="1"/>
  <c r="AK310" i="1"/>
  <c r="AJ311" i="1"/>
  <c r="AK311" i="1"/>
  <c r="AJ312" i="1"/>
  <c r="AK312" i="1"/>
  <c r="AJ313" i="1"/>
  <c r="AK313" i="1"/>
  <c r="AJ314" i="1"/>
  <c r="AK314" i="1"/>
  <c r="AJ315" i="1"/>
  <c r="AK315" i="1"/>
  <c r="AJ316" i="1"/>
  <c r="AK316" i="1"/>
  <c r="AJ317" i="1"/>
  <c r="AK317" i="1"/>
  <c r="AJ318" i="1"/>
  <c r="AK318" i="1"/>
  <c r="AJ319" i="1"/>
  <c r="AK319" i="1"/>
  <c r="AJ320" i="1"/>
  <c r="AK320" i="1"/>
  <c r="AJ321" i="1"/>
  <c r="AK321" i="1"/>
  <c r="AJ322" i="1"/>
  <c r="AK322" i="1"/>
  <c r="AJ323" i="1"/>
  <c r="AK323" i="1"/>
  <c r="AJ324" i="1"/>
  <c r="AK324" i="1"/>
  <c r="AJ325" i="1"/>
  <c r="AK325" i="1"/>
  <c r="AJ326" i="1"/>
  <c r="AK326" i="1"/>
  <c r="AJ327" i="1"/>
  <c r="AK327" i="1"/>
  <c r="AJ328" i="1"/>
  <c r="AK328" i="1"/>
  <c r="AJ329" i="1"/>
  <c r="AK329" i="1"/>
  <c r="AJ330" i="1"/>
  <c r="AK330" i="1"/>
  <c r="AJ331" i="1"/>
  <c r="AK331" i="1"/>
  <c r="AJ332" i="1"/>
  <c r="AK332" i="1"/>
  <c r="AJ333" i="1"/>
  <c r="AK333" i="1"/>
  <c r="AJ334" i="1"/>
  <c r="AK334" i="1"/>
  <c r="AJ335" i="1"/>
  <c r="AK335" i="1"/>
  <c r="AJ336" i="1"/>
  <c r="AK336" i="1"/>
  <c r="AJ337" i="1"/>
  <c r="AK337" i="1"/>
  <c r="AJ338" i="1"/>
  <c r="AK338" i="1"/>
  <c r="AJ339" i="1"/>
  <c r="AK339" i="1"/>
  <c r="AJ340" i="1"/>
  <c r="AK340" i="1"/>
  <c r="AJ341" i="1"/>
  <c r="AK341" i="1"/>
  <c r="AJ342" i="1"/>
  <c r="AK342" i="1"/>
  <c r="AJ343" i="1"/>
  <c r="AK343" i="1"/>
  <c r="AJ344" i="1"/>
  <c r="AK344" i="1"/>
  <c r="AJ345" i="1"/>
  <c r="AK345" i="1"/>
  <c r="AJ346" i="1"/>
  <c r="AK346" i="1"/>
  <c r="AJ347" i="1"/>
  <c r="AK347" i="1"/>
  <c r="AJ348" i="1"/>
  <c r="AK348" i="1"/>
  <c r="AJ349" i="1"/>
  <c r="AK349" i="1"/>
  <c r="AJ350" i="1"/>
  <c r="AK350" i="1"/>
  <c r="AJ351" i="1"/>
  <c r="AK351" i="1"/>
  <c r="AJ352" i="1"/>
  <c r="AK352" i="1"/>
  <c r="AJ353" i="1"/>
  <c r="AK353" i="1"/>
  <c r="AJ354" i="1"/>
  <c r="AK354" i="1"/>
  <c r="AJ355" i="1"/>
  <c r="AK355" i="1"/>
  <c r="AJ356" i="1"/>
  <c r="AK356" i="1"/>
  <c r="AJ357" i="1"/>
  <c r="AK357" i="1"/>
  <c r="AJ358" i="1"/>
  <c r="AK358" i="1"/>
  <c r="AJ359" i="1"/>
  <c r="AK359" i="1"/>
  <c r="AJ360" i="1"/>
  <c r="AK360" i="1"/>
  <c r="AJ361" i="1"/>
  <c r="AK361" i="1"/>
  <c r="AJ362" i="1"/>
  <c r="AK362" i="1"/>
  <c r="AJ363" i="1"/>
  <c r="AK363" i="1"/>
  <c r="AJ364" i="1"/>
  <c r="AK364" i="1"/>
  <c r="AJ365" i="1"/>
  <c r="AK365" i="1"/>
  <c r="AJ366" i="1"/>
  <c r="AK366" i="1"/>
  <c r="AJ367" i="1"/>
  <c r="AK367" i="1"/>
  <c r="AJ368" i="1"/>
  <c r="AK368" i="1"/>
  <c r="AJ369" i="1"/>
  <c r="AK369" i="1"/>
  <c r="AJ370" i="1"/>
  <c r="AK370" i="1"/>
  <c r="AJ371" i="1"/>
  <c r="AK371" i="1"/>
  <c r="AJ372" i="1"/>
  <c r="AK372" i="1"/>
  <c r="AJ373" i="1"/>
  <c r="AK373" i="1"/>
  <c r="AJ374" i="1"/>
  <c r="AK374" i="1"/>
  <c r="AJ375" i="1"/>
  <c r="AK375" i="1"/>
  <c r="AJ376" i="1"/>
  <c r="AK376" i="1"/>
  <c r="AJ377" i="1"/>
  <c r="AK377" i="1"/>
  <c r="AJ378" i="1"/>
  <c r="AK378" i="1"/>
  <c r="AJ379" i="1"/>
  <c r="AK379" i="1"/>
  <c r="AJ380" i="1"/>
  <c r="AK380" i="1"/>
  <c r="AJ381" i="1"/>
  <c r="AK381" i="1"/>
  <c r="AJ382" i="1"/>
  <c r="AK382" i="1"/>
  <c r="AJ383" i="1"/>
  <c r="AK383" i="1"/>
  <c r="AJ384" i="1"/>
  <c r="AK384" i="1"/>
  <c r="AJ385" i="1"/>
  <c r="AK385" i="1"/>
  <c r="AJ386" i="1"/>
  <c r="AK386" i="1"/>
  <c r="AJ387" i="1"/>
  <c r="AK387" i="1"/>
  <c r="AJ388" i="1"/>
  <c r="AK388" i="1"/>
  <c r="AJ389" i="1"/>
  <c r="AK389" i="1"/>
  <c r="AJ390" i="1"/>
  <c r="AK390" i="1"/>
  <c r="AJ391" i="1"/>
  <c r="AK391" i="1"/>
  <c r="AJ392" i="1"/>
  <c r="AK392" i="1"/>
  <c r="AJ393" i="1"/>
  <c r="AK393" i="1"/>
  <c r="AJ394" i="1"/>
  <c r="AK394" i="1"/>
  <c r="AJ395" i="1"/>
  <c r="AK395" i="1"/>
  <c r="AJ396" i="1"/>
  <c r="AK396" i="1"/>
  <c r="AJ397" i="1"/>
  <c r="AK397" i="1"/>
  <c r="AJ398" i="1"/>
  <c r="AK398" i="1"/>
  <c r="AJ399" i="1"/>
  <c r="AK399" i="1"/>
  <c r="AJ400" i="1"/>
  <c r="AK400" i="1"/>
  <c r="AJ401" i="1"/>
  <c r="AK401" i="1"/>
  <c r="AJ402" i="1"/>
  <c r="AK402" i="1"/>
  <c r="AJ403" i="1"/>
  <c r="AK403" i="1"/>
  <c r="AJ404" i="1"/>
  <c r="AK404" i="1"/>
  <c r="AJ405" i="1"/>
  <c r="AK405" i="1"/>
  <c r="AJ406" i="1"/>
  <c r="AK406" i="1"/>
  <c r="AJ407" i="1"/>
  <c r="AK407" i="1"/>
  <c r="AJ408" i="1"/>
  <c r="AK408" i="1"/>
  <c r="AJ409" i="1"/>
  <c r="AK409" i="1"/>
  <c r="AJ410" i="1"/>
  <c r="AK410" i="1"/>
  <c r="AJ411" i="1"/>
  <c r="AK411" i="1"/>
  <c r="AJ412" i="1"/>
  <c r="AK412" i="1"/>
  <c r="AJ413" i="1"/>
  <c r="AK413" i="1"/>
  <c r="AJ414" i="1"/>
  <c r="AK414" i="1"/>
  <c r="AJ415" i="1"/>
  <c r="AK415" i="1"/>
  <c r="AJ416" i="1"/>
  <c r="AK416" i="1"/>
  <c r="AJ417" i="1"/>
  <c r="AK417" i="1"/>
  <c r="AJ418" i="1"/>
  <c r="AK418" i="1"/>
  <c r="AJ419" i="1"/>
  <c r="AK419" i="1"/>
  <c r="AJ420" i="1"/>
  <c r="AK420" i="1"/>
  <c r="AJ421" i="1"/>
  <c r="AK421" i="1"/>
  <c r="AJ422" i="1"/>
  <c r="AK422" i="1"/>
  <c r="AJ423" i="1"/>
  <c r="AK423" i="1"/>
  <c r="AJ424" i="1"/>
  <c r="AK424" i="1"/>
  <c r="AJ425" i="1"/>
  <c r="AK425" i="1"/>
  <c r="AJ426" i="1"/>
  <c r="AK426" i="1"/>
  <c r="AJ427" i="1"/>
  <c r="AK427" i="1"/>
  <c r="AJ428" i="1"/>
  <c r="AK428" i="1"/>
  <c r="AJ429" i="1"/>
  <c r="AK429" i="1"/>
  <c r="AJ430" i="1"/>
  <c r="AK430" i="1"/>
  <c r="AJ431" i="1"/>
  <c r="AK431" i="1"/>
  <c r="AJ432" i="1"/>
  <c r="AK432" i="1"/>
  <c r="AJ433" i="1"/>
  <c r="AK433" i="1"/>
  <c r="AJ434" i="1"/>
  <c r="AK434" i="1"/>
  <c r="AJ435" i="1"/>
  <c r="AK435" i="1"/>
  <c r="AJ436" i="1"/>
  <c r="AK436" i="1"/>
  <c r="AJ437" i="1"/>
  <c r="AK437" i="1"/>
  <c r="AJ438" i="1"/>
  <c r="AK438" i="1"/>
  <c r="AJ439" i="1"/>
  <c r="AK439" i="1"/>
  <c r="AJ440" i="1"/>
  <c r="AK440" i="1"/>
  <c r="AJ441" i="1"/>
  <c r="AK441" i="1"/>
  <c r="AJ442" i="1"/>
  <c r="AK442" i="1"/>
  <c r="AJ443" i="1"/>
  <c r="AK443" i="1"/>
  <c r="AJ444" i="1"/>
  <c r="AK444" i="1"/>
  <c r="AJ445" i="1"/>
  <c r="AK445" i="1"/>
  <c r="AJ446" i="1"/>
  <c r="AK446" i="1"/>
  <c r="AJ447" i="1"/>
  <c r="AK447" i="1"/>
  <c r="AJ448" i="1"/>
  <c r="AK448" i="1"/>
  <c r="AJ449" i="1"/>
  <c r="AK449" i="1"/>
  <c r="AJ450" i="1"/>
  <c r="AK450" i="1"/>
  <c r="AJ451" i="1"/>
  <c r="AK451" i="1"/>
  <c r="AJ452" i="1"/>
  <c r="AK452" i="1"/>
  <c r="AJ453" i="1"/>
  <c r="AK453" i="1"/>
  <c r="AJ454" i="1"/>
  <c r="AK454" i="1"/>
  <c r="AJ455" i="1"/>
  <c r="AK455" i="1"/>
  <c r="AJ456" i="1"/>
  <c r="AK456" i="1"/>
  <c r="AJ457" i="1"/>
  <c r="AK457" i="1"/>
  <c r="AJ458" i="1"/>
  <c r="AK458" i="1"/>
  <c r="AJ459" i="1"/>
  <c r="AK459" i="1"/>
  <c r="AJ460" i="1"/>
  <c r="AK460" i="1"/>
  <c r="AJ461" i="1"/>
  <c r="AK461" i="1"/>
  <c r="AJ462" i="1"/>
  <c r="AK462" i="1"/>
  <c r="AJ463" i="1"/>
  <c r="AK463" i="1"/>
  <c r="AJ464" i="1"/>
  <c r="AK464" i="1"/>
  <c r="AJ465" i="1"/>
  <c r="AK465" i="1"/>
  <c r="AJ466" i="1"/>
  <c r="AK466" i="1"/>
  <c r="AJ467" i="1"/>
  <c r="AK467" i="1"/>
  <c r="AJ468" i="1"/>
  <c r="AK468" i="1"/>
  <c r="AJ469" i="1"/>
  <c r="AK469" i="1"/>
  <c r="AJ470" i="1"/>
  <c r="AK470" i="1"/>
  <c r="AJ471" i="1"/>
  <c r="AK471" i="1"/>
  <c r="AJ472" i="1"/>
  <c r="AK472" i="1"/>
  <c r="AJ473" i="1"/>
  <c r="AK473" i="1"/>
  <c r="AJ474" i="1"/>
  <c r="AK474" i="1"/>
  <c r="AJ475" i="1"/>
  <c r="AK475" i="1"/>
  <c r="AJ476" i="1"/>
  <c r="AK476" i="1"/>
  <c r="AJ477" i="1"/>
  <c r="AK477" i="1"/>
  <c r="AJ478" i="1"/>
  <c r="AK478" i="1"/>
  <c r="AJ479" i="1"/>
  <c r="AK479" i="1"/>
  <c r="AJ480" i="1"/>
  <c r="AK480" i="1"/>
  <c r="AJ481" i="1"/>
  <c r="AK481" i="1"/>
  <c r="AJ482" i="1"/>
  <c r="AK482" i="1"/>
  <c r="AJ483" i="1"/>
  <c r="AK483" i="1"/>
  <c r="AJ484" i="1"/>
  <c r="AK484" i="1"/>
  <c r="AJ485" i="1"/>
  <c r="AK485" i="1"/>
  <c r="AJ486" i="1"/>
  <c r="AK486" i="1"/>
  <c r="AJ487" i="1"/>
  <c r="AK487" i="1"/>
  <c r="AJ488" i="1"/>
  <c r="AK488" i="1"/>
  <c r="AJ489" i="1"/>
  <c r="AK489" i="1"/>
  <c r="AJ490" i="1"/>
  <c r="AK490" i="1"/>
  <c r="AJ491" i="1"/>
  <c r="AK491" i="1"/>
  <c r="AJ492" i="1"/>
  <c r="AK492" i="1"/>
  <c r="AJ493" i="1"/>
  <c r="AK493" i="1"/>
  <c r="AJ494" i="1"/>
  <c r="AK494" i="1"/>
  <c r="AJ495" i="1"/>
  <c r="AK495" i="1"/>
  <c r="AJ496" i="1"/>
  <c r="AK496" i="1"/>
  <c r="AJ497" i="1"/>
  <c r="AK497" i="1"/>
  <c r="AJ498" i="1"/>
  <c r="AK498" i="1"/>
  <c r="AJ499" i="1"/>
  <c r="AK499" i="1"/>
  <c r="AJ500" i="1"/>
  <c r="AK500" i="1"/>
  <c r="AJ501" i="1"/>
  <c r="AK501" i="1"/>
  <c r="AJ502" i="1"/>
  <c r="AK502" i="1"/>
  <c r="AJ503" i="1"/>
  <c r="AK503" i="1"/>
  <c r="AJ504" i="1"/>
  <c r="AK504" i="1"/>
  <c r="AJ505" i="1"/>
  <c r="AK505" i="1"/>
  <c r="AJ506" i="1"/>
  <c r="AK506" i="1"/>
  <c r="AJ507" i="1"/>
  <c r="AK507" i="1"/>
  <c r="AJ508" i="1"/>
  <c r="AK508" i="1"/>
  <c r="AJ509" i="1"/>
  <c r="AK509" i="1"/>
  <c r="AJ510" i="1"/>
  <c r="AK510" i="1"/>
  <c r="AJ511" i="1"/>
  <c r="AK511" i="1"/>
  <c r="AJ512" i="1"/>
  <c r="AK512" i="1"/>
  <c r="AJ513" i="1"/>
  <c r="AK513" i="1"/>
  <c r="AJ514" i="1"/>
  <c r="AK514" i="1"/>
  <c r="AJ515" i="1"/>
  <c r="AK515" i="1"/>
  <c r="AJ516" i="1"/>
  <c r="AK516" i="1"/>
  <c r="AJ517" i="1"/>
  <c r="AK517" i="1"/>
  <c r="AJ518" i="1"/>
  <c r="AK518" i="1"/>
  <c r="AJ519" i="1"/>
  <c r="AK519" i="1"/>
  <c r="AJ520" i="1"/>
  <c r="AK520" i="1"/>
  <c r="AJ521" i="1"/>
  <c r="AK521" i="1"/>
  <c r="AJ522" i="1"/>
  <c r="AK522" i="1"/>
  <c r="AJ523" i="1"/>
  <c r="AK523" i="1"/>
  <c r="AJ524" i="1"/>
  <c r="AK524" i="1"/>
  <c r="AJ525" i="1"/>
  <c r="AK525" i="1"/>
  <c r="AJ526" i="1"/>
  <c r="AK526" i="1"/>
  <c r="AJ527" i="1"/>
  <c r="AK527" i="1"/>
  <c r="AJ528" i="1"/>
  <c r="AK528" i="1"/>
  <c r="AJ529" i="1"/>
  <c r="AK529" i="1"/>
  <c r="AJ530" i="1"/>
  <c r="AK530" i="1"/>
  <c r="AJ531" i="1"/>
  <c r="AK531" i="1"/>
  <c r="AJ532" i="1"/>
  <c r="AK532" i="1"/>
  <c r="AJ533" i="1"/>
  <c r="AK533" i="1"/>
  <c r="AJ534" i="1"/>
  <c r="AK534" i="1"/>
  <c r="AJ535" i="1"/>
  <c r="AK535" i="1"/>
  <c r="AJ536" i="1"/>
  <c r="AK536" i="1"/>
  <c r="AJ537" i="1"/>
  <c r="AK537" i="1"/>
  <c r="AJ538" i="1"/>
  <c r="AK538" i="1"/>
  <c r="AJ539" i="1"/>
  <c r="AK539" i="1"/>
  <c r="AJ540" i="1"/>
  <c r="AK540" i="1"/>
  <c r="AJ541" i="1"/>
  <c r="AK541" i="1"/>
  <c r="AJ542" i="1"/>
  <c r="AK542" i="1"/>
  <c r="AJ543" i="1"/>
  <c r="AK543" i="1"/>
  <c r="AJ544" i="1"/>
  <c r="AK544" i="1"/>
  <c r="AJ545" i="1"/>
  <c r="AK545" i="1"/>
  <c r="AJ546" i="1"/>
  <c r="AK546" i="1"/>
  <c r="AJ547" i="1"/>
  <c r="AK547" i="1"/>
  <c r="AJ548" i="1"/>
  <c r="AK548" i="1"/>
  <c r="AJ549" i="1"/>
  <c r="AK549" i="1"/>
  <c r="AJ550" i="1"/>
  <c r="AK550" i="1"/>
  <c r="AJ551" i="1"/>
  <c r="AK551" i="1"/>
  <c r="AJ552" i="1"/>
  <c r="AK552" i="1"/>
  <c r="AJ554" i="1"/>
  <c r="AK554" i="1"/>
  <c r="AJ555" i="1"/>
  <c r="AK555" i="1"/>
  <c r="AJ556" i="1"/>
  <c r="AK556" i="1"/>
  <c r="AJ557" i="1"/>
  <c r="AK557" i="1"/>
  <c r="AJ558" i="1"/>
  <c r="AK558" i="1"/>
  <c r="AJ559" i="1"/>
  <c r="AK559" i="1"/>
  <c r="AJ560" i="1"/>
  <c r="AK560" i="1"/>
  <c r="AJ561" i="1"/>
  <c r="AK561" i="1"/>
  <c r="AJ562" i="1"/>
  <c r="AK562" i="1"/>
  <c r="AJ563" i="1"/>
  <c r="AK563" i="1"/>
  <c r="AJ564" i="1"/>
  <c r="AK564" i="1"/>
  <c r="AJ565" i="1"/>
  <c r="AK565" i="1"/>
  <c r="AJ566" i="1"/>
  <c r="AK566" i="1"/>
  <c r="AJ567" i="1"/>
  <c r="AK567" i="1"/>
  <c r="AJ568" i="1"/>
  <c r="AK568" i="1"/>
  <c r="AJ569" i="1"/>
  <c r="AK569" i="1"/>
  <c r="AJ570" i="1"/>
  <c r="AK570" i="1"/>
  <c r="AJ571" i="1"/>
  <c r="AK571" i="1"/>
  <c r="AJ572" i="1"/>
  <c r="AK572" i="1"/>
  <c r="AJ573" i="1"/>
  <c r="AK573" i="1"/>
  <c r="AJ574" i="1"/>
  <c r="AK574" i="1"/>
  <c r="AJ575" i="1"/>
  <c r="AK575" i="1"/>
  <c r="AJ576" i="1"/>
  <c r="AK576" i="1"/>
  <c r="AJ577" i="1"/>
  <c r="AK577" i="1"/>
  <c r="AJ578" i="1"/>
  <c r="AK578" i="1"/>
  <c r="AJ579" i="1"/>
  <c r="AK579" i="1"/>
  <c r="AJ580" i="1"/>
  <c r="AK580" i="1"/>
  <c r="AJ581" i="1"/>
  <c r="AK581" i="1"/>
  <c r="AJ582" i="1"/>
  <c r="AK582" i="1"/>
  <c r="AJ583" i="1"/>
  <c r="AK583" i="1"/>
  <c r="AJ584" i="1"/>
  <c r="AK584" i="1"/>
  <c r="AJ585" i="1"/>
  <c r="AK585" i="1"/>
  <c r="AJ586" i="1"/>
  <c r="AK586" i="1"/>
  <c r="AJ587" i="1"/>
  <c r="AK587" i="1"/>
  <c r="AJ588" i="1"/>
  <c r="AK588" i="1"/>
  <c r="AJ589" i="1"/>
  <c r="AK589" i="1"/>
  <c r="AJ590" i="1"/>
  <c r="AK590" i="1"/>
  <c r="AJ591" i="1"/>
  <c r="AK591" i="1"/>
  <c r="AJ592" i="1"/>
  <c r="AK592" i="1"/>
  <c r="AJ593" i="1"/>
  <c r="AK593" i="1"/>
  <c r="AJ594" i="1"/>
  <c r="AK594" i="1"/>
  <c r="AJ595" i="1"/>
  <c r="AK595" i="1"/>
  <c r="AJ596" i="1"/>
  <c r="AK596" i="1"/>
  <c r="AJ597" i="1"/>
  <c r="AK597" i="1"/>
  <c r="AJ598" i="1"/>
  <c r="AK598" i="1"/>
  <c r="AJ599" i="1"/>
  <c r="AK599" i="1"/>
  <c r="AJ600" i="1"/>
  <c r="AK600" i="1"/>
  <c r="AJ601" i="1"/>
  <c r="AK601" i="1"/>
  <c r="AJ602" i="1"/>
  <c r="AK602" i="1"/>
  <c r="AJ603" i="1"/>
  <c r="AK603" i="1"/>
  <c r="AJ604" i="1"/>
  <c r="AK604" i="1"/>
  <c r="AJ605" i="1"/>
  <c r="AK605" i="1"/>
  <c r="AJ606" i="1"/>
  <c r="AK606" i="1"/>
  <c r="AJ607" i="1"/>
  <c r="AK607" i="1"/>
  <c r="AJ608" i="1"/>
  <c r="AK608" i="1"/>
  <c r="AJ609" i="1"/>
  <c r="AK609" i="1"/>
  <c r="AJ610" i="1"/>
  <c r="AK610" i="1"/>
  <c r="AJ611" i="1"/>
  <c r="AK611" i="1"/>
  <c r="AJ612" i="1"/>
  <c r="AK612" i="1"/>
  <c r="AJ613" i="1"/>
  <c r="AK613" i="1"/>
  <c r="AJ614" i="1"/>
  <c r="AK614" i="1"/>
  <c r="AJ615" i="1"/>
  <c r="AK615" i="1"/>
  <c r="AJ616" i="1"/>
  <c r="AK616" i="1"/>
  <c r="AJ617" i="1"/>
  <c r="AK617" i="1"/>
  <c r="AJ618" i="1"/>
  <c r="AK618" i="1"/>
  <c r="AJ619" i="1"/>
  <c r="AK619" i="1"/>
  <c r="AJ620" i="1"/>
  <c r="AK620" i="1"/>
  <c r="AJ621" i="1"/>
  <c r="AK621" i="1"/>
  <c r="AJ622" i="1"/>
  <c r="AK622" i="1"/>
  <c r="AJ623" i="1"/>
  <c r="AK623" i="1"/>
  <c r="AJ624" i="1"/>
  <c r="AK624" i="1"/>
  <c r="AJ625" i="1"/>
  <c r="AK625" i="1"/>
  <c r="AJ626" i="1"/>
  <c r="AK626" i="1"/>
  <c r="AJ627" i="1"/>
  <c r="AK627" i="1"/>
  <c r="AJ628" i="1"/>
  <c r="AK628" i="1"/>
  <c r="AJ629" i="1"/>
  <c r="AK629" i="1"/>
  <c r="AJ630" i="1"/>
  <c r="AK630" i="1"/>
  <c r="AJ631" i="1"/>
  <c r="AK631" i="1"/>
  <c r="AJ632" i="1"/>
  <c r="AK632" i="1"/>
  <c r="AJ633" i="1"/>
  <c r="AK633" i="1"/>
  <c r="AJ634" i="1"/>
  <c r="AK634" i="1"/>
  <c r="AJ635" i="1"/>
  <c r="AK635" i="1"/>
  <c r="AJ636" i="1"/>
  <c r="AK636" i="1"/>
  <c r="AJ637" i="1"/>
  <c r="AK637" i="1"/>
  <c r="AJ638" i="1"/>
  <c r="AK638" i="1"/>
  <c r="AJ639" i="1"/>
  <c r="AK639" i="1"/>
  <c r="AJ640" i="1"/>
  <c r="AK640" i="1"/>
  <c r="AJ641" i="1"/>
  <c r="AK641" i="1"/>
  <c r="AJ642" i="1"/>
  <c r="AK642" i="1"/>
  <c r="AJ643" i="1"/>
  <c r="AK643" i="1"/>
  <c r="AJ644" i="1"/>
  <c r="AK644" i="1"/>
  <c r="AJ645" i="1"/>
  <c r="AK645" i="1"/>
  <c r="AJ646" i="1"/>
  <c r="AK646" i="1"/>
  <c r="AJ647" i="1"/>
  <c r="AK647" i="1"/>
  <c r="AJ648" i="1"/>
  <c r="AK648" i="1"/>
  <c r="AJ649" i="1"/>
  <c r="AK649" i="1"/>
  <c r="AJ650" i="1"/>
  <c r="AK650" i="1"/>
  <c r="AJ651" i="1"/>
  <c r="AK651" i="1"/>
  <c r="AJ652" i="1"/>
  <c r="AK652" i="1"/>
  <c r="AJ653" i="1"/>
  <c r="AK653" i="1"/>
  <c r="AJ654" i="1"/>
  <c r="AK654" i="1"/>
  <c r="AJ655" i="1"/>
  <c r="AK655" i="1"/>
  <c r="AJ656" i="1"/>
  <c r="AK656" i="1"/>
  <c r="AJ657" i="1"/>
  <c r="AK657" i="1"/>
  <c r="AJ658" i="1"/>
  <c r="AK658" i="1"/>
  <c r="AJ659" i="1"/>
  <c r="AK659" i="1"/>
  <c r="AJ660" i="1"/>
  <c r="AK660" i="1"/>
  <c r="AJ661" i="1"/>
  <c r="AK661" i="1"/>
  <c r="AJ662" i="1"/>
  <c r="AK662" i="1"/>
  <c r="AJ663" i="1"/>
  <c r="AK663" i="1"/>
  <c r="AJ664" i="1"/>
  <c r="AK664" i="1"/>
  <c r="AJ665" i="1"/>
  <c r="AK665" i="1"/>
  <c r="AJ666" i="1"/>
  <c r="AK666" i="1"/>
  <c r="AJ667" i="1"/>
  <c r="AK667" i="1"/>
  <c r="AJ668" i="1"/>
  <c r="AK668" i="1"/>
  <c r="AJ669" i="1"/>
  <c r="AK669" i="1"/>
  <c r="AJ670" i="1"/>
  <c r="AK670" i="1"/>
  <c r="AJ671" i="1"/>
  <c r="AK671" i="1"/>
  <c r="AJ672" i="1"/>
  <c r="AK672" i="1"/>
  <c r="AJ673" i="1"/>
  <c r="AK673" i="1"/>
  <c r="AJ674" i="1"/>
  <c r="AK674" i="1"/>
  <c r="AJ675" i="1"/>
  <c r="AK675" i="1"/>
  <c r="AJ676" i="1"/>
  <c r="AK676" i="1"/>
  <c r="AJ677" i="1"/>
  <c r="AK677" i="1"/>
  <c r="AJ678" i="1"/>
  <c r="AK678" i="1"/>
  <c r="AJ679" i="1"/>
  <c r="AK679" i="1"/>
  <c r="AJ680" i="1"/>
  <c r="AK680" i="1"/>
  <c r="AJ681" i="1"/>
  <c r="AK681" i="1"/>
  <c r="AJ682" i="1"/>
  <c r="AK682" i="1"/>
  <c r="AJ683" i="1"/>
  <c r="AK683" i="1"/>
  <c r="AJ684" i="1"/>
  <c r="AK684" i="1"/>
  <c r="AJ685" i="1"/>
  <c r="AK685" i="1"/>
  <c r="AJ686" i="1"/>
  <c r="AK686" i="1"/>
  <c r="AJ687" i="1"/>
  <c r="AK687" i="1"/>
  <c r="AJ688" i="1"/>
  <c r="AK688" i="1"/>
  <c r="AJ689" i="1"/>
  <c r="AK689" i="1"/>
  <c r="AJ690" i="1"/>
  <c r="AK690" i="1"/>
  <c r="AJ691" i="1"/>
  <c r="AK691" i="1"/>
  <c r="AJ692" i="1"/>
  <c r="AK692" i="1"/>
  <c r="AJ693" i="1"/>
  <c r="AK693" i="1"/>
  <c r="AJ694" i="1"/>
  <c r="AK694" i="1"/>
  <c r="AJ695" i="1"/>
  <c r="AK695" i="1"/>
  <c r="AJ696" i="1"/>
  <c r="AK696" i="1"/>
  <c r="AJ697" i="1"/>
  <c r="AK697" i="1"/>
  <c r="AJ698" i="1"/>
  <c r="AK698" i="1"/>
  <c r="AJ699" i="1"/>
  <c r="AK699" i="1"/>
  <c r="AJ700" i="1"/>
  <c r="AK700" i="1"/>
  <c r="AJ701" i="1"/>
  <c r="AK701" i="1"/>
  <c r="AJ702" i="1"/>
  <c r="AK702" i="1"/>
  <c r="AJ703" i="1"/>
  <c r="AK703" i="1"/>
  <c r="AJ704" i="1"/>
  <c r="AK704" i="1"/>
  <c r="AJ705" i="1"/>
  <c r="AK705" i="1"/>
  <c r="AJ706" i="1"/>
  <c r="AK706" i="1"/>
  <c r="AJ707" i="1"/>
  <c r="AK707" i="1"/>
  <c r="AJ708" i="1"/>
  <c r="AK708" i="1"/>
  <c r="AJ709" i="1"/>
  <c r="AK709" i="1"/>
  <c r="AJ710" i="1"/>
  <c r="AK710" i="1"/>
  <c r="AJ711" i="1"/>
  <c r="AK711" i="1"/>
  <c r="AJ712" i="1"/>
  <c r="AK712" i="1"/>
  <c r="AJ713" i="1"/>
  <c r="AK713" i="1"/>
  <c r="AJ714" i="1"/>
  <c r="AK714" i="1"/>
  <c r="AJ715" i="1"/>
  <c r="AK715" i="1"/>
  <c r="AJ716" i="1"/>
  <c r="AK716" i="1"/>
  <c r="AJ717" i="1"/>
  <c r="AK717" i="1"/>
  <c r="AJ718" i="1"/>
  <c r="AK718" i="1"/>
  <c r="AJ719" i="1"/>
  <c r="AK719" i="1"/>
  <c r="AJ720" i="1"/>
  <c r="AK720" i="1"/>
  <c r="AJ721" i="1"/>
  <c r="AK721" i="1"/>
  <c r="AJ722" i="1"/>
  <c r="AK722" i="1"/>
  <c r="AJ723" i="1"/>
  <c r="AK723" i="1"/>
  <c r="AJ724" i="1"/>
  <c r="AK724" i="1"/>
  <c r="AJ725" i="1"/>
  <c r="AK725" i="1"/>
  <c r="AJ726" i="1"/>
  <c r="AK726" i="1"/>
  <c r="AJ727" i="1"/>
  <c r="AK727" i="1"/>
  <c r="AJ728" i="1"/>
  <c r="AK728" i="1"/>
  <c r="AJ729" i="1"/>
  <c r="AK729" i="1"/>
  <c r="AJ730" i="1"/>
  <c r="AK730" i="1"/>
  <c r="AJ731" i="1"/>
  <c r="AK731" i="1"/>
  <c r="AJ732" i="1"/>
  <c r="AK732" i="1"/>
  <c r="AJ733" i="1"/>
  <c r="AK733" i="1"/>
  <c r="AJ734" i="1"/>
  <c r="AK734" i="1"/>
  <c r="AJ735" i="1"/>
  <c r="AK735" i="1"/>
  <c r="AJ736" i="1"/>
  <c r="AK736" i="1"/>
  <c r="AJ737" i="1"/>
  <c r="AK737" i="1"/>
  <c r="AJ738" i="1"/>
  <c r="AK738" i="1"/>
  <c r="AJ739" i="1"/>
  <c r="AK739" i="1"/>
  <c r="AJ740" i="1"/>
  <c r="AK740" i="1"/>
  <c r="AJ741" i="1"/>
  <c r="AK741" i="1"/>
  <c r="AJ742" i="1"/>
  <c r="AK742" i="1"/>
  <c r="AJ743" i="1"/>
  <c r="AK743" i="1"/>
  <c r="AJ744" i="1"/>
  <c r="AK744" i="1"/>
  <c r="AJ745" i="1"/>
  <c r="AK745" i="1"/>
  <c r="AJ746" i="1"/>
  <c r="AK746" i="1"/>
  <c r="AJ747" i="1"/>
  <c r="AK747" i="1"/>
  <c r="AJ748" i="1"/>
  <c r="AK748" i="1"/>
  <c r="AJ749" i="1"/>
  <c r="AK749" i="1"/>
  <c r="AJ750" i="1"/>
  <c r="AK750" i="1"/>
  <c r="AJ751" i="1"/>
  <c r="AK751" i="1"/>
  <c r="AJ752" i="1"/>
  <c r="AK752" i="1"/>
  <c r="AJ753" i="1"/>
  <c r="AK753" i="1"/>
  <c r="AJ754" i="1"/>
  <c r="AK754" i="1"/>
  <c r="AJ755" i="1"/>
  <c r="AK755" i="1"/>
  <c r="AJ756" i="1"/>
  <c r="AK756" i="1"/>
  <c r="AJ757" i="1"/>
  <c r="AK757" i="1"/>
  <c r="AJ758" i="1"/>
  <c r="AK758" i="1"/>
  <c r="AJ759" i="1"/>
  <c r="AK759" i="1"/>
  <c r="AJ760" i="1"/>
  <c r="AK760" i="1"/>
  <c r="AJ761" i="1"/>
  <c r="AK761" i="1"/>
  <c r="AJ762" i="1"/>
  <c r="AK762" i="1"/>
  <c r="AJ763" i="1"/>
  <c r="AK763" i="1"/>
  <c r="AJ764" i="1"/>
  <c r="AK764" i="1"/>
  <c r="AJ765" i="1"/>
  <c r="AK765" i="1"/>
  <c r="AJ766" i="1"/>
  <c r="AK766" i="1"/>
  <c r="AJ767" i="1"/>
  <c r="AK767" i="1"/>
  <c r="AJ768" i="1"/>
  <c r="AK768" i="1"/>
  <c r="AJ769" i="1"/>
  <c r="AK769" i="1"/>
  <c r="AJ770" i="1"/>
  <c r="AK770" i="1"/>
  <c r="AJ771" i="1"/>
  <c r="AK771" i="1"/>
  <c r="AJ772" i="1"/>
  <c r="AK772" i="1"/>
  <c r="AJ773" i="1"/>
  <c r="AK773" i="1"/>
  <c r="AJ774" i="1"/>
  <c r="AK774" i="1"/>
  <c r="AJ775" i="1"/>
  <c r="AK775" i="1"/>
  <c r="AJ776" i="1"/>
  <c r="AK776" i="1"/>
  <c r="AJ777" i="1"/>
  <c r="AK777" i="1"/>
  <c r="AJ778" i="1"/>
  <c r="AK778" i="1"/>
  <c r="AJ779" i="1"/>
  <c r="AK779" i="1"/>
  <c r="AJ780" i="1"/>
  <c r="AK780" i="1"/>
  <c r="AJ781" i="1"/>
  <c r="AK781" i="1"/>
  <c r="AJ782" i="1"/>
  <c r="AK782" i="1"/>
  <c r="AJ783" i="1"/>
  <c r="AK783" i="1"/>
  <c r="AJ784" i="1"/>
  <c r="AK784" i="1"/>
  <c r="AJ785" i="1"/>
  <c r="AK785" i="1"/>
  <c r="AJ786" i="1"/>
  <c r="AK786" i="1"/>
  <c r="AJ787" i="1"/>
  <c r="AK787" i="1"/>
  <c r="AJ788" i="1"/>
  <c r="AK788" i="1"/>
  <c r="AJ789" i="1"/>
  <c r="AK789" i="1"/>
  <c r="AJ790" i="1"/>
  <c r="AK790" i="1"/>
  <c r="AJ791" i="1"/>
  <c r="AK791" i="1"/>
  <c r="AJ792" i="1"/>
  <c r="AK792" i="1"/>
  <c r="AJ793" i="1"/>
  <c r="AK793" i="1"/>
  <c r="AJ794" i="1"/>
  <c r="AK794" i="1"/>
  <c r="AJ795" i="1"/>
  <c r="AK795" i="1"/>
  <c r="AJ796" i="1"/>
  <c r="AK796" i="1"/>
  <c r="AJ797" i="1"/>
  <c r="AK797" i="1"/>
  <c r="AJ798" i="1"/>
  <c r="AK798" i="1"/>
  <c r="AJ799" i="1"/>
  <c r="AK799" i="1"/>
  <c r="AJ800" i="1"/>
  <c r="AK800" i="1"/>
  <c r="AJ801" i="1"/>
  <c r="AK801" i="1"/>
  <c r="AJ802" i="1"/>
  <c r="AK802" i="1"/>
  <c r="AJ803" i="1"/>
  <c r="AK803" i="1"/>
  <c r="AJ804" i="1"/>
  <c r="AK804" i="1"/>
  <c r="AJ805" i="1"/>
  <c r="AK805" i="1"/>
  <c r="AJ806" i="1"/>
  <c r="AK806" i="1"/>
  <c r="AJ807" i="1"/>
  <c r="AK807" i="1"/>
  <c r="AJ808" i="1"/>
  <c r="AK808" i="1"/>
  <c r="AJ809" i="1"/>
  <c r="AK809" i="1"/>
  <c r="AJ810" i="1"/>
  <c r="AK810" i="1"/>
  <c r="AJ811" i="1"/>
  <c r="AK811" i="1"/>
  <c r="AJ812" i="1"/>
  <c r="AK812" i="1"/>
  <c r="AJ813" i="1"/>
  <c r="AK813" i="1"/>
  <c r="AJ814" i="1"/>
  <c r="AK814" i="1"/>
  <c r="AJ815" i="1"/>
  <c r="AK815" i="1"/>
  <c r="AJ816" i="1"/>
  <c r="AK816" i="1"/>
  <c r="AJ817" i="1"/>
  <c r="AK817" i="1"/>
  <c r="AJ818" i="1"/>
  <c r="AK818" i="1"/>
  <c r="AJ819" i="1"/>
  <c r="AK819" i="1"/>
  <c r="AJ820" i="1"/>
  <c r="AK820" i="1"/>
  <c r="AJ821" i="1"/>
  <c r="AK821" i="1"/>
  <c r="AJ822" i="1"/>
  <c r="AK822" i="1"/>
  <c r="AJ823" i="1"/>
  <c r="AK823" i="1"/>
  <c r="AJ824" i="1"/>
  <c r="AK824" i="1"/>
  <c r="AJ825" i="1"/>
  <c r="AK825" i="1"/>
  <c r="AJ826" i="1"/>
  <c r="AK826" i="1"/>
  <c r="AJ827" i="1"/>
  <c r="AK827" i="1"/>
  <c r="AJ828" i="1"/>
  <c r="AK828" i="1"/>
  <c r="AJ829" i="1"/>
  <c r="AK829" i="1"/>
  <c r="AJ830" i="1"/>
  <c r="AK830" i="1"/>
  <c r="AJ831" i="1"/>
  <c r="AK831" i="1"/>
  <c r="AJ832" i="1"/>
  <c r="AK832" i="1"/>
  <c r="AJ833" i="1"/>
  <c r="AK833" i="1"/>
  <c r="AJ834" i="1"/>
  <c r="AK834" i="1"/>
  <c r="AJ835" i="1"/>
  <c r="AK835" i="1"/>
  <c r="AJ836" i="1"/>
  <c r="AK836" i="1"/>
  <c r="AJ837" i="1"/>
  <c r="AK837" i="1"/>
  <c r="AJ838" i="1"/>
  <c r="AK838" i="1"/>
  <c r="AJ839" i="1"/>
  <c r="AK839" i="1"/>
  <c r="AJ840" i="1"/>
  <c r="AK840" i="1"/>
  <c r="AJ841" i="1"/>
  <c r="AK841" i="1"/>
  <c r="AJ842" i="1"/>
  <c r="AK842" i="1"/>
  <c r="AJ843" i="1"/>
  <c r="AK843" i="1"/>
  <c r="AJ844" i="1"/>
  <c r="AK844" i="1"/>
  <c r="AJ845" i="1"/>
  <c r="AK845" i="1"/>
  <c r="AJ846" i="1"/>
  <c r="AK846" i="1"/>
  <c r="AJ847" i="1"/>
  <c r="AK847" i="1"/>
  <c r="AJ848" i="1"/>
  <c r="AK848" i="1"/>
  <c r="AJ849" i="1"/>
  <c r="AK849" i="1"/>
  <c r="AJ850" i="1"/>
  <c r="AK850" i="1"/>
  <c r="AJ851" i="1"/>
  <c r="AK851" i="1"/>
  <c r="AJ852" i="1"/>
  <c r="AK852" i="1"/>
  <c r="AJ853" i="1"/>
  <c r="AK853" i="1"/>
  <c r="AJ854" i="1"/>
  <c r="AK854" i="1"/>
  <c r="AJ855" i="1"/>
  <c r="AK855" i="1"/>
  <c r="AJ856" i="1"/>
  <c r="AK856" i="1"/>
  <c r="AJ857" i="1"/>
  <c r="AK857" i="1"/>
  <c r="AJ858" i="1"/>
  <c r="AK858" i="1"/>
  <c r="AJ859" i="1"/>
  <c r="AK859" i="1"/>
  <c r="AJ860" i="1"/>
  <c r="AK860" i="1"/>
  <c r="AJ861" i="1"/>
  <c r="AK861" i="1"/>
  <c r="AJ862" i="1"/>
  <c r="AK862" i="1"/>
  <c r="AJ863" i="1"/>
  <c r="AK863" i="1"/>
  <c r="AJ864" i="1"/>
  <c r="AK864" i="1"/>
  <c r="AJ865" i="1"/>
  <c r="AK865" i="1"/>
  <c r="AJ866" i="1"/>
  <c r="AK866" i="1"/>
  <c r="AJ867" i="1"/>
  <c r="AK867" i="1"/>
  <c r="AJ868" i="1"/>
  <c r="AK868" i="1"/>
  <c r="AJ869" i="1"/>
  <c r="AK869" i="1"/>
  <c r="AJ870" i="1"/>
  <c r="AK870" i="1"/>
  <c r="AJ871" i="1"/>
  <c r="AK871" i="1"/>
  <c r="AJ872" i="1"/>
  <c r="AK872" i="1"/>
  <c r="AJ873" i="1"/>
  <c r="AK873" i="1"/>
  <c r="AJ874" i="1"/>
  <c r="AK874" i="1"/>
  <c r="AJ875" i="1"/>
  <c r="AK875" i="1"/>
  <c r="AJ876" i="1"/>
  <c r="AK876" i="1"/>
  <c r="AJ877" i="1"/>
  <c r="AK877" i="1"/>
  <c r="AJ878" i="1"/>
  <c r="AK878" i="1"/>
  <c r="AJ879" i="1"/>
  <c r="AK879" i="1"/>
  <c r="AJ880" i="1"/>
  <c r="AK880" i="1"/>
  <c r="AJ881" i="1"/>
  <c r="AK881" i="1"/>
  <c r="AJ882" i="1"/>
  <c r="AK882" i="1"/>
  <c r="AJ883" i="1"/>
  <c r="AK883" i="1"/>
  <c r="AJ884" i="1"/>
  <c r="AK884" i="1"/>
  <c r="AJ885" i="1"/>
  <c r="AK885" i="1"/>
  <c r="AJ886" i="1"/>
  <c r="AK886" i="1"/>
  <c r="AJ887" i="1"/>
  <c r="AK887" i="1"/>
  <c r="AJ888" i="1"/>
  <c r="AK888" i="1"/>
  <c r="AJ889" i="1"/>
  <c r="AK889" i="1"/>
  <c r="AJ890" i="1"/>
  <c r="AK890" i="1"/>
  <c r="AJ891" i="1"/>
  <c r="AK891" i="1"/>
  <c r="AJ892" i="1"/>
  <c r="AK892" i="1"/>
  <c r="AJ893" i="1"/>
  <c r="AK893" i="1"/>
  <c r="AJ894" i="1"/>
  <c r="AK894" i="1"/>
  <c r="AJ895" i="1"/>
  <c r="AK895" i="1"/>
  <c r="AJ896" i="1"/>
  <c r="AK896" i="1"/>
  <c r="AJ897" i="1"/>
  <c r="AK897" i="1"/>
  <c r="AJ898" i="1"/>
  <c r="AK898" i="1"/>
  <c r="AJ899" i="1"/>
  <c r="AK899" i="1"/>
  <c r="AJ900" i="1"/>
  <c r="AK900" i="1"/>
  <c r="AJ901" i="1"/>
  <c r="AK901" i="1"/>
  <c r="AJ902" i="1"/>
  <c r="AK902" i="1"/>
  <c r="AJ903" i="1"/>
  <c r="AK903" i="1"/>
  <c r="AJ904" i="1"/>
  <c r="AK904" i="1"/>
  <c r="AJ905" i="1"/>
  <c r="AK905" i="1"/>
  <c r="AJ906" i="1"/>
  <c r="AK906" i="1"/>
  <c r="AJ907" i="1"/>
  <c r="AK907" i="1"/>
  <c r="AJ908" i="1"/>
  <c r="AK908" i="1"/>
  <c r="AJ909" i="1"/>
  <c r="AK909" i="1"/>
  <c r="AJ910" i="1"/>
  <c r="AK910" i="1"/>
  <c r="AJ911" i="1"/>
  <c r="AK911" i="1"/>
  <c r="AJ912" i="1"/>
  <c r="AK912" i="1"/>
  <c r="AJ913" i="1"/>
  <c r="AK913" i="1"/>
  <c r="AJ914" i="1"/>
  <c r="AK914" i="1"/>
  <c r="AJ915" i="1"/>
  <c r="AK915" i="1"/>
  <c r="AJ916" i="1"/>
  <c r="AK916" i="1"/>
  <c r="AJ917" i="1"/>
  <c r="AK917" i="1"/>
  <c r="AJ918" i="1"/>
  <c r="AK918" i="1"/>
  <c r="AJ919" i="1"/>
  <c r="AK919" i="1"/>
  <c r="AJ920" i="1"/>
  <c r="AK920" i="1"/>
  <c r="AJ921" i="1"/>
  <c r="AK921" i="1"/>
  <c r="AJ922" i="1"/>
  <c r="AK922" i="1"/>
  <c r="AJ923" i="1"/>
  <c r="AK923" i="1"/>
  <c r="AJ924" i="1"/>
  <c r="AK924" i="1"/>
  <c r="AJ925" i="1"/>
  <c r="AK925" i="1"/>
  <c r="AJ926" i="1"/>
  <c r="AK926" i="1"/>
  <c r="AJ927" i="1"/>
  <c r="AK927" i="1"/>
  <c r="AJ928" i="1"/>
  <c r="AK928" i="1"/>
  <c r="AJ929" i="1"/>
  <c r="AK929" i="1"/>
  <c r="AJ930" i="1"/>
  <c r="AK930" i="1"/>
  <c r="AJ931" i="1"/>
  <c r="AK931" i="1"/>
  <c r="AJ932" i="1"/>
  <c r="AK932" i="1"/>
  <c r="AJ933" i="1"/>
  <c r="AK933" i="1"/>
  <c r="AJ934" i="1"/>
  <c r="AK934" i="1"/>
  <c r="AJ935" i="1"/>
  <c r="AK935" i="1"/>
  <c r="AJ936" i="1"/>
  <c r="AK936" i="1"/>
  <c r="AJ937" i="1"/>
  <c r="AK937" i="1"/>
  <c r="AJ938" i="1"/>
  <c r="AK938" i="1"/>
  <c r="AJ939" i="1"/>
  <c r="AK939" i="1"/>
  <c r="AJ940" i="1"/>
  <c r="AK940" i="1"/>
  <c r="AJ941" i="1"/>
  <c r="AK941" i="1"/>
  <c r="AJ942" i="1"/>
  <c r="AK942" i="1"/>
  <c r="AJ943" i="1"/>
  <c r="AK943" i="1"/>
  <c r="AJ944" i="1"/>
  <c r="AK944" i="1"/>
  <c r="AJ945" i="1"/>
  <c r="AK945" i="1"/>
  <c r="AJ946" i="1"/>
  <c r="AK946" i="1"/>
  <c r="AJ947" i="1"/>
  <c r="AK947" i="1"/>
  <c r="AJ948" i="1"/>
  <c r="AK948" i="1"/>
  <c r="AJ949" i="1"/>
  <c r="AK949" i="1"/>
  <c r="AJ950" i="1"/>
  <c r="AK950" i="1"/>
  <c r="AJ951" i="1"/>
  <c r="AK951" i="1"/>
  <c r="AJ952" i="1"/>
  <c r="AK952" i="1"/>
  <c r="AJ953" i="1"/>
  <c r="AK953" i="1"/>
  <c r="AJ954" i="1"/>
  <c r="AK954" i="1"/>
  <c r="AJ955" i="1"/>
  <c r="AK955" i="1"/>
  <c r="AJ956" i="1"/>
  <c r="AK956" i="1"/>
  <c r="AJ957" i="1"/>
  <c r="AK957" i="1"/>
  <c r="AJ958" i="1"/>
  <c r="AK958" i="1"/>
  <c r="AJ959" i="1"/>
  <c r="AK959" i="1"/>
  <c r="AJ960" i="1"/>
  <c r="AK960" i="1"/>
  <c r="AJ961" i="1"/>
  <c r="AK961" i="1"/>
  <c r="AJ962" i="1"/>
  <c r="AK962" i="1"/>
  <c r="AJ963" i="1"/>
  <c r="AK963" i="1"/>
  <c r="AJ964" i="1"/>
  <c r="AK964" i="1"/>
  <c r="AJ965" i="1"/>
  <c r="AK965" i="1"/>
  <c r="AJ966" i="1"/>
  <c r="AK966" i="1"/>
  <c r="AJ967" i="1"/>
  <c r="AK967" i="1"/>
  <c r="AJ968" i="1"/>
  <c r="AK968" i="1"/>
  <c r="AJ969" i="1"/>
  <c r="AK969" i="1"/>
  <c r="AJ970" i="1"/>
  <c r="AK970" i="1"/>
  <c r="AJ971" i="1"/>
  <c r="AK971" i="1"/>
  <c r="AJ972" i="1"/>
  <c r="AK972" i="1"/>
  <c r="AJ973" i="1"/>
  <c r="AK973" i="1"/>
  <c r="AJ974" i="1"/>
  <c r="AK974" i="1"/>
  <c r="AJ975" i="1"/>
  <c r="AK975" i="1"/>
  <c r="AJ976" i="1"/>
  <c r="AK976" i="1"/>
  <c r="AJ977" i="1"/>
  <c r="AK977" i="1"/>
  <c r="AJ978" i="1"/>
  <c r="AK978" i="1"/>
  <c r="AJ979" i="1"/>
  <c r="AK979" i="1"/>
  <c r="AJ980" i="1"/>
  <c r="AK980" i="1"/>
  <c r="AJ981" i="1"/>
  <c r="AK981" i="1"/>
  <c r="AJ982" i="1"/>
  <c r="AK982" i="1"/>
  <c r="AJ983" i="1"/>
  <c r="AK983" i="1"/>
  <c r="AJ984" i="1"/>
  <c r="AK984" i="1"/>
  <c r="AJ985" i="1"/>
  <c r="AK985" i="1"/>
  <c r="AJ986" i="1"/>
  <c r="AK986" i="1"/>
  <c r="AJ987" i="1"/>
  <c r="AK987" i="1"/>
  <c r="AJ988" i="1"/>
  <c r="AK988" i="1"/>
  <c r="AJ989" i="1"/>
  <c r="AK989" i="1"/>
  <c r="AJ990" i="1"/>
  <c r="AK990" i="1"/>
  <c r="AJ991" i="1"/>
  <c r="AK991" i="1"/>
  <c r="AJ992" i="1"/>
  <c r="AK992" i="1"/>
  <c r="AJ993" i="1"/>
  <c r="AK993" i="1"/>
  <c r="AJ994" i="1"/>
  <c r="AK994" i="1"/>
  <c r="AJ995" i="1"/>
  <c r="AK995" i="1"/>
  <c r="AJ996" i="1"/>
  <c r="AK996" i="1"/>
  <c r="AJ997" i="1"/>
  <c r="AK997" i="1"/>
  <c r="AJ998" i="1"/>
  <c r="AK998" i="1"/>
  <c r="AJ999" i="1"/>
  <c r="AK999" i="1"/>
  <c r="AJ1000" i="1"/>
  <c r="AK1000" i="1"/>
  <c r="AJ1001" i="1"/>
  <c r="AK1001" i="1"/>
  <c r="AJ1002" i="1"/>
  <c r="AK1002" i="1"/>
  <c r="AJ1003" i="1"/>
  <c r="AK1003" i="1"/>
  <c r="AJ1004" i="1"/>
  <c r="AK1004" i="1"/>
  <c r="AJ1005" i="1"/>
  <c r="AK1005" i="1"/>
  <c r="AJ1006" i="1"/>
  <c r="AK1006" i="1"/>
  <c r="AJ1007" i="1"/>
  <c r="AK1007" i="1"/>
  <c r="AJ1008" i="1"/>
  <c r="AK1008" i="1"/>
  <c r="AJ1009" i="1"/>
  <c r="AK1009" i="1"/>
  <c r="AJ1010" i="1"/>
  <c r="AK1010" i="1"/>
  <c r="AJ1011" i="1"/>
  <c r="AK1011" i="1"/>
  <c r="AJ1012" i="1"/>
  <c r="AK1012" i="1"/>
  <c r="AJ1013" i="1"/>
  <c r="AK1013" i="1"/>
  <c r="AJ1014" i="1"/>
  <c r="AK1014" i="1"/>
  <c r="AJ1015" i="1"/>
  <c r="AK1015" i="1"/>
  <c r="AJ1016" i="1"/>
  <c r="AK1016" i="1"/>
  <c r="AJ1017" i="1"/>
  <c r="AK1017" i="1"/>
  <c r="AJ1018" i="1"/>
  <c r="AK1018" i="1"/>
  <c r="AJ1019" i="1"/>
  <c r="AK1019" i="1"/>
  <c r="AJ1020" i="1"/>
  <c r="AK1020" i="1"/>
  <c r="AJ1021" i="1"/>
  <c r="AK1021" i="1"/>
  <c r="AJ1022" i="1"/>
  <c r="AK1022" i="1"/>
  <c r="AJ1023" i="1"/>
  <c r="AK1023" i="1"/>
  <c r="AJ1024" i="1"/>
  <c r="AK1024" i="1"/>
  <c r="AJ1025" i="1"/>
  <c r="AK1025" i="1"/>
  <c r="AJ1026" i="1"/>
  <c r="AK1026" i="1"/>
  <c r="AJ1027" i="1"/>
  <c r="AK1027" i="1"/>
  <c r="AJ1028" i="1"/>
  <c r="AK1028" i="1"/>
  <c r="AJ1029" i="1"/>
  <c r="AK1029" i="1"/>
  <c r="AJ1030" i="1"/>
  <c r="AK1030" i="1"/>
  <c r="AJ1031" i="1"/>
  <c r="AK1031" i="1"/>
  <c r="AJ1032" i="1"/>
  <c r="AK1032" i="1"/>
  <c r="AJ1033" i="1"/>
  <c r="AK1033" i="1"/>
  <c r="AJ1034" i="1"/>
  <c r="AK1034" i="1"/>
  <c r="AJ1035" i="1"/>
  <c r="AK1035" i="1"/>
  <c r="AJ1036" i="1"/>
  <c r="AK1036" i="1"/>
  <c r="AJ1037" i="1"/>
  <c r="AK1037" i="1"/>
  <c r="AJ1038" i="1"/>
  <c r="AK1038" i="1"/>
  <c r="AJ1039" i="1"/>
  <c r="AK1039" i="1"/>
  <c r="AJ1040" i="1"/>
  <c r="AK1040" i="1"/>
  <c r="AJ1041" i="1"/>
  <c r="AK1041" i="1"/>
  <c r="AJ1042" i="1"/>
  <c r="AK1042" i="1"/>
  <c r="AJ1043" i="1"/>
  <c r="AK1043" i="1"/>
  <c r="AJ1044" i="1"/>
  <c r="AK1044" i="1"/>
  <c r="AJ1045" i="1"/>
  <c r="AK1045" i="1"/>
  <c r="AJ1046" i="1"/>
  <c r="AK1046" i="1"/>
  <c r="AJ1047" i="1"/>
  <c r="AK1047" i="1"/>
  <c r="AJ1048" i="1"/>
  <c r="AK1048" i="1"/>
  <c r="AJ1049" i="1"/>
  <c r="AK1049" i="1"/>
  <c r="AJ1050" i="1"/>
  <c r="AK1050" i="1"/>
  <c r="AJ1051" i="1"/>
  <c r="AK1051" i="1"/>
  <c r="AJ1052" i="1"/>
  <c r="AK1052" i="1"/>
  <c r="AJ1053" i="1"/>
  <c r="AK1053" i="1"/>
  <c r="AJ1054" i="1"/>
  <c r="AK1054" i="1"/>
  <c r="AJ1055" i="1"/>
  <c r="AK1055" i="1"/>
  <c r="AJ1056" i="1"/>
  <c r="AK1056" i="1"/>
  <c r="AJ1057" i="1"/>
  <c r="AK1057" i="1"/>
  <c r="AJ1058" i="1"/>
  <c r="AK1058" i="1"/>
  <c r="AJ1059" i="1"/>
  <c r="AK1059" i="1"/>
  <c r="AJ1060" i="1"/>
  <c r="AK1060" i="1"/>
  <c r="AJ1061" i="1"/>
  <c r="AK1061" i="1"/>
  <c r="AJ1062" i="1"/>
  <c r="AK1062" i="1"/>
  <c r="AJ1063" i="1"/>
  <c r="AK1063" i="1"/>
  <c r="AJ1064" i="1"/>
  <c r="AK1064" i="1"/>
  <c r="AJ1065" i="1"/>
  <c r="AK1065" i="1"/>
  <c r="AJ1066" i="1"/>
  <c r="AK1066" i="1"/>
  <c r="AJ1067" i="1"/>
  <c r="AK1067" i="1"/>
  <c r="AJ1068" i="1"/>
  <c r="AK1068" i="1"/>
  <c r="AJ1069" i="1"/>
  <c r="AK1069" i="1"/>
  <c r="AJ1070" i="1"/>
  <c r="AK1070" i="1"/>
  <c r="AJ1071" i="1"/>
  <c r="AK1071" i="1"/>
  <c r="AJ1072" i="1"/>
  <c r="AK1072" i="1"/>
  <c r="AJ1073" i="1"/>
  <c r="AK1073" i="1"/>
  <c r="AJ1074" i="1"/>
  <c r="AK1074" i="1"/>
  <c r="AJ1075" i="1"/>
  <c r="AK1075" i="1"/>
  <c r="AJ1076" i="1"/>
  <c r="AK1076" i="1"/>
  <c r="AJ1077" i="1"/>
  <c r="AK1077" i="1"/>
  <c r="AJ1078" i="1"/>
  <c r="AK1078" i="1"/>
  <c r="AJ1079" i="1"/>
  <c r="AK1079" i="1"/>
  <c r="AJ1080" i="1"/>
  <c r="AK1080" i="1"/>
  <c r="AJ1081" i="1"/>
  <c r="AK1081" i="1"/>
  <c r="AJ1082" i="1"/>
  <c r="AK1082" i="1"/>
  <c r="AJ1083" i="1"/>
  <c r="AK1083" i="1"/>
  <c r="AJ1084" i="1"/>
  <c r="AK1084" i="1"/>
  <c r="AJ1085" i="1"/>
  <c r="AK1085" i="1"/>
  <c r="AJ1086" i="1"/>
  <c r="AK1086" i="1"/>
  <c r="AJ1087" i="1"/>
  <c r="AK1087" i="1"/>
  <c r="AJ1088" i="1"/>
  <c r="AK1088" i="1"/>
  <c r="AJ1089" i="1"/>
  <c r="AK1089" i="1"/>
  <c r="AJ1090" i="1"/>
  <c r="AK1090" i="1"/>
  <c r="AJ1091" i="1"/>
  <c r="AK1091" i="1"/>
  <c r="AJ1092" i="1"/>
  <c r="AK1092" i="1"/>
  <c r="AJ1093" i="1"/>
  <c r="AK1093" i="1"/>
  <c r="AJ1094" i="1"/>
  <c r="AK1094" i="1"/>
  <c r="AJ1095" i="1"/>
  <c r="AK1095" i="1"/>
  <c r="AJ1096" i="1"/>
  <c r="AK1096" i="1"/>
  <c r="AJ1097" i="1"/>
  <c r="AK1097" i="1"/>
  <c r="AJ1098" i="1"/>
  <c r="AK1098" i="1"/>
  <c r="AJ1099" i="1"/>
  <c r="AK1099" i="1"/>
  <c r="AJ1100" i="1"/>
  <c r="AK1100" i="1"/>
  <c r="AJ1101" i="1"/>
  <c r="AK1101" i="1"/>
  <c r="AJ1102" i="1"/>
  <c r="AK1102" i="1"/>
  <c r="AJ1103" i="1"/>
  <c r="AK1103" i="1"/>
  <c r="AJ1104" i="1"/>
  <c r="AK1104" i="1"/>
  <c r="AJ1105" i="1"/>
  <c r="AK1105" i="1"/>
  <c r="AJ1106" i="1"/>
  <c r="AK1106" i="1"/>
  <c r="AJ1107" i="1"/>
  <c r="AK1107" i="1"/>
  <c r="AJ1108" i="1"/>
  <c r="AK1108" i="1"/>
  <c r="AJ1109" i="1"/>
  <c r="AK1109" i="1"/>
  <c r="AJ1110" i="1"/>
  <c r="AK1110" i="1"/>
  <c r="AJ1111" i="1"/>
  <c r="AK1111" i="1"/>
  <c r="AJ1112" i="1"/>
  <c r="AK1112" i="1"/>
  <c r="AJ1113" i="1"/>
  <c r="AK1113" i="1"/>
  <c r="AJ1114" i="1"/>
  <c r="AK1114" i="1"/>
  <c r="AJ1115" i="1"/>
  <c r="AK1115" i="1"/>
  <c r="AJ1116" i="1"/>
  <c r="AK1116" i="1"/>
  <c r="AJ1117" i="1"/>
  <c r="AK1117" i="1"/>
  <c r="AJ1118" i="1"/>
  <c r="AK1118" i="1"/>
  <c r="AJ1119" i="1"/>
  <c r="AK1119" i="1"/>
  <c r="AJ1120" i="1"/>
  <c r="AK1120" i="1"/>
  <c r="AJ1121" i="1"/>
  <c r="AK1121" i="1"/>
  <c r="AJ1122" i="1"/>
  <c r="AK1122" i="1"/>
  <c r="AJ1123" i="1"/>
  <c r="AK1123" i="1"/>
  <c r="AJ1124" i="1"/>
  <c r="AK1124" i="1"/>
  <c r="AJ1125" i="1"/>
  <c r="AK1125" i="1"/>
  <c r="AJ1126" i="1"/>
  <c r="AK1126" i="1"/>
  <c r="AJ1127" i="1"/>
  <c r="AK1127" i="1"/>
  <c r="AJ1128" i="1"/>
  <c r="AK1128" i="1"/>
  <c r="AJ1129" i="1"/>
  <c r="AK1129" i="1"/>
  <c r="AJ1130" i="1"/>
  <c r="AK1130" i="1"/>
  <c r="AJ1131" i="1"/>
  <c r="AK1131" i="1"/>
  <c r="AJ1132" i="1"/>
  <c r="AK1132" i="1"/>
  <c r="AJ1133" i="1"/>
  <c r="AK1133" i="1"/>
  <c r="AJ1134" i="1"/>
  <c r="AK1134" i="1"/>
  <c r="AJ1135" i="1"/>
  <c r="AK1135" i="1"/>
  <c r="AJ1136" i="1"/>
  <c r="AK1136" i="1"/>
  <c r="AJ1137" i="1"/>
  <c r="AK1137" i="1"/>
  <c r="AJ1138" i="1"/>
  <c r="AK1138" i="1"/>
  <c r="AJ1139" i="1"/>
  <c r="AK1139" i="1"/>
  <c r="AJ1140" i="1"/>
  <c r="AK1140" i="1"/>
  <c r="AJ1141" i="1"/>
  <c r="AK1141" i="1"/>
  <c r="AJ1142" i="1"/>
  <c r="AK1142" i="1"/>
  <c r="AJ1143" i="1"/>
  <c r="AK1143" i="1"/>
  <c r="AJ1144" i="1"/>
  <c r="AK1144" i="1"/>
  <c r="AJ1145" i="1"/>
  <c r="AK1145" i="1"/>
  <c r="AJ1146" i="1"/>
  <c r="AK1146" i="1"/>
  <c r="AJ1147" i="1"/>
  <c r="AK1147" i="1"/>
  <c r="AJ1148" i="1"/>
  <c r="AK1148" i="1"/>
  <c r="AJ1149" i="1"/>
  <c r="AK1149" i="1"/>
  <c r="AJ1150" i="1"/>
  <c r="AK1150" i="1"/>
  <c r="AJ1151" i="1"/>
  <c r="AK1151" i="1"/>
  <c r="AJ1152" i="1"/>
  <c r="AK1152" i="1"/>
  <c r="AJ1153" i="1"/>
  <c r="AK1153" i="1"/>
  <c r="AJ1154" i="1"/>
  <c r="AK1154" i="1"/>
  <c r="AJ1155" i="1"/>
  <c r="AK1155" i="1"/>
  <c r="AJ1156" i="1"/>
  <c r="AK1156" i="1"/>
  <c r="AJ1157" i="1"/>
  <c r="AK1157" i="1"/>
  <c r="AJ1158" i="1"/>
  <c r="AK1158" i="1"/>
  <c r="AJ1159" i="1"/>
  <c r="AK1159" i="1"/>
  <c r="AJ1160" i="1"/>
  <c r="AK1160" i="1"/>
  <c r="AJ1161" i="1"/>
  <c r="AK1161" i="1"/>
  <c r="AJ1162" i="1"/>
  <c r="AK1162" i="1"/>
  <c r="AJ1163" i="1"/>
  <c r="AK1163" i="1"/>
  <c r="AJ1164" i="1"/>
  <c r="AK1164" i="1"/>
  <c r="AJ1165" i="1"/>
  <c r="AK1165" i="1"/>
  <c r="AJ1166" i="1"/>
  <c r="AK1166" i="1"/>
  <c r="AJ1167" i="1"/>
  <c r="AK1167" i="1"/>
  <c r="AJ1168" i="1"/>
  <c r="AK1168" i="1"/>
  <c r="AJ1169" i="1"/>
  <c r="AK1169" i="1"/>
  <c r="AJ1170" i="1"/>
  <c r="AK1170" i="1"/>
  <c r="AJ1171" i="1"/>
  <c r="AK1171" i="1"/>
  <c r="AJ1172" i="1"/>
  <c r="AK1172" i="1"/>
  <c r="AJ1173" i="1"/>
  <c r="AK1173" i="1"/>
  <c r="AJ1174" i="1"/>
  <c r="AK1174" i="1"/>
  <c r="AJ1175" i="1"/>
  <c r="AK1175" i="1"/>
  <c r="AJ1176" i="1"/>
  <c r="AK1176" i="1"/>
  <c r="AJ1177" i="1"/>
  <c r="AK1177" i="1"/>
  <c r="AJ1178" i="1"/>
  <c r="AK1178" i="1"/>
  <c r="AJ1179" i="1"/>
  <c r="AK1179" i="1"/>
  <c r="AJ1180" i="1"/>
  <c r="AK1180" i="1"/>
  <c r="AJ1181" i="1"/>
  <c r="AK1181" i="1"/>
  <c r="AJ1182" i="1"/>
  <c r="AK1182" i="1"/>
  <c r="AJ1183" i="1"/>
  <c r="AK1183" i="1"/>
  <c r="AJ1184" i="1"/>
  <c r="AK1184" i="1"/>
  <c r="AJ1185" i="1"/>
  <c r="AK1185" i="1"/>
  <c r="AJ1186" i="1"/>
  <c r="AK1186" i="1"/>
  <c r="AJ1187" i="1"/>
  <c r="AK1187" i="1"/>
  <c r="AJ1188" i="1"/>
  <c r="AK1188" i="1"/>
  <c r="AJ1189" i="1"/>
  <c r="AK1189" i="1"/>
  <c r="AJ1190" i="1"/>
  <c r="AK1190" i="1"/>
  <c r="AJ1191" i="1"/>
  <c r="AK1191" i="1"/>
  <c r="AJ1192" i="1"/>
  <c r="AK1192" i="1"/>
  <c r="AJ1193" i="1"/>
  <c r="AK1193" i="1"/>
  <c r="AJ1194" i="1"/>
  <c r="AK1194" i="1"/>
  <c r="AJ1195" i="1"/>
  <c r="AK1195" i="1"/>
  <c r="AJ1196" i="1"/>
  <c r="AK1196" i="1"/>
  <c r="AJ1197" i="1"/>
  <c r="AK1197" i="1"/>
  <c r="AJ1198" i="1"/>
  <c r="AK1198" i="1"/>
  <c r="AJ1199" i="1"/>
  <c r="AK1199" i="1"/>
  <c r="AJ1200" i="1"/>
  <c r="AK1200" i="1"/>
  <c r="AJ1201" i="1"/>
  <c r="AK1201" i="1"/>
  <c r="AJ1202" i="1"/>
  <c r="AK1202" i="1"/>
  <c r="AJ1203" i="1"/>
  <c r="AK1203" i="1"/>
  <c r="AJ1204" i="1"/>
  <c r="AK1204" i="1"/>
  <c r="AJ1205" i="1"/>
  <c r="AK1205" i="1"/>
  <c r="AJ1206" i="1"/>
  <c r="AK1206" i="1"/>
  <c r="AJ1207" i="1"/>
  <c r="AK1207" i="1"/>
  <c r="AJ1208" i="1"/>
  <c r="AK1208" i="1"/>
  <c r="AJ1209" i="1"/>
  <c r="AK1209" i="1"/>
  <c r="AJ1210" i="1"/>
  <c r="AK1210" i="1"/>
  <c r="AJ1211" i="1"/>
  <c r="AK1211" i="1"/>
  <c r="AJ1212" i="1"/>
  <c r="AK1212" i="1"/>
  <c r="AJ1213" i="1"/>
  <c r="AK1213" i="1"/>
  <c r="AJ1214" i="1"/>
  <c r="AK1214" i="1"/>
  <c r="AJ1215" i="1"/>
  <c r="AK1215" i="1"/>
  <c r="AJ1216" i="1"/>
  <c r="AK1216" i="1"/>
  <c r="AJ1217" i="1"/>
  <c r="AK1217" i="1"/>
  <c r="AJ1218" i="1"/>
  <c r="AK1218" i="1"/>
  <c r="AJ1219" i="1"/>
  <c r="AK1219" i="1"/>
  <c r="AJ1220" i="1"/>
  <c r="AK1220" i="1"/>
  <c r="AJ1221" i="1"/>
  <c r="AK1221" i="1"/>
  <c r="AJ1222" i="1"/>
  <c r="AK1222" i="1"/>
  <c r="AJ1223" i="1"/>
  <c r="AK1223" i="1"/>
  <c r="AJ1224" i="1"/>
  <c r="AK1224" i="1"/>
  <c r="AJ1225" i="1"/>
  <c r="AK1225" i="1"/>
  <c r="AJ1226" i="1"/>
  <c r="AK1226" i="1"/>
  <c r="AJ1227" i="1"/>
  <c r="AK1227" i="1"/>
  <c r="AJ1228" i="1"/>
  <c r="AK1228" i="1"/>
  <c r="AJ1229" i="1"/>
  <c r="AK1229" i="1"/>
  <c r="AJ1230" i="1"/>
  <c r="AK1230" i="1"/>
  <c r="AJ1233" i="1"/>
  <c r="AK1233" i="1"/>
  <c r="AJ1234" i="1"/>
  <c r="AK1234" i="1"/>
  <c r="AJ1235" i="1"/>
  <c r="AK1235" i="1"/>
  <c r="AJ1236" i="1"/>
  <c r="AK1236" i="1"/>
  <c r="AJ1237" i="1"/>
  <c r="AK1237" i="1"/>
  <c r="AJ1238" i="1"/>
  <c r="AK1238" i="1"/>
  <c r="AJ1239" i="1"/>
  <c r="AK1239" i="1"/>
  <c r="AJ1240" i="1"/>
  <c r="AK1240" i="1"/>
  <c r="AJ1241" i="1"/>
  <c r="AK1241" i="1"/>
  <c r="AJ1242" i="1"/>
  <c r="AK1242" i="1"/>
  <c r="AJ1243" i="1"/>
  <c r="AK1243" i="1"/>
  <c r="AJ1244" i="1"/>
  <c r="AK1244" i="1"/>
  <c r="AJ1245" i="1"/>
  <c r="AK1245" i="1"/>
  <c r="AJ1246" i="1"/>
  <c r="AK1246" i="1"/>
  <c r="AJ1247" i="1"/>
  <c r="AK1247" i="1"/>
  <c r="AJ1248" i="1"/>
  <c r="AK1248" i="1"/>
  <c r="AJ1249" i="1"/>
  <c r="AK1249" i="1"/>
  <c r="AJ1250" i="1"/>
  <c r="AK1250" i="1"/>
  <c r="AJ1251" i="1"/>
  <c r="AK1251" i="1"/>
  <c r="AJ1252" i="1"/>
  <c r="AK1252" i="1"/>
  <c r="AJ1254" i="1"/>
  <c r="AK1254" i="1"/>
  <c r="AJ1255" i="1"/>
  <c r="AK1255" i="1"/>
  <c r="AJ1256" i="1"/>
  <c r="AK1256" i="1"/>
  <c r="AJ1257" i="1"/>
  <c r="AK1257" i="1"/>
  <c r="AJ1258" i="1"/>
  <c r="AK1258" i="1"/>
  <c r="AJ1259" i="1"/>
  <c r="AK1259" i="1"/>
  <c r="AJ1260" i="1"/>
  <c r="AK1260" i="1"/>
  <c r="AJ1261" i="1"/>
  <c r="AK1261" i="1"/>
  <c r="AJ1262" i="1"/>
  <c r="AK1262" i="1"/>
  <c r="AJ1263" i="1"/>
  <c r="AK1263" i="1"/>
  <c r="AJ1264" i="1"/>
  <c r="AK1264" i="1"/>
  <c r="AJ1265" i="1"/>
  <c r="AK1265" i="1"/>
  <c r="AJ1266" i="1"/>
  <c r="AK1266" i="1"/>
  <c r="AJ1267" i="1"/>
  <c r="AK1267" i="1"/>
  <c r="AJ1268" i="1"/>
  <c r="AK1268" i="1"/>
  <c r="AJ1269" i="1"/>
  <c r="AK1269" i="1"/>
  <c r="AJ1270" i="1"/>
  <c r="AK1270" i="1"/>
  <c r="AJ1272" i="1"/>
  <c r="AK1272" i="1"/>
  <c r="AJ1273" i="1"/>
  <c r="AK1273" i="1"/>
  <c r="AJ1274" i="1"/>
  <c r="AK1274" i="1"/>
  <c r="AJ1275" i="1"/>
  <c r="AK1275" i="1"/>
  <c r="AJ1276" i="1"/>
  <c r="AK1276" i="1"/>
  <c r="AJ1277" i="1"/>
  <c r="AK1277" i="1"/>
  <c r="AJ1278" i="1"/>
  <c r="AK1278" i="1"/>
  <c r="AJ1279" i="1"/>
  <c r="AK1279" i="1"/>
  <c r="AJ1280" i="1"/>
  <c r="AK1280" i="1"/>
  <c r="AJ1281" i="1"/>
  <c r="AK1281" i="1"/>
  <c r="AJ1282" i="1"/>
  <c r="AK1282" i="1"/>
  <c r="AJ1283" i="1"/>
  <c r="AK1283" i="1"/>
  <c r="AJ1284" i="1"/>
  <c r="AK1284" i="1"/>
  <c r="AJ1285" i="1"/>
  <c r="AK1285" i="1"/>
  <c r="AJ1286" i="1"/>
  <c r="AK1286" i="1"/>
  <c r="AJ1287" i="1"/>
  <c r="AK1287" i="1"/>
  <c r="AJ1288" i="1"/>
  <c r="AK1288" i="1"/>
  <c r="AJ1289" i="1"/>
  <c r="AK1289" i="1"/>
  <c r="AJ1290" i="1"/>
  <c r="AK1290" i="1"/>
  <c r="AJ1291" i="1"/>
  <c r="AK1291" i="1"/>
  <c r="AJ1292" i="1"/>
  <c r="AK1292" i="1"/>
  <c r="AJ1293" i="1"/>
  <c r="AK1293" i="1"/>
  <c r="AJ1294" i="1"/>
  <c r="AK1294" i="1"/>
  <c r="AJ1295" i="1"/>
  <c r="AK1295" i="1"/>
  <c r="AJ1296" i="1"/>
  <c r="AK1296" i="1"/>
  <c r="AJ1297" i="1"/>
  <c r="AK1297" i="1"/>
  <c r="AJ1298" i="1"/>
  <c r="AK1298" i="1"/>
  <c r="AJ1299" i="1"/>
  <c r="AK1299" i="1"/>
  <c r="AJ1300" i="1"/>
  <c r="AK1300" i="1"/>
  <c r="AJ1301" i="1"/>
  <c r="AK1301" i="1"/>
  <c r="AJ1302" i="1"/>
  <c r="AK1302" i="1"/>
  <c r="AJ1303" i="1"/>
  <c r="AK1303" i="1"/>
  <c r="AJ1304" i="1"/>
  <c r="AK1304" i="1"/>
  <c r="AJ1305" i="1"/>
  <c r="AK1305" i="1"/>
  <c r="AJ1306" i="1"/>
  <c r="AK1306" i="1"/>
  <c r="AJ1307" i="1"/>
  <c r="AK1307" i="1"/>
  <c r="AJ1308" i="1"/>
  <c r="AK1308" i="1"/>
  <c r="AJ1309" i="1"/>
  <c r="AK1309" i="1"/>
  <c r="AJ1310" i="1"/>
  <c r="AK1310" i="1"/>
  <c r="AJ1311" i="1"/>
  <c r="AK1311" i="1"/>
  <c r="AJ1312" i="1"/>
  <c r="AK1312" i="1"/>
  <c r="AJ1313" i="1"/>
  <c r="AK1313" i="1"/>
  <c r="AJ1314" i="1"/>
  <c r="AK1314" i="1"/>
  <c r="AJ1315" i="1"/>
  <c r="AK1315" i="1"/>
  <c r="AJ1316" i="1"/>
  <c r="AK1316" i="1"/>
  <c r="AJ1317" i="1"/>
  <c r="AK1317" i="1"/>
  <c r="AJ1318" i="1"/>
  <c r="AK1318" i="1"/>
  <c r="AJ1319" i="1"/>
  <c r="AK1319" i="1"/>
  <c r="AJ1320" i="1"/>
  <c r="AK1320" i="1"/>
  <c r="AJ1321" i="1"/>
  <c r="AK1321" i="1"/>
  <c r="AJ1322" i="1"/>
  <c r="AK1322" i="1"/>
  <c r="AJ1323" i="1"/>
  <c r="AK1323" i="1"/>
  <c r="AJ1324" i="1"/>
  <c r="AK1324" i="1"/>
  <c r="AJ1325" i="1"/>
  <c r="AK1325" i="1"/>
  <c r="AJ1326" i="1"/>
  <c r="AK1326" i="1"/>
  <c r="AJ1327" i="1"/>
  <c r="AK1327" i="1"/>
  <c r="AJ1328" i="1"/>
  <c r="AK1328" i="1"/>
  <c r="AJ1329" i="1"/>
  <c r="AK1329" i="1"/>
  <c r="AJ1330" i="1"/>
  <c r="AK1330" i="1"/>
  <c r="AJ1331" i="1"/>
  <c r="AK1331" i="1"/>
  <c r="AJ1332" i="1"/>
  <c r="AK1332" i="1"/>
  <c r="AJ1333" i="1"/>
  <c r="AK1333" i="1"/>
  <c r="AJ1334" i="1"/>
  <c r="AK1334" i="1"/>
  <c r="AJ1335" i="1"/>
  <c r="AK1335" i="1"/>
  <c r="AJ1336" i="1"/>
  <c r="AK1336" i="1"/>
  <c r="AJ1337" i="1"/>
  <c r="AK1337" i="1"/>
  <c r="AJ1338" i="1"/>
  <c r="AK1338" i="1"/>
  <c r="AJ1339" i="1"/>
  <c r="AK1339" i="1"/>
  <c r="AJ1340" i="1"/>
  <c r="AK1340" i="1"/>
  <c r="AJ1341" i="1"/>
  <c r="AK1341" i="1"/>
  <c r="AJ1342" i="1"/>
  <c r="AK1342" i="1"/>
  <c r="AJ1343" i="1"/>
  <c r="AK1343" i="1"/>
  <c r="AJ1345" i="1"/>
  <c r="AK1345" i="1"/>
  <c r="AJ1346" i="1"/>
  <c r="AK1346" i="1"/>
  <c r="AJ1347" i="1"/>
  <c r="AK1347" i="1"/>
  <c r="AJ1348" i="1"/>
  <c r="AK1348" i="1"/>
  <c r="AJ1349" i="1"/>
  <c r="AK1349" i="1"/>
  <c r="AJ1350" i="1"/>
  <c r="AK1350" i="1"/>
  <c r="AJ1351" i="1"/>
  <c r="AK1351" i="1"/>
  <c r="AJ1352" i="1"/>
  <c r="AK1352" i="1"/>
  <c r="AJ1353" i="1"/>
  <c r="AK1353" i="1"/>
  <c r="AJ1354" i="1"/>
  <c r="AK1354" i="1"/>
  <c r="AJ1355" i="1"/>
  <c r="AK1355" i="1"/>
  <c r="AJ1356" i="1"/>
  <c r="AK1356" i="1"/>
  <c r="AJ1357" i="1"/>
  <c r="AK1357" i="1"/>
  <c r="AJ1358" i="1"/>
  <c r="AK1358" i="1"/>
  <c r="AJ1359" i="1"/>
  <c r="AK1359" i="1"/>
  <c r="AJ1360" i="1"/>
  <c r="AK1360" i="1"/>
  <c r="AJ1361" i="1"/>
  <c r="AK1361" i="1"/>
  <c r="AJ1362" i="1"/>
  <c r="AK1362" i="1"/>
  <c r="AJ1363" i="1"/>
  <c r="AK1363" i="1"/>
  <c r="AJ1364" i="1"/>
  <c r="AK1364" i="1"/>
  <c r="AJ1365" i="1"/>
  <c r="AK1365" i="1"/>
  <c r="AJ1366" i="1"/>
  <c r="AK1366" i="1"/>
  <c r="AJ1367" i="1"/>
  <c r="AK1367" i="1"/>
  <c r="AJ1368" i="1"/>
  <c r="AK1368" i="1"/>
  <c r="AJ1369" i="1"/>
  <c r="AK1369" i="1"/>
  <c r="AJ1370" i="1"/>
  <c r="AK1370" i="1"/>
  <c r="AJ1371" i="1"/>
  <c r="AK1371" i="1"/>
  <c r="AJ1372" i="1"/>
  <c r="AK1372" i="1"/>
  <c r="AJ1373" i="1"/>
  <c r="AK1373" i="1"/>
  <c r="AJ1374" i="1"/>
  <c r="AK1374" i="1"/>
  <c r="AJ1375" i="1"/>
  <c r="AK1375" i="1"/>
  <c r="AJ1376" i="1"/>
  <c r="AK1376" i="1"/>
  <c r="AJ1377" i="1"/>
  <c r="AK1377" i="1"/>
  <c r="AJ1378" i="1"/>
  <c r="AK1378" i="1"/>
  <c r="AJ1379" i="1"/>
  <c r="AK1379" i="1"/>
  <c r="AJ1380" i="1"/>
  <c r="AK1380" i="1"/>
  <c r="AJ1381" i="1"/>
  <c r="AK1381" i="1"/>
  <c r="AJ1382" i="1"/>
  <c r="AK1382" i="1"/>
  <c r="AJ1383" i="1"/>
  <c r="AK1383" i="1"/>
  <c r="AJ1384" i="1"/>
  <c r="AK1384" i="1"/>
  <c r="AJ1385" i="1"/>
  <c r="AK1385" i="1"/>
  <c r="AJ1386" i="1"/>
  <c r="AK1386" i="1"/>
  <c r="AJ1387" i="1"/>
  <c r="AK1387" i="1"/>
  <c r="AJ1388" i="1"/>
  <c r="AK1388" i="1"/>
  <c r="AJ1389" i="1"/>
  <c r="AK1389" i="1"/>
  <c r="AJ1390" i="1"/>
  <c r="AK1390" i="1"/>
  <c r="AJ1391" i="1"/>
  <c r="AK1391" i="1"/>
  <c r="AJ1392" i="1"/>
  <c r="AK1392" i="1"/>
  <c r="AJ1393" i="1"/>
  <c r="AK1393" i="1"/>
  <c r="AJ1394" i="1"/>
  <c r="AK1394" i="1"/>
  <c r="AJ1395" i="1"/>
  <c r="AK1395" i="1"/>
  <c r="AJ1396" i="1"/>
  <c r="AK1396" i="1"/>
  <c r="AJ1398" i="1"/>
  <c r="AK1398" i="1"/>
  <c r="AJ1399" i="1"/>
  <c r="AK1399" i="1"/>
  <c r="AJ1400" i="1"/>
  <c r="AK1400" i="1"/>
  <c r="AJ1401" i="1"/>
  <c r="AK1401" i="1"/>
  <c r="AJ1402" i="1"/>
  <c r="AK1402" i="1"/>
  <c r="AJ1403" i="1"/>
  <c r="AK1403" i="1"/>
  <c r="AJ1404" i="1"/>
  <c r="AK1404" i="1"/>
  <c r="AJ1405" i="1"/>
  <c r="AK1405" i="1"/>
  <c r="AJ1407" i="1"/>
  <c r="AK1407" i="1"/>
  <c r="AJ1408" i="1"/>
  <c r="AK1408" i="1"/>
  <c r="AJ1410" i="1"/>
  <c r="AK1410" i="1"/>
  <c r="AJ1411" i="1"/>
  <c r="AK1411" i="1"/>
  <c r="AJ1414" i="1"/>
  <c r="AK1414" i="1"/>
  <c r="AJ1415" i="1"/>
  <c r="AK1415" i="1"/>
  <c r="AJ1416" i="1"/>
  <c r="AK1416" i="1"/>
  <c r="AJ1417" i="1"/>
  <c r="AK1417" i="1"/>
  <c r="AJ1418" i="1"/>
  <c r="AK1418" i="1"/>
  <c r="AJ1419" i="1"/>
  <c r="AK1419" i="1"/>
  <c r="AJ1420" i="1"/>
  <c r="AK1420" i="1"/>
  <c r="AJ1421" i="1"/>
  <c r="AK1421" i="1"/>
  <c r="AJ1422" i="1"/>
  <c r="AK1422" i="1"/>
  <c r="AJ1423" i="1"/>
  <c r="AK1423" i="1"/>
  <c r="AJ1424" i="1"/>
  <c r="AK1424" i="1"/>
  <c r="AJ1425" i="1"/>
  <c r="AK1425" i="1"/>
  <c r="AJ1426" i="1"/>
  <c r="AK1426" i="1"/>
  <c r="AJ1429" i="1"/>
  <c r="AK1429" i="1"/>
  <c r="AJ1430" i="1"/>
  <c r="AK1430" i="1"/>
  <c r="AJ1431" i="1"/>
  <c r="AK1431" i="1"/>
  <c r="AJ1432" i="1"/>
  <c r="AK1432" i="1"/>
  <c r="AJ1433" i="1"/>
  <c r="AK1433" i="1"/>
  <c r="AJ1434" i="1"/>
  <c r="AK1434" i="1"/>
  <c r="AJ1435" i="1"/>
  <c r="AK1435" i="1"/>
  <c r="AJ1436" i="1"/>
  <c r="AK1436" i="1"/>
  <c r="AJ1437" i="1"/>
  <c r="AK1437" i="1"/>
  <c r="AJ1438" i="1"/>
  <c r="AK1438" i="1"/>
  <c r="AJ1439" i="1"/>
  <c r="AK1439" i="1"/>
  <c r="AJ1440" i="1"/>
  <c r="AK1440" i="1"/>
  <c r="AJ1441" i="1"/>
  <c r="AK1441" i="1"/>
  <c r="AJ1442" i="1"/>
  <c r="AK1442" i="1"/>
  <c r="AJ1443" i="1"/>
  <c r="AK1443" i="1"/>
  <c r="AJ1444" i="1"/>
  <c r="AK1444" i="1"/>
  <c r="AJ1445" i="1"/>
  <c r="AK1445" i="1"/>
  <c r="AJ1446" i="1"/>
  <c r="AK1446" i="1"/>
  <c r="AJ1447" i="1"/>
  <c r="AK1447" i="1"/>
  <c r="AJ1449" i="1"/>
  <c r="AK1449" i="1"/>
  <c r="AJ1450" i="1"/>
  <c r="AK1450" i="1"/>
  <c r="AJ1451" i="1"/>
  <c r="AK1451" i="1"/>
  <c r="AJ1452" i="1"/>
  <c r="AK1452" i="1"/>
  <c r="AJ1453" i="1"/>
  <c r="AK1453" i="1"/>
  <c r="AJ1454" i="1"/>
  <c r="AK1454" i="1"/>
  <c r="AJ1455" i="1"/>
  <c r="AK1455" i="1"/>
  <c r="AJ1456" i="1"/>
  <c r="AK1456" i="1"/>
  <c r="AJ1457" i="1"/>
  <c r="AK1457" i="1"/>
  <c r="AJ1458" i="1"/>
  <c r="AK1458" i="1"/>
  <c r="AJ1459" i="1"/>
  <c r="AK1459" i="1"/>
  <c r="AJ1460" i="1"/>
  <c r="AK1460" i="1"/>
  <c r="AJ1461" i="1"/>
  <c r="AK1461" i="1"/>
  <c r="AJ1462" i="1"/>
  <c r="AK1462" i="1"/>
  <c r="AJ1463" i="1"/>
  <c r="AK1463" i="1"/>
  <c r="AJ1465" i="1"/>
  <c r="AK1465" i="1"/>
  <c r="AJ1466" i="1"/>
  <c r="AK1466" i="1"/>
  <c r="AJ1467" i="1"/>
  <c r="AK1467" i="1"/>
  <c r="AJ1468" i="1"/>
  <c r="AK1468" i="1"/>
  <c r="AJ1469" i="1"/>
  <c r="AK1469" i="1"/>
  <c r="AJ1470" i="1"/>
  <c r="AK1470" i="1"/>
  <c r="AJ1471" i="1"/>
  <c r="AK1471" i="1"/>
  <c r="AJ1472" i="1"/>
  <c r="AK1472" i="1"/>
  <c r="AJ1473" i="1"/>
  <c r="AK1473" i="1"/>
  <c r="AJ1474" i="1"/>
  <c r="AK1474" i="1"/>
  <c r="AJ1475" i="1"/>
  <c r="AK1475" i="1"/>
  <c r="AJ1476" i="1"/>
  <c r="AK1476" i="1"/>
  <c r="AJ1477" i="1"/>
  <c r="AK1477" i="1"/>
  <c r="AJ1478" i="1"/>
  <c r="AK1478" i="1"/>
  <c r="AJ1479" i="1"/>
  <c r="AK1479" i="1"/>
  <c r="AJ1480" i="1"/>
  <c r="AK1480" i="1"/>
  <c r="AJ1481" i="1"/>
  <c r="AK1481" i="1"/>
  <c r="AJ1482" i="1"/>
  <c r="AK1482" i="1"/>
  <c r="AJ1483" i="1"/>
  <c r="AK1483" i="1"/>
  <c r="AJ1484" i="1"/>
  <c r="AK1484" i="1"/>
  <c r="AJ1485" i="1"/>
  <c r="AK1485" i="1"/>
  <c r="AJ1486" i="1"/>
  <c r="AK1486" i="1"/>
  <c r="AJ1487" i="1"/>
  <c r="AK1487" i="1"/>
  <c r="AJ1488" i="1"/>
  <c r="AK1488" i="1"/>
  <c r="AJ1489" i="1"/>
  <c r="AK1489" i="1"/>
  <c r="AJ1490" i="1"/>
  <c r="AK1490" i="1"/>
  <c r="AJ1491" i="1"/>
  <c r="AK1491" i="1"/>
  <c r="AJ1492" i="1"/>
  <c r="AK1492" i="1"/>
  <c r="AJ1494" i="1"/>
  <c r="AK1494" i="1"/>
  <c r="AJ1495" i="1"/>
  <c r="AK1495" i="1"/>
  <c r="AJ1496" i="1"/>
  <c r="AK1496" i="1"/>
  <c r="AJ1497" i="1"/>
  <c r="AK1497" i="1"/>
  <c r="AJ1499" i="1"/>
  <c r="AK1499" i="1"/>
  <c r="AJ1500" i="1"/>
  <c r="AK1500" i="1"/>
  <c r="AJ1502" i="1"/>
  <c r="AK1502" i="1"/>
  <c r="AJ1503" i="1"/>
  <c r="AK1503" i="1"/>
  <c r="AJ1504" i="1"/>
  <c r="AK1504" i="1"/>
  <c r="AJ1505" i="1"/>
  <c r="AK1505" i="1"/>
  <c r="AJ1507" i="1"/>
  <c r="AK1507" i="1"/>
  <c r="AK2" i="1"/>
  <c r="AJ2" i="1"/>
  <c r="AE3" i="1"/>
  <c r="AF3" i="1"/>
  <c r="AE4" i="1"/>
  <c r="AF4" i="1"/>
  <c r="AE5" i="1"/>
  <c r="AF5" i="1"/>
  <c r="AE6" i="1"/>
  <c r="AF6" i="1"/>
  <c r="AE7" i="1"/>
  <c r="AF7" i="1"/>
  <c r="AE8" i="1"/>
  <c r="AF8" i="1"/>
  <c r="AE9" i="1"/>
  <c r="AF9" i="1"/>
  <c r="AE10" i="1"/>
  <c r="AF10" i="1"/>
  <c r="AE11" i="1"/>
  <c r="AF11" i="1"/>
  <c r="AE12" i="1"/>
  <c r="AF12" i="1"/>
  <c r="AE13" i="1"/>
  <c r="AF13" i="1"/>
  <c r="AE14" i="1"/>
  <c r="AF14" i="1"/>
  <c r="AE15" i="1"/>
  <c r="AF15" i="1"/>
  <c r="AE16" i="1"/>
  <c r="AF16" i="1"/>
  <c r="AE17" i="1"/>
  <c r="AF17" i="1"/>
  <c r="AE18" i="1"/>
  <c r="AF18" i="1"/>
  <c r="AE19" i="1"/>
  <c r="AF19" i="1"/>
  <c r="AE20" i="1"/>
  <c r="AF20" i="1"/>
  <c r="AE21" i="1"/>
  <c r="AF21" i="1"/>
  <c r="AE22" i="1"/>
  <c r="AF22" i="1"/>
  <c r="AE23" i="1"/>
  <c r="AF23" i="1"/>
  <c r="AE24" i="1"/>
  <c r="AF24" i="1"/>
  <c r="AE25" i="1"/>
  <c r="AF25" i="1"/>
  <c r="AE26" i="1"/>
  <c r="AF26" i="1"/>
  <c r="AE27" i="1"/>
  <c r="AF27" i="1"/>
  <c r="AE28" i="1"/>
  <c r="AF28" i="1"/>
  <c r="AE29" i="1"/>
  <c r="AF29" i="1"/>
  <c r="AE30" i="1"/>
  <c r="AF30" i="1"/>
  <c r="AE31" i="1"/>
  <c r="AF31" i="1"/>
  <c r="AE32" i="1"/>
  <c r="AF32" i="1"/>
  <c r="AE33" i="1"/>
  <c r="AF33" i="1"/>
  <c r="AE34" i="1"/>
  <c r="AF34" i="1"/>
  <c r="AE35" i="1"/>
  <c r="AF35" i="1"/>
  <c r="AE36" i="1"/>
  <c r="AF36" i="1"/>
  <c r="AE37" i="1"/>
  <c r="AF37" i="1"/>
  <c r="AE38" i="1"/>
  <c r="AF38" i="1"/>
  <c r="AE39" i="1"/>
  <c r="AF39" i="1"/>
  <c r="AE40" i="1"/>
  <c r="AF40" i="1"/>
  <c r="AE41" i="1"/>
  <c r="AF41" i="1"/>
  <c r="AE42" i="1"/>
  <c r="AF42" i="1"/>
  <c r="AE43" i="1"/>
  <c r="AF43" i="1"/>
  <c r="AE44" i="1"/>
  <c r="AF44" i="1"/>
  <c r="AE45" i="1"/>
  <c r="AF45" i="1"/>
  <c r="AE46" i="1"/>
  <c r="AF46" i="1"/>
  <c r="AE47" i="1"/>
  <c r="AF47" i="1"/>
  <c r="AE48" i="1"/>
  <c r="AF48" i="1"/>
  <c r="AE49" i="1"/>
  <c r="AF49" i="1"/>
  <c r="AE50" i="1"/>
  <c r="AF50" i="1"/>
  <c r="AE51" i="1"/>
  <c r="AF51" i="1"/>
  <c r="AE52" i="1"/>
  <c r="AF52" i="1"/>
  <c r="AE53" i="1"/>
  <c r="AF53" i="1"/>
  <c r="AE54" i="1"/>
  <c r="AF54" i="1"/>
  <c r="AE55" i="1"/>
  <c r="AF55" i="1"/>
  <c r="AE56" i="1"/>
  <c r="AF56" i="1"/>
  <c r="AE57" i="1"/>
  <c r="AF57" i="1"/>
  <c r="AE58" i="1"/>
  <c r="AF58" i="1"/>
  <c r="AE59" i="1"/>
  <c r="AF59" i="1"/>
  <c r="AE60" i="1"/>
  <c r="AF60" i="1"/>
  <c r="AE61" i="1"/>
  <c r="AF61" i="1"/>
  <c r="AE62" i="1"/>
  <c r="AF62" i="1"/>
  <c r="AE63" i="1"/>
  <c r="AF63" i="1"/>
  <c r="AE64" i="1"/>
  <c r="AF64" i="1"/>
  <c r="AE65" i="1"/>
  <c r="AF65" i="1"/>
  <c r="AE66" i="1"/>
  <c r="AF66" i="1"/>
  <c r="AE67" i="1"/>
  <c r="AF67" i="1"/>
  <c r="AE68" i="1"/>
  <c r="AF68" i="1"/>
  <c r="AE69" i="1"/>
  <c r="AF69" i="1"/>
  <c r="AE70" i="1"/>
  <c r="AF70" i="1"/>
  <c r="AE71" i="1"/>
  <c r="AF71" i="1"/>
  <c r="AE72" i="1"/>
  <c r="AF72" i="1"/>
  <c r="AE73" i="1"/>
  <c r="AF73" i="1"/>
  <c r="AE74" i="1"/>
  <c r="AF74" i="1"/>
  <c r="AE75" i="1"/>
  <c r="AF75" i="1"/>
  <c r="AE76" i="1"/>
  <c r="AF76" i="1"/>
  <c r="AE77" i="1"/>
  <c r="AF77" i="1"/>
  <c r="AE78" i="1"/>
  <c r="AF78" i="1"/>
  <c r="AE79" i="1"/>
  <c r="AF79" i="1"/>
  <c r="AE80" i="1"/>
  <c r="AF80" i="1"/>
  <c r="AE81" i="1"/>
  <c r="AF81" i="1"/>
  <c r="AE82" i="1"/>
  <c r="AF82" i="1"/>
  <c r="AE83" i="1"/>
  <c r="AF83" i="1"/>
  <c r="AE84" i="1"/>
  <c r="AF84" i="1"/>
  <c r="AE85" i="1"/>
  <c r="AF85" i="1"/>
  <c r="AE86" i="1"/>
  <c r="AF86" i="1"/>
  <c r="AE87" i="1"/>
  <c r="AF87" i="1"/>
  <c r="AE88" i="1"/>
  <c r="AF88" i="1"/>
  <c r="AE89" i="1"/>
  <c r="AF89" i="1"/>
  <c r="AE90" i="1"/>
  <c r="AF90" i="1"/>
  <c r="AE91" i="1"/>
  <c r="AF91" i="1"/>
  <c r="AE92" i="1"/>
  <c r="AF92" i="1"/>
  <c r="AE93" i="1"/>
  <c r="AF93" i="1"/>
  <c r="AE94" i="1"/>
  <c r="AF94" i="1"/>
  <c r="AE95" i="1"/>
  <c r="AF95" i="1"/>
  <c r="AE96" i="1"/>
  <c r="AF96" i="1"/>
  <c r="AE97" i="1"/>
  <c r="AF97" i="1"/>
  <c r="AE98" i="1"/>
  <c r="AF98" i="1"/>
  <c r="AE99" i="1"/>
  <c r="AF99" i="1"/>
  <c r="AE100" i="1"/>
  <c r="AF100" i="1"/>
  <c r="AE101" i="1"/>
  <c r="AF101" i="1"/>
  <c r="AE102" i="1"/>
  <c r="AF102" i="1"/>
  <c r="AE103" i="1"/>
  <c r="AF103" i="1"/>
  <c r="AE104" i="1"/>
  <c r="AF104" i="1"/>
  <c r="AE105" i="1"/>
  <c r="AF105" i="1"/>
  <c r="AE106" i="1"/>
  <c r="AF106" i="1"/>
  <c r="AE107" i="1"/>
  <c r="AF107" i="1"/>
  <c r="AE108" i="1"/>
  <c r="AF108" i="1"/>
  <c r="AE109" i="1"/>
  <c r="AF109" i="1"/>
  <c r="AE110" i="1"/>
  <c r="AF110" i="1"/>
  <c r="AE111" i="1"/>
  <c r="AF111" i="1"/>
  <c r="AE112" i="1"/>
  <c r="AF112" i="1"/>
  <c r="AE113" i="1"/>
  <c r="AF113" i="1"/>
  <c r="AE114" i="1"/>
  <c r="AF114" i="1"/>
  <c r="AE115" i="1"/>
  <c r="AF115" i="1"/>
  <c r="AE116" i="1"/>
  <c r="AF116" i="1"/>
  <c r="AE117" i="1"/>
  <c r="AF117" i="1"/>
  <c r="AE118" i="1"/>
  <c r="AF118" i="1"/>
  <c r="AE119" i="1"/>
  <c r="AF119" i="1"/>
  <c r="AE120" i="1"/>
  <c r="AF120" i="1"/>
  <c r="AE121" i="1"/>
  <c r="AF121" i="1"/>
  <c r="AE122" i="1"/>
  <c r="AF122" i="1"/>
  <c r="AE123" i="1"/>
  <c r="AF123" i="1"/>
  <c r="AE124" i="1"/>
  <c r="AF124" i="1"/>
  <c r="AE125" i="1"/>
  <c r="AF125" i="1"/>
  <c r="AE126" i="1"/>
  <c r="AF126" i="1"/>
  <c r="AE127" i="1"/>
  <c r="AF127" i="1"/>
  <c r="AE128" i="1"/>
  <c r="AF128" i="1"/>
  <c r="AE129" i="1"/>
  <c r="AF129" i="1"/>
  <c r="AE130" i="1"/>
  <c r="AF130" i="1"/>
  <c r="AE131" i="1"/>
  <c r="AF131" i="1"/>
  <c r="AE132" i="1"/>
  <c r="AF132" i="1"/>
  <c r="AE133" i="1"/>
  <c r="AF133" i="1"/>
  <c r="AE134" i="1"/>
  <c r="AF134" i="1"/>
  <c r="AE135" i="1"/>
  <c r="AF135" i="1"/>
  <c r="AE136" i="1"/>
  <c r="AF136" i="1"/>
  <c r="AE137" i="1"/>
  <c r="AF137" i="1"/>
  <c r="AE138" i="1"/>
  <c r="AF138" i="1"/>
  <c r="AE139" i="1"/>
  <c r="AF139" i="1"/>
  <c r="AE140" i="1"/>
  <c r="AF140" i="1"/>
  <c r="AE141" i="1"/>
  <c r="AF141" i="1"/>
  <c r="AE142" i="1"/>
  <c r="AF142" i="1"/>
  <c r="AE143" i="1"/>
  <c r="AF143" i="1"/>
  <c r="AE144" i="1"/>
  <c r="AF144" i="1"/>
  <c r="AE145" i="1"/>
  <c r="AF145" i="1"/>
  <c r="AE146" i="1"/>
  <c r="AF146" i="1"/>
  <c r="AE147" i="1"/>
  <c r="AF147" i="1"/>
  <c r="AE148" i="1"/>
  <c r="AF148" i="1"/>
  <c r="AE149" i="1"/>
  <c r="AF149" i="1"/>
  <c r="AE150" i="1"/>
  <c r="AF150" i="1"/>
  <c r="AE151" i="1"/>
  <c r="AF151" i="1"/>
  <c r="AE152" i="1"/>
  <c r="AF152" i="1"/>
  <c r="AE153" i="1"/>
  <c r="AF153" i="1"/>
  <c r="AE154" i="1"/>
  <c r="AF154" i="1"/>
  <c r="AE155" i="1"/>
  <c r="AF155" i="1"/>
  <c r="AE156" i="1"/>
  <c r="AF156" i="1"/>
  <c r="AE157" i="1"/>
  <c r="AF157" i="1"/>
  <c r="AE158" i="1"/>
  <c r="AF158" i="1"/>
  <c r="AE159" i="1"/>
  <c r="AF159" i="1"/>
  <c r="AE160" i="1"/>
  <c r="AF160" i="1"/>
  <c r="AE161" i="1"/>
  <c r="AF161" i="1"/>
  <c r="AE162" i="1"/>
  <c r="AF162" i="1"/>
  <c r="AE163" i="1"/>
  <c r="AF163" i="1"/>
  <c r="AE164" i="1"/>
  <c r="AF164" i="1"/>
  <c r="AE165" i="1"/>
  <c r="AF165" i="1"/>
  <c r="AE166" i="1"/>
  <c r="AF166" i="1"/>
  <c r="AE167" i="1"/>
  <c r="AF167" i="1"/>
  <c r="AE168" i="1"/>
  <c r="AF168" i="1"/>
  <c r="AE169" i="1"/>
  <c r="AF169" i="1"/>
  <c r="AE170" i="1"/>
  <c r="AF170" i="1"/>
  <c r="AE171" i="1"/>
  <c r="AF171" i="1"/>
  <c r="AE172" i="1"/>
  <c r="AF172" i="1"/>
  <c r="AE173" i="1"/>
  <c r="AF173" i="1"/>
  <c r="AE174" i="1"/>
  <c r="AF174" i="1"/>
  <c r="AE175" i="1"/>
  <c r="AF175" i="1"/>
  <c r="AE176" i="1"/>
  <c r="AF176" i="1"/>
  <c r="AE177" i="1"/>
  <c r="AF177" i="1"/>
  <c r="AE178" i="1"/>
  <c r="AF178" i="1"/>
  <c r="AE179" i="1"/>
  <c r="AF179" i="1"/>
  <c r="AE180" i="1"/>
  <c r="AF180" i="1"/>
  <c r="AE181" i="1"/>
  <c r="AF181" i="1"/>
  <c r="AE182" i="1"/>
  <c r="AF182" i="1"/>
  <c r="AE183" i="1"/>
  <c r="AF183" i="1"/>
  <c r="AE184" i="1"/>
  <c r="AF184" i="1"/>
  <c r="AE185" i="1"/>
  <c r="AF185" i="1"/>
  <c r="AE186" i="1"/>
  <c r="AF186" i="1"/>
  <c r="AE187" i="1"/>
  <c r="AF187" i="1"/>
  <c r="AE188" i="1"/>
  <c r="AF188" i="1"/>
  <c r="AE189" i="1"/>
  <c r="AF189" i="1"/>
  <c r="AE190" i="1"/>
  <c r="AF190" i="1"/>
  <c r="AE191" i="1"/>
  <c r="AF191" i="1"/>
  <c r="AE192" i="1"/>
  <c r="AF192" i="1"/>
  <c r="AE193" i="1"/>
  <c r="AF193" i="1"/>
  <c r="AE194" i="1"/>
  <c r="AF194" i="1"/>
  <c r="AE195" i="1"/>
  <c r="AF195" i="1"/>
  <c r="AE196" i="1"/>
  <c r="AF196" i="1"/>
  <c r="AE197" i="1"/>
  <c r="AF197" i="1"/>
  <c r="AE198" i="1"/>
  <c r="AF198" i="1"/>
  <c r="AE199" i="1"/>
  <c r="AF199" i="1"/>
  <c r="AE200" i="1"/>
  <c r="AF200" i="1"/>
  <c r="AE201" i="1"/>
  <c r="AF201" i="1"/>
  <c r="AE202" i="1"/>
  <c r="AF202" i="1"/>
  <c r="AE203" i="1"/>
  <c r="AF203" i="1"/>
  <c r="AE204" i="1"/>
  <c r="AF204" i="1"/>
  <c r="AE205" i="1"/>
  <c r="AF205" i="1"/>
  <c r="AE206" i="1"/>
  <c r="AF206" i="1"/>
  <c r="AE207" i="1"/>
  <c r="AF207" i="1"/>
  <c r="AE208" i="1"/>
  <c r="AF208" i="1"/>
  <c r="AE209" i="1"/>
  <c r="AF209" i="1"/>
  <c r="AE210" i="1"/>
  <c r="AF210" i="1"/>
  <c r="AE211" i="1"/>
  <c r="AF211" i="1"/>
  <c r="AE212" i="1"/>
  <c r="AF212" i="1"/>
  <c r="AE213" i="1"/>
  <c r="AF213" i="1"/>
  <c r="AE214" i="1"/>
  <c r="AF214" i="1"/>
  <c r="AE215" i="1"/>
  <c r="AF215" i="1"/>
  <c r="AE216" i="1"/>
  <c r="AF216" i="1"/>
  <c r="AE217" i="1"/>
  <c r="AF217" i="1"/>
  <c r="AE218" i="1"/>
  <c r="AF218" i="1"/>
  <c r="AE219" i="1"/>
  <c r="AF219" i="1"/>
  <c r="AE220" i="1"/>
  <c r="AF220" i="1"/>
  <c r="AE221" i="1"/>
  <c r="AF221" i="1"/>
  <c r="AE222" i="1"/>
  <c r="AF222" i="1"/>
  <c r="AE223" i="1"/>
  <c r="AF223" i="1"/>
  <c r="AE224" i="1"/>
  <c r="AF224" i="1"/>
  <c r="AE225" i="1"/>
  <c r="AF225" i="1"/>
  <c r="AE226" i="1"/>
  <c r="AF226" i="1"/>
  <c r="AE227" i="1"/>
  <c r="AF227" i="1"/>
  <c r="AE228" i="1"/>
  <c r="AF228" i="1"/>
  <c r="AE229" i="1"/>
  <c r="AF229" i="1"/>
  <c r="AE230" i="1"/>
  <c r="AF230" i="1"/>
  <c r="AE231" i="1"/>
  <c r="AF231" i="1"/>
  <c r="AE232" i="1"/>
  <c r="AF232" i="1"/>
  <c r="AE233" i="1"/>
  <c r="AF233" i="1"/>
  <c r="AE234" i="1"/>
  <c r="AF234" i="1"/>
  <c r="AE235" i="1"/>
  <c r="AF235" i="1"/>
  <c r="AE236" i="1"/>
  <c r="AF236" i="1"/>
  <c r="AE237" i="1"/>
  <c r="AF237" i="1"/>
  <c r="AE238" i="1"/>
  <c r="AF238" i="1"/>
  <c r="AE239" i="1"/>
  <c r="AF239" i="1"/>
  <c r="AE240" i="1"/>
  <c r="AF240" i="1"/>
  <c r="AE241" i="1"/>
  <c r="AF241" i="1"/>
  <c r="AE242" i="1"/>
  <c r="AF242" i="1"/>
  <c r="AE243" i="1"/>
  <c r="AF243" i="1"/>
  <c r="AE244" i="1"/>
  <c r="AF244" i="1"/>
  <c r="AE245" i="1"/>
  <c r="AF245" i="1"/>
  <c r="AE246" i="1"/>
  <c r="AF246" i="1"/>
  <c r="AE247" i="1"/>
  <c r="AF247" i="1"/>
  <c r="AE248" i="1"/>
  <c r="AF248" i="1"/>
  <c r="AE249" i="1"/>
  <c r="AF249" i="1"/>
  <c r="AE250" i="1"/>
  <c r="AF250" i="1"/>
  <c r="AE251" i="1"/>
  <c r="AF251" i="1"/>
  <c r="AE252" i="1"/>
  <c r="AF252" i="1"/>
  <c r="AE253" i="1"/>
  <c r="AF253" i="1"/>
  <c r="AE254" i="1"/>
  <c r="AF254" i="1"/>
  <c r="AE255" i="1"/>
  <c r="AF255" i="1"/>
  <c r="AE256" i="1"/>
  <c r="AF256" i="1"/>
  <c r="AE257" i="1"/>
  <c r="AF257" i="1"/>
  <c r="AE258" i="1"/>
  <c r="AF258" i="1"/>
  <c r="AE259" i="1"/>
  <c r="AF259" i="1"/>
  <c r="AE260" i="1"/>
  <c r="AF260" i="1"/>
  <c r="AE261" i="1"/>
  <c r="AF261" i="1"/>
  <c r="AE262" i="1"/>
  <c r="AF262" i="1"/>
  <c r="AE263" i="1"/>
  <c r="AF263" i="1"/>
  <c r="AE264" i="1"/>
  <c r="AF264" i="1"/>
  <c r="AE265" i="1"/>
  <c r="AF265" i="1"/>
  <c r="AE266" i="1"/>
  <c r="AF266" i="1"/>
  <c r="AE267" i="1"/>
  <c r="AF267" i="1"/>
  <c r="AE268" i="1"/>
  <c r="AF268" i="1"/>
  <c r="AE269" i="1"/>
  <c r="AF269" i="1"/>
  <c r="AE270" i="1"/>
  <c r="AF270" i="1"/>
  <c r="AE271" i="1"/>
  <c r="AF271" i="1"/>
  <c r="AE272" i="1"/>
  <c r="AF272" i="1"/>
  <c r="AE273" i="1"/>
  <c r="AF273" i="1"/>
  <c r="AE274" i="1"/>
  <c r="AF274" i="1"/>
  <c r="AE275" i="1"/>
  <c r="AF275" i="1"/>
  <c r="AE276" i="1"/>
  <c r="AF276" i="1"/>
  <c r="AE277" i="1"/>
  <c r="AF277" i="1"/>
  <c r="AE278" i="1"/>
  <c r="AF278" i="1"/>
  <c r="AE279" i="1"/>
  <c r="AF279" i="1"/>
  <c r="AE280" i="1"/>
  <c r="AF280" i="1"/>
  <c r="AE281" i="1"/>
  <c r="AF281" i="1"/>
  <c r="AE282" i="1"/>
  <c r="AF282" i="1"/>
  <c r="AE283" i="1"/>
  <c r="AF283" i="1"/>
  <c r="AE284" i="1"/>
  <c r="AF284" i="1"/>
  <c r="AE285" i="1"/>
  <c r="AF285" i="1"/>
  <c r="AE286" i="1"/>
  <c r="AF286" i="1"/>
  <c r="AE287" i="1"/>
  <c r="AF287" i="1"/>
  <c r="AE288" i="1"/>
  <c r="AF288" i="1"/>
  <c r="AE289" i="1"/>
  <c r="AF289" i="1"/>
  <c r="AE290" i="1"/>
  <c r="AF290" i="1"/>
  <c r="AE291" i="1"/>
  <c r="AF291" i="1"/>
  <c r="AE292" i="1"/>
  <c r="AF292" i="1"/>
  <c r="AE293" i="1"/>
  <c r="AF293" i="1"/>
  <c r="AE294" i="1"/>
  <c r="AF294" i="1"/>
  <c r="AE295" i="1"/>
  <c r="AF295" i="1"/>
  <c r="AE296" i="1"/>
  <c r="AF296" i="1"/>
  <c r="AE297" i="1"/>
  <c r="AF297" i="1"/>
  <c r="AE298" i="1"/>
  <c r="AF298" i="1"/>
  <c r="AE299" i="1"/>
  <c r="AF299" i="1"/>
  <c r="AE300" i="1"/>
  <c r="AF300" i="1"/>
  <c r="AE301" i="1"/>
  <c r="AF301" i="1"/>
  <c r="AE302" i="1"/>
  <c r="AF302" i="1"/>
  <c r="AE303" i="1"/>
  <c r="AF303" i="1"/>
  <c r="AE304" i="1"/>
  <c r="AF304" i="1"/>
  <c r="AE305" i="1"/>
  <c r="AF305" i="1"/>
  <c r="AE306" i="1"/>
  <c r="AF306" i="1"/>
  <c r="AE307" i="1"/>
  <c r="AF307" i="1"/>
  <c r="AE308" i="1"/>
  <c r="AF308" i="1"/>
  <c r="AE309" i="1"/>
  <c r="AF309" i="1"/>
  <c r="AE310" i="1"/>
  <c r="AF310" i="1"/>
  <c r="AE311" i="1"/>
  <c r="AF311" i="1"/>
  <c r="AE312" i="1"/>
  <c r="AF312" i="1"/>
  <c r="AE313" i="1"/>
  <c r="AF313" i="1"/>
  <c r="AE314" i="1"/>
  <c r="AF314" i="1"/>
  <c r="AE315" i="1"/>
  <c r="AF315" i="1"/>
  <c r="AE316" i="1"/>
  <c r="AF316" i="1"/>
  <c r="AE317" i="1"/>
  <c r="AF317" i="1"/>
  <c r="AE318" i="1"/>
  <c r="AF318" i="1"/>
  <c r="AE319" i="1"/>
  <c r="AF319" i="1"/>
  <c r="AE320" i="1"/>
  <c r="AF320" i="1"/>
  <c r="AE321" i="1"/>
  <c r="AF321" i="1"/>
  <c r="AE322" i="1"/>
  <c r="AF322" i="1"/>
  <c r="AE323" i="1"/>
  <c r="AF323" i="1"/>
  <c r="AE324" i="1"/>
  <c r="AF324" i="1"/>
  <c r="AE325" i="1"/>
  <c r="AF325" i="1"/>
  <c r="AE326" i="1"/>
  <c r="AF326" i="1"/>
  <c r="AE327" i="1"/>
  <c r="AF327" i="1"/>
  <c r="AE328" i="1"/>
  <c r="AF328" i="1"/>
  <c r="AE329" i="1"/>
  <c r="AF329" i="1"/>
  <c r="AE330" i="1"/>
  <c r="AF330" i="1"/>
  <c r="AE331" i="1"/>
  <c r="AF331" i="1"/>
  <c r="AE332" i="1"/>
  <c r="AF332" i="1"/>
  <c r="AE333" i="1"/>
  <c r="AF333" i="1"/>
  <c r="AE334" i="1"/>
  <c r="AF334" i="1"/>
  <c r="AE335" i="1"/>
  <c r="AF335" i="1"/>
  <c r="AE336" i="1"/>
  <c r="AF336" i="1"/>
  <c r="AE337" i="1"/>
  <c r="AF337" i="1"/>
  <c r="AE338" i="1"/>
  <c r="AF338" i="1"/>
  <c r="AE339" i="1"/>
  <c r="AF339" i="1"/>
  <c r="AE340" i="1"/>
  <c r="AF340" i="1"/>
  <c r="AE341" i="1"/>
  <c r="AF341" i="1"/>
  <c r="AE342" i="1"/>
  <c r="AF342" i="1"/>
  <c r="AE343" i="1"/>
  <c r="AF343" i="1"/>
  <c r="AE344" i="1"/>
  <c r="AF344" i="1"/>
  <c r="AE345" i="1"/>
  <c r="AF345" i="1"/>
  <c r="AE346" i="1"/>
  <c r="AF346" i="1"/>
  <c r="AE347" i="1"/>
  <c r="AF347" i="1"/>
  <c r="AE348" i="1"/>
  <c r="AF348" i="1"/>
  <c r="AE349" i="1"/>
  <c r="AF349" i="1"/>
  <c r="AE350" i="1"/>
  <c r="AF350" i="1"/>
  <c r="AE351" i="1"/>
  <c r="AF351" i="1"/>
  <c r="AE352" i="1"/>
  <c r="AF352" i="1"/>
  <c r="AE353" i="1"/>
  <c r="AF353" i="1"/>
  <c r="AE354" i="1"/>
  <c r="AF354" i="1"/>
  <c r="AE355" i="1"/>
  <c r="AF355" i="1"/>
  <c r="AE356" i="1"/>
  <c r="AF356" i="1"/>
  <c r="AE357" i="1"/>
  <c r="AF357" i="1"/>
  <c r="AE358" i="1"/>
  <c r="AF358" i="1"/>
  <c r="AE359" i="1"/>
  <c r="AF359" i="1"/>
  <c r="AE360" i="1"/>
  <c r="AF360" i="1"/>
  <c r="AE361" i="1"/>
  <c r="AF361" i="1"/>
  <c r="AE362" i="1"/>
  <c r="AF362" i="1"/>
  <c r="AE363" i="1"/>
  <c r="AF363" i="1"/>
  <c r="AE364" i="1"/>
  <c r="AF364" i="1"/>
  <c r="AE365" i="1"/>
  <c r="AF365" i="1"/>
  <c r="AE366" i="1"/>
  <c r="AF366" i="1"/>
  <c r="AE367" i="1"/>
  <c r="AF367" i="1"/>
  <c r="AE368" i="1"/>
  <c r="AF368" i="1"/>
  <c r="AE369" i="1"/>
  <c r="AF369" i="1"/>
  <c r="AE370" i="1"/>
  <c r="AF370" i="1"/>
  <c r="AE371" i="1"/>
  <c r="AF371" i="1"/>
  <c r="AE372" i="1"/>
  <c r="AF372" i="1"/>
  <c r="AE373" i="1"/>
  <c r="AF373" i="1"/>
  <c r="AE374" i="1"/>
  <c r="AF374" i="1"/>
  <c r="AE375" i="1"/>
  <c r="AF375" i="1"/>
  <c r="AE376" i="1"/>
  <c r="AF376" i="1"/>
  <c r="AE377" i="1"/>
  <c r="AF377" i="1"/>
  <c r="AE378" i="1"/>
  <c r="AF378" i="1"/>
  <c r="AE379" i="1"/>
  <c r="AF379" i="1"/>
  <c r="AE380" i="1"/>
  <c r="AF380" i="1"/>
  <c r="AE381" i="1"/>
  <c r="AF381" i="1"/>
  <c r="AE382" i="1"/>
  <c r="AF382" i="1"/>
  <c r="AE383" i="1"/>
  <c r="AF383" i="1"/>
  <c r="AE384" i="1"/>
  <c r="AF384" i="1"/>
  <c r="AE385" i="1"/>
  <c r="AF385" i="1"/>
  <c r="AE386" i="1"/>
  <c r="AF386" i="1"/>
  <c r="AE387" i="1"/>
  <c r="AF387" i="1"/>
  <c r="AE388" i="1"/>
  <c r="AF388" i="1"/>
  <c r="AE389" i="1"/>
  <c r="AF389" i="1"/>
  <c r="AE390" i="1"/>
  <c r="AF390" i="1"/>
  <c r="AE391" i="1"/>
  <c r="AF391" i="1"/>
  <c r="AE392" i="1"/>
  <c r="AF392" i="1"/>
  <c r="AE393" i="1"/>
  <c r="AF393" i="1"/>
  <c r="AE394" i="1"/>
  <c r="AF394" i="1"/>
  <c r="AE395" i="1"/>
  <c r="AF395" i="1"/>
  <c r="AE396" i="1"/>
  <c r="AF396" i="1"/>
  <c r="AE397" i="1"/>
  <c r="AF397" i="1"/>
  <c r="AE398" i="1"/>
  <c r="AF398" i="1"/>
  <c r="AE399" i="1"/>
  <c r="AF399" i="1"/>
  <c r="AE400" i="1"/>
  <c r="AF400" i="1"/>
  <c r="AE401" i="1"/>
  <c r="AF401" i="1"/>
  <c r="AE402" i="1"/>
  <c r="AF402" i="1"/>
  <c r="AE403" i="1"/>
  <c r="AF403" i="1"/>
  <c r="AE404" i="1"/>
  <c r="AF404" i="1"/>
  <c r="AE405" i="1"/>
  <c r="AF405" i="1"/>
  <c r="AE406" i="1"/>
  <c r="AF406" i="1"/>
  <c r="AE407" i="1"/>
  <c r="AF407" i="1"/>
  <c r="AE408" i="1"/>
  <c r="AF408" i="1"/>
  <c r="AE409" i="1"/>
  <c r="AF409" i="1"/>
  <c r="AE410" i="1"/>
  <c r="AF410" i="1"/>
  <c r="AE411" i="1"/>
  <c r="AF411" i="1"/>
  <c r="AE412" i="1"/>
  <c r="AF412" i="1"/>
  <c r="AE413" i="1"/>
  <c r="AF413" i="1"/>
  <c r="AE414" i="1"/>
  <c r="AF414" i="1"/>
  <c r="AE415" i="1"/>
  <c r="AF415" i="1"/>
  <c r="AE416" i="1"/>
  <c r="AF416" i="1"/>
  <c r="AE417" i="1"/>
  <c r="AF417" i="1"/>
  <c r="AE418" i="1"/>
  <c r="AF418" i="1"/>
  <c r="AE419" i="1"/>
  <c r="AF419" i="1"/>
  <c r="AE420" i="1"/>
  <c r="AF420" i="1"/>
  <c r="AE421" i="1"/>
  <c r="AF421" i="1"/>
  <c r="AE422" i="1"/>
  <c r="AF422" i="1"/>
  <c r="AE423" i="1"/>
  <c r="AF423" i="1"/>
  <c r="AE424" i="1"/>
  <c r="AF424" i="1"/>
  <c r="AE425" i="1"/>
  <c r="AF425" i="1"/>
  <c r="AE426" i="1"/>
  <c r="AF426" i="1"/>
  <c r="AE427" i="1"/>
  <c r="AF427" i="1"/>
  <c r="AE428" i="1"/>
  <c r="AF428" i="1"/>
  <c r="AE429" i="1"/>
  <c r="AF429" i="1"/>
  <c r="AE430" i="1"/>
  <c r="AF430" i="1"/>
  <c r="AE431" i="1"/>
  <c r="AF431" i="1"/>
  <c r="AE432" i="1"/>
  <c r="AF432" i="1"/>
  <c r="AE433" i="1"/>
  <c r="AF433" i="1"/>
  <c r="AE434" i="1"/>
  <c r="AF434" i="1"/>
  <c r="AE435" i="1"/>
  <c r="AF435" i="1"/>
  <c r="AE436" i="1"/>
  <c r="AF436" i="1"/>
  <c r="AE437" i="1"/>
  <c r="AF437" i="1"/>
  <c r="AE438" i="1"/>
  <c r="AF438" i="1"/>
  <c r="AE439" i="1"/>
  <c r="AF439" i="1"/>
  <c r="AE440" i="1"/>
  <c r="AF440" i="1"/>
  <c r="AE441" i="1"/>
  <c r="AF441" i="1"/>
  <c r="AE442" i="1"/>
  <c r="AF442" i="1"/>
  <c r="AE443" i="1"/>
  <c r="AF443" i="1"/>
  <c r="AE444" i="1"/>
  <c r="AF444" i="1"/>
  <c r="AE445" i="1"/>
  <c r="AF445" i="1"/>
  <c r="AE446" i="1"/>
  <c r="AF446" i="1"/>
  <c r="AE447" i="1"/>
  <c r="AF447" i="1"/>
  <c r="AE448" i="1"/>
  <c r="AF448" i="1"/>
  <c r="AE449" i="1"/>
  <c r="AF449" i="1"/>
  <c r="AE450" i="1"/>
  <c r="AF450" i="1"/>
  <c r="AE451" i="1"/>
  <c r="AF451" i="1"/>
  <c r="AE452" i="1"/>
  <c r="AF452" i="1"/>
  <c r="AE453" i="1"/>
  <c r="AF453" i="1"/>
  <c r="AE454" i="1"/>
  <c r="AF454" i="1"/>
  <c r="AE455" i="1"/>
  <c r="AF455" i="1"/>
  <c r="AE456" i="1"/>
  <c r="AF456" i="1"/>
  <c r="AE457" i="1"/>
  <c r="AF457" i="1"/>
  <c r="AE458" i="1"/>
  <c r="AF458" i="1"/>
  <c r="AE459" i="1"/>
  <c r="AF459" i="1"/>
  <c r="AE460" i="1"/>
  <c r="AF460" i="1"/>
  <c r="AE461" i="1"/>
  <c r="AF461" i="1"/>
  <c r="AE462" i="1"/>
  <c r="AF462" i="1"/>
  <c r="AE463" i="1"/>
  <c r="AF463" i="1"/>
  <c r="AE464" i="1"/>
  <c r="AF464" i="1"/>
  <c r="AE465" i="1"/>
  <c r="AF465" i="1"/>
  <c r="AE466" i="1"/>
  <c r="AF466" i="1"/>
  <c r="AE467" i="1"/>
  <c r="AF467" i="1"/>
  <c r="AE468" i="1"/>
  <c r="AF468" i="1"/>
  <c r="AE469" i="1"/>
  <c r="AF469" i="1"/>
  <c r="AE470" i="1"/>
  <c r="AF470" i="1"/>
  <c r="AE471" i="1"/>
  <c r="AF471" i="1"/>
  <c r="AE472" i="1"/>
  <c r="AF472" i="1"/>
  <c r="AE473" i="1"/>
  <c r="AF473" i="1"/>
  <c r="AE474" i="1"/>
  <c r="AF474" i="1"/>
  <c r="AE475" i="1"/>
  <c r="AF475" i="1"/>
  <c r="AE476" i="1"/>
  <c r="AF476" i="1"/>
  <c r="AE477" i="1"/>
  <c r="AF477" i="1"/>
  <c r="AE478" i="1"/>
  <c r="AF478" i="1"/>
  <c r="AE479" i="1"/>
  <c r="AF479" i="1"/>
  <c r="AE480" i="1"/>
  <c r="AF480" i="1"/>
  <c r="AE481" i="1"/>
  <c r="AF481" i="1"/>
  <c r="AE482" i="1"/>
  <c r="AF482" i="1"/>
  <c r="AE483" i="1"/>
  <c r="AF483" i="1"/>
  <c r="AE484" i="1"/>
  <c r="AF484" i="1"/>
  <c r="AE485" i="1"/>
  <c r="AF485" i="1"/>
  <c r="AE486" i="1"/>
  <c r="AF486" i="1"/>
  <c r="AE487" i="1"/>
  <c r="AF487" i="1"/>
  <c r="AE488" i="1"/>
  <c r="AF488" i="1"/>
  <c r="AE489" i="1"/>
  <c r="AF489" i="1"/>
  <c r="AE490" i="1"/>
  <c r="AF490" i="1"/>
  <c r="AE491" i="1"/>
  <c r="AF491" i="1"/>
  <c r="AE492" i="1"/>
  <c r="AF492" i="1"/>
  <c r="AE493" i="1"/>
  <c r="AF493" i="1"/>
  <c r="AE494" i="1"/>
  <c r="AF494" i="1"/>
  <c r="AE495" i="1"/>
  <c r="AF495" i="1"/>
  <c r="AE496" i="1"/>
  <c r="AF496" i="1"/>
  <c r="AE497" i="1"/>
  <c r="AF497" i="1"/>
  <c r="AE498" i="1"/>
  <c r="AF498" i="1"/>
  <c r="AE499" i="1"/>
  <c r="AF499" i="1"/>
  <c r="AE500" i="1"/>
  <c r="AF500" i="1"/>
  <c r="AE501" i="1"/>
  <c r="AF501" i="1"/>
  <c r="AE502" i="1"/>
  <c r="AF502" i="1"/>
  <c r="AE503" i="1"/>
  <c r="AF503" i="1"/>
  <c r="AE504" i="1"/>
  <c r="AF504" i="1"/>
  <c r="AE505" i="1"/>
  <c r="AF505" i="1"/>
  <c r="AE506" i="1"/>
  <c r="AF506" i="1"/>
  <c r="AE507" i="1"/>
  <c r="AF507" i="1"/>
  <c r="AE508" i="1"/>
  <c r="AF508" i="1"/>
  <c r="AE509" i="1"/>
  <c r="AF509" i="1"/>
  <c r="AE510" i="1"/>
  <c r="AF510" i="1"/>
  <c r="AE511" i="1"/>
  <c r="AF511" i="1"/>
  <c r="AE512" i="1"/>
  <c r="AF512" i="1"/>
  <c r="AE513" i="1"/>
  <c r="AF513" i="1"/>
  <c r="AE514" i="1"/>
  <c r="AF514" i="1"/>
  <c r="AE515" i="1"/>
  <c r="AF515" i="1"/>
  <c r="AE516" i="1"/>
  <c r="AF516" i="1"/>
  <c r="AE517" i="1"/>
  <c r="AF517" i="1"/>
  <c r="AE518" i="1"/>
  <c r="AF518" i="1"/>
  <c r="AE519" i="1"/>
  <c r="AF519" i="1"/>
  <c r="AE520" i="1"/>
  <c r="AF520" i="1"/>
  <c r="AE521" i="1"/>
  <c r="AF521" i="1"/>
  <c r="AE522" i="1"/>
  <c r="AF522" i="1"/>
  <c r="AE523" i="1"/>
  <c r="AF523" i="1"/>
  <c r="AE524" i="1"/>
  <c r="AF524" i="1"/>
  <c r="AE525" i="1"/>
  <c r="AF525" i="1"/>
  <c r="AE526" i="1"/>
  <c r="AF526" i="1"/>
  <c r="AE527" i="1"/>
  <c r="AF527" i="1"/>
  <c r="AE528" i="1"/>
  <c r="AF528" i="1"/>
  <c r="AE529" i="1"/>
  <c r="AF529" i="1"/>
  <c r="AE530" i="1"/>
  <c r="AF530" i="1"/>
  <c r="AE531" i="1"/>
  <c r="AF531" i="1"/>
  <c r="AE532" i="1"/>
  <c r="AF532" i="1"/>
  <c r="AE533" i="1"/>
  <c r="AF533" i="1"/>
  <c r="AE534" i="1"/>
  <c r="AF534" i="1"/>
  <c r="AE535" i="1"/>
  <c r="AF535" i="1"/>
  <c r="AE536" i="1"/>
  <c r="AF536" i="1"/>
  <c r="AE537" i="1"/>
  <c r="AF537" i="1"/>
  <c r="AE538" i="1"/>
  <c r="AF538" i="1"/>
  <c r="AE539" i="1"/>
  <c r="AF539" i="1"/>
  <c r="AE540" i="1"/>
  <c r="AF540" i="1"/>
  <c r="AE541" i="1"/>
  <c r="AF541" i="1"/>
  <c r="AE542" i="1"/>
  <c r="AF542" i="1"/>
  <c r="AE543" i="1"/>
  <c r="AF543" i="1"/>
  <c r="AE544" i="1"/>
  <c r="AF544" i="1"/>
  <c r="AE545" i="1"/>
  <c r="AF545" i="1"/>
  <c r="AE546" i="1"/>
  <c r="AF546" i="1"/>
  <c r="AE547" i="1"/>
  <c r="AF547" i="1"/>
  <c r="AE548" i="1"/>
  <c r="AF548" i="1"/>
  <c r="AE549" i="1"/>
  <c r="AF549" i="1"/>
  <c r="AE550" i="1"/>
  <c r="AF550" i="1"/>
  <c r="AE551" i="1"/>
  <c r="AF551" i="1"/>
  <c r="AE552" i="1"/>
  <c r="AF552" i="1"/>
  <c r="AE554" i="1"/>
  <c r="AF554" i="1"/>
  <c r="AE555" i="1"/>
  <c r="AF555" i="1"/>
  <c r="AE556" i="1"/>
  <c r="AF556" i="1"/>
  <c r="AE557" i="1"/>
  <c r="AF557" i="1"/>
  <c r="AE558" i="1"/>
  <c r="AF558" i="1"/>
  <c r="AE559" i="1"/>
  <c r="AF559" i="1"/>
  <c r="AE560" i="1"/>
  <c r="AF560" i="1"/>
  <c r="AE561" i="1"/>
  <c r="AF561" i="1"/>
  <c r="AE562" i="1"/>
  <c r="AF562" i="1"/>
  <c r="AE563" i="1"/>
  <c r="AF563" i="1"/>
  <c r="AE564" i="1"/>
  <c r="AF564" i="1"/>
  <c r="AE565" i="1"/>
  <c r="AF565" i="1"/>
  <c r="AE566" i="1"/>
  <c r="AF566" i="1"/>
  <c r="AE567" i="1"/>
  <c r="AF567" i="1"/>
  <c r="AE568" i="1"/>
  <c r="AF568" i="1"/>
  <c r="AE569" i="1"/>
  <c r="AF569" i="1"/>
  <c r="AE570" i="1"/>
  <c r="AF570" i="1"/>
  <c r="AE571" i="1"/>
  <c r="AF571" i="1"/>
  <c r="AE572" i="1"/>
  <c r="AF572" i="1"/>
  <c r="AE573" i="1"/>
  <c r="AF573" i="1"/>
  <c r="AE574" i="1"/>
  <c r="AF574" i="1"/>
  <c r="AE575" i="1"/>
  <c r="AF575" i="1"/>
  <c r="AE576" i="1"/>
  <c r="AF576" i="1"/>
  <c r="AE577" i="1"/>
  <c r="AF577" i="1"/>
  <c r="AE578" i="1"/>
  <c r="AF578" i="1"/>
  <c r="AE579" i="1"/>
  <c r="AF579" i="1"/>
  <c r="AE580" i="1"/>
  <c r="AF580" i="1"/>
  <c r="AE581" i="1"/>
  <c r="AF581" i="1"/>
  <c r="AE582" i="1"/>
  <c r="AF582" i="1"/>
  <c r="AE583" i="1"/>
  <c r="AF583" i="1"/>
  <c r="AE584" i="1"/>
  <c r="AF584" i="1"/>
  <c r="AE585" i="1"/>
  <c r="AF585" i="1"/>
  <c r="AE586" i="1"/>
  <c r="AF586" i="1"/>
  <c r="AE587" i="1"/>
  <c r="AF587" i="1"/>
  <c r="AE588" i="1"/>
  <c r="AF588" i="1"/>
  <c r="AE589" i="1"/>
  <c r="AF589" i="1"/>
  <c r="AE590" i="1"/>
  <c r="AF590" i="1"/>
  <c r="AE591" i="1"/>
  <c r="AF591" i="1"/>
  <c r="AE592" i="1"/>
  <c r="AF592" i="1"/>
  <c r="AE593" i="1"/>
  <c r="AF593" i="1"/>
  <c r="AE594" i="1"/>
  <c r="AF594" i="1"/>
  <c r="AE595" i="1"/>
  <c r="AF595" i="1"/>
  <c r="AE596" i="1"/>
  <c r="AF596" i="1"/>
  <c r="AE597" i="1"/>
  <c r="AF597" i="1"/>
  <c r="AE598" i="1"/>
  <c r="AF598" i="1"/>
  <c r="AE599" i="1"/>
  <c r="AF599" i="1"/>
  <c r="AE600" i="1"/>
  <c r="AF600" i="1"/>
  <c r="AE601" i="1"/>
  <c r="AF601" i="1"/>
  <c r="AE602" i="1"/>
  <c r="AF602" i="1"/>
  <c r="AE603" i="1"/>
  <c r="AF603" i="1"/>
  <c r="AE604" i="1"/>
  <c r="AF604" i="1"/>
  <c r="AE605" i="1"/>
  <c r="AF605" i="1"/>
  <c r="AE606" i="1"/>
  <c r="AF606" i="1"/>
  <c r="AE607" i="1"/>
  <c r="AF607" i="1"/>
  <c r="AE608" i="1"/>
  <c r="AF608" i="1"/>
  <c r="AE609" i="1"/>
  <c r="AF609" i="1"/>
  <c r="AE610" i="1"/>
  <c r="AF610" i="1"/>
  <c r="AE611" i="1"/>
  <c r="AF611" i="1"/>
  <c r="AE612" i="1"/>
  <c r="AF612" i="1"/>
  <c r="AE613" i="1"/>
  <c r="AF613" i="1"/>
  <c r="AE614" i="1"/>
  <c r="AF614" i="1"/>
  <c r="AE615" i="1"/>
  <c r="AF615" i="1"/>
  <c r="AE616" i="1"/>
  <c r="AF616" i="1"/>
  <c r="AE617" i="1"/>
  <c r="AF617" i="1"/>
  <c r="AE618" i="1"/>
  <c r="AF618" i="1"/>
  <c r="AE619" i="1"/>
  <c r="AF619" i="1"/>
  <c r="AE620" i="1"/>
  <c r="AF620" i="1"/>
  <c r="AE621" i="1"/>
  <c r="AF621" i="1"/>
  <c r="AE622" i="1"/>
  <c r="AF622" i="1"/>
  <c r="AE623" i="1"/>
  <c r="AF623" i="1"/>
  <c r="AE624" i="1"/>
  <c r="AF624" i="1"/>
  <c r="AE625" i="1"/>
  <c r="AF625" i="1"/>
  <c r="AE626" i="1"/>
  <c r="AF626" i="1"/>
  <c r="AE627" i="1"/>
  <c r="AF627" i="1"/>
  <c r="AE628" i="1"/>
  <c r="AF628" i="1"/>
  <c r="AE629" i="1"/>
  <c r="AF629" i="1"/>
  <c r="AE630" i="1"/>
  <c r="AF630" i="1"/>
  <c r="AE631" i="1"/>
  <c r="AF631" i="1"/>
  <c r="AE632" i="1"/>
  <c r="AF632" i="1"/>
  <c r="AE633" i="1"/>
  <c r="AF633" i="1"/>
  <c r="AE634" i="1"/>
  <c r="AF634" i="1"/>
  <c r="AE635" i="1"/>
  <c r="AF635" i="1"/>
  <c r="AE636" i="1"/>
  <c r="AF636" i="1"/>
  <c r="AE637" i="1"/>
  <c r="AF637" i="1"/>
  <c r="AE638" i="1"/>
  <c r="AF638" i="1"/>
  <c r="AE639" i="1"/>
  <c r="AF639" i="1"/>
  <c r="AE640" i="1"/>
  <c r="AF640" i="1"/>
  <c r="AE641" i="1"/>
  <c r="AF641" i="1"/>
  <c r="AE642" i="1"/>
  <c r="AF642" i="1"/>
  <c r="AE643" i="1"/>
  <c r="AF643" i="1"/>
  <c r="AE644" i="1"/>
  <c r="AF644" i="1"/>
  <c r="AE645" i="1"/>
  <c r="AF645" i="1"/>
  <c r="AE646" i="1"/>
  <c r="AF646" i="1"/>
  <c r="AE647" i="1"/>
  <c r="AF647" i="1"/>
  <c r="AE648" i="1"/>
  <c r="AF648" i="1"/>
  <c r="AE649" i="1"/>
  <c r="AF649" i="1"/>
  <c r="AE650" i="1"/>
  <c r="AF650" i="1"/>
  <c r="AE651" i="1"/>
  <c r="AF651" i="1"/>
  <c r="AE652" i="1"/>
  <c r="AF652" i="1"/>
  <c r="AE653" i="1"/>
  <c r="AF653" i="1"/>
  <c r="AE654" i="1"/>
  <c r="AF654" i="1"/>
  <c r="AE655" i="1"/>
  <c r="AF655" i="1"/>
  <c r="AE656" i="1"/>
  <c r="AF656" i="1"/>
  <c r="AE657" i="1"/>
  <c r="AF657" i="1"/>
  <c r="AE658" i="1"/>
  <c r="AF658" i="1"/>
  <c r="AE659" i="1"/>
  <c r="AF659" i="1"/>
  <c r="AE660" i="1"/>
  <c r="AF660" i="1"/>
  <c r="AE661" i="1"/>
  <c r="AF661" i="1"/>
  <c r="AE662" i="1"/>
  <c r="AF662" i="1"/>
  <c r="AE663" i="1"/>
  <c r="AF663" i="1"/>
  <c r="AE664" i="1"/>
  <c r="AF664" i="1"/>
  <c r="AE665" i="1"/>
  <c r="AF665" i="1"/>
  <c r="AE666" i="1"/>
  <c r="AF666" i="1"/>
  <c r="AE667" i="1"/>
  <c r="AF667" i="1"/>
  <c r="AE668" i="1"/>
  <c r="AF668" i="1"/>
  <c r="AE669" i="1"/>
  <c r="AF669" i="1"/>
  <c r="AE670" i="1"/>
  <c r="AF670" i="1"/>
  <c r="AE671" i="1"/>
  <c r="AF671" i="1"/>
  <c r="AE672" i="1"/>
  <c r="AF672" i="1"/>
  <c r="AE673" i="1"/>
  <c r="AF673" i="1"/>
  <c r="AE674" i="1"/>
  <c r="AF674" i="1"/>
  <c r="AE675" i="1"/>
  <c r="AF675" i="1"/>
  <c r="AE676" i="1"/>
  <c r="AF676" i="1"/>
  <c r="AE677" i="1"/>
  <c r="AF677" i="1"/>
  <c r="AE678" i="1"/>
  <c r="AF678" i="1"/>
  <c r="AE679" i="1"/>
  <c r="AF679" i="1"/>
  <c r="AE680" i="1"/>
  <c r="AF680" i="1"/>
  <c r="AE681" i="1"/>
  <c r="AF681" i="1"/>
  <c r="AE682" i="1"/>
  <c r="AF682" i="1"/>
  <c r="AE683" i="1"/>
  <c r="AF683" i="1"/>
  <c r="AE684" i="1"/>
  <c r="AF684" i="1"/>
  <c r="AE685" i="1"/>
  <c r="AF685" i="1"/>
  <c r="AE686" i="1"/>
  <c r="AF686" i="1"/>
  <c r="AE687" i="1"/>
  <c r="AF687" i="1"/>
  <c r="AE688" i="1"/>
  <c r="AF688" i="1"/>
  <c r="AE689" i="1"/>
  <c r="AF689" i="1"/>
  <c r="AE690" i="1"/>
  <c r="AF690" i="1"/>
  <c r="AE691" i="1"/>
  <c r="AF691" i="1"/>
  <c r="AE692" i="1"/>
  <c r="AF692" i="1"/>
  <c r="AE693" i="1"/>
  <c r="AF693" i="1"/>
  <c r="AE694" i="1"/>
  <c r="AF694" i="1"/>
  <c r="AE695" i="1"/>
  <c r="AF695" i="1"/>
  <c r="AE696" i="1"/>
  <c r="AF696" i="1"/>
  <c r="AE697" i="1"/>
  <c r="AF697" i="1"/>
  <c r="AE698" i="1"/>
  <c r="AF698" i="1"/>
  <c r="AE699" i="1"/>
  <c r="AF699" i="1"/>
  <c r="AE700" i="1"/>
  <c r="AF700" i="1"/>
  <c r="AE701" i="1"/>
  <c r="AF701" i="1"/>
  <c r="AE702" i="1"/>
  <c r="AF702" i="1"/>
  <c r="AE703" i="1"/>
  <c r="AF703" i="1"/>
  <c r="AE704" i="1"/>
  <c r="AF704" i="1"/>
  <c r="AE705" i="1"/>
  <c r="AF705" i="1"/>
  <c r="AE706" i="1"/>
  <c r="AF706" i="1"/>
  <c r="AE707" i="1"/>
  <c r="AF707" i="1"/>
  <c r="AE708" i="1"/>
  <c r="AF708" i="1"/>
  <c r="AE709" i="1"/>
  <c r="AF709" i="1"/>
  <c r="AE710" i="1"/>
  <c r="AF710" i="1"/>
  <c r="AE711" i="1"/>
  <c r="AF711" i="1"/>
  <c r="AE712" i="1"/>
  <c r="AF712" i="1"/>
  <c r="AE713" i="1"/>
  <c r="AF713" i="1"/>
  <c r="AE714" i="1"/>
  <c r="AF714" i="1"/>
  <c r="AE715" i="1"/>
  <c r="AF715" i="1"/>
  <c r="AE716" i="1"/>
  <c r="AF716" i="1"/>
  <c r="AE717" i="1"/>
  <c r="AF717" i="1"/>
  <c r="AE718" i="1"/>
  <c r="AF718" i="1"/>
  <c r="AE719" i="1"/>
  <c r="AF719" i="1"/>
  <c r="AE720" i="1"/>
  <c r="AF720" i="1"/>
  <c r="AE721" i="1"/>
  <c r="AF721" i="1"/>
  <c r="AE722" i="1"/>
  <c r="AF722" i="1"/>
  <c r="AE723" i="1"/>
  <c r="AF723" i="1"/>
  <c r="AE724" i="1"/>
  <c r="AF724" i="1"/>
  <c r="AE725" i="1"/>
  <c r="AF725" i="1"/>
  <c r="AE726" i="1"/>
  <c r="AF726" i="1"/>
  <c r="AE727" i="1"/>
  <c r="AF727" i="1"/>
  <c r="AE728" i="1"/>
  <c r="AF728" i="1"/>
  <c r="AE729" i="1"/>
  <c r="AF729" i="1"/>
  <c r="AE730" i="1"/>
  <c r="AF730" i="1"/>
  <c r="AE731" i="1"/>
  <c r="AF731" i="1"/>
  <c r="AE732" i="1"/>
  <c r="AF732" i="1"/>
  <c r="AE733" i="1"/>
  <c r="AF733" i="1"/>
  <c r="AE734" i="1"/>
  <c r="AF734" i="1"/>
  <c r="AE735" i="1"/>
  <c r="AF735" i="1"/>
  <c r="AE736" i="1"/>
  <c r="AF736" i="1"/>
  <c r="AE737" i="1"/>
  <c r="AF737" i="1"/>
  <c r="AE738" i="1"/>
  <c r="AF738" i="1"/>
  <c r="AE739" i="1"/>
  <c r="AF739" i="1"/>
  <c r="AE740" i="1"/>
  <c r="AF740" i="1"/>
  <c r="AE741" i="1"/>
  <c r="AF741" i="1"/>
  <c r="AE742" i="1"/>
  <c r="AF742" i="1"/>
  <c r="AE743" i="1"/>
  <c r="AF743" i="1"/>
  <c r="AE744" i="1"/>
  <c r="AF744" i="1"/>
  <c r="AE745" i="1"/>
  <c r="AF745" i="1"/>
  <c r="AE746" i="1"/>
  <c r="AF746" i="1"/>
  <c r="AE747" i="1"/>
  <c r="AF747" i="1"/>
  <c r="AE748" i="1"/>
  <c r="AF748" i="1"/>
  <c r="AE749" i="1"/>
  <c r="AF749" i="1"/>
  <c r="AE750" i="1"/>
  <c r="AF750" i="1"/>
  <c r="AE751" i="1"/>
  <c r="AF751" i="1"/>
  <c r="AE752" i="1"/>
  <c r="AF752" i="1"/>
  <c r="AE753" i="1"/>
  <c r="AF753" i="1"/>
  <c r="AE754" i="1"/>
  <c r="AF754" i="1"/>
  <c r="AE755" i="1"/>
  <c r="AF755" i="1"/>
  <c r="AE756" i="1"/>
  <c r="AF756" i="1"/>
  <c r="AE757" i="1"/>
  <c r="AF757" i="1"/>
  <c r="AE758" i="1"/>
  <c r="AF758" i="1"/>
  <c r="AE759" i="1"/>
  <c r="AF759" i="1"/>
  <c r="AE760" i="1"/>
  <c r="AF760" i="1"/>
  <c r="AE761" i="1"/>
  <c r="AF761" i="1"/>
  <c r="AE762" i="1"/>
  <c r="AF762" i="1"/>
  <c r="AE763" i="1"/>
  <c r="AF763" i="1"/>
  <c r="AE764" i="1"/>
  <c r="AF764" i="1"/>
  <c r="AE765" i="1"/>
  <c r="AF765" i="1"/>
  <c r="AE766" i="1"/>
  <c r="AF766" i="1"/>
  <c r="AE767" i="1"/>
  <c r="AF767" i="1"/>
  <c r="AE768" i="1"/>
  <c r="AF768" i="1"/>
  <c r="AE769" i="1"/>
  <c r="AF769" i="1"/>
  <c r="AE770" i="1"/>
  <c r="AF770" i="1"/>
  <c r="AE771" i="1"/>
  <c r="AF771" i="1"/>
  <c r="AE772" i="1"/>
  <c r="AF772" i="1"/>
  <c r="AE773" i="1"/>
  <c r="AF773" i="1"/>
  <c r="AE774" i="1"/>
  <c r="AF774" i="1"/>
  <c r="AE775" i="1"/>
  <c r="AF775" i="1"/>
  <c r="AE776" i="1"/>
  <c r="AF776" i="1"/>
  <c r="AE777" i="1"/>
  <c r="AF777" i="1"/>
  <c r="AE778" i="1"/>
  <c r="AF778" i="1"/>
  <c r="AE779" i="1"/>
  <c r="AF779" i="1"/>
  <c r="AE780" i="1"/>
  <c r="AF780" i="1"/>
  <c r="AE781" i="1"/>
  <c r="AF781" i="1"/>
  <c r="AE782" i="1"/>
  <c r="AF782" i="1"/>
  <c r="AE783" i="1"/>
  <c r="AF783" i="1"/>
  <c r="AE784" i="1"/>
  <c r="AF784" i="1"/>
  <c r="AE785" i="1"/>
  <c r="AF785" i="1"/>
  <c r="AE786" i="1"/>
  <c r="AF786" i="1"/>
  <c r="AE787" i="1"/>
  <c r="AF787" i="1"/>
  <c r="AE788" i="1"/>
  <c r="AF788" i="1"/>
  <c r="AE789" i="1"/>
  <c r="AF789" i="1"/>
  <c r="AE790" i="1"/>
  <c r="AF790" i="1"/>
  <c r="AE791" i="1"/>
  <c r="AF791" i="1"/>
  <c r="AE792" i="1"/>
  <c r="AF792" i="1"/>
  <c r="AE793" i="1"/>
  <c r="AF793" i="1"/>
  <c r="AE794" i="1"/>
  <c r="AF794" i="1"/>
  <c r="AE795" i="1"/>
  <c r="AF795" i="1"/>
  <c r="AE796" i="1"/>
  <c r="AF796" i="1"/>
  <c r="AE797" i="1"/>
  <c r="AF797" i="1"/>
  <c r="AE798" i="1"/>
  <c r="AF798" i="1"/>
  <c r="AE799" i="1"/>
  <c r="AF799" i="1"/>
  <c r="AE800" i="1"/>
  <c r="AF800" i="1"/>
  <c r="AE801" i="1"/>
  <c r="AF801" i="1"/>
  <c r="AE802" i="1"/>
  <c r="AF802" i="1"/>
  <c r="AE803" i="1"/>
  <c r="AF803" i="1"/>
  <c r="AE804" i="1"/>
  <c r="AF804" i="1"/>
  <c r="AE805" i="1"/>
  <c r="AF805" i="1"/>
  <c r="AE806" i="1"/>
  <c r="AF806" i="1"/>
  <c r="AE807" i="1"/>
  <c r="AF807" i="1"/>
  <c r="AE808" i="1"/>
  <c r="AF808" i="1"/>
  <c r="AE809" i="1"/>
  <c r="AF809" i="1"/>
  <c r="AE810" i="1"/>
  <c r="AF810" i="1"/>
  <c r="AE811" i="1"/>
  <c r="AF811" i="1"/>
  <c r="AE812" i="1"/>
  <c r="AF812" i="1"/>
  <c r="AE813" i="1"/>
  <c r="AF813" i="1"/>
  <c r="AE814" i="1"/>
  <c r="AF814" i="1"/>
  <c r="AE815" i="1"/>
  <c r="AF815" i="1"/>
  <c r="AE816" i="1"/>
  <c r="AF816" i="1"/>
  <c r="AE817" i="1"/>
  <c r="AF817" i="1"/>
  <c r="AE818" i="1"/>
  <c r="AF818" i="1"/>
  <c r="AE819" i="1"/>
  <c r="AF819" i="1"/>
  <c r="AE820" i="1"/>
  <c r="AF820" i="1"/>
  <c r="AE821" i="1"/>
  <c r="AF821" i="1"/>
  <c r="AE822" i="1"/>
  <c r="AF822" i="1"/>
  <c r="AE823" i="1"/>
  <c r="AF823" i="1"/>
  <c r="AE824" i="1"/>
  <c r="AF824" i="1"/>
  <c r="AE825" i="1"/>
  <c r="AF825" i="1"/>
  <c r="AE826" i="1"/>
  <c r="AF826" i="1"/>
  <c r="AE827" i="1"/>
  <c r="AF827" i="1"/>
  <c r="AE828" i="1"/>
  <c r="AF828" i="1"/>
  <c r="AE829" i="1"/>
  <c r="AF829" i="1"/>
  <c r="AE830" i="1"/>
  <c r="AF830" i="1"/>
  <c r="AE831" i="1"/>
  <c r="AF831" i="1"/>
  <c r="AE832" i="1"/>
  <c r="AF832" i="1"/>
  <c r="AE833" i="1"/>
  <c r="AF833" i="1"/>
  <c r="AE834" i="1"/>
  <c r="AF834" i="1"/>
  <c r="AE835" i="1"/>
  <c r="AF835" i="1"/>
  <c r="AE836" i="1"/>
  <c r="AF836" i="1"/>
  <c r="AE837" i="1"/>
  <c r="AF837" i="1"/>
  <c r="AE838" i="1"/>
  <c r="AF838" i="1"/>
  <c r="AE839" i="1"/>
  <c r="AF839" i="1"/>
  <c r="AE840" i="1"/>
  <c r="AF840" i="1"/>
  <c r="AE841" i="1"/>
  <c r="AF841" i="1"/>
  <c r="AE842" i="1"/>
  <c r="AF842" i="1"/>
  <c r="AE843" i="1"/>
  <c r="AF843" i="1"/>
  <c r="AE844" i="1"/>
  <c r="AF844" i="1"/>
  <c r="AE845" i="1"/>
  <c r="AF845" i="1"/>
  <c r="AE846" i="1"/>
  <c r="AF846" i="1"/>
  <c r="AE847" i="1"/>
  <c r="AF847" i="1"/>
  <c r="AE848" i="1"/>
  <c r="AF848" i="1"/>
  <c r="AE849" i="1"/>
  <c r="AF849" i="1"/>
  <c r="AE850" i="1"/>
  <c r="AF850" i="1"/>
  <c r="AE851" i="1"/>
  <c r="AF851" i="1"/>
  <c r="AE852" i="1"/>
  <c r="AF852" i="1"/>
  <c r="AE853" i="1"/>
  <c r="AF853" i="1"/>
  <c r="AE854" i="1"/>
  <c r="AF854" i="1"/>
  <c r="AE855" i="1"/>
  <c r="AF855" i="1"/>
  <c r="AE856" i="1"/>
  <c r="AF856" i="1"/>
  <c r="AE857" i="1"/>
  <c r="AF857" i="1"/>
  <c r="AE858" i="1"/>
  <c r="AF858" i="1"/>
  <c r="AE859" i="1"/>
  <c r="AF859" i="1"/>
  <c r="AE860" i="1"/>
  <c r="AF860" i="1"/>
  <c r="AE861" i="1"/>
  <c r="AF861" i="1"/>
  <c r="AE862" i="1"/>
  <c r="AF862" i="1"/>
  <c r="AE863" i="1"/>
  <c r="AF863" i="1"/>
  <c r="AE864" i="1"/>
  <c r="AF864" i="1"/>
  <c r="AE865" i="1"/>
  <c r="AF865" i="1"/>
  <c r="AE866" i="1"/>
  <c r="AF866" i="1"/>
  <c r="AE867" i="1"/>
  <c r="AF867" i="1"/>
  <c r="AE868" i="1"/>
  <c r="AF868" i="1"/>
  <c r="AE869" i="1"/>
  <c r="AF869" i="1"/>
  <c r="AE870" i="1"/>
  <c r="AF870" i="1"/>
  <c r="AE871" i="1"/>
  <c r="AF871" i="1"/>
  <c r="AE872" i="1"/>
  <c r="AF872" i="1"/>
  <c r="AE873" i="1"/>
  <c r="AF873" i="1"/>
  <c r="AE874" i="1"/>
  <c r="AF874" i="1"/>
  <c r="AE875" i="1"/>
  <c r="AF875" i="1"/>
  <c r="AE876" i="1"/>
  <c r="AF876" i="1"/>
  <c r="AE877" i="1"/>
  <c r="AF877" i="1"/>
  <c r="AE878" i="1"/>
  <c r="AF878" i="1"/>
  <c r="AE879" i="1"/>
  <c r="AF879" i="1"/>
  <c r="AE880" i="1"/>
  <c r="AF880" i="1"/>
  <c r="AE881" i="1"/>
  <c r="AF881" i="1"/>
  <c r="AE882" i="1"/>
  <c r="AF882" i="1"/>
  <c r="AE883" i="1"/>
  <c r="AF883" i="1"/>
  <c r="AE884" i="1"/>
  <c r="AF884" i="1"/>
  <c r="AE885" i="1"/>
  <c r="AF885" i="1"/>
  <c r="AE886" i="1"/>
  <c r="AF886" i="1"/>
  <c r="AE887" i="1"/>
  <c r="AF887" i="1"/>
  <c r="AE888" i="1"/>
  <c r="AF888" i="1"/>
  <c r="AE889" i="1"/>
  <c r="AF889" i="1"/>
  <c r="AE890" i="1"/>
  <c r="AF890" i="1"/>
  <c r="AE891" i="1"/>
  <c r="AF891" i="1"/>
  <c r="AE892" i="1"/>
  <c r="AF892" i="1"/>
  <c r="AE893" i="1"/>
  <c r="AF893" i="1"/>
  <c r="AE894" i="1"/>
  <c r="AF894" i="1"/>
  <c r="AE895" i="1"/>
  <c r="AF895" i="1"/>
  <c r="AE896" i="1"/>
  <c r="AF896" i="1"/>
  <c r="AE897" i="1"/>
  <c r="AF897" i="1"/>
  <c r="AE898" i="1"/>
  <c r="AF898" i="1"/>
  <c r="AE899" i="1"/>
  <c r="AF899" i="1"/>
  <c r="AE900" i="1"/>
  <c r="AF900" i="1"/>
  <c r="AE901" i="1"/>
  <c r="AF901" i="1"/>
  <c r="AE902" i="1"/>
  <c r="AF902" i="1"/>
  <c r="AE903" i="1"/>
  <c r="AF903" i="1"/>
  <c r="AE904" i="1"/>
  <c r="AF904" i="1"/>
  <c r="AE905" i="1"/>
  <c r="AF905" i="1"/>
  <c r="AE906" i="1"/>
  <c r="AF906" i="1"/>
  <c r="AE907" i="1"/>
  <c r="AF907" i="1"/>
  <c r="AE908" i="1"/>
  <c r="AF908" i="1"/>
  <c r="AE909" i="1"/>
  <c r="AF909" i="1"/>
  <c r="AE910" i="1"/>
  <c r="AF910" i="1"/>
  <c r="AE911" i="1"/>
  <c r="AF911" i="1"/>
  <c r="AE912" i="1"/>
  <c r="AF912" i="1"/>
  <c r="AE913" i="1"/>
  <c r="AF913" i="1"/>
  <c r="AE914" i="1"/>
  <c r="AF914" i="1"/>
  <c r="AE915" i="1"/>
  <c r="AF915" i="1"/>
  <c r="AE916" i="1"/>
  <c r="AF916" i="1"/>
  <c r="AE917" i="1"/>
  <c r="AF917" i="1"/>
  <c r="AE918" i="1"/>
  <c r="AF918" i="1"/>
  <c r="AE919" i="1"/>
  <c r="AF919" i="1"/>
  <c r="AE920" i="1"/>
  <c r="AF920" i="1"/>
  <c r="AE921" i="1"/>
  <c r="AF921" i="1"/>
  <c r="AE922" i="1"/>
  <c r="AF922" i="1"/>
  <c r="AE923" i="1"/>
  <c r="AF923" i="1"/>
  <c r="AE924" i="1"/>
  <c r="AF924" i="1"/>
  <c r="AE925" i="1"/>
  <c r="AF925" i="1"/>
  <c r="AE926" i="1"/>
  <c r="AF926" i="1"/>
  <c r="AE927" i="1"/>
  <c r="AF927" i="1"/>
  <c r="AE928" i="1"/>
  <c r="AF928" i="1"/>
  <c r="AE929" i="1"/>
  <c r="AF929" i="1"/>
  <c r="AE930" i="1"/>
  <c r="AF930" i="1"/>
  <c r="AE931" i="1"/>
  <c r="AF931" i="1"/>
  <c r="AE932" i="1"/>
  <c r="AF932" i="1"/>
  <c r="AE933" i="1"/>
  <c r="AF933" i="1"/>
  <c r="AE934" i="1"/>
  <c r="AF934" i="1"/>
  <c r="AE935" i="1"/>
  <c r="AF935" i="1"/>
  <c r="AE936" i="1"/>
  <c r="AF936" i="1"/>
  <c r="AE937" i="1"/>
  <c r="AF937" i="1"/>
  <c r="AE938" i="1"/>
  <c r="AF938" i="1"/>
  <c r="AE939" i="1"/>
  <c r="AF939" i="1"/>
  <c r="AE940" i="1"/>
  <c r="AF940" i="1"/>
  <c r="AE941" i="1"/>
  <c r="AF941" i="1"/>
  <c r="AE942" i="1"/>
  <c r="AF942" i="1"/>
  <c r="AE943" i="1"/>
  <c r="AF943" i="1"/>
  <c r="AE944" i="1"/>
  <c r="AF944" i="1"/>
  <c r="AE945" i="1"/>
  <c r="AF945" i="1"/>
  <c r="AE946" i="1"/>
  <c r="AF946" i="1"/>
  <c r="AE947" i="1"/>
  <c r="AF947" i="1"/>
  <c r="AE948" i="1"/>
  <c r="AF948" i="1"/>
  <c r="AE949" i="1"/>
  <c r="AF949" i="1"/>
  <c r="AE950" i="1"/>
  <c r="AF950" i="1"/>
  <c r="AE951" i="1"/>
  <c r="AF951" i="1"/>
  <c r="AE952" i="1"/>
  <c r="AF952" i="1"/>
  <c r="AE953" i="1"/>
  <c r="AF953" i="1"/>
  <c r="AE954" i="1"/>
  <c r="AF954" i="1"/>
  <c r="AE955" i="1"/>
  <c r="AF955" i="1"/>
  <c r="AE956" i="1"/>
  <c r="AF956" i="1"/>
  <c r="AE957" i="1"/>
  <c r="AF957" i="1"/>
  <c r="AE958" i="1"/>
  <c r="AF958" i="1"/>
  <c r="AE959" i="1"/>
  <c r="AF959" i="1"/>
  <c r="AE960" i="1"/>
  <c r="AF960" i="1"/>
  <c r="AE961" i="1"/>
  <c r="AF961" i="1"/>
  <c r="AE962" i="1"/>
  <c r="AF962" i="1"/>
  <c r="AE963" i="1"/>
  <c r="AF963" i="1"/>
  <c r="AE964" i="1"/>
  <c r="AF964" i="1"/>
  <c r="AE965" i="1"/>
  <c r="AF965" i="1"/>
  <c r="AE966" i="1"/>
  <c r="AF966" i="1"/>
  <c r="AE967" i="1"/>
  <c r="AF967" i="1"/>
  <c r="AE968" i="1"/>
  <c r="AF968" i="1"/>
  <c r="AE969" i="1"/>
  <c r="AF969" i="1"/>
  <c r="AE970" i="1"/>
  <c r="AF970" i="1"/>
  <c r="AE971" i="1"/>
  <c r="AF971" i="1"/>
  <c r="AE972" i="1"/>
  <c r="AF972" i="1"/>
  <c r="AE973" i="1"/>
  <c r="AF973" i="1"/>
  <c r="AE974" i="1"/>
  <c r="AF974" i="1"/>
  <c r="AE975" i="1"/>
  <c r="AF975" i="1"/>
  <c r="AE976" i="1"/>
  <c r="AF976" i="1"/>
  <c r="AE977" i="1"/>
  <c r="AF977" i="1"/>
  <c r="AE978" i="1"/>
  <c r="AF978" i="1"/>
  <c r="AE979" i="1"/>
  <c r="AF979" i="1"/>
  <c r="AE980" i="1"/>
  <c r="AF980" i="1"/>
  <c r="AE981" i="1"/>
  <c r="AF981" i="1"/>
  <c r="AE982" i="1"/>
  <c r="AF982" i="1"/>
  <c r="AE983" i="1"/>
  <c r="AF983" i="1"/>
  <c r="AE984" i="1"/>
  <c r="AF984" i="1"/>
  <c r="AE985" i="1"/>
  <c r="AF985" i="1"/>
  <c r="AE986" i="1"/>
  <c r="AF986" i="1"/>
  <c r="AE987" i="1"/>
  <c r="AF987" i="1"/>
  <c r="AE988" i="1"/>
  <c r="AF988" i="1"/>
  <c r="AE989" i="1"/>
  <c r="AF989" i="1"/>
  <c r="AE990" i="1"/>
  <c r="AF990" i="1"/>
  <c r="AE991" i="1"/>
  <c r="AF991" i="1"/>
  <c r="AE992" i="1"/>
  <c r="AF992" i="1"/>
  <c r="AE993" i="1"/>
  <c r="AF993" i="1"/>
  <c r="AE994" i="1"/>
  <c r="AF994" i="1"/>
  <c r="AE995" i="1"/>
  <c r="AF995" i="1"/>
  <c r="AE996" i="1"/>
  <c r="AF996" i="1"/>
  <c r="AE997" i="1"/>
  <c r="AF997" i="1"/>
  <c r="AE998" i="1"/>
  <c r="AF998" i="1"/>
  <c r="AE999" i="1"/>
  <c r="AF999" i="1"/>
  <c r="AE1000" i="1"/>
  <c r="AF1000" i="1"/>
  <c r="AE1001" i="1"/>
  <c r="AF1001" i="1"/>
  <c r="AE1002" i="1"/>
  <c r="AF1002" i="1"/>
  <c r="AE1003" i="1"/>
  <c r="AF1003" i="1"/>
  <c r="AE1004" i="1"/>
  <c r="AF1004" i="1"/>
  <c r="AE1005" i="1"/>
  <c r="AF1005" i="1"/>
  <c r="AE1006" i="1"/>
  <c r="AF1006" i="1"/>
  <c r="AE1007" i="1"/>
  <c r="AF1007" i="1"/>
  <c r="AE1008" i="1"/>
  <c r="AF1008" i="1"/>
  <c r="AE1009" i="1"/>
  <c r="AF1009" i="1"/>
  <c r="AE1010" i="1"/>
  <c r="AF1010" i="1"/>
  <c r="AE1011" i="1"/>
  <c r="AF1011" i="1"/>
  <c r="AE1012" i="1"/>
  <c r="AF1012" i="1"/>
  <c r="AE1013" i="1"/>
  <c r="AF1013" i="1"/>
  <c r="AE1014" i="1"/>
  <c r="AF1014" i="1"/>
  <c r="AE1015" i="1"/>
  <c r="AF1015" i="1"/>
  <c r="AE1016" i="1"/>
  <c r="AF1016" i="1"/>
  <c r="AE1017" i="1"/>
  <c r="AF1017" i="1"/>
  <c r="AE1018" i="1"/>
  <c r="AF1018" i="1"/>
  <c r="AE1019" i="1"/>
  <c r="AF1019" i="1"/>
  <c r="AE1020" i="1"/>
  <c r="AF1020" i="1"/>
  <c r="AE1021" i="1"/>
  <c r="AF1021" i="1"/>
  <c r="AE1022" i="1"/>
  <c r="AF1022" i="1"/>
  <c r="AE1023" i="1"/>
  <c r="AF1023" i="1"/>
  <c r="AE1024" i="1"/>
  <c r="AF1024" i="1"/>
  <c r="AE1025" i="1"/>
  <c r="AF1025" i="1"/>
  <c r="AE1026" i="1"/>
  <c r="AF1026" i="1"/>
  <c r="AE1027" i="1"/>
  <c r="AF1027" i="1"/>
  <c r="AE1028" i="1"/>
  <c r="AF1028" i="1"/>
  <c r="AE1029" i="1"/>
  <c r="AF1029" i="1"/>
  <c r="AE1030" i="1"/>
  <c r="AF1030" i="1"/>
  <c r="AE1031" i="1"/>
  <c r="AF1031" i="1"/>
  <c r="AE1032" i="1"/>
  <c r="AF1032" i="1"/>
  <c r="AE1033" i="1"/>
  <c r="AF1033" i="1"/>
  <c r="AE1034" i="1"/>
  <c r="AF1034" i="1"/>
  <c r="AE1035" i="1"/>
  <c r="AF1035" i="1"/>
  <c r="AE1036" i="1"/>
  <c r="AF1036" i="1"/>
  <c r="AE1037" i="1"/>
  <c r="AF1037" i="1"/>
  <c r="AE1038" i="1"/>
  <c r="AF1038" i="1"/>
  <c r="AE1039" i="1"/>
  <c r="AF1039" i="1"/>
  <c r="AE1040" i="1"/>
  <c r="AF1040" i="1"/>
  <c r="AE1041" i="1"/>
  <c r="AF1041" i="1"/>
  <c r="AE1042" i="1"/>
  <c r="AF1042" i="1"/>
  <c r="AE1043" i="1"/>
  <c r="AF1043" i="1"/>
  <c r="AE1044" i="1"/>
  <c r="AF1044" i="1"/>
  <c r="AE1045" i="1"/>
  <c r="AF1045" i="1"/>
  <c r="AE1046" i="1"/>
  <c r="AF1046" i="1"/>
  <c r="AE1047" i="1"/>
  <c r="AF1047" i="1"/>
  <c r="AE1048" i="1"/>
  <c r="AF1048" i="1"/>
  <c r="AE1049" i="1"/>
  <c r="AF1049" i="1"/>
  <c r="AE1050" i="1"/>
  <c r="AF1050" i="1"/>
  <c r="AE1051" i="1"/>
  <c r="AF1051" i="1"/>
  <c r="AE1052" i="1"/>
  <c r="AF1052" i="1"/>
  <c r="AE1053" i="1"/>
  <c r="AF1053" i="1"/>
  <c r="AE1054" i="1"/>
  <c r="AF1054" i="1"/>
  <c r="AE1055" i="1"/>
  <c r="AF1055" i="1"/>
  <c r="AE1056" i="1"/>
  <c r="AF1056" i="1"/>
  <c r="AE1057" i="1"/>
  <c r="AF1057" i="1"/>
  <c r="AE1058" i="1"/>
  <c r="AF1058" i="1"/>
  <c r="AE1059" i="1"/>
  <c r="AF1059" i="1"/>
  <c r="AE1060" i="1"/>
  <c r="AF1060" i="1"/>
  <c r="AE1061" i="1"/>
  <c r="AF1061" i="1"/>
  <c r="AE1062" i="1"/>
  <c r="AF1062" i="1"/>
  <c r="AE1063" i="1"/>
  <c r="AF1063" i="1"/>
  <c r="AE1064" i="1"/>
  <c r="AF1064" i="1"/>
  <c r="AE1065" i="1"/>
  <c r="AF1065" i="1"/>
  <c r="AE1066" i="1"/>
  <c r="AF1066" i="1"/>
  <c r="AE1067" i="1"/>
  <c r="AF1067" i="1"/>
  <c r="AE1068" i="1"/>
  <c r="AF1068" i="1"/>
  <c r="AE1069" i="1"/>
  <c r="AF1069" i="1"/>
  <c r="AE1070" i="1"/>
  <c r="AF1070" i="1"/>
  <c r="AE1071" i="1"/>
  <c r="AF1071" i="1"/>
  <c r="AE1072" i="1"/>
  <c r="AF1072" i="1"/>
  <c r="AE1073" i="1"/>
  <c r="AF1073" i="1"/>
  <c r="AE1074" i="1"/>
  <c r="AF1074" i="1"/>
  <c r="AE1075" i="1"/>
  <c r="AF1075" i="1"/>
  <c r="AE1076" i="1"/>
  <c r="AF1076" i="1"/>
  <c r="AE1077" i="1"/>
  <c r="AF1077" i="1"/>
  <c r="AE1078" i="1"/>
  <c r="AF1078" i="1"/>
  <c r="AE1079" i="1"/>
  <c r="AF1079" i="1"/>
  <c r="AE1080" i="1"/>
  <c r="AF1080" i="1"/>
  <c r="AE1081" i="1"/>
  <c r="AF1081" i="1"/>
  <c r="AE1082" i="1"/>
  <c r="AF1082" i="1"/>
  <c r="AE1083" i="1"/>
  <c r="AF1083" i="1"/>
  <c r="AE1084" i="1"/>
  <c r="AF1084" i="1"/>
  <c r="AE1085" i="1"/>
  <c r="AF1085" i="1"/>
  <c r="AE1086" i="1"/>
  <c r="AF1086" i="1"/>
  <c r="AE1087" i="1"/>
  <c r="AF1087" i="1"/>
  <c r="AE1088" i="1"/>
  <c r="AF1088" i="1"/>
  <c r="AE1089" i="1"/>
  <c r="AF1089" i="1"/>
  <c r="AE1090" i="1"/>
  <c r="AF1090" i="1"/>
  <c r="AE1091" i="1"/>
  <c r="AF1091" i="1"/>
  <c r="AE1092" i="1"/>
  <c r="AF1092" i="1"/>
  <c r="AE1093" i="1"/>
  <c r="AF1093" i="1"/>
  <c r="AE1094" i="1"/>
  <c r="AF1094" i="1"/>
  <c r="AE1095" i="1"/>
  <c r="AF1095" i="1"/>
  <c r="AE1096" i="1"/>
  <c r="AF1096" i="1"/>
  <c r="AE1097" i="1"/>
  <c r="AF1097" i="1"/>
  <c r="AE1098" i="1"/>
  <c r="AF1098" i="1"/>
  <c r="AE1099" i="1"/>
  <c r="AF1099" i="1"/>
  <c r="AE1100" i="1"/>
  <c r="AF1100" i="1"/>
  <c r="AE1101" i="1"/>
  <c r="AF1101" i="1"/>
  <c r="AE1102" i="1"/>
  <c r="AF1102" i="1"/>
  <c r="AE1103" i="1"/>
  <c r="AF1103" i="1"/>
  <c r="AE1104" i="1"/>
  <c r="AF1104" i="1"/>
  <c r="AE1105" i="1"/>
  <c r="AF1105" i="1"/>
  <c r="AE1106" i="1"/>
  <c r="AF1106" i="1"/>
  <c r="AE1107" i="1"/>
  <c r="AF1107" i="1"/>
  <c r="AE1108" i="1"/>
  <c r="AF1108" i="1"/>
  <c r="AE1109" i="1"/>
  <c r="AF1109" i="1"/>
  <c r="AE1110" i="1"/>
  <c r="AF1110" i="1"/>
  <c r="AE1111" i="1"/>
  <c r="AF1111" i="1"/>
  <c r="AE1112" i="1"/>
  <c r="AF1112" i="1"/>
  <c r="AE1113" i="1"/>
  <c r="AF1113" i="1"/>
  <c r="AE1114" i="1"/>
  <c r="AF1114" i="1"/>
  <c r="AE1115" i="1"/>
  <c r="AF1115" i="1"/>
  <c r="AE1116" i="1"/>
  <c r="AF1116" i="1"/>
  <c r="AE1117" i="1"/>
  <c r="AF1117" i="1"/>
  <c r="AE1118" i="1"/>
  <c r="AF1118" i="1"/>
  <c r="AE1119" i="1"/>
  <c r="AF1119" i="1"/>
  <c r="AE1120" i="1"/>
  <c r="AF1120" i="1"/>
  <c r="AE1121" i="1"/>
  <c r="AF1121" i="1"/>
  <c r="AE1122" i="1"/>
  <c r="AF1122" i="1"/>
  <c r="AE1123" i="1"/>
  <c r="AF1123" i="1"/>
  <c r="AE1124" i="1"/>
  <c r="AF1124" i="1"/>
  <c r="AE1125" i="1"/>
  <c r="AF1125" i="1"/>
  <c r="AE1126" i="1"/>
  <c r="AF1126" i="1"/>
  <c r="AE1127" i="1"/>
  <c r="AF1127" i="1"/>
  <c r="AE1128" i="1"/>
  <c r="AF1128" i="1"/>
  <c r="AE1129" i="1"/>
  <c r="AF1129" i="1"/>
  <c r="AE1130" i="1"/>
  <c r="AF1130" i="1"/>
  <c r="AE1131" i="1"/>
  <c r="AF1131" i="1"/>
  <c r="AE1132" i="1"/>
  <c r="AF1132" i="1"/>
  <c r="AE1133" i="1"/>
  <c r="AF1133" i="1"/>
  <c r="AE1134" i="1"/>
  <c r="AF1134" i="1"/>
  <c r="AE1135" i="1"/>
  <c r="AF1135" i="1"/>
  <c r="AE1136" i="1"/>
  <c r="AF1136" i="1"/>
  <c r="AE1137" i="1"/>
  <c r="AF1137" i="1"/>
  <c r="AE1138" i="1"/>
  <c r="AF1138" i="1"/>
  <c r="AE1139" i="1"/>
  <c r="AF1139" i="1"/>
  <c r="AE1140" i="1"/>
  <c r="AF1140" i="1"/>
  <c r="AE1141" i="1"/>
  <c r="AF1141" i="1"/>
  <c r="AE1142" i="1"/>
  <c r="AF1142" i="1"/>
  <c r="AE1143" i="1"/>
  <c r="AF1143" i="1"/>
  <c r="AE1144" i="1"/>
  <c r="AF1144" i="1"/>
  <c r="AE1145" i="1"/>
  <c r="AF1145" i="1"/>
  <c r="AE1146" i="1"/>
  <c r="AF1146" i="1"/>
  <c r="AE1147" i="1"/>
  <c r="AF1147" i="1"/>
  <c r="AE1148" i="1"/>
  <c r="AF1148" i="1"/>
  <c r="AE1149" i="1"/>
  <c r="AF1149" i="1"/>
  <c r="AE1150" i="1"/>
  <c r="AF1150" i="1"/>
  <c r="AE1151" i="1"/>
  <c r="AF1151" i="1"/>
  <c r="AE1152" i="1"/>
  <c r="AF1152" i="1"/>
  <c r="AE1153" i="1"/>
  <c r="AF1153" i="1"/>
  <c r="AE1154" i="1"/>
  <c r="AF1154" i="1"/>
  <c r="AE1155" i="1"/>
  <c r="AF1155" i="1"/>
  <c r="AE1156" i="1"/>
  <c r="AF1156" i="1"/>
  <c r="AE1157" i="1"/>
  <c r="AF1157" i="1"/>
  <c r="AE1158" i="1"/>
  <c r="AF1158" i="1"/>
  <c r="AE1159" i="1"/>
  <c r="AF1159" i="1"/>
  <c r="AE1160" i="1"/>
  <c r="AF1160" i="1"/>
  <c r="AE1161" i="1"/>
  <c r="AF1161" i="1"/>
  <c r="AE1162" i="1"/>
  <c r="AF1162" i="1"/>
  <c r="AE1163" i="1"/>
  <c r="AF1163" i="1"/>
  <c r="AE1164" i="1"/>
  <c r="AF1164" i="1"/>
  <c r="AE1165" i="1"/>
  <c r="AF1165" i="1"/>
  <c r="AE1166" i="1"/>
  <c r="AF1166" i="1"/>
  <c r="AE1167" i="1"/>
  <c r="AF1167" i="1"/>
  <c r="AE1168" i="1"/>
  <c r="AF1168" i="1"/>
  <c r="AE1169" i="1"/>
  <c r="AF1169" i="1"/>
  <c r="AE1170" i="1"/>
  <c r="AF1170" i="1"/>
  <c r="AE1171" i="1"/>
  <c r="AF1171" i="1"/>
  <c r="AE1172" i="1"/>
  <c r="AF1172" i="1"/>
  <c r="AE1173" i="1"/>
  <c r="AF1173" i="1"/>
  <c r="AE1174" i="1"/>
  <c r="AF1174" i="1"/>
  <c r="AE1175" i="1"/>
  <c r="AF1175" i="1"/>
  <c r="AE1176" i="1"/>
  <c r="AF1176" i="1"/>
  <c r="AE1177" i="1"/>
  <c r="AF1177" i="1"/>
  <c r="AE1178" i="1"/>
  <c r="AF1178" i="1"/>
  <c r="AE1179" i="1"/>
  <c r="AF1179" i="1"/>
  <c r="AE1180" i="1"/>
  <c r="AF1180" i="1"/>
  <c r="AE1181" i="1"/>
  <c r="AF1181" i="1"/>
  <c r="AE1182" i="1"/>
  <c r="AF1182" i="1"/>
  <c r="AE1183" i="1"/>
  <c r="AF1183" i="1"/>
  <c r="AE1184" i="1"/>
  <c r="AF1184" i="1"/>
  <c r="AE1185" i="1"/>
  <c r="AF1185" i="1"/>
  <c r="AE1186" i="1"/>
  <c r="AF1186" i="1"/>
  <c r="AE1187" i="1"/>
  <c r="AF1187" i="1"/>
  <c r="AE1188" i="1"/>
  <c r="AF1188" i="1"/>
  <c r="AE1189" i="1"/>
  <c r="AF1189" i="1"/>
  <c r="AE1190" i="1"/>
  <c r="AF1190" i="1"/>
  <c r="AE1191" i="1"/>
  <c r="AF1191" i="1"/>
  <c r="AE1192" i="1"/>
  <c r="AF1192" i="1"/>
  <c r="AE1193" i="1"/>
  <c r="AF1193" i="1"/>
  <c r="AE1194" i="1"/>
  <c r="AF1194" i="1"/>
  <c r="AE1195" i="1"/>
  <c r="AF1195" i="1"/>
  <c r="AE1196" i="1"/>
  <c r="AF1196" i="1"/>
  <c r="AE1197" i="1"/>
  <c r="AF1197" i="1"/>
  <c r="AE1198" i="1"/>
  <c r="AF1198" i="1"/>
  <c r="AE1199" i="1"/>
  <c r="AF1199" i="1"/>
  <c r="AE1200" i="1"/>
  <c r="AF1200" i="1"/>
  <c r="AE1201" i="1"/>
  <c r="AF1201" i="1"/>
  <c r="AE1202" i="1"/>
  <c r="AF1202" i="1"/>
  <c r="AE1203" i="1"/>
  <c r="AF1203" i="1"/>
  <c r="AE1204" i="1"/>
  <c r="AF1204" i="1"/>
  <c r="AE1205" i="1"/>
  <c r="AF1205" i="1"/>
  <c r="AE1206" i="1"/>
  <c r="AF1206" i="1"/>
  <c r="AE1207" i="1"/>
  <c r="AF1207" i="1"/>
  <c r="AE1208" i="1"/>
  <c r="AF1208" i="1"/>
  <c r="AE1209" i="1"/>
  <c r="AF1209" i="1"/>
  <c r="AE1210" i="1"/>
  <c r="AF1210" i="1"/>
  <c r="AE1211" i="1"/>
  <c r="AF1211" i="1"/>
  <c r="AE1212" i="1"/>
  <c r="AF1212" i="1"/>
  <c r="AE1213" i="1"/>
  <c r="AF1213" i="1"/>
  <c r="AE1214" i="1"/>
  <c r="AF1214" i="1"/>
  <c r="AE1215" i="1"/>
  <c r="AF1215" i="1"/>
  <c r="AE1216" i="1"/>
  <c r="AF1216" i="1"/>
  <c r="AE1217" i="1"/>
  <c r="AF1217" i="1"/>
  <c r="AE1218" i="1"/>
  <c r="AF1218" i="1"/>
  <c r="AE1219" i="1"/>
  <c r="AF1219" i="1"/>
  <c r="AE1220" i="1"/>
  <c r="AF1220" i="1"/>
  <c r="AE1221" i="1"/>
  <c r="AF1221" i="1"/>
  <c r="AE1222" i="1"/>
  <c r="AF1222" i="1"/>
  <c r="AE1223" i="1"/>
  <c r="AF1223" i="1"/>
  <c r="AE1224" i="1"/>
  <c r="AF1224" i="1"/>
  <c r="AE1225" i="1"/>
  <c r="AF1225" i="1"/>
  <c r="AE1226" i="1"/>
  <c r="AF1226" i="1"/>
  <c r="AE1227" i="1"/>
  <c r="AF1227" i="1"/>
  <c r="AE1228" i="1"/>
  <c r="AF1228" i="1"/>
  <c r="AE1229" i="1"/>
  <c r="AF1229" i="1"/>
  <c r="AE1230" i="1"/>
  <c r="AF1230" i="1"/>
  <c r="AE1233" i="1"/>
  <c r="AF1233" i="1"/>
  <c r="AE1234" i="1"/>
  <c r="AF1234" i="1"/>
  <c r="AE1235" i="1"/>
  <c r="AF1235" i="1"/>
  <c r="AE1236" i="1"/>
  <c r="AF1236" i="1"/>
  <c r="AE1237" i="1"/>
  <c r="AF1237" i="1"/>
  <c r="AE1238" i="1"/>
  <c r="AF1238" i="1"/>
  <c r="AE1239" i="1"/>
  <c r="AF1239" i="1"/>
  <c r="AE1240" i="1"/>
  <c r="AF1240" i="1"/>
  <c r="AE1241" i="1"/>
  <c r="AF1241" i="1"/>
  <c r="AE1242" i="1"/>
  <c r="AF1242" i="1"/>
  <c r="AE1243" i="1"/>
  <c r="AF1243" i="1"/>
  <c r="AE1244" i="1"/>
  <c r="AF1244" i="1"/>
  <c r="AE1245" i="1"/>
  <c r="AF1245" i="1"/>
  <c r="AE1246" i="1"/>
  <c r="AF1246" i="1"/>
  <c r="AE1247" i="1"/>
  <c r="AF1247" i="1"/>
  <c r="AE1248" i="1"/>
  <c r="AF1248" i="1"/>
  <c r="AE1249" i="1"/>
  <c r="AF1249" i="1"/>
  <c r="AE1250" i="1"/>
  <c r="AF1250" i="1"/>
  <c r="AE1251" i="1"/>
  <c r="AF1251" i="1"/>
  <c r="AE1252" i="1"/>
  <c r="AF1252" i="1"/>
  <c r="AE1254" i="1"/>
  <c r="AF1254" i="1"/>
  <c r="AE1255" i="1"/>
  <c r="AF1255" i="1"/>
  <c r="AE1256" i="1"/>
  <c r="AF1256" i="1"/>
  <c r="AE1257" i="1"/>
  <c r="AF1257" i="1"/>
  <c r="AE1258" i="1"/>
  <c r="AF1258" i="1"/>
  <c r="AE1259" i="1"/>
  <c r="AF1259" i="1"/>
  <c r="AE1260" i="1"/>
  <c r="AF1260" i="1"/>
  <c r="AE1261" i="1"/>
  <c r="AF1261" i="1"/>
  <c r="AE1262" i="1"/>
  <c r="AF1262" i="1"/>
  <c r="AE1263" i="1"/>
  <c r="AF1263" i="1"/>
  <c r="AE1264" i="1"/>
  <c r="AF1264" i="1"/>
  <c r="AE1265" i="1"/>
  <c r="AF1265" i="1"/>
  <c r="AE1266" i="1"/>
  <c r="AF1266" i="1"/>
  <c r="AE1267" i="1"/>
  <c r="AF1267" i="1"/>
  <c r="AE1268" i="1"/>
  <c r="AF1268" i="1"/>
  <c r="AE1269" i="1"/>
  <c r="AF1269" i="1"/>
  <c r="AE1270" i="1"/>
  <c r="AF1270" i="1"/>
  <c r="AE1272" i="1"/>
  <c r="AF1272" i="1"/>
  <c r="AE1273" i="1"/>
  <c r="AF1273" i="1"/>
  <c r="AE1274" i="1"/>
  <c r="AF1274" i="1"/>
  <c r="AE1275" i="1"/>
  <c r="AF1275" i="1"/>
  <c r="AE1276" i="1"/>
  <c r="AF1276" i="1"/>
  <c r="AE1277" i="1"/>
  <c r="AF1277" i="1"/>
  <c r="AE1278" i="1"/>
  <c r="AF1278" i="1"/>
  <c r="AE1279" i="1"/>
  <c r="AF1279" i="1"/>
  <c r="AE1280" i="1"/>
  <c r="AF1280" i="1"/>
  <c r="AE1281" i="1"/>
  <c r="AF1281" i="1"/>
  <c r="AE1282" i="1"/>
  <c r="AF1282" i="1"/>
  <c r="AE1283" i="1"/>
  <c r="AF1283" i="1"/>
  <c r="AE1284" i="1"/>
  <c r="AF1284" i="1"/>
  <c r="AE1285" i="1"/>
  <c r="AF1285" i="1"/>
  <c r="AE1286" i="1"/>
  <c r="AF1286" i="1"/>
  <c r="AE1287" i="1"/>
  <c r="AF1287" i="1"/>
  <c r="AE1288" i="1"/>
  <c r="AF1288" i="1"/>
  <c r="AE1289" i="1"/>
  <c r="AF1289" i="1"/>
  <c r="AE1290" i="1"/>
  <c r="AF1290" i="1"/>
  <c r="AE1291" i="1"/>
  <c r="AF1291" i="1"/>
  <c r="AE1292" i="1"/>
  <c r="AF1292" i="1"/>
  <c r="AE1293" i="1"/>
  <c r="AF1293" i="1"/>
  <c r="AE1294" i="1"/>
  <c r="AF1294" i="1"/>
  <c r="AE1295" i="1"/>
  <c r="AF1295" i="1"/>
  <c r="AE1296" i="1"/>
  <c r="AF1296" i="1"/>
  <c r="AE1297" i="1"/>
  <c r="AF1297" i="1"/>
  <c r="AE1298" i="1"/>
  <c r="AF1298" i="1"/>
  <c r="AE1299" i="1"/>
  <c r="AF1299" i="1"/>
  <c r="AE1300" i="1"/>
  <c r="AF1300" i="1"/>
  <c r="AE1301" i="1"/>
  <c r="AF1301" i="1"/>
  <c r="AE1302" i="1"/>
  <c r="AF1302" i="1"/>
  <c r="AE1303" i="1"/>
  <c r="AF1303" i="1"/>
  <c r="AE1304" i="1"/>
  <c r="AF1304" i="1"/>
  <c r="AE1305" i="1"/>
  <c r="AF1305" i="1"/>
  <c r="AE1306" i="1"/>
  <c r="AF1306" i="1"/>
  <c r="AE1307" i="1"/>
  <c r="AF1307" i="1"/>
  <c r="AE1308" i="1"/>
  <c r="AF1308" i="1"/>
  <c r="AE1309" i="1"/>
  <c r="AF1309" i="1"/>
  <c r="AE1310" i="1"/>
  <c r="AF1310" i="1"/>
  <c r="AE1311" i="1"/>
  <c r="AF1311" i="1"/>
  <c r="AE1312" i="1"/>
  <c r="AF1312" i="1"/>
  <c r="AE1313" i="1"/>
  <c r="AF1313" i="1"/>
  <c r="AE1314" i="1"/>
  <c r="AF1314" i="1"/>
  <c r="AE1315" i="1"/>
  <c r="AF1315" i="1"/>
  <c r="AE1316" i="1"/>
  <c r="AF1316" i="1"/>
  <c r="AE1317" i="1"/>
  <c r="AF1317" i="1"/>
  <c r="AE1318" i="1"/>
  <c r="AF1318" i="1"/>
  <c r="AE1319" i="1"/>
  <c r="AF1319" i="1"/>
  <c r="AE1320" i="1"/>
  <c r="AF1320" i="1"/>
  <c r="AE1321" i="1"/>
  <c r="AF1321" i="1"/>
  <c r="AE1322" i="1"/>
  <c r="AF1322" i="1"/>
  <c r="AE1323" i="1"/>
  <c r="AF1323" i="1"/>
  <c r="AE1324" i="1"/>
  <c r="AF1324" i="1"/>
  <c r="AE1325" i="1"/>
  <c r="AF1325" i="1"/>
  <c r="AE1326" i="1"/>
  <c r="AF1326" i="1"/>
  <c r="AE1327" i="1"/>
  <c r="AF1327" i="1"/>
  <c r="AE1328" i="1"/>
  <c r="AF1328" i="1"/>
  <c r="AE1329" i="1"/>
  <c r="AF1329" i="1"/>
  <c r="AE1330" i="1"/>
  <c r="AF1330" i="1"/>
  <c r="AE1331" i="1"/>
  <c r="AF1331" i="1"/>
  <c r="AE1332" i="1"/>
  <c r="AF1332" i="1"/>
  <c r="AE1333" i="1"/>
  <c r="AF1333" i="1"/>
  <c r="AE1334" i="1"/>
  <c r="AF1334" i="1"/>
  <c r="AE1335" i="1"/>
  <c r="AF1335" i="1"/>
  <c r="AE1336" i="1"/>
  <c r="AF1336" i="1"/>
  <c r="AE1337" i="1"/>
  <c r="AF1337" i="1"/>
  <c r="AE1338" i="1"/>
  <c r="AF1338" i="1"/>
  <c r="AE1339" i="1"/>
  <c r="AF1339" i="1"/>
  <c r="AE1340" i="1"/>
  <c r="AF1340" i="1"/>
  <c r="AE1341" i="1"/>
  <c r="AF1341" i="1"/>
  <c r="AE1342" i="1"/>
  <c r="AF1342" i="1"/>
  <c r="AE1343" i="1"/>
  <c r="AF1343" i="1"/>
  <c r="AE1345" i="1"/>
  <c r="AF1345" i="1"/>
  <c r="AE1346" i="1"/>
  <c r="AF1346" i="1"/>
  <c r="AE1347" i="1"/>
  <c r="AF1347" i="1"/>
  <c r="AE1348" i="1"/>
  <c r="AF1348" i="1"/>
  <c r="AE1349" i="1"/>
  <c r="AF1349" i="1"/>
  <c r="AE1350" i="1"/>
  <c r="AF1350" i="1"/>
  <c r="AE1351" i="1"/>
  <c r="AF1351" i="1"/>
  <c r="AE1352" i="1"/>
  <c r="AF1352" i="1"/>
  <c r="AE1353" i="1"/>
  <c r="AF1353" i="1"/>
  <c r="AE1354" i="1"/>
  <c r="AF1354" i="1"/>
  <c r="AE1355" i="1"/>
  <c r="AF1355" i="1"/>
  <c r="AE1356" i="1"/>
  <c r="AF1356" i="1"/>
  <c r="AE1357" i="1"/>
  <c r="AF1357" i="1"/>
  <c r="AE1358" i="1"/>
  <c r="AF1358" i="1"/>
  <c r="AE1359" i="1"/>
  <c r="AF1359" i="1"/>
  <c r="AE1360" i="1"/>
  <c r="AF1360" i="1"/>
  <c r="AE1361" i="1"/>
  <c r="AF1361" i="1"/>
  <c r="AE1362" i="1"/>
  <c r="AF1362" i="1"/>
  <c r="AE1363" i="1"/>
  <c r="AF1363" i="1"/>
  <c r="AE1364" i="1"/>
  <c r="AF1364" i="1"/>
  <c r="AE1365" i="1"/>
  <c r="AF1365" i="1"/>
  <c r="AE1366" i="1"/>
  <c r="AF1366" i="1"/>
  <c r="AE1367" i="1"/>
  <c r="AF1367" i="1"/>
  <c r="AE1368" i="1"/>
  <c r="AF1368" i="1"/>
  <c r="AE1369" i="1"/>
  <c r="AF1369" i="1"/>
  <c r="AE1370" i="1"/>
  <c r="AF1370" i="1"/>
  <c r="AE1371" i="1"/>
  <c r="AF1371" i="1"/>
  <c r="AE1372" i="1"/>
  <c r="AF1372" i="1"/>
  <c r="AE1373" i="1"/>
  <c r="AF1373" i="1"/>
  <c r="AE1374" i="1"/>
  <c r="AF1374" i="1"/>
  <c r="AE1375" i="1"/>
  <c r="AF1375" i="1"/>
  <c r="AE1376" i="1"/>
  <c r="AF1376" i="1"/>
  <c r="AE1377" i="1"/>
  <c r="AF1377" i="1"/>
  <c r="AE1378" i="1"/>
  <c r="AF1378" i="1"/>
  <c r="AE1379" i="1"/>
  <c r="AF1379" i="1"/>
  <c r="AE1380" i="1"/>
  <c r="AF1380" i="1"/>
  <c r="AE1381" i="1"/>
  <c r="AF1381" i="1"/>
  <c r="AE1382" i="1"/>
  <c r="AF1382" i="1"/>
  <c r="AE1383" i="1"/>
  <c r="AF1383" i="1"/>
  <c r="AE1384" i="1"/>
  <c r="AF1384" i="1"/>
  <c r="AE1385" i="1"/>
  <c r="AF1385" i="1"/>
  <c r="AE1386" i="1"/>
  <c r="AF1386" i="1"/>
  <c r="AE1387" i="1"/>
  <c r="AF1387" i="1"/>
  <c r="AE1388" i="1"/>
  <c r="AF1388" i="1"/>
  <c r="AE1389" i="1"/>
  <c r="AF1389" i="1"/>
  <c r="AE1390" i="1"/>
  <c r="AF1390" i="1"/>
  <c r="AE1391" i="1"/>
  <c r="AF1391" i="1"/>
  <c r="AE1392" i="1"/>
  <c r="AF1392" i="1"/>
  <c r="AE1393" i="1"/>
  <c r="AF1393" i="1"/>
  <c r="AE1394" i="1"/>
  <c r="AF1394" i="1"/>
  <c r="AE1395" i="1"/>
  <c r="AF1395" i="1"/>
  <c r="AE1396" i="1"/>
  <c r="AF1396" i="1"/>
  <c r="AE1398" i="1"/>
  <c r="AF1398" i="1"/>
  <c r="AE1399" i="1"/>
  <c r="AF1399" i="1"/>
  <c r="AE1400" i="1"/>
  <c r="AF1400" i="1"/>
  <c r="AE1401" i="1"/>
  <c r="AF1401" i="1"/>
  <c r="AE1402" i="1"/>
  <c r="AF1402" i="1"/>
  <c r="AE1403" i="1"/>
  <c r="AF1403" i="1"/>
  <c r="AE1404" i="1"/>
  <c r="AF1404" i="1"/>
  <c r="AE1405" i="1"/>
  <c r="AF1405" i="1"/>
  <c r="AE1407" i="1"/>
  <c r="AF1407" i="1"/>
  <c r="AE1408" i="1"/>
  <c r="AF1408" i="1"/>
  <c r="AE1410" i="1"/>
  <c r="AF1410" i="1"/>
  <c r="AE1411" i="1"/>
  <c r="AF1411" i="1"/>
  <c r="AE1414" i="1"/>
  <c r="AF1414" i="1"/>
  <c r="AE1415" i="1"/>
  <c r="AF1415" i="1"/>
  <c r="AE1416" i="1"/>
  <c r="AF1416" i="1"/>
  <c r="AE1417" i="1"/>
  <c r="AF1417" i="1"/>
  <c r="AE1418" i="1"/>
  <c r="AF1418" i="1"/>
  <c r="AE1419" i="1"/>
  <c r="AF1419" i="1"/>
  <c r="AE1420" i="1"/>
  <c r="AF1420" i="1"/>
  <c r="AE1421" i="1"/>
  <c r="AF1421" i="1"/>
  <c r="AE1422" i="1"/>
  <c r="AF1422" i="1"/>
  <c r="AE1423" i="1"/>
  <c r="AF1423" i="1"/>
  <c r="AE1424" i="1"/>
  <c r="AF1424" i="1"/>
  <c r="AE1425" i="1"/>
  <c r="AF1425" i="1"/>
  <c r="AE1426" i="1"/>
  <c r="AF1426" i="1"/>
  <c r="AE1429" i="1"/>
  <c r="AF1429" i="1"/>
  <c r="AE1430" i="1"/>
  <c r="AF1430" i="1"/>
  <c r="AE1431" i="1"/>
  <c r="AF1431" i="1"/>
  <c r="AE1432" i="1"/>
  <c r="AF1432" i="1"/>
  <c r="AE1433" i="1"/>
  <c r="AF1433" i="1"/>
  <c r="AE1434" i="1"/>
  <c r="AF1434" i="1"/>
  <c r="AE1435" i="1"/>
  <c r="AF1435" i="1"/>
  <c r="AE1436" i="1"/>
  <c r="AF1436" i="1"/>
  <c r="AE1437" i="1"/>
  <c r="AF1437" i="1"/>
  <c r="AE1438" i="1"/>
  <c r="AF1438" i="1"/>
  <c r="AE1439" i="1"/>
  <c r="AF1439" i="1"/>
  <c r="AE1440" i="1"/>
  <c r="AF1440" i="1"/>
  <c r="AE1441" i="1"/>
  <c r="AF1441" i="1"/>
  <c r="AE1442" i="1"/>
  <c r="AF1442" i="1"/>
  <c r="AE1443" i="1"/>
  <c r="AF1443" i="1"/>
  <c r="AE1444" i="1"/>
  <c r="AF1444" i="1"/>
  <c r="AE1445" i="1"/>
  <c r="AF1445" i="1"/>
  <c r="AE1446" i="1"/>
  <c r="AF1446" i="1"/>
  <c r="AE1447" i="1"/>
  <c r="AF1447" i="1"/>
  <c r="AE1449" i="1"/>
  <c r="AF1449" i="1"/>
  <c r="AE1450" i="1"/>
  <c r="AF1450" i="1"/>
  <c r="AE1451" i="1"/>
  <c r="AF1451" i="1"/>
  <c r="AE1452" i="1"/>
  <c r="AF1452" i="1"/>
  <c r="AE1453" i="1"/>
  <c r="AF1453" i="1"/>
  <c r="AE1454" i="1"/>
  <c r="AF1454" i="1"/>
  <c r="AE1455" i="1"/>
  <c r="AF1455" i="1"/>
  <c r="AE1456" i="1"/>
  <c r="AF1456" i="1"/>
  <c r="AE1457" i="1"/>
  <c r="AF1457" i="1"/>
  <c r="AE1458" i="1"/>
  <c r="AF1458" i="1"/>
  <c r="AE1459" i="1"/>
  <c r="AF1459" i="1"/>
  <c r="AE1460" i="1"/>
  <c r="AF1460" i="1"/>
  <c r="AE1461" i="1"/>
  <c r="AF1461" i="1"/>
  <c r="AE1462" i="1"/>
  <c r="AF1462" i="1"/>
  <c r="AE1463" i="1"/>
  <c r="AF1463" i="1"/>
  <c r="AE1465" i="1"/>
  <c r="AF1465" i="1"/>
  <c r="AE1466" i="1"/>
  <c r="AF1466" i="1"/>
  <c r="AE1467" i="1"/>
  <c r="AF1467" i="1"/>
  <c r="AE1468" i="1"/>
  <c r="AF1468" i="1"/>
  <c r="AE1469" i="1"/>
  <c r="AF1469" i="1"/>
  <c r="AE1470" i="1"/>
  <c r="AF1470" i="1"/>
  <c r="AE1471" i="1"/>
  <c r="AF1471" i="1"/>
  <c r="AE1472" i="1"/>
  <c r="AF1472" i="1"/>
  <c r="AE1473" i="1"/>
  <c r="AF1473" i="1"/>
  <c r="AE1474" i="1"/>
  <c r="AF1474" i="1"/>
  <c r="AE1475" i="1"/>
  <c r="AF1475" i="1"/>
  <c r="AE1476" i="1"/>
  <c r="AF1476" i="1"/>
  <c r="AE1477" i="1"/>
  <c r="AF1477" i="1"/>
  <c r="AE1478" i="1"/>
  <c r="AF1478" i="1"/>
  <c r="AE1479" i="1"/>
  <c r="AF1479" i="1"/>
  <c r="AE1480" i="1"/>
  <c r="AF1480" i="1"/>
  <c r="AE1481" i="1"/>
  <c r="AF1481" i="1"/>
  <c r="AE1482" i="1"/>
  <c r="AF1482" i="1"/>
  <c r="AE1483" i="1"/>
  <c r="AF1483" i="1"/>
  <c r="AE1484" i="1"/>
  <c r="AF1484" i="1"/>
  <c r="AE1485" i="1"/>
  <c r="AF1485" i="1"/>
  <c r="AE1486" i="1"/>
  <c r="AF1486" i="1"/>
  <c r="AE1487" i="1"/>
  <c r="AF1487" i="1"/>
  <c r="AE1488" i="1"/>
  <c r="AF1488" i="1"/>
  <c r="AE1489" i="1"/>
  <c r="AF1489" i="1"/>
  <c r="AE1490" i="1"/>
  <c r="AF1490" i="1"/>
  <c r="AE1491" i="1"/>
  <c r="AF1491" i="1"/>
  <c r="AE1492" i="1"/>
  <c r="AF1492" i="1"/>
  <c r="AE1494" i="1"/>
  <c r="AF1494" i="1"/>
  <c r="AE1495" i="1"/>
  <c r="AF1495" i="1"/>
  <c r="AE1496" i="1"/>
  <c r="AF1496" i="1"/>
  <c r="AE1497" i="1"/>
  <c r="AF1497" i="1"/>
  <c r="AE1499" i="1"/>
  <c r="AF1499" i="1"/>
  <c r="AE1500" i="1"/>
  <c r="AF1500" i="1"/>
  <c r="AE1502" i="1"/>
  <c r="AF1502" i="1"/>
  <c r="AE1503" i="1"/>
  <c r="AF1503" i="1"/>
  <c r="AE1504" i="1"/>
  <c r="AF1504" i="1"/>
  <c r="AE1505" i="1"/>
  <c r="AF1505" i="1"/>
  <c r="AE1507" i="1"/>
  <c r="AF1507" i="1"/>
  <c r="AF2" i="1"/>
  <c r="AE2" i="1"/>
  <c r="AG3" i="1"/>
  <c r="AH3" i="1"/>
  <c r="AG4" i="1"/>
  <c r="AH4" i="1"/>
  <c r="AG5" i="1"/>
  <c r="AH5" i="1"/>
  <c r="AG6" i="1"/>
  <c r="AH6" i="1"/>
  <c r="AG7" i="1"/>
  <c r="AH7" i="1"/>
  <c r="AG8" i="1"/>
  <c r="AH8" i="1"/>
  <c r="AG9" i="1"/>
  <c r="AH9" i="1"/>
  <c r="AG10" i="1"/>
  <c r="AH10" i="1"/>
  <c r="AG11" i="1"/>
  <c r="AH11" i="1"/>
  <c r="AG12" i="1"/>
  <c r="AH12" i="1"/>
  <c r="AG13" i="1"/>
  <c r="AH13" i="1"/>
  <c r="AG14" i="1"/>
  <c r="AH14" i="1"/>
  <c r="AG15" i="1"/>
  <c r="AH15" i="1"/>
  <c r="AG16" i="1"/>
  <c r="AH16" i="1"/>
  <c r="AG17" i="1"/>
  <c r="AH17" i="1"/>
  <c r="AG18" i="1"/>
  <c r="AH18" i="1"/>
  <c r="AG19" i="1"/>
  <c r="AH19" i="1"/>
  <c r="AG20" i="1"/>
  <c r="AH20" i="1"/>
  <c r="AG21" i="1"/>
  <c r="AH21" i="1"/>
  <c r="AG22" i="1"/>
  <c r="AH22" i="1"/>
  <c r="AG23" i="1"/>
  <c r="AH23" i="1"/>
  <c r="AG24" i="1"/>
  <c r="AH24" i="1"/>
  <c r="AG25" i="1"/>
  <c r="AH25" i="1"/>
  <c r="AG26" i="1"/>
  <c r="AH26" i="1"/>
  <c r="AG27" i="1"/>
  <c r="AH27" i="1"/>
  <c r="AG28" i="1"/>
  <c r="AH28" i="1"/>
  <c r="AG29" i="1"/>
  <c r="AH29" i="1"/>
  <c r="AG30" i="1"/>
  <c r="AH30" i="1"/>
  <c r="AG31" i="1"/>
  <c r="AH31" i="1"/>
  <c r="AG32" i="1"/>
  <c r="AH32" i="1"/>
  <c r="AG33" i="1"/>
  <c r="AH33" i="1"/>
  <c r="AG34" i="1"/>
  <c r="AH34" i="1"/>
  <c r="AG35" i="1"/>
  <c r="AH35" i="1"/>
  <c r="AG36" i="1"/>
  <c r="AH36" i="1"/>
  <c r="AG37" i="1"/>
  <c r="AH37" i="1"/>
  <c r="AG38" i="1"/>
  <c r="AH38" i="1"/>
  <c r="AG39" i="1"/>
  <c r="AH39" i="1"/>
  <c r="AG40" i="1"/>
  <c r="AH40" i="1"/>
  <c r="AG41" i="1"/>
  <c r="AH41" i="1"/>
  <c r="AG42" i="1"/>
  <c r="AH42" i="1"/>
  <c r="AG43" i="1"/>
  <c r="AH43" i="1"/>
  <c r="AG44" i="1"/>
  <c r="AH44" i="1"/>
  <c r="AG45" i="1"/>
  <c r="AH45" i="1"/>
  <c r="AG46" i="1"/>
  <c r="AH46" i="1"/>
  <c r="AG47" i="1"/>
  <c r="AH47" i="1"/>
  <c r="AG48" i="1"/>
  <c r="AH48" i="1"/>
  <c r="AG49" i="1"/>
  <c r="AH49" i="1"/>
  <c r="AG50" i="1"/>
  <c r="AH50" i="1"/>
  <c r="AG51" i="1"/>
  <c r="AH51" i="1"/>
  <c r="AG52" i="1"/>
  <c r="AH52" i="1"/>
  <c r="AG53" i="1"/>
  <c r="AH53" i="1"/>
  <c r="AG54" i="1"/>
  <c r="AH54" i="1"/>
  <c r="AG55" i="1"/>
  <c r="AH55" i="1"/>
  <c r="AG56" i="1"/>
  <c r="AH56" i="1"/>
  <c r="AG57" i="1"/>
  <c r="AH57" i="1"/>
  <c r="AG58" i="1"/>
  <c r="AH58" i="1"/>
  <c r="AG59" i="1"/>
  <c r="AH59" i="1"/>
  <c r="AG60" i="1"/>
  <c r="AH60" i="1"/>
  <c r="AG61" i="1"/>
  <c r="AH61" i="1"/>
  <c r="AG62" i="1"/>
  <c r="AH62" i="1"/>
  <c r="AG63" i="1"/>
  <c r="AH63" i="1"/>
  <c r="AG64" i="1"/>
  <c r="AH64" i="1"/>
  <c r="AG65" i="1"/>
  <c r="AH65" i="1"/>
  <c r="AG66" i="1"/>
  <c r="AH66" i="1"/>
  <c r="AG67" i="1"/>
  <c r="AH67" i="1"/>
  <c r="AG68" i="1"/>
  <c r="AH68" i="1"/>
  <c r="AG69" i="1"/>
  <c r="AH69" i="1"/>
  <c r="AG70" i="1"/>
  <c r="AH70" i="1"/>
  <c r="AG71" i="1"/>
  <c r="AH71" i="1"/>
  <c r="AG72" i="1"/>
  <c r="AH72" i="1"/>
  <c r="AG73" i="1"/>
  <c r="AH73" i="1"/>
  <c r="AG74" i="1"/>
  <c r="AH74" i="1"/>
  <c r="AG75" i="1"/>
  <c r="AH75" i="1"/>
  <c r="AG76" i="1"/>
  <c r="AH76" i="1"/>
  <c r="AG77" i="1"/>
  <c r="AH77" i="1"/>
  <c r="AG78" i="1"/>
  <c r="AH78" i="1"/>
  <c r="AG79" i="1"/>
  <c r="AH79" i="1"/>
  <c r="AG80" i="1"/>
  <c r="AH80" i="1"/>
  <c r="AG81" i="1"/>
  <c r="AH81" i="1"/>
  <c r="AG82" i="1"/>
  <c r="AH82" i="1"/>
  <c r="AG83" i="1"/>
  <c r="AH83" i="1"/>
  <c r="AG84" i="1"/>
  <c r="AH84" i="1"/>
  <c r="AG85" i="1"/>
  <c r="AH85" i="1"/>
  <c r="AG86" i="1"/>
  <c r="AH86" i="1"/>
  <c r="AG87" i="1"/>
  <c r="AH87" i="1"/>
  <c r="AG88" i="1"/>
  <c r="AH88" i="1"/>
  <c r="AG89" i="1"/>
  <c r="AH89" i="1"/>
  <c r="AG90" i="1"/>
  <c r="AH90" i="1"/>
  <c r="AG91" i="1"/>
  <c r="AH91" i="1"/>
  <c r="AG92" i="1"/>
  <c r="AH92" i="1"/>
  <c r="AG93" i="1"/>
  <c r="AH93" i="1"/>
  <c r="AG94" i="1"/>
  <c r="AH94" i="1"/>
  <c r="AG95" i="1"/>
  <c r="AH95" i="1"/>
  <c r="AG96" i="1"/>
  <c r="AH96" i="1"/>
  <c r="AG97" i="1"/>
  <c r="AH97" i="1"/>
  <c r="AG98" i="1"/>
  <c r="AH98" i="1"/>
  <c r="AG99" i="1"/>
  <c r="AH99" i="1"/>
  <c r="AG100" i="1"/>
  <c r="AH100" i="1"/>
  <c r="AG101" i="1"/>
  <c r="AH101" i="1"/>
  <c r="AG102" i="1"/>
  <c r="AH102" i="1"/>
  <c r="AG103" i="1"/>
  <c r="AH103" i="1"/>
  <c r="AG104" i="1"/>
  <c r="AH104" i="1"/>
  <c r="AG105" i="1"/>
  <c r="AH105" i="1"/>
  <c r="AG106" i="1"/>
  <c r="AH106" i="1"/>
  <c r="AG107" i="1"/>
  <c r="AH107" i="1"/>
  <c r="AG108" i="1"/>
  <c r="AH108" i="1"/>
  <c r="AG109" i="1"/>
  <c r="AH109" i="1"/>
  <c r="AG110" i="1"/>
  <c r="AH110" i="1"/>
  <c r="AG111" i="1"/>
  <c r="AH111" i="1"/>
  <c r="AG112" i="1"/>
  <c r="AH112" i="1"/>
  <c r="AG113" i="1"/>
  <c r="AH113" i="1"/>
  <c r="AG114" i="1"/>
  <c r="AH114" i="1"/>
  <c r="AG115" i="1"/>
  <c r="AH115" i="1"/>
  <c r="AG116" i="1"/>
  <c r="AH116" i="1"/>
  <c r="AG117" i="1"/>
  <c r="AH117" i="1"/>
  <c r="AG118" i="1"/>
  <c r="AH118" i="1"/>
  <c r="AG119" i="1"/>
  <c r="AH119" i="1"/>
  <c r="AG120" i="1"/>
  <c r="AH120" i="1"/>
  <c r="AG121" i="1"/>
  <c r="AH121" i="1"/>
  <c r="AG122" i="1"/>
  <c r="AH122" i="1"/>
  <c r="AG123" i="1"/>
  <c r="AH123" i="1"/>
  <c r="AG124" i="1"/>
  <c r="AH124" i="1"/>
  <c r="AG125" i="1"/>
  <c r="AH125" i="1"/>
  <c r="AG126" i="1"/>
  <c r="AH126" i="1"/>
  <c r="AG127" i="1"/>
  <c r="AH127" i="1"/>
  <c r="AG128" i="1"/>
  <c r="AH128" i="1"/>
  <c r="AG129" i="1"/>
  <c r="AH129" i="1"/>
  <c r="AG130" i="1"/>
  <c r="AH130" i="1"/>
  <c r="AG131" i="1"/>
  <c r="AH131" i="1"/>
  <c r="AG132" i="1"/>
  <c r="AH132" i="1"/>
  <c r="AG133" i="1"/>
  <c r="AH133" i="1"/>
  <c r="AG134" i="1"/>
  <c r="AH134" i="1"/>
  <c r="AG135" i="1"/>
  <c r="AH135" i="1"/>
  <c r="AG136" i="1"/>
  <c r="AH136" i="1"/>
  <c r="AG137" i="1"/>
  <c r="AH137" i="1"/>
  <c r="AG138" i="1"/>
  <c r="AH138" i="1"/>
  <c r="AG139" i="1"/>
  <c r="AH139" i="1"/>
  <c r="AG140" i="1"/>
  <c r="AH140" i="1"/>
  <c r="AG141" i="1"/>
  <c r="AH141" i="1"/>
  <c r="AG142" i="1"/>
  <c r="AH142" i="1"/>
  <c r="AG143" i="1"/>
  <c r="AH143" i="1"/>
  <c r="AG144" i="1"/>
  <c r="AH144" i="1"/>
  <c r="AG145" i="1"/>
  <c r="AH145" i="1"/>
  <c r="AG146" i="1"/>
  <c r="AH146" i="1"/>
  <c r="AG147" i="1"/>
  <c r="AH147" i="1"/>
  <c r="AG148" i="1"/>
  <c r="AH148" i="1"/>
  <c r="AG149" i="1"/>
  <c r="AH149" i="1"/>
  <c r="AG150" i="1"/>
  <c r="AH150" i="1"/>
  <c r="AG151" i="1"/>
  <c r="AH151" i="1"/>
  <c r="AG152" i="1"/>
  <c r="AH152" i="1"/>
  <c r="AG153" i="1"/>
  <c r="AH153" i="1"/>
  <c r="AG154" i="1"/>
  <c r="AH154" i="1"/>
  <c r="AG155" i="1"/>
  <c r="AH155" i="1"/>
  <c r="AG156" i="1"/>
  <c r="AH156" i="1"/>
  <c r="AG157" i="1"/>
  <c r="AH157" i="1"/>
  <c r="AG158" i="1"/>
  <c r="AH158" i="1"/>
  <c r="AG159" i="1"/>
  <c r="AH159" i="1"/>
  <c r="AG160" i="1"/>
  <c r="AH160" i="1"/>
  <c r="AG161" i="1"/>
  <c r="AH161" i="1"/>
  <c r="AG162" i="1"/>
  <c r="AH162" i="1"/>
  <c r="AG163" i="1"/>
  <c r="AH163" i="1"/>
  <c r="AG164" i="1"/>
  <c r="AH164" i="1"/>
  <c r="AG165" i="1"/>
  <c r="AH165" i="1"/>
  <c r="AG166" i="1"/>
  <c r="AH166" i="1"/>
  <c r="AG167" i="1"/>
  <c r="AH167" i="1"/>
  <c r="AG168" i="1"/>
  <c r="AH168" i="1"/>
  <c r="AG169" i="1"/>
  <c r="AH169" i="1"/>
  <c r="AG170" i="1"/>
  <c r="AH170" i="1"/>
  <c r="AG171" i="1"/>
  <c r="AH171" i="1"/>
  <c r="AG172" i="1"/>
  <c r="AH172" i="1"/>
  <c r="AG173" i="1"/>
  <c r="AH173" i="1"/>
  <c r="AG174" i="1"/>
  <c r="AH174" i="1"/>
  <c r="AG175" i="1"/>
  <c r="AH175" i="1"/>
  <c r="AG176" i="1"/>
  <c r="AH176" i="1"/>
  <c r="AG177" i="1"/>
  <c r="AH177" i="1"/>
  <c r="AG178" i="1"/>
  <c r="AH178" i="1"/>
  <c r="AG179" i="1"/>
  <c r="AH179" i="1"/>
  <c r="AG180" i="1"/>
  <c r="AH180" i="1"/>
  <c r="AG181" i="1"/>
  <c r="AH181" i="1"/>
  <c r="AG182" i="1"/>
  <c r="AH182" i="1"/>
  <c r="AG183" i="1"/>
  <c r="AH183" i="1"/>
  <c r="AG184" i="1"/>
  <c r="AH184" i="1"/>
  <c r="AG185" i="1"/>
  <c r="AH185" i="1"/>
  <c r="AG186" i="1"/>
  <c r="AH186" i="1"/>
  <c r="AG187" i="1"/>
  <c r="AH187" i="1"/>
  <c r="AG188" i="1"/>
  <c r="AH188" i="1"/>
  <c r="AG189" i="1"/>
  <c r="AH189" i="1"/>
  <c r="AG190" i="1"/>
  <c r="AH190" i="1"/>
  <c r="AG191" i="1"/>
  <c r="AH191" i="1"/>
  <c r="AG192" i="1"/>
  <c r="AH192" i="1"/>
  <c r="AG193" i="1"/>
  <c r="AH193" i="1"/>
  <c r="AG194" i="1"/>
  <c r="AH194" i="1"/>
  <c r="AG195" i="1"/>
  <c r="AH195" i="1"/>
  <c r="AG196" i="1"/>
  <c r="AH196" i="1"/>
  <c r="AG197" i="1"/>
  <c r="AH197" i="1"/>
  <c r="AG198" i="1"/>
  <c r="AH198" i="1"/>
  <c r="AG199" i="1"/>
  <c r="AH199" i="1"/>
  <c r="AG200" i="1"/>
  <c r="AH200" i="1"/>
  <c r="AG201" i="1"/>
  <c r="AH201" i="1"/>
  <c r="AG202" i="1"/>
  <c r="AH202" i="1"/>
  <c r="AG203" i="1"/>
  <c r="AH203" i="1"/>
  <c r="AG204" i="1"/>
  <c r="AH204" i="1"/>
  <c r="AG205" i="1"/>
  <c r="AH205" i="1"/>
  <c r="AG206" i="1"/>
  <c r="AH206" i="1"/>
  <c r="AG207" i="1"/>
  <c r="AH207" i="1"/>
  <c r="AG208" i="1"/>
  <c r="AH208" i="1"/>
  <c r="AG209" i="1"/>
  <c r="AH209" i="1"/>
  <c r="AG210" i="1"/>
  <c r="AH210" i="1"/>
  <c r="AG211" i="1"/>
  <c r="AH211" i="1"/>
  <c r="AG212" i="1"/>
  <c r="AH212" i="1"/>
  <c r="AG213" i="1"/>
  <c r="AH213" i="1"/>
  <c r="AG214" i="1"/>
  <c r="AH214" i="1"/>
  <c r="AG215" i="1"/>
  <c r="AH215" i="1"/>
  <c r="AG216" i="1"/>
  <c r="AH216" i="1"/>
  <c r="AG217" i="1"/>
  <c r="AH217" i="1"/>
  <c r="AG218" i="1"/>
  <c r="AH218" i="1"/>
  <c r="AG219" i="1"/>
  <c r="AH219" i="1"/>
  <c r="AG220" i="1"/>
  <c r="AH220" i="1"/>
  <c r="AG221" i="1"/>
  <c r="AH221" i="1"/>
  <c r="AG222" i="1"/>
  <c r="AH222" i="1"/>
  <c r="AG223" i="1"/>
  <c r="AH223" i="1"/>
  <c r="AG224" i="1"/>
  <c r="AH224" i="1"/>
  <c r="AG225" i="1"/>
  <c r="AH225" i="1"/>
  <c r="AG226" i="1"/>
  <c r="AH226" i="1"/>
  <c r="AG227" i="1"/>
  <c r="AH227" i="1"/>
  <c r="AG228" i="1"/>
  <c r="AH228" i="1"/>
  <c r="AG229" i="1"/>
  <c r="AH229" i="1"/>
  <c r="AG230" i="1"/>
  <c r="AH230" i="1"/>
  <c r="AG231" i="1"/>
  <c r="AH231" i="1"/>
  <c r="AG232" i="1"/>
  <c r="AH232" i="1"/>
  <c r="AG233" i="1"/>
  <c r="AH233" i="1"/>
  <c r="AG234" i="1"/>
  <c r="AH234" i="1"/>
  <c r="AG235" i="1"/>
  <c r="AH235" i="1"/>
  <c r="AG236" i="1"/>
  <c r="AH236" i="1"/>
  <c r="AG237" i="1"/>
  <c r="AH237" i="1"/>
  <c r="AG238" i="1"/>
  <c r="AH238" i="1"/>
  <c r="AG239" i="1"/>
  <c r="AH239" i="1"/>
  <c r="AG240" i="1"/>
  <c r="AH240" i="1"/>
  <c r="AG241" i="1"/>
  <c r="AH241" i="1"/>
  <c r="AG242" i="1"/>
  <c r="AH242" i="1"/>
  <c r="AG243" i="1"/>
  <c r="AH243" i="1"/>
  <c r="AG244" i="1"/>
  <c r="AH244" i="1"/>
  <c r="AG245" i="1"/>
  <c r="AH245" i="1"/>
  <c r="AG246" i="1"/>
  <c r="AH246" i="1"/>
  <c r="AG247" i="1"/>
  <c r="AH247" i="1"/>
  <c r="AG248" i="1"/>
  <c r="AH248" i="1"/>
  <c r="AG249" i="1"/>
  <c r="AH249" i="1"/>
  <c r="AG250" i="1"/>
  <c r="AH250" i="1"/>
  <c r="AG251" i="1"/>
  <c r="AH251" i="1"/>
  <c r="AG252" i="1"/>
  <c r="AH252" i="1"/>
  <c r="AG253" i="1"/>
  <c r="AH253" i="1"/>
  <c r="AG254" i="1"/>
  <c r="AH254" i="1"/>
  <c r="AG255" i="1"/>
  <c r="AH255" i="1"/>
  <c r="AG256" i="1"/>
  <c r="AH256" i="1"/>
  <c r="AG257" i="1"/>
  <c r="AH257" i="1"/>
  <c r="AG258" i="1"/>
  <c r="AH258" i="1"/>
  <c r="AG259" i="1"/>
  <c r="AH259" i="1"/>
  <c r="AG260" i="1"/>
  <c r="AH260" i="1"/>
  <c r="AG261" i="1"/>
  <c r="AH261" i="1"/>
  <c r="AG262" i="1"/>
  <c r="AH262" i="1"/>
  <c r="AG263" i="1"/>
  <c r="AH263" i="1"/>
  <c r="AG264" i="1"/>
  <c r="AH264" i="1"/>
  <c r="AG265" i="1"/>
  <c r="AH265" i="1"/>
  <c r="AG266" i="1"/>
  <c r="AH266" i="1"/>
  <c r="AG267" i="1"/>
  <c r="AH267" i="1"/>
  <c r="AG268" i="1"/>
  <c r="AH268" i="1"/>
  <c r="AG269" i="1"/>
  <c r="AH269" i="1"/>
  <c r="AG270" i="1"/>
  <c r="AH270" i="1"/>
  <c r="AG271" i="1"/>
  <c r="AH271" i="1"/>
  <c r="AG272" i="1"/>
  <c r="AH272" i="1"/>
  <c r="AG273" i="1"/>
  <c r="AH273" i="1"/>
  <c r="AG274" i="1"/>
  <c r="AH274" i="1"/>
  <c r="AG275" i="1"/>
  <c r="AH275" i="1"/>
  <c r="AG276" i="1"/>
  <c r="AH276" i="1"/>
  <c r="AG277" i="1"/>
  <c r="AH277" i="1"/>
  <c r="AG278" i="1"/>
  <c r="AH278" i="1"/>
  <c r="AG279" i="1"/>
  <c r="AH279" i="1"/>
  <c r="AG280" i="1"/>
  <c r="AH280" i="1"/>
  <c r="AG281" i="1"/>
  <c r="AH281" i="1"/>
  <c r="AG282" i="1"/>
  <c r="AH282" i="1"/>
  <c r="AG283" i="1"/>
  <c r="AH283" i="1"/>
  <c r="AG284" i="1"/>
  <c r="AH284" i="1"/>
  <c r="AG285" i="1"/>
  <c r="AH285" i="1"/>
  <c r="AG286" i="1"/>
  <c r="AH286" i="1"/>
  <c r="AG287" i="1"/>
  <c r="AH287" i="1"/>
  <c r="AG288" i="1"/>
  <c r="AH288" i="1"/>
  <c r="AG289" i="1"/>
  <c r="AH289" i="1"/>
  <c r="AG290" i="1"/>
  <c r="AH290" i="1"/>
  <c r="AG291" i="1"/>
  <c r="AH291" i="1"/>
  <c r="AG292" i="1"/>
  <c r="AH292" i="1"/>
  <c r="AG293" i="1"/>
  <c r="AH293" i="1"/>
  <c r="AG294" i="1"/>
  <c r="AH294" i="1"/>
  <c r="AG295" i="1"/>
  <c r="AH295" i="1"/>
  <c r="AG296" i="1"/>
  <c r="AH296" i="1"/>
  <c r="AG297" i="1"/>
  <c r="AH297" i="1"/>
  <c r="AG298" i="1"/>
  <c r="AH298" i="1"/>
  <c r="AG299" i="1"/>
  <c r="AH299" i="1"/>
  <c r="AG300" i="1"/>
  <c r="AH300" i="1"/>
  <c r="AG301" i="1"/>
  <c r="AH301" i="1"/>
  <c r="AG302" i="1"/>
  <c r="AH302" i="1"/>
  <c r="AG303" i="1"/>
  <c r="AH303" i="1"/>
  <c r="AG304" i="1"/>
  <c r="AH304" i="1"/>
  <c r="AG305" i="1"/>
  <c r="AH305" i="1"/>
  <c r="AG306" i="1"/>
  <c r="AH306" i="1"/>
  <c r="AG307" i="1"/>
  <c r="AH307" i="1"/>
  <c r="AG308" i="1"/>
  <c r="AH308" i="1"/>
  <c r="AG309" i="1"/>
  <c r="AH309" i="1"/>
  <c r="AG310" i="1"/>
  <c r="AH310" i="1"/>
  <c r="AG311" i="1"/>
  <c r="AH311" i="1"/>
  <c r="AG312" i="1"/>
  <c r="AH312" i="1"/>
  <c r="AG313" i="1"/>
  <c r="AH313" i="1"/>
  <c r="AG314" i="1"/>
  <c r="AH314" i="1"/>
  <c r="AG315" i="1"/>
  <c r="AH315" i="1"/>
  <c r="AG316" i="1"/>
  <c r="AH316" i="1"/>
  <c r="AG317" i="1"/>
  <c r="AH317" i="1"/>
  <c r="AG318" i="1"/>
  <c r="AH318" i="1"/>
  <c r="AG319" i="1"/>
  <c r="AH319" i="1"/>
  <c r="AG320" i="1"/>
  <c r="AH320" i="1"/>
  <c r="AG321" i="1"/>
  <c r="AH321" i="1"/>
  <c r="AG322" i="1"/>
  <c r="AH322" i="1"/>
  <c r="AG323" i="1"/>
  <c r="AH323" i="1"/>
  <c r="AG324" i="1"/>
  <c r="AH324" i="1"/>
  <c r="AG325" i="1"/>
  <c r="AH325" i="1"/>
  <c r="AG326" i="1"/>
  <c r="AH326" i="1"/>
  <c r="AG327" i="1"/>
  <c r="AH327" i="1"/>
  <c r="AG328" i="1"/>
  <c r="AH328" i="1"/>
  <c r="AG329" i="1"/>
  <c r="AH329" i="1"/>
  <c r="AG330" i="1"/>
  <c r="AH330" i="1"/>
  <c r="AG331" i="1"/>
  <c r="AH331" i="1"/>
  <c r="AG332" i="1"/>
  <c r="AH332" i="1"/>
  <c r="AG333" i="1"/>
  <c r="AH333" i="1"/>
  <c r="AG334" i="1"/>
  <c r="AH334" i="1"/>
  <c r="AG335" i="1"/>
  <c r="AH335" i="1"/>
  <c r="AG336" i="1"/>
  <c r="AH336" i="1"/>
  <c r="AG337" i="1"/>
  <c r="AH337" i="1"/>
  <c r="AG338" i="1"/>
  <c r="AH338" i="1"/>
  <c r="AG339" i="1"/>
  <c r="AH339" i="1"/>
  <c r="AG340" i="1"/>
  <c r="AH340" i="1"/>
  <c r="AG341" i="1"/>
  <c r="AH341" i="1"/>
  <c r="AG342" i="1"/>
  <c r="AH342" i="1"/>
  <c r="AG343" i="1"/>
  <c r="AH343" i="1"/>
  <c r="AG344" i="1"/>
  <c r="AH344" i="1"/>
  <c r="AG345" i="1"/>
  <c r="AH345" i="1"/>
  <c r="AG346" i="1"/>
  <c r="AH346" i="1"/>
  <c r="AG347" i="1"/>
  <c r="AH347" i="1"/>
  <c r="AG348" i="1"/>
  <c r="AH348" i="1"/>
  <c r="AG349" i="1"/>
  <c r="AH349" i="1"/>
  <c r="AG350" i="1"/>
  <c r="AH350" i="1"/>
  <c r="AG351" i="1"/>
  <c r="AH351" i="1"/>
  <c r="AG352" i="1"/>
  <c r="AH352" i="1"/>
  <c r="AG353" i="1"/>
  <c r="AH353" i="1"/>
  <c r="AG354" i="1"/>
  <c r="AH354" i="1"/>
  <c r="AG355" i="1"/>
  <c r="AH355" i="1"/>
  <c r="AG356" i="1"/>
  <c r="AH356" i="1"/>
  <c r="AG357" i="1"/>
  <c r="AH357" i="1"/>
  <c r="AG358" i="1"/>
  <c r="AH358" i="1"/>
  <c r="AG359" i="1"/>
  <c r="AH359" i="1"/>
  <c r="AG360" i="1"/>
  <c r="AH360" i="1"/>
  <c r="AG361" i="1"/>
  <c r="AH361" i="1"/>
  <c r="AG362" i="1"/>
  <c r="AH362" i="1"/>
  <c r="AG363" i="1"/>
  <c r="AH363" i="1"/>
  <c r="AG364" i="1"/>
  <c r="AH364" i="1"/>
  <c r="AG365" i="1"/>
  <c r="AH365" i="1"/>
  <c r="AG366" i="1"/>
  <c r="AH366" i="1"/>
  <c r="AG367" i="1"/>
  <c r="AH367" i="1"/>
  <c r="AG368" i="1"/>
  <c r="AH368" i="1"/>
  <c r="AG369" i="1"/>
  <c r="AH369" i="1"/>
  <c r="AG370" i="1"/>
  <c r="AH370" i="1"/>
  <c r="AG371" i="1"/>
  <c r="AH371" i="1"/>
  <c r="AG372" i="1"/>
  <c r="AH372" i="1"/>
  <c r="AG373" i="1"/>
  <c r="AH373" i="1"/>
  <c r="AG374" i="1"/>
  <c r="AH374" i="1"/>
  <c r="AG375" i="1"/>
  <c r="AH375" i="1"/>
  <c r="AG376" i="1"/>
  <c r="AH376" i="1"/>
  <c r="AG377" i="1"/>
  <c r="AH377" i="1"/>
  <c r="AG378" i="1"/>
  <c r="AH378" i="1"/>
  <c r="AG379" i="1"/>
  <c r="AH379" i="1"/>
  <c r="AG380" i="1"/>
  <c r="AH380" i="1"/>
  <c r="AG381" i="1"/>
  <c r="AH381" i="1"/>
  <c r="AG382" i="1"/>
  <c r="AH382" i="1"/>
  <c r="AG383" i="1"/>
  <c r="AH383" i="1"/>
  <c r="AG384" i="1"/>
  <c r="AH384" i="1"/>
  <c r="AG385" i="1"/>
  <c r="AH385" i="1"/>
  <c r="AG386" i="1"/>
  <c r="AH386" i="1"/>
  <c r="AG387" i="1"/>
  <c r="AH387" i="1"/>
  <c r="AG388" i="1"/>
  <c r="AH388" i="1"/>
  <c r="AG389" i="1"/>
  <c r="AH389" i="1"/>
  <c r="AG390" i="1"/>
  <c r="AH390" i="1"/>
  <c r="AG391" i="1"/>
  <c r="AH391" i="1"/>
  <c r="AG392" i="1"/>
  <c r="AH392" i="1"/>
  <c r="AG393" i="1"/>
  <c r="AH393" i="1"/>
  <c r="AG394" i="1"/>
  <c r="AH394" i="1"/>
  <c r="AG395" i="1"/>
  <c r="AH395" i="1"/>
  <c r="AG396" i="1"/>
  <c r="AH396" i="1"/>
  <c r="AG397" i="1"/>
  <c r="AH397" i="1"/>
  <c r="AG398" i="1"/>
  <c r="AH398" i="1"/>
  <c r="AG399" i="1"/>
  <c r="AH399" i="1"/>
  <c r="AG400" i="1"/>
  <c r="AH400" i="1"/>
  <c r="AG401" i="1"/>
  <c r="AH401" i="1"/>
  <c r="AG402" i="1"/>
  <c r="AH402" i="1"/>
  <c r="AG403" i="1"/>
  <c r="AH403" i="1"/>
  <c r="AG404" i="1"/>
  <c r="AH404" i="1"/>
  <c r="AG405" i="1"/>
  <c r="AH405" i="1"/>
  <c r="AG406" i="1"/>
  <c r="AH406" i="1"/>
  <c r="AG407" i="1"/>
  <c r="AH407" i="1"/>
  <c r="AG408" i="1"/>
  <c r="AH408" i="1"/>
  <c r="AG409" i="1"/>
  <c r="AH409" i="1"/>
  <c r="AG410" i="1"/>
  <c r="AH410" i="1"/>
  <c r="AG411" i="1"/>
  <c r="AH411" i="1"/>
  <c r="AG412" i="1"/>
  <c r="AH412" i="1"/>
  <c r="AG413" i="1"/>
  <c r="AH413" i="1"/>
  <c r="AG414" i="1"/>
  <c r="AH414" i="1"/>
  <c r="AG415" i="1"/>
  <c r="AH415" i="1"/>
  <c r="AG416" i="1"/>
  <c r="AH416" i="1"/>
  <c r="AG417" i="1"/>
  <c r="AH417" i="1"/>
  <c r="AG418" i="1"/>
  <c r="AH418" i="1"/>
  <c r="AG419" i="1"/>
  <c r="AH419" i="1"/>
  <c r="AG420" i="1"/>
  <c r="AH420" i="1"/>
  <c r="AG421" i="1"/>
  <c r="AH421" i="1"/>
  <c r="AG422" i="1"/>
  <c r="AH422" i="1"/>
  <c r="AG423" i="1"/>
  <c r="AH423" i="1"/>
  <c r="AG424" i="1"/>
  <c r="AH424" i="1"/>
  <c r="AG425" i="1"/>
  <c r="AH425" i="1"/>
  <c r="AG426" i="1"/>
  <c r="AH426" i="1"/>
  <c r="AG427" i="1"/>
  <c r="AH427" i="1"/>
  <c r="AG428" i="1"/>
  <c r="AH428" i="1"/>
  <c r="AG429" i="1"/>
  <c r="AH429" i="1"/>
  <c r="AG430" i="1"/>
  <c r="AH430" i="1"/>
  <c r="AG431" i="1"/>
  <c r="AH431" i="1"/>
  <c r="AG432" i="1"/>
  <c r="AH432" i="1"/>
  <c r="AG433" i="1"/>
  <c r="AH433" i="1"/>
  <c r="AG434" i="1"/>
  <c r="AH434" i="1"/>
  <c r="AG435" i="1"/>
  <c r="AH435" i="1"/>
  <c r="AG436" i="1"/>
  <c r="AH436" i="1"/>
  <c r="AG437" i="1"/>
  <c r="AH437" i="1"/>
  <c r="AG438" i="1"/>
  <c r="AH438" i="1"/>
  <c r="AG439" i="1"/>
  <c r="AH439" i="1"/>
  <c r="AG440" i="1"/>
  <c r="AH440" i="1"/>
  <c r="AG441" i="1"/>
  <c r="AH441" i="1"/>
  <c r="AG442" i="1"/>
  <c r="AH442" i="1"/>
  <c r="AG443" i="1"/>
  <c r="AH443" i="1"/>
  <c r="AG444" i="1"/>
  <c r="AH444" i="1"/>
  <c r="AG445" i="1"/>
  <c r="AH445" i="1"/>
  <c r="AG446" i="1"/>
  <c r="AH446" i="1"/>
  <c r="AG447" i="1"/>
  <c r="AH447" i="1"/>
  <c r="AG448" i="1"/>
  <c r="AH448" i="1"/>
  <c r="AG449" i="1"/>
  <c r="AH449" i="1"/>
  <c r="AG450" i="1"/>
  <c r="AH450" i="1"/>
  <c r="AG451" i="1"/>
  <c r="AH451" i="1"/>
  <c r="AG452" i="1"/>
  <c r="AH452" i="1"/>
  <c r="AG453" i="1"/>
  <c r="AH453" i="1"/>
  <c r="AG454" i="1"/>
  <c r="AH454" i="1"/>
  <c r="AG455" i="1"/>
  <c r="AH455" i="1"/>
  <c r="AG456" i="1"/>
  <c r="AH456" i="1"/>
  <c r="AG457" i="1"/>
  <c r="AH457" i="1"/>
  <c r="AG458" i="1"/>
  <c r="AH458" i="1"/>
  <c r="AG459" i="1"/>
  <c r="AH459" i="1"/>
  <c r="AG460" i="1"/>
  <c r="AH460" i="1"/>
  <c r="AG461" i="1"/>
  <c r="AH461" i="1"/>
  <c r="AG462" i="1"/>
  <c r="AH462" i="1"/>
  <c r="AG463" i="1"/>
  <c r="AH463" i="1"/>
  <c r="AG464" i="1"/>
  <c r="AH464" i="1"/>
  <c r="AG465" i="1"/>
  <c r="AH465" i="1"/>
  <c r="AG466" i="1"/>
  <c r="AH466" i="1"/>
  <c r="AG467" i="1"/>
  <c r="AH467" i="1"/>
  <c r="AG468" i="1"/>
  <c r="AH468" i="1"/>
  <c r="AG469" i="1"/>
  <c r="AH469" i="1"/>
  <c r="AG470" i="1"/>
  <c r="AH470" i="1"/>
  <c r="AG471" i="1"/>
  <c r="AH471" i="1"/>
  <c r="AG472" i="1"/>
  <c r="AH472" i="1"/>
  <c r="AG473" i="1"/>
  <c r="AH473" i="1"/>
  <c r="AG474" i="1"/>
  <c r="AH474" i="1"/>
  <c r="AG475" i="1"/>
  <c r="AH475" i="1"/>
  <c r="AG476" i="1"/>
  <c r="AH476" i="1"/>
  <c r="AG477" i="1"/>
  <c r="AH477" i="1"/>
  <c r="AG478" i="1"/>
  <c r="AH478" i="1"/>
  <c r="AG479" i="1"/>
  <c r="AH479" i="1"/>
  <c r="AG480" i="1"/>
  <c r="AH480" i="1"/>
  <c r="AG481" i="1"/>
  <c r="AH481" i="1"/>
  <c r="AG482" i="1"/>
  <c r="AH482" i="1"/>
  <c r="AG483" i="1"/>
  <c r="AH483" i="1"/>
  <c r="AG484" i="1"/>
  <c r="AH484" i="1"/>
  <c r="AG485" i="1"/>
  <c r="AH485" i="1"/>
  <c r="AG486" i="1"/>
  <c r="AH486" i="1"/>
  <c r="AG487" i="1"/>
  <c r="AH487" i="1"/>
  <c r="AG488" i="1"/>
  <c r="AH488" i="1"/>
  <c r="AG489" i="1"/>
  <c r="AH489" i="1"/>
  <c r="AG490" i="1"/>
  <c r="AH490" i="1"/>
  <c r="AG491" i="1"/>
  <c r="AH491" i="1"/>
  <c r="AG492" i="1"/>
  <c r="AH492" i="1"/>
  <c r="AG493" i="1"/>
  <c r="AH493" i="1"/>
  <c r="AG494" i="1"/>
  <c r="AH494" i="1"/>
  <c r="AG495" i="1"/>
  <c r="AH495" i="1"/>
  <c r="AG496" i="1"/>
  <c r="AH496" i="1"/>
  <c r="AG497" i="1"/>
  <c r="AH497" i="1"/>
  <c r="AG498" i="1"/>
  <c r="AH498" i="1"/>
  <c r="AG499" i="1"/>
  <c r="AH499" i="1"/>
  <c r="AG500" i="1"/>
  <c r="AH500" i="1"/>
  <c r="AG501" i="1"/>
  <c r="AH501" i="1"/>
  <c r="AG502" i="1"/>
  <c r="AH502" i="1"/>
  <c r="AG503" i="1"/>
  <c r="AH503" i="1"/>
  <c r="AG504" i="1"/>
  <c r="AH504" i="1"/>
  <c r="AG505" i="1"/>
  <c r="AH505" i="1"/>
  <c r="AG506" i="1"/>
  <c r="AH506" i="1"/>
  <c r="AG507" i="1"/>
  <c r="AH507" i="1"/>
  <c r="AG508" i="1"/>
  <c r="AH508" i="1"/>
  <c r="AG509" i="1"/>
  <c r="AH509" i="1"/>
  <c r="AG510" i="1"/>
  <c r="AH510" i="1"/>
  <c r="AG511" i="1"/>
  <c r="AH511" i="1"/>
  <c r="AG512" i="1"/>
  <c r="AH512" i="1"/>
  <c r="AG513" i="1"/>
  <c r="AH513" i="1"/>
  <c r="AG514" i="1"/>
  <c r="AH514" i="1"/>
  <c r="AG515" i="1"/>
  <c r="AH515" i="1"/>
  <c r="AG516" i="1"/>
  <c r="AH516" i="1"/>
  <c r="AG517" i="1"/>
  <c r="AH517" i="1"/>
  <c r="AG518" i="1"/>
  <c r="AH518" i="1"/>
  <c r="AG519" i="1"/>
  <c r="AH519" i="1"/>
  <c r="AG520" i="1"/>
  <c r="AH520" i="1"/>
  <c r="AG521" i="1"/>
  <c r="AH521" i="1"/>
  <c r="AG522" i="1"/>
  <c r="AH522" i="1"/>
  <c r="AG523" i="1"/>
  <c r="AH523" i="1"/>
  <c r="AG524" i="1"/>
  <c r="AH524" i="1"/>
  <c r="AG525" i="1"/>
  <c r="AH525" i="1"/>
  <c r="AG526" i="1"/>
  <c r="AH526" i="1"/>
  <c r="AG527" i="1"/>
  <c r="AH527" i="1"/>
  <c r="AG528" i="1"/>
  <c r="AH528" i="1"/>
  <c r="AG529" i="1"/>
  <c r="AH529" i="1"/>
  <c r="AG530" i="1"/>
  <c r="AH530" i="1"/>
  <c r="AG531" i="1"/>
  <c r="AH531" i="1"/>
  <c r="AG532" i="1"/>
  <c r="AH532" i="1"/>
  <c r="AG533" i="1"/>
  <c r="AH533" i="1"/>
  <c r="AG534" i="1"/>
  <c r="AH534" i="1"/>
  <c r="AG535" i="1"/>
  <c r="AH535" i="1"/>
  <c r="AG536" i="1"/>
  <c r="AH536" i="1"/>
  <c r="AG537" i="1"/>
  <c r="AH537" i="1"/>
  <c r="AG538" i="1"/>
  <c r="AH538" i="1"/>
  <c r="AG539" i="1"/>
  <c r="AH539" i="1"/>
  <c r="AG540" i="1"/>
  <c r="AH540" i="1"/>
  <c r="AG541" i="1"/>
  <c r="AH541" i="1"/>
  <c r="AG542" i="1"/>
  <c r="AH542" i="1"/>
  <c r="AG543" i="1"/>
  <c r="AH543" i="1"/>
  <c r="AG544" i="1"/>
  <c r="AH544" i="1"/>
  <c r="AG545" i="1"/>
  <c r="AH545" i="1"/>
  <c r="AG546" i="1"/>
  <c r="AH546" i="1"/>
  <c r="AG547" i="1"/>
  <c r="AH547" i="1"/>
  <c r="AG548" i="1"/>
  <c r="AH548" i="1"/>
  <c r="AG549" i="1"/>
  <c r="AH549" i="1"/>
  <c r="AG550" i="1"/>
  <c r="AH550" i="1"/>
  <c r="AG551" i="1"/>
  <c r="AH551" i="1"/>
  <c r="AG552" i="1"/>
  <c r="AH552" i="1"/>
  <c r="AG554" i="1"/>
  <c r="AH554" i="1"/>
  <c r="AG555" i="1"/>
  <c r="AH555" i="1"/>
  <c r="AG556" i="1"/>
  <c r="AH556" i="1"/>
  <c r="AG557" i="1"/>
  <c r="AH557" i="1"/>
  <c r="AG558" i="1"/>
  <c r="AH558" i="1"/>
  <c r="AG559" i="1"/>
  <c r="AH559" i="1"/>
  <c r="AG560" i="1"/>
  <c r="AH560" i="1"/>
  <c r="AG561" i="1"/>
  <c r="AH561" i="1"/>
  <c r="AG562" i="1"/>
  <c r="AH562" i="1"/>
  <c r="AG563" i="1"/>
  <c r="AH563" i="1"/>
  <c r="AG564" i="1"/>
  <c r="AH564" i="1"/>
  <c r="AG565" i="1"/>
  <c r="AH565" i="1"/>
  <c r="AG566" i="1"/>
  <c r="AH566" i="1"/>
  <c r="AG567" i="1"/>
  <c r="AH567" i="1"/>
  <c r="AG568" i="1"/>
  <c r="AH568" i="1"/>
  <c r="AG569" i="1"/>
  <c r="AH569" i="1"/>
  <c r="AG570" i="1"/>
  <c r="AH570" i="1"/>
  <c r="AG571" i="1"/>
  <c r="AH571" i="1"/>
  <c r="AG572" i="1"/>
  <c r="AH572" i="1"/>
  <c r="AG573" i="1"/>
  <c r="AH573" i="1"/>
  <c r="AG574" i="1"/>
  <c r="AH574" i="1"/>
  <c r="AG575" i="1"/>
  <c r="AH575" i="1"/>
  <c r="AG576" i="1"/>
  <c r="AH576" i="1"/>
  <c r="AG577" i="1"/>
  <c r="AH577" i="1"/>
  <c r="AG578" i="1"/>
  <c r="AH578" i="1"/>
  <c r="AG579" i="1"/>
  <c r="AH579" i="1"/>
  <c r="AG580" i="1"/>
  <c r="AH580" i="1"/>
  <c r="AG581" i="1"/>
  <c r="AH581" i="1"/>
  <c r="AG582" i="1"/>
  <c r="AH582" i="1"/>
  <c r="AG583" i="1"/>
  <c r="AH583" i="1"/>
  <c r="AG584" i="1"/>
  <c r="AH584" i="1"/>
  <c r="AG585" i="1"/>
  <c r="AH585" i="1"/>
  <c r="AG586" i="1"/>
  <c r="AH586" i="1"/>
  <c r="AG587" i="1"/>
  <c r="AH587" i="1"/>
  <c r="AG588" i="1"/>
  <c r="AH588" i="1"/>
  <c r="AG589" i="1"/>
  <c r="AH589" i="1"/>
  <c r="AG590" i="1"/>
  <c r="AH590" i="1"/>
  <c r="AG591" i="1"/>
  <c r="AH591" i="1"/>
  <c r="AG592" i="1"/>
  <c r="AH592" i="1"/>
  <c r="AG593" i="1"/>
  <c r="AH593" i="1"/>
  <c r="AG594" i="1"/>
  <c r="AH594" i="1"/>
  <c r="AG595" i="1"/>
  <c r="AH595" i="1"/>
  <c r="AG596" i="1"/>
  <c r="AH596" i="1"/>
  <c r="AG597" i="1"/>
  <c r="AH597" i="1"/>
  <c r="AG598" i="1"/>
  <c r="AH598" i="1"/>
  <c r="AG599" i="1"/>
  <c r="AH599" i="1"/>
  <c r="AG600" i="1"/>
  <c r="AH600" i="1"/>
  <c r="AG601" i="1"/>
  <c r="AH601" i="1"/>
  <c r="AG602" i="1"/>
  <c r="AH602" i="1"/>
  <c r="AG603" i="1"/>
  <c r="AH603" i="1"/>
  <c r="AG604" i="1"/>
  <c r="AH604" i="1"/>
  <c r="AG605" i="1"/>
  <c r="AH605" i="1"/>
  <c r="AG606" i="1"/>
  <c r="AH606" i="1"/>
  <c r="AG607" i="1"/>
  <c r="AH607" i="1"/>
  <c r="AG608" i="1"/>
  <c r="AH608" i="1"/>
  <c r="AG609" i="1"/>
  <c r="AH609" i="1"/>
  <c r="AG610" i="1"/>
  <c r="AH610" i="1"/>
  <c r="AG611" i="1"/>
  <c r="AH611" i="1"/>
  <c r="AG612" i="1"/>
  <c r="AH612" i="1"/>
  <c r="AG613" i="1"/>
  <c r="AH613" i="1"/>
  <c r="AG614" i="1"/>
  <c r="AH614" i="1"/>
  <c r="AG615" i="1"/>
  <c r="AH615" i="1"/>
  <c r="AG616" i="1"/>
  <c r="AH616" i="1"/>
  <c r="AG617" i="1"/>
  <c r="AH617" i="1"/>
  <c r="AG618" i="1"/>
  <c r="AH618" i="1"/>
  <c r="AG619" i="1"/>
  <c r="AH619" i="1"/>
  <c r="AG620" i="1"/>
  <c r="AH620" i="1"/>
  <c r="AG621" i="1"/>
  <c r="AH621" i="1"/>
  <c r="AG622" i="1"/>
  <c r="AH622" i="1"/>
  <c r="AG623" i="1"/>
  <c r="AH623" i="1"/>
  <c r="AG624" i="1"/>
  <c r="AH624" i="1"/>
  <c r="AG625" i="1"/>
  <c r="AH625" i="1"/>
  <c r="AG626" i="1"/>
  <c r="AH626" i="1"/>
  <c r="AG627" i="1"/>
  <c r="AH627" i="1"/>
  <c r="AG628" i="1"/>
  <c r="AH628" i="1"/>
  <c r="AG629" i="1"/>
  <c r="AH629" i="1"/>
  <c r="AG630" i="1"/>
  <c r="AH630" i="1"/>
  <c r="AG631" i="1"/>
  <c r="AH631" i="1"/>
  <c r="AG632" i="1"/>
  <c r="AH632" i="1"/>
  <c r="AG633" i="1"/>
  <c r="AH633" i="1"/>
  <c r="AG634" i="1"/>
  <c r="AH634" i="1"/>
  <c r="AG635" i="1"/>
  <c r="AH635" i="1"/>
  <c r="AG636" i="1"/>
  <c r="AH636" i="1"/>
  <c r="AG637" i="1"/>
  <c r="AH637" i="1"/>
  <c r="AG638" i="1"/>
  <c r="AH638" i="1"/>
  <c r="AG639" i="1"/>
  <c r="AH639" i="1"/>
  <c r="AG640" i="1"/>
  <c r="AH640" i="1"/>
  <c r="AG641" i="1"/>
  <c r="AH641" i="1"/>
  <c r="AG642" i="1"/>
  <c r="AH642" i="1"/>
  <c r="AG643" i="1"/>
  <c r="AH643" i="1"/>
  <c r="AG644" i="1"/>
  <c r="AH644" i="1"/>
  <c r="AG645" i="1"/>
  <c r="AH645" i="1"/>
  <c r="AG646" i="1"/>
  <c r="AH646" i="1"/>
  <c r="AG647" i="1"/>
  <c r="AH647" i="1"/>
  <c r="AG648" i="1"/>
  <c r="AH648" i="1"/>
  <c r="AG649" i="1"/>
  <c r="AH649" i="1"/>
  <c r="AG650" i="1"/>
  <c r="AH650" i="1"/>
  <c r="AG651" i="1"/>
  <c r="AH651" i="1"/>
  <c r="AG652" i="1"/>
  <c r="AH652" i="1"/>
  <c r="AG653" i="1"/>
  <c r="AH653" i="1"/>
  <c r="AG654" i="1"/>
  <c r="AH654" i="1"/>
  <c r="AG655" i="1"/>
  <c r="AH655" i="1"/>
  <c r="AG656" i="1"/>
  <c r="AH656" i="1"/>
  <c r="AG657" i="1"/>
  <c r="AH657" i="1"/>
  <c r="AG658" i="1"/>
  <c r="AH658" i="1"/>
  <c r="AG659" i="1"/>
  <c r="AH659" i="1"/>
  <c r="AG660" i="1"/>
  <c r="AH660" i="1"/>
  <c r="AG661" i="1"/>
  <c r="AH661" i="1"/>
  <c r="AG662" i="1"/>
  <c r="AH662" i="1"/>
  <c r="AG663" i="1"/>
  <c r="AH663" i="1"/>
  <c r="AG664" i="1"/>
  <c r="AH664" i="1"/>
  <c r="AG665" i="1"/>
  <c r="AH665" i="1"/>
  <c r="AG666" i="1"/>
  <c r="AH666" i="1"/>
  <c r="AG667" i="1"/>
  <c r="AH667" i="1"/>
  <c r="AG668" i="1"/>
  <c r="AH668" i="1"/>
  <c r="AG669" i="1"/>
  <c r="AH669" i="1"/>
  <c r="AG670" i="1"/>
  <c r="AH670" i="1"/>
  <c r="AG671" i="1"/>
  <c r="AH671" i="1"/>
  <c r="AG672" i="1"/>
  <c r="AH672" i="1"/>
  <c r="AG673" i="1"/>
  <c r="AH673" i="1"/>
  <c r="AG674" i="1"/>
  <c r="AH674" i="1"/>
  <c r="AG675" i="1"/>
  <c r="AH675" i="1"/>
  <c r="AG676" i="1"/>
  <c r="AH676" i="1"/>
  <c r="AG677" i="1"/>
  <c r="AH677" i="1"/>
  <c r="AG678" i="1"/>
  <c r="AH678" i="1"/>
  <c r="AG679" i="1"/>
  <c r="AH679" i="1"/>
  <c r="AG680" i="1"/>
  <c r="AH680" i="1"/>
  <c r="AG681" i="1"/>
  <c r="AH681" i="1"/>
  <c r="AG682" i="1"/>
  <c r="AH682" i="1"/>
  <c r="AG683" i="1"/>
  <c r="AH683" i="1"/>
  <c r="AG684" i="1"/>
  <c r="AH684" i="1"/>
  <c r="AG685" i="1"/>
  <c r="AH685" i="1"/>
  <c r="AG686" i="1"/>
  <c r="AH686" i="1"/>
  <c r="AG687" i="1"/>
  <c r="AH687" i="1"/>
  <c r="AG688" i="1"/>
  <c r="AH688" i="1"/>
  <c r="AG689" i="1"/>
  <c r="AH689" i="1"/>
  <c r="AG690" i="1"/>
  <c r="AH690" i="1"/>
  <c r="AG691" i="1"/>
  <c r="AH691" i="1"/>
  <c r="AG692" i="1"/>
  <c r="AH692" i="1"/>
  <c r="AG693" i="1"/>
  <c r="AH693" i="1"/>
  <c r="AG694" i="1"/>
  <c r="AH694" i="1"/>
  <c r="AG695" i="1"/>
  <c r="AH695" i="1"/>
  <c r="AG696" i="1"/>
  <c r="AH696" i="1"/>
  <c r="AG697" i="1"/>
  <c r="AH697" i="1"/>
  <c r="AG698" i="1"/>
  <c r="AH698" i="1"/>
  <c r="AG699" i="1"/>
  <c r="AH699" i="1"/>
  <c r="AG700" i="1"/>
  <c r="AH700" i="1"/>
  <c r="AG701" i="1"/>
  <c r="AH701" i="1"/>
  <c r="AG702" i="1"/>
  <c r="AH702" i="1"/>
  <c r="AG703" i="1"/>
  <c r="AH703" i="1"/>
  <c r="AG704" i="1"/>
  <c r="AH704" i="1"/>
  <c r="AG705" i="1"/>
  <c r="AH705" i="1"/>
  <c r="AG706" i="1"/>
  <c r="AH706" i="1"/>
  <c r="AG707" i="1"/>
  <c r="AH707" i="1"/>
  <c r="AG708" i="1"/>
  <c r="AH708" i="1"/>
  <c r="AG709" i="1"/>
  <c r="AH709" i="1"/>
  <c r="AG710" i="1"/>
  <c r="AH710" i="1"/>
  <c r="AG711" i="1"/>
  <c r="AH711" i="1"/>
  <c r="AG712" i="1"/>
  <c r="AH712" i="1"/>
  <c r="AG713" i="1"/>
  <c r="AH713" i="1"/>
  <c r="AG714" i="1"/>
  <c r="AH714" i="1"/>
  <c r="AG715" i="1"/>
  <c r="AH715" i="1"/>
  <c r="AG716" i="1"/>
  <c r="AH716" i="1"/>
  <c r="AG717" i="1"/>
  <c r="AH717" i="1"/>
  <c r="AG718" i="1"/>
  <c r="AH718" i="1"/>
  <c r="AG719" i="1"/>
  <c r="AH719" i="1"/>
  <c r="AG720" i="1"/>
  <c r="AH720" i="1"/>
  <c r="AG721" i="1"/>
  <c r="AH721" i="1"/>
  <c r="AG722" i="1"/>
  <c r="AH722" i="1"/>
  <c r="AG723" i="1"/>
  <c r="AH723" i="1"/>
  <c r="AG724" i="1"/>
  <c r="AH724" i="1"/>
  <c r="AG725" i="1"/>
  <c r="AH725" i="1"/>
  <c r="AG726" i="1"/>
  <c r="AH726" i="1"/>
  <c r="AG727" i="1"/>
  <c r="AH727" i="1"/>
  <c r="AG728" i="1"/>
  <c r="AH728" i="1"/>
  <c r="AG729" i="1"/>
  <c r="AH729" i="1"/>
  <c r="AG730" i="1"/>
  <c r="AH730" i="1"/>
  <c r="AG731" i="1"/>
  <c r="AH731" i="1"/>
  <c r="AG732" i="1"/>
  <c r="AH732" i="1"/>
  <c r="AG733" i="1"/>
  <c r="AH733" i="1"/>
  <c r="AG734" i="1"/>
  <c r="AH734" i="1"/>
  <c r="AG735" i="1"/>
  <c r="AH735" i="1"/>
  <c r="AG736" i="1"/>
  <c r="AH736" i="1"/>
  <c r="AG737" i="1"/>
  <c r="AH737" i="1"/>
  <c r="AG738" i="1"/>
  <c r="AH738" i="1"/>
  <c r="AG739" i="1"/>
  <c r="AH739" i="1"/>
  <c r="AG740" i="1"/>
  <c r="AH740" i="1"/>
  <c r="AG741" i="1"/>
  <c r="AH741" i="1"/>
  <c r="AG742" i="1"/>
  <c r="AH742" i="1"/>
  <c r="AG743" i="1"/>
  <c r="AH743" i="1"/>
  <c r="AG744" i="1"/>
  <c r="AH744" i="1"/>
  <c r="AG745" i="1"/>
  <c r="AH745" i="1"/>
  <c r="AG746" i="1"/>
  <c r="AH746" i="1"/>
  <c r="AG747" i="1"/>
  <c r="AH747" i="1"/>
  <c r="AG748" i="1"/>
  <c r="AH748" i="1"/>
  <c r="AG749" i="1"/>
  <c r="AH749" i="1"/>
  <c r="AG750" i="1"/>
  <c r="AH750" i="1"/>
  <c r="AG751" i="1"/>
  <c r="AH751" i="1"/>
  <c r="AG752" i="1"/>
  <c r="AH752" i="1"/>
  <c r="AG753" i="1"/>
  <c r="AH753" i="1"/>
  <c r="AG754" i="1"/>
  <c r="AH754" i="1"/>
  <c r="AG755" i="1"/>
  <c r="AH755" i="1"/>
  <c r="AG756" i="1"/>
  <c r="AH756" i="1"/>
  <c r="AG757" i="1"/>
  <c r="AH757" i="1"/>
  <c r="AG758" i="1"/>
  <c r="AH758" i="1"/>
  <c r="AG759" i="1"/>
  <c r="AH759" i="1"/>
  <c r="AG760" i="1"/>
  <c r="AH760" i="1"/>
  <c r="AG761" i="1"/>
  <c r="AH761" i="1"/>
  <c r="AG762" i="1"/>
  <c r="AH762" i="1"/>
  <c r="AG763" i="1"/>
  <c r="AH763" i="1"/>
  <c r="AG764" i="1"/>
  <c r="AH764" i="1"/>
  <c r="AG765" i="1"/>
  <c r="AH765" i="1"/>
  <c r="AG766" i="1"/>
  <c r="AH766" i="1"/>
  <c r="AG767" i="1"/>
  <c r="AH767" i="1"/>
  <c r="AG768" i="1"/>
  <c r="AH768" i="1"/>
  <c r="AG769" i="1"/>
  <c r="AH769" i="1"/>
  <c r="AG770" i="1"/>
  <c r="AH770" i="1"/>
  <c r="AG771" i="1"/>
  <c r="AH771" i="1"/>
  <c r="AG772" i="1"/>
  <c r="AH772" i="1"/>
  <c r="AG773" i="1"/>
  <c r="AH773" i="1"/>
  <c r="AG774" i="1"/>
  <c r="AH774" i="1"/>
  <c r="AG775" i="1"/>
  <c r="AH775" i="1"/>
  <c r="AG776" i="1"/>
  <c r="AH776" i="1"/>
  <c r="AG777" i="1"/>
  <c r="AH777" i="1"/>
  <c r="AG778" i="1"/>
  <c r="AH778" i="1"/>
  <c r="AG779" i="1"/>
  <c r="AH779" i="1"/>
  <c r="AG780" i="1"/>
  <c r="AH780" i="1"/>
  <c r="AG781" i="1"/>
  <c r="AH781" i="1"/>
  <c r="AG782" i="1"/>
  <c r="AH782" i="1"/>
  <c r="AG783" i="1"/>
  <c r="AH783" i="1"/>
  <c r="AG784" i="1"/>
  <c r="AH784" i="1"/>
  <c r="AG785" i="1"/>
  <c r="AH785" i="1"/>
  <c r="AG786" i="1"/>
  <c r="AH786" i="1"/>
  <c r="AG787" i="1"/>
  <c r="AH787" i="1"/>
  <c r="AG788" i="1"/>
  <c r="AH788" i="1"/>
  <c r="AG789" i="1"/>
  <c r="AH789" i="1"/>
  <c r="AG790" i="1"/>
  <c r="AH790" i="1"/>
  <c r="AG791" i="1"/>
  <c r="AH791" i="1"/>
  <c r="AG792" i="1"/>
  <c r="AH792" i="1"/>
  <c r="AG793" i="1"/>
  <c r="AH793" i="1"/>
  <c r="AG794" i="1"/>
  <c r="AH794" i="1"/>
  <c r="AG795" i="1"/>
  <c r="AH795" i="1"/>
  <c r="AG796" i="1"/>
  <c r="AH796" i="1"/>
  <c r="AG797" i="1"/>
  <c r="AH797" i="1"/>
  <c r="AG798" i="1"/>
  <c r="AH798" i="1"/>
  <c r="AG799" i="1"/>
  <c r="AH799" i="1"/>
  <c r="AG800" i="1"/>
  <c r="AH800" i="1"/>
  <c r="AG801" i="1"/>
  <c r="AH801" i="1"/>
  <c r="AG802" i="1"/>
  <c r="AH802" i="1"/>
  <c r="AG803" i="1"/>
  <c r="AH803" i="1"/>
  <c r="AG804" i="1"/>
  <c r="AH804" i="1"/>
  <c r="AG805" i="1"/>
  <c r="AH805" i="1"/>
  <c r="AG806" i="1"/>
  <c r="AH806" i="1"/>
  <c r="AG807" i="1"/>
  <c r="AH807" i="1"/>
  <c r="AG808" i="1"/>
  <c r="AH808" i="1"/>
  <c r="AG809" i="1"/>
  <c r="AH809" i="1"/>
  <c r="AG810" i="1"/>
  <c r="AH810" i="1"/>
  <c r="AG811" i="1"/>
  <c r="AH811" i="1"/>
  <c r="AG812" i="1"/>
  <c r="AH812" i="1"/>
  <c r="AG813" i="1"/>
  <c r="AH813" i="1"/>
  <c r="AG814" i="1"/>
  <c r="AH814" i="1"/>
  <c r="AG815" i="1"/>
  <c r="AH815" i="1"/>
  <c r="AG816" i="1"/>
  <c r="AH816" i="1"/>
  <c r="AG817" i="1"/>
  <c r="AH817" i="1"/>
  <c r="AG818" i="1"/>
  <c r="AH818" i="1"/>
  <c r="AG819" i="1"/>
  <c r="AH819" i="1"/>
  <c r="AG820" i="1"/>
  <c r="AH820" i="1"/>
  <c r="AG821" i="1"/>
  <c r="AH821" i="1"/>
  <c r="AG822" i="1"/>
  <c r="AH822" i="1"/>
  <c r="AG823" i="1"/>
  <c r="AH823" i="1"/>
  <c r="AG824" i="1"/>
  <c r="AH824" i="1"/>
  <c r="AG825" i="1"/>
  <c r="AH825" i="1"/>
  <c r="AG826" i="1"/>
  <c r="AH826" i="1"/>
  <c r="AG827" i="1"/>
  <c r="AH827" i="1"/>
  <c r="AG828" i="1"/>
  <c r="AH828" i="1"/>
  <c r="AG829" i="1"/>
  <c r="AH829" i="1"/>
  <c r="AG830" i="1"/>
  <c r="AH830" i="1"/>
  <c r="AG831" i="1"/>
  <c r="AH831" i="1"/>
  <c r="AG832" i="1"/>
  <c r="AH832" i="1"/>
  <c r="AG833" i="1"/>
  <c r="AH833" i="1"/>
  <c r="AG834" i="1"/>
  <c r="AH834" i="1"/>
  <c r="AG835" i="1"/>
  <c r="AH835" i="1"/>
  <c r="AG836" i="1"/>
  <c r="AH836" i="1"/>
  <c r="AG837" i="1"/>
  <c r="AH837" i="1"/>
  <c r="AG838" i="1"/>
  <c r="AH838" i="1"/>
  <c r="AG839" i="1"/>
  <c r="AH839" i="1"/>
  <c r="AG840" i="1"/>
  <c r="AH840" i="1"/>
  <c r="AG841" i="1"/>
  <c r="AH841" i="1"/>
  <c r="AG842" i="1"/>
  <c r="AH842" i="1"/>
  <c r="AG843" i="1"/>
  <c r="AH843" i="1"/>
  <c r="AG844" i="1"/>
  <c r="AH844" i="1"/>
  <c r="AG845" i="1"/>
  <c r="AH845" i="1"/>
  <c r="AG846" i="1"/>
  <c r="AH846" i="1"/>
  <c r="AG847" i="1"/>
  <c r="AH847" i="1"/>
  <c r="AG848" i="1"/>
  <c r="AH848" i="1"/>
  <c r="AG849" i="1"/>
  <c r="AH849" i="1"/>
  <c r="AG850" i="1"/>
  <c r="AH850" i="1"/>
  <c r="AG851" i="1"/>
  <c r="AH851" i="1"/>
  <c r="AG852" i="1"/>
  <c r="AH852" i="1"/>
  <c r="AG853" i="1"/>
  <c r="AH853" i="1"/>
  <c r="AG854" i="1"/>
  <c r="AH854" i="1"/>
  <c r="AG855" i="1"/>
  <c r="AH855" i="1"/>
  <c r="AG856" i="1"/>
  <c r="AH856" i="1"/>
  <c r="AG857" i="1"/>
  <c r="AH857" i="1"/>
  <c r="AG858" i="1"/>
  <c r="AH858" i="1"/>
  <c r="AG859" i="1"/>
  <c r="AH859" i="1"/>
  <c r="AG860" i="1"/>
  <c r="AH860" i="1"/>
  <c r="AG861" i="1"/>
  <c r="AH861" i="1"/>
  <c r="AG862" i="1"/>
  <c r="AH862" i="1"/>
  <c r="AG863" i="1"/>
  <c r="AH863" i="1"/>
  <c r="AG864" i="1"/>
  <c r="AH864" i="1"/>
  <c r="AG865" i="1"/>
  <c r="AH865" i="1"/>
  <c r="AG866" i="1"/>
  <c r="AH866" i="1"/>
  <c r="AG867" i="1"/>
  <c r="AH867" i="1"/>
  <c r="AG868" i="1"/>
  <c r="AH868" i="1"/>
  <c r="AG869" i="1"/>
  <c r="AH869" i="1"/>
  <c r="AG870" i="1"/>
  <c r="AH870" i="1"/>
  <c r="AG871" i="1"/>
  <c r="AH871" i="1"/>
  <c r="AG872" i="1"/>
  <c r="AH872" i="1"/>
  <c r="AG873" i="1"/>
  <c r="AH873" i="1"/>
  <c r="AG874" i="1"/>
  <c r="AH874" i="1"/>
  <c r="AG875" i="1"/>
  <c r="AH875" i="1"/>
  <c r="AG876" i="1"/>
  <c r="AH876" i="1"/>
  <c r="AG877" i="1"/>
  <c r="AH877" i="1"/>
  <c r="AG878" i="1"/>
  <c r="AH878" i="1"/>
  <c r="AG879" i="1"/>
  <c r="AH879" i="1"/>
  <c r="AG880" i="1"/>
  <c r="AH880" i="1"/>
  <c r="AG881" i="1"/>
  <c r="AH881" i="1"/>
  <c r="AG882" i="1"/>
  <c r="AH882" i="1"/>
  <c r="AG883" i="1"/>
  <c r="AH883" i="1"/>
  <c r="AG884" i="1"/>
  <c r="AH884" i="1"/>
  <c r="AG885" i="1"/>
  <c r="AH885" i="1"/>
  <c r="AG886" i="1"/>
  <c r="AH886" i="1"/>
  <c r="AG887" i="1"/>
  <c r="AH887" i="1"/>
  <c r="AG888" i="1"/>
  <c r="AH888" i="1"/>
  <c r="AG889" i="1"/>
  <c r="AH889" i="1"/>
  <c r="AG890" i="1"/>
  <c r="AH890" i="1"/>
  <c r="AG891" i="1"/>
  <c r="AH891" i="1"/>
  <c r="AG892" i="1"/>
  <c r="AH892" i="1"/>
  <c r="AG893" i="1"/>
  <c r="AH893" i="1"/>
  <c r="AG894" i="1"/>
  <c r="AH894" i="1"/>
  <c r="AG895" i="1"/>
  <c r="AH895" i="1"/>
  <c r="AG896" i="1"/>
  <c r="AH896" i="1"/>
  <c r="AG897" i="1"/>
  <c r="AH897" i="1"/>
  <c r="AG898" i="1"/>
  <c r="AH898" i="1"/>
  <c r="AG899" i="1"/>
  <c r="AH899" i="1"/>
  <c r="AG900" i="1"/>
  <c r="AH900" i="1"/>
  <c r="AG901" i="1"/>
  <c r="AH901" i="1"/>
  <c r="AG902" i="1"/>
  <c r="AH902" i="1"/>
  <c r="AG903" i="1"/>
  <c r="AH903" i="1"/>
  <c r="AG904" i="1"/>
  <c r="AH904" i="1"/>
  <c r="AG905" i="1"/>
  <c r="AH905" i="1"/>
  <c r="AG906" i="1"/>
  <c r="AH906" i="1"/>
  <c r="AG907" i="1"/>
  <c r="AH907" i="1"/>
  <c r="AG908" i="1"/>
  <c r="AH908" i="1"/>
  <c r="AG909" i="1"/>
  <c r="AH909" i="1"/>
  <c r="AG910" i="1"/>
  <c r="AH910" i="1"/>
  <c r="AG911" i="1"/>
  <c r="AH911" i="1"/>
  <c r="AG912" i="1"/>
  <c r="AH912" i="1"/>
  <c r="AG913" i="1"/>
  <c r="AH913" i="1"/>
  <c r="AG914" i="1"/>
  <c r="AH914" i="1"/>
  <c r="AG915" i="1"/>
  <c r="AH915" i="1"/>
  <c r="AG916" i="1"/>
  <c r="AH916" i="1"/>
  <c r="AG917" i="1"/>
  <c r="AH917" i="1"/>
  <c r="AG918" i="1"/>
  <c r="AH918" i="1"/>
  <c r="AG919" i="1"/>
  <c r="AH919" i="1"/>
  <c r="AG920" i="1"/>
  <c r="AH920" i="1"/>
  <c r="AG921" i="1"/>
  <c r="AH921" i="1"/>
  <c r="AG922" i="1"/>
  <c r="AH922" i="1"/>
  <c r="AG923" i="1"/>
  <c r="AH923" i="1"/>
  <c r="AG924" i="1"/>
  <c r="AH924" i="1"/>
  <c r="AG925" i="1"/>
  <c r="AH925" i="1"/>
  <c r="AG926" i="1"/>
  <c r="AH926" i="1"/>
  <c r="AG927" i="1"/>
  <c r="AH927" i="1"/>
  <c r="AG928" i="1"/>
  <c r="AH928" i="1"/>
  <c r="AG929" i="1"/>
  <c r="AH929" i="1"/>
  <c r="AG930" i="1"/>
  <c r="AH930" i="1"/>
  <c r="AG931" i="1"/>
  <c r="AH931" i="1"/>
  <c r="AG932" i="1"/>
  <c r="AH932" i="1"/>
  <c r="AG933" i="1"/>
  <c r="AH933" i="1"/>
  <c r="AG934" i="1"/>
  <c r="AH934" i="1"/>
  <c r="AG935" i="1"/>
  <c r="AH935" i="1"/>
  <c r="AG936" i="1"/>
  <c r="AH936" i="1"/>
  <c r="AG937" i="1"/>
  <c r="AH937" i="1"/>
  <c r="AG938" i="1"/>
  <c r="AH938" i="1"/>
  <c r="AG939" i="1"/>
  <c r="AH939" i="1"/>
  <c r="AG940" i="1"/>
  <c r="AH940" i="1"/>
  <c r="AG941" i="1"/>
  <c r="AH941" i="1"/>
  <c r="AG942" i="1"/>
  <c r="AH942" i="1"/>
  <c r="AG943" i="1"/>
  <c r="AH943" i="1"/>
  <c r="AG944" i="1"/>
  <c r="AH944" i="1"/>
  <c r="AG945" i="1"/>
  <c r="AH945" i="1"/>
  <c r="AG946" i="1"/>
  <c r="AH946" i="1"/>
  <c r="AG947" i="1"/>
  <c r="AH947" i="1"/>
  <c r="AG948" i="1"/>
  <c r="AH948" i="1"/>
  <c r="AG949" i="1"/>
  <c r="AH949" i="1"/>
  <c r="AG950" i="1"/>
  <c r="AH950" i="1"/>
  <c r="AG951" i="1"/>
  <c r="AH951" i="1"/>
  <c r="AG952" i="1"/>
  <c r="AH952" i="1"/>
  <c r="AG953" i="1"/>
  <c r="AH953" i="1"/>
  <c r="AG954" i="1"/>
  <c r="AH954" i="1"/>
  <c r="AG955" i="1"/>
  <c r="AH955" i="1"/>
  <c r="AG956" i="1"/>
  <c r="AH956" i="1"/>
  <c r="AG957" i="1"/>
  <c r="AH957" i="1"/>
  <c r="AG958" i="1"/>
  <c r="AH958" i="1"/>
  <c r="AG959" i="1"/>
  <c r="AH959" i="1"/>
  <c r="AG960" i="1"/>
  <c r="AH960" i="1"/>
  <c r="AG961" i="1"/>
  <c r="AH961" i="1"/>
  <c r="AG962" i="1"/>
  <c r="AH962" i="1"/>
  <c r="AG963" i="1"/>
  <c r="AH963" i="1"/>
  <c r="AG964" i="1"/>
  <c r="AH964" i="1"/>
  <c r="AG965" i="1"/>
  <c r="AH965" i="1"/>
  <c r="AG966" i="1"/>
  <c r="AH966" i="1"/>
  <c r="AG967" i="1"/>
  <c r="AH967" i="1"/>
  <c r="AG968" i="1"/>
  <c r="AH968" i="1"/>
  <c r="AG969" i="1"/>
  <c r="AH969" i="1"/>
  <c r="AG970" i="1"/>
  <c r="AH970" i="1"/>
  <c r="AG971" i="1"/>
  <c r="AH971" i="1"/>
  <c r="AG972" i="1"/>
  <c r="AH972" i="1"/>
  <c r="AG973" i="1"/>
  <c r="AH973" i="1"/>
  <c r="AG974" i="1"/>
  <c r="AH974" i="1"/>
  <c r="AG975" i="1"/>
  <c r="AH975" i="1"/>
  <c r="AG976" i="1"/>
  <c r="AH976" i="1"/>
  <c r="AG977" i="1"/>
  <c r="AH977" i="1"/>
  <c r="AG978" i="1"/>
  <c r="AH978" i="1"/>
  <c r="AG979" i="1"/>
  <c r="AH979" i="1"/>
  <c r="AG980" i="1"/>
  <c r="AH980" i="1"/>
  <c r="AG981" i="1"/>
  <c r="AH981" i="1"/>
  <c r="AG982" i="1"/>
  <c r="AH982" i="1"/>
  <c r="AG983" i="1"/>
  <c r="AH983" i="1"/>
  <c r="AG984" i="1"/>
  <c r="AH984" i="1"/>
  <c r="AG985" i="1"/>
  <c r="AH985" i="1"/>
  <c r="AG986" i="1"/>
  <c r="AH986" i="1"/>
  <c r="AG987" i="1"/>
  <c r="AH987" i="1"/>
  <c r="AG988" i="1"/>
  <c r="AH988" i="1"/>
  <c r="AG989" i="1"/>
  <c r="AH989" i="1"/>
  <c r="AG990" i="1"/>
  <c r="AH990" i="1"/>
  <c r="AG991" i="1"/>
  <c r="AH991" i="1"/>
  <c r="AG992" i="1"/>
  <c r="AH992" i="1"/>
  <c r="AG993" i="1"/>
  <c r="AH993" i="1"/>
  <c r="AG994" i="1"/>
  <c r="AH994" i="1"/>
  <c r="AG995" i="1"/>
  <c r="AH995" i="1"/>
  <c r="AG996" i="1"/>
  <c r="AH996" i="1"/>
  <c r="AG997" i="1"/>
  <c r="AH997" i="1"/>
  <c r="AG998" i="1"/>
  <c r="AH998" i="1"/>
  <c r="AG999" i="1"/>
  <c r="AH999" i="1"/>
  <c r="AG1000" i="1"/>
  <c r="AH1000" i="1"/>
  <c r="AG1001" i="1"/>
  <c r="AH1001" i="1"/>
  <c r="AG1002" i="1"/>
  <c r="AH1002" i="1"/>
  <c r="AG1003" i="1"/>
  <c r="AH1003" i="1"/>
  <c r="AG1004" i="1"/>
  <c r="AH1004" i="1"/>
  <c r="AG1005" i="1"/>
  <c r="AH1005" i="1"/>
  <c r="AG1006" i="1"/>
  <c r="AH1006" i="1"/>
  <c r="AG1007" i="1"/>
  <c r="AH1007" i="1"/>
  <c r="AG1008" i="1"/>
  <c r="AH1008" i="1"/>
  <c r="AG1009" i="1"/>
  <c r="AH1009" i="1"/>
  <c r="AG1010" i="1"/>
  <c r="AH1010" i="1"/>
  <c r="AG1011" i="1"/>
  <c r="AH1011" i="1"/>
  <c r="AG1012" i="1"/>
  <c r="AH1012" i="1"/>
  <c r="AG1013" i="1"/>
  <c r="AH1013" i="1"/>
  <c r="AG1014" i="1"/>
  <c r="AH1014" i="1"/>
  <c r="AG1015" i="1"/>
  <c r="AH1015" i="1"/>
  <c r="AG1016" i="1"/>
  <c r="AH1016" i="1"/>
  <c r="AG1017" i="1"/>
  <c r="AH1017" i="1"/>
  <c r="AG1018" i="1"/>
  <c r="AH1018" i="1"/>
  <c r="AG1019" i="1"/>
  <c r="AH1019" i="1"/>
  <c r="AG1020" i="1"/>
  <c r="AH1020" i="1"/>
  <c r="AG1021" i="1"/>
  <c r="AH1021" i="1"/>
  <c r="AG1022" i="1"/>
  <c r="AH1022" i="1"/>
  <c r="AG1023" i="1"/>
  <c r="AH1023" i="1"/>
  <c r="AG1024" i="1"/>
  <c r="AH1024" i="1"/>
  <c r="AG1025" i="1"/>
  <c r="AH1025" i="1"/>
  <c r="AG1026" i="1"/>
  <c r="AH1026" i="1"/>
  <c r="AG1027" i="1"/>
  <c r="AH1027" i="1"/>
  <c r="AG1028" i="1"/>
  <c r="AH1028" i="1"/>
  <c r="AG1029" i="1"/>
  <c r="AH1029" i="1"/>
  <c r="AG1030" i="1"/>
  <c r="AH1030" i="1"/>
  <c r="AG1031" i="1"/>
  <c r="AH1031" i="1"/>
  <c r="AG1032" i="1"/>
  <c r="AH1032" i="1"/>
  <c r="AG1033" i="1"/>
  <c r="AH1033" i="1"/>
  <c r="AG1034" i="1"/>
  <c r="AH1034" i="1"/>
  <c r="AG1035" i="1"/>
  <c r="AH1035" i="1"/>
  <c r="AG1036" i="1"/>
  <c r="AH1036" i="1"/>
  <c r="AG1037" i="1"/>
  <c r="AH1037" i="1"/>
  <c r="AG1038" i="1"/>
  <c r="AH1038" i="1"/>
  <c r="AG1039" i="1"/>
  <c r="AH1039" i="1"/>
  <c r="AG1040" i="1"/>
  <c r="AH1040" i="1"/>
  <c r="AG1041" i="1"/>
  <c r="AH1041" i="1"/>
  <c r="AG1042" i="1"/>
  <c r="AH1042" i="1"/>
  <c r="AG1043" i="1"/>
  <c r="AH1043" i="1"/>
  <c r="AG1044" i="1"/>
  <c r="AH1044" i="1"/>
  <c r="AG1045" i="1"/>
  <c r="AH1045" i="1"/>
  <c r="AG1046" i="1"/>
  <c r="AH1046" i="1"/>
  <c r="AG1047" i="1"/>
  <c r="AH1047" i="1"/>
  <c r="AG1048" i="1"/>
  <c r="AH1048" i="1"/>
  <c r="AG1049" i="1"/>
  <c r="AH1049" i="1"/>
  <c r="AG1050" i="1"/>
  <c r="AH1050" i="1"/>
  <c r="AG1051" i="1"/>
  <c r="AH1051" i="1"/>
  <c r="AG1052" i="1"/>
  <c r="AH1052" i="1"/>
  <c r="AG1053" i="1"/>
  <c r="AH1053" i="1"/>
  <c r="AG1054" i="1"/>
  <c r="AH1054" i="1"/>
  <c r="AG1055" i="1"/>
  <c r="AH1055" i="1"/>
  <c r="AG1056" i="1"/>
  <c r="AH1056" i="1"/>
  <c r="AG1057" i="1"/>
  <c r="AH1057" i="1"/>
  <c r="AG1058" i="1"/>
  <c r="AH1058" i="1"/>
  <c r="AG1059" i="1"/>
  <c r="AH1059" i="1"/>
  <c r="AG1060" i="1"/>
  <c r="AH1060" i="1"/>
  <c r="AG1061" i="1"/>
  <c r="AH1061" i="1"/>
  <c r="AG1062" i="1"/>
  <c r="AH1062" i="1"/>
  <c r="AG1063" i="1"/>
  <c r="AH1063" i="1"/>
  <c r="AG1064" i="1"/>
  <c r="AH1064" i="1"/>
  <c r="AG1065" i="1"/>
  <c r="AH1065" i="1"/>
  <c r="AG1066" i="1"/>
  <c r="AH1066" i="1"/>
  <c r="AG1067" i="1"/>
  <c r="AH1067" i="1"/>
  <c r="AG1068" i="1"/>
  <c r="AH1068" i="1"/>
  <c r="AG1069" i="1"/>
  <c r="AH1069" i="1"/>
  <c r="AG1070" i="1"/>
  <c r="AH1070" i="1"/>
  <c r="AG1071" i="1"/>
  <c r="AH1071" i="1"/>
  <c r="AG1072" i="1"/>
  <c r="AH1072" i="1"/>
  <c r="AG1073" i="1"/>
  <c r="AH1073" i="1"/>
  <c r="AG1074" i="1"/>
  <c r="AH1074" i="1"/>
  <c r="AG1075" i="1"/>
  <c r="AH1075" i="1"/>
  <c r="AG1076" i="1"/>
  <c r="AH1076" i="1"/>
  <c r="AG1077" i="1"/>
  <c r="AH1077" i="1"/>
  <c r="AG1078" i="1"/>
  <c r="AH1078" i="1"/>
  <c r="AG1079" i="1"/>
  <c r="AH1079" i="1"/>
  <c r="AG1080" i="1"/>
  <c r="AH1080" i="1"/>
  <c r="AG1081" i="1"/>
  <c r="AH1081" i="1"/>
  <c r="AG1082" i="1"/>
  <c r="AH1082" i="1"/>
  <c r="AG1083" i="1"/>
  <c r="AH1083" i="1"/>
  <c r="AG1084" i="1"/>
  <c r="AH1084" i="1"/>
  <c r="AG1085" i="1"/>
  <c r="AH1085" i="1"/>
  <c r="AG1086" i="1"/>
  <c r="AH1086" i="1"/>
  <c r="AG1087" i="1"/>
  <c r="AH1087" i="1"/>
  <c r="AG1088" i="1"/>
  <c r="AH1088" i="1"/>
  <c r="AG1089" i="1"/>
  <c r="AH1089" i="1"/>
  <c r="AG1090" i="1"/>
  <c r="AH1090" i="1"/>
  <c r="AG1091" i="1"/>
  <c r="AH1091" i="1"/>
  <c r="AG1092" i="1"/>
  <c r="AH1092" i="1"/>
  <c r="AG1093" i="1"/>
  <c r="AH1093" i="1"/>
  <c r="AG1094" i="1"/>
  <c r="AH1094" i="1"/>
  <c r="AG1095" i="1"/>
  <c r="AH1095" i="1"/>
  <c r="AG1096" i="1"/>
  <c r="AH1096" i="1"/>
  <c r="AG1097" i="1"/>
  <c r="AH1097" i="1"/>
  <c r="AG1098" i="1"/>
  <c r="AH1098" i="1"/>
  <c r="AG1099" i="1"/>
  <c r="AH1099" i="1"/>
  <c r="AG1100" i="1"/>
  <c r="AH1100" i="1"/>
  <c r="AG1101" i="1"/>
  <c r="AH1101" i="1"/>
  <c r="AG1102" i="1"/>
  <c r="AH1102" i="1"/>
  <c r="AG1103" i="1"/>
  <c r="AH1103" i="1"/>
  <c r="AG1104" i="1"/>
  <c r="AH1104" i="1"/>
  <c r="AG1105" i="1"/>
  <c r="AH1105" i="1"/>
  <c r="AG1106" i="1"/>
  <c r="AH1106" i="1"/>
  <c r="AG1107" i="1"/>
  <c r="AH1107" i="1"/>
  <c r="AG1108" i="1"/>
  <c r="AH1108" i="1"/>
  <c r="AG1109" i="1"/>
  <c r="AH1109" i="1"/>
  <c r="AG1110" i="1"/>
  <c r="AH1110" i="1"/>
  <c r="AG1111" i="1"/>
  <c r="AH1111" i="1"/>
  <c r="AG1112" i="1"/>
  <c r="AH1112" i="1"/>
  <c r="AG1113" i="1"/>
  <c r="AH1113" i="1"/>
  <c r="AG1114" i="1"/>
  <c r="AH1114" i="1"/>
  <c r="AG1115" i="1"/>
  <c r="AH1115" i="1"/>
  <c r="AG1116" i="1"/>
  <c r="AH1116" i="1"/>
  <c r="AG1117" i="1"/>
  <c r="AH1117" i="1"/>
  <c r="AG1118" i="1"/>
  <c r="AH1118" i="1"/>
  <c r="AG1119" i="1"/>
  <c r="AH1119" i="1"/>
  <c r="AG1120" i="1"/>
  <c r="AH1120" i="1"/>
  <c r="AG1121" i="1"/>
  <c r="AH1121" i="1"/>
  <c r="AG1122" i="1"/>
  <c r="AH1122" i="1"/>
  <c r="AG1123" i="1"/>
  <c r="AH1123" i="1"/>
  <c r="AG1124" i="1"/>
  <c r="AH1124" i="1"/>
  <c r="AG1125" i="1"/>
  <c r="AH1125" i="1"/>
  <c r="AG1126" i="1"/>
  <c r="AH1126" i="1"/>
  <c r="AG1127" i="1"/>
  <c r="AH1127" i="1"/>
  <c r="AG1128" i="1"/>
  <c r="AH1128" i="1"/>
  <c r="AG1129" i="1"/>
  <c r="AH1129" i="1"/>
  <c r="AG1130" i="1"/>
  <c r="AH1130" i="1"/>
  <c r="AG1131" i="1"/>
  <c r="AH1131" i="1"/>
  <c r="AG1132" i="1"/>
  <c r="AH1132" i="1"/>
  <c r="AG1133" i="1"/>
  <c r="AH1133" i="1"/>
  <c r="AG1134" i="1"/>
  <c r="AH1134" i="1"/>
  <c r="AG1135" i="1"/>
  <c r="AH1135" i="1"/>
  <c r="AG1136" i="1"/>
  <c r="AH1136" i="1"/>
  <c r="AG1137" i="1"/>
  <c r="AH1137" i="1"/>
  <c r="AG1138" i="1"/>
  <c r="AH1138" i="1"/>
  <c r="AG1139" i="1"/>
  <c r="AH1139" i="1"/>
  <c r="AG1140" i="1"/>
  <c r="AH1140" i="1"/>
  <c r="AG1141" i="1"/>
  <c r="AH1141" i="1"/>
  <c r="AG1142" i="1"/>
  <c r="AH1142" i="1"/>
  <c r="AG1143" i="1"/>
  <c r="AH1143" i="1"/>
  <c r="AG1144" i="1"/>
  <c r="AH1144" i="1"/>
  <c r="AG1145" i="1"/>
  <c r="AH1145" i="1"/>
  <c r="AG1146" i="1"/>
  <c r="AH1146" i="1"/>
  <c r="AG1147" i="1"/>
  <c r="AH1147" i="1"/>
  <c r="AG1148" i="1"/>
  <c r="AH1148" i="1"/>
  <c r="AG1149" i="1"/>
  <c r="AH1149" i="1"/>
  <c r="AG1150" i="1"/>
  <c r="AH1150" i="1"/>
  <c r="AG1151" i="1"/>
  <c r="AH1151" i="1"/>
  <c r="AG1152" i="1"/>
  <c r="AH1152" i="1"/>
  <c r="AG1153" i="1"/>
  <c r="AH1153" i="1"/>
  <c r="AG1154" i="1"/>
  <c r="AH1154" i="1"/>
  <c r="AG1155" i="1"/>
  <c r="AH1155" i="1"/>
  <c r="AG1156" i="1"/>
  <c r="AH1156" i="1"/>
  <c r="AG1157" i="1"/>
  <c r="AH1157" i="1"/>
  <c r="AG1158" i="1"/>
  <c r="AH1158" i="1"/>
  <c r="AG1159" i="1"/>
  <c r="AH1159" i="1"/>
  <c r="AG1160" i="1"/>
  <c r="AH1160" i="1"/>
  <c r="AG1161" i="1"/>
  <c r="AH1161" i="1"/>
  <c r="AG1162" i="1"/>
  <c r="AH1162" i="1"/>
  <c r="AG1163" i="1"/>
  <c r="AH1163" i="1"/>
  <c r="AG1164" i="1"/>
  <c r="AH1164" i="1"/>
  <c r="AG1165" i="1"/>
  <c r="AH1165" i="1"/>
  <c r="AG1166" i="1"/>
  <c r="AH1166" i="1"/>
  <c r="AG1167" i="1"/>
  <c r="AH1167" i="1"/>
  <c r="AG1168" i="1"/>
  <c r="AH1168" i="1"/>
  <c r="AG1169" i="1"/>
  <c r="AH1169" i="1"/>
  <c r="AG1170" i="1"/>
  <c r="AH1170" i="1"/>
  <c r="AG1171" i="1"/>
  <c r="AH1171" i="1"/>
  <c r="AG1172" i="1"/>
  <c r="AH1172" i="1"/>
  <c r="AG1173" i="1"/>
  <c r="AH1173" i="1"/>
  <c r="AG1174" i="1"/>
  <c r="AH1174" i="1"/>
  <c r="AG1175" i="1"/>
  <c r="AH1175" i="1"/>
  <c r="AG1176" i="1"/>
  <c r="AH1176" i="1"/>
  <c r="AG1177" i="1"/>
  <c r="AH1177" i="1"/>
  <c r="AG1178" i="1"/>
  <c r="AH1178" i="1"/>
  <c r="AG1179" i="1"/>
  <c r="AH1179" i="1"/>
  <c r="AG1180" i="1"/>
  <c r="AH1180" i="1"/>
  <c r="AG1181" i="1"/>
  <c r="AH1181" i="1"/>
  <c r="AG1182" i="1"/>
  <c r="AH1182" i="1"/>
  <c r="AG1183" i="1"/>
  <c r="AH1183" i="1"/>
  <c r="AG1184" i="1"/>
  <c r="AH1184" i="1"/>
  <c r="AG1185" i="1"/>
  <c r="AH1185" i="1"/>
  <c r="AG1186" i="1"/>
  <c r="AH1186" i="1"/>
  <c r="AG1187" i="1"/>
  <c r="AH1187" i="1"/>
  <c r="AG1188" i="1"/>
  <c r="AH1188" i="1"/>
  <c r="AG1189" i="1"/>
  <c r="AH1189" i="1"/>
  <c r="AG1190" i="1"/>
  <c r="AH1190" i="1"/>
  <c r="AG1191" i="1"/>
  <c r="AH1191" i="1"/>
  <c r="AG1192" i="1"/>
  <c r="AH1192" i="1"/>
  <c r="AG1193" i="1"/>
  <c r="AH1193" i="1"/>
  <c r="AG1194" i="1"/>
  <c r="AH1194" i="1"/>
  <c r="AG1195" i="1"/>
  <c r="AH1195" i="1"/>
  <c r="AG1196" i="1"/>
  <c r="AH1196" i="1"/>
  <c r="AG1197" i="1"/>
  <c r="AH1197" i="1"/>
  <c r="AG1198" i="1"/>
  <c r="AH1198" i="1"/>
  <c r="AG1199" i="1"/>
  <c r="AH1199" i="1"/>
  <c r="AG1200" i="1"/>
  <c r="AH1200" i="1"/>
  <c r="AG1201" i="1"/>
  <c r="AH1201" i="1"/>
  <c r="AG1202" i="1"/>
  <c r="AH1202" i="1"/>
  <c r="AG1203" i="1"/>
  <c r="AH1203" i="1"/>
  <c r="AG1204" i="1"/>
  <c r="AH1204" i="1"/>
  <c r="AG1205" i="1"/>
  <c r="AH1205" i="1"/>
  <c r="AG1206" i="1"/>
  <c r="AH1206" i="1"/>
  <c r="AG1207" i="1"/>
  <c r="AH1207" i="1"/>
  <c r="AG1208" i="1"/>
  <c r="AH1208" i="1"/>
  <c r="AG1209" i="1"/>
  <c r="AH1209" i="1"/>
  <c r="AG1210" i="1"/>
  <c r="AH1210" i="1"/>
  <c r="AG1211" i="1"/>
  <c r="AH1211" i="1"/>
  <c r="AG1212" i="1"/>
  <c r="AH1212" i="1"/>
  <c r="AG1213" i="1"/>
  <c r="AH1213" i="1"/>
  <c r="AG1214" i="1"/>
  <c r="AH1214" i="1"/>
  <c r="AG1215" i="1"/>
  <c r="AH1215" i="1"/>
  <c r="AG1216" i="1"/>
  <c r="AH1216" i="1"/>
  <c r="AG1217" i="1"/>
  <c r="AH1217" i="1"/>
  <c r="AG1218" i="1"/>
  <c r="AH1218" i="1"/>
  <c r="AG1219" i="1"/>
  <c r="AH1219" i="1"/>
  <c r="AG1220" i="1"/>
  <c r="AH1220" i="1"/>
  <c r="AG1221" i="1"/>
  <c r="AH1221" i="1"/>
  <c r="AG1222" i="1"/>
  <c r="AH1222" i="1"/>
  <c r="AG1223" i="1"/>
  <c r="AH1223" i="1"/>
  <c r="AG1224" i="1"/>
  <c r="AH1224" i="1"/>
  <c r="AG1225" i="1"/>
  <c r="AH1225" i="1"/>
  <c r="AG1226" i="1"/>
  <c r="AH1226" i="1"/>
  <c r="AG1227" i="1"/>
  <c r="AH1227" i="1"/>
  <c r="AG1228" i="1"/>
  <c r="AH1228" i="1"/>
  <c r="AG1229" i="1"/>
  <c r="AH1229" i="1"/>
  <c r="AG1230" i="1"/>
  <c r="AH1230" i="1"/>
  <c r="AG1233" i="1"/>
  <c r="AH1233" i="1"/>
  <c r="AG1234" i="1"/>
  <c r="AH1234" i="1"/>
  <c r="AG1235" i="1"/>
  <c r="AH1235" i="1"/>
  <c r="AG1236" i="1"/>
  <c r="AH1236" i="1"/>
  <c r="AG1237" i="1"/>
  <c r="AH1237" i="1"/>
  <c r="AG1238" i="1"/>
  <c r="AH1238" i="1"/>
  <c r="AG1239" i="1"/>
  <c r="AH1239" i="1"/>
  <c r="AG1240" i="1"/>
  <c r="AH1240" i="1"/>
  <c r="AG1241" i="1"/>
  <c r="AH1241" i="1"/>
  <c r="AG1242" i="1"/>
  <c r="AH1242" i="1"/>
  <c r="AG1243" i="1"/>
  <c r="AH1243" i="1"/>
  <c r="AG1244" i="1"/>
  <c r="AH1244" i="1"/>
  <c r="AG1245" i="1"/>
  <c r="AH1245" i="1"/>
  <c r="AG1246" i="1"/>
  <c r="AH1246" i="1"/>
  <c r="AG1247" i="1"/>
  <c r="AH1247" i="1"/>
  <c r="AG1248" i="1"/>
  <c r="AH1248" i="1"/>
  <c r="AG1249" i="1"/>
  <c r="AH1249" i="1"/>
  <c r="AG1250" i="1"/>
  <c r="AH1250" i="1"/>
  <c r="AG1251" i="1"/>
  <c r="AH1251" i="1"/>
  <c r="AG1252" i="1"/>
  <c r="AH1252" i="1"/>
  <c r="AG1254" i="1"/>
  <c r="AH1254" i="1"/>
  <c r="AG1255" i="1"/>
  <c r="AH1255" i="1"/>
  <c r="AG1256" i="1"/>
  <c r="AH1256" i="1"/>
  <c r="AG1257" i="1"/>
  <c r="AH1257" i="1"/>
  <c r="AG1258" i="1"/>
  <c r="AH1258" i="1"/>
  <c r="AG1259" i="1"/>
  <c r="AH1259" i="1"/>
  <c r="AG1260" i="1"/>
  <c r="AH1260" i="1"/>
  <c r="AG1261" i="1"/>
  <c r="AH1261" i="1"/>
  <c r="AG1262" i="1"/>
  <c r="AH1262" i="1"/>
  <c r="AG1263" i="1"/>
  <c r="AH1263" i="1"/>
  <c r="AG1264" i="1"/>
  <c r="AH1264" i="1"/>
  <c r="AG1265" i="1"/>
  <c r="AH1265" i="1"/>
  <c r="AG1266" i="1"/>
  <c r="AH1266" i="1"/>
  <c r="AG1267" i="1"/>
  <c r="AH1267" i="1"/>
  <c r="AG1268" i="1"/>
  <c r="AH1268" i="1"/>
  <c r="AG1269" i="1"/>
  <c r="AH1269" i="1"/>
  <c r="AG1270" i="1"/>
  <c r="AH1270" i="1"/>
  <c r="AG1272" i="1"/>
  <c r="AH1272" i="1"/>
  <c r="AG1273" i="1"/>
  <c r="AH1273" i="1"/>
  <c r="AG1274" i="1"/>
  <c r="AH1274" i="1"/>
  <c r="AG1275" i="1"/>
  <c r="AH1275" i="1"/>
  <c r="AG1276" i="1"/>
  <c r="AH1276" i="1"/>
  <c r="AG1277" i="1"/>
  <c r="AH1277" i="1"/>
  <c r="AG1278" i="1"/>
  <c r="AH1278" i="1"/>
  <c r="AG1279" i="1"/>
  <c r="AH1279" i="1"/>
  <c r="AG1280" i="1"/>
  <c r="AH1280" i="1"/>
  <c r="AG1281" i="1"/>
  <c r="AH1281" i="1"/>
  <c r="AG1282" i="1"/>
  <c r="AH1282" i="1"/>
  <c r="AG1283" i="1"/>
  <c r="AH1283" i="1"/>
  <c r="AG1284" i="1"/>
  <c r="AH1284" i="1"/>
  <c r="AG1285" i="1"/>
  <c r="AH1285" i="1"/>
  <c r="AG1286" i="1"/>
  <c r="AH1286" i="1"/>
  <c r="AG1287" i="1"/>
  <c r="AH1287" i="1"/>
  <c r="AG1288" i="1"/>
  <c r="AH1288" i="1"/>
  <c r="AG1289" i="1"/>
  <c r="AH1289" i="1"/>
  <c r="AG1290" i="1"/>
  <c r="AH1290" i="1"/>
  <c r="AG1291" i="1"/>
  <c r="AH1291" i="1"/>
  <c r="AG1292" i="1"/>
  <c r="AH1292" i="1"/>
  <c r="AG1293" i="1"/>
  <c r="AH1293" i="1"/>
  <c r="AG1294" i="1"/>
  <c r="AH1294" i="1"/>
  <c r="AG1295" i="1"/>
  <c r="AH1295" i="1"/>
  <c r="AG1296" i="1"/>
  <c r="AH1296" i="1"/>
  <c r="AG1297" i="1"/>
  <c r="AH1297" i="1"/>
  <c r="AG1298" i="1"/>
  <c r="AH1298" i="1"/>
  <c r="AG1299" i="1"/>
  <c r="AH1299" i="1"/>
  <c r="AG1300" i="1"/>
  <c r="AH1300" i="1"/>
  <c r="AG1301" i="1"/>
  <c r="AH1301" i="1"/>
  <c r="AG1302" i="1"/>
  <c r="AH1302" i="1"/>
  <c r="AG1303" i="1"/>
  <c r="AH1303" i="1"/>
  <c r="AG1304" i="1"/>
  <c r="AH1304" i="1"/>
  <c r="AG1305" i="1"/>
  <c r="AH1305" i="1"/>
  <c r="AG1306" i="1"/>
  <c r="AH1306" i="1"/>
  <c r="AG1307" i="1"/>
  <c r="AH1307" i="1"/>
  <c r="AG1308" i="1"/>
  <c r="AH1308" i="1"/>
  <c r="AG1309" i="1"/>
  <c r="AH1309" i="1"/>
  <c r="AG1310" i="1"/>
  <c r="AH1310" i="1"/>
  <c r="AG1311" i="1"/>
  <c r="AH1311" i="1"/>
  <c r="AG1312" i="1"/>
  <c r="AH1312" i="1"/>
  <c r="AG1313" i="1"/>
  <c r="AH1313" i="1"/>
  <c r="AG1314" i="1"/>
  <c r="AH1314" i="1"/>
  <c r="AG1315" i="1"/>
  <c r="AH1315" i="1"/>
  <c r="AG1316" i="1"/>
  <c r="AH1316" i="1"/>
  <c r="AG1317" i="1"/>
  <c r="AH1317" i="1"/>
  <c r="AG1318" i="1"/>
  <c r="AH1318" i="1"/>
  <c r="AG1319" i="1"/>
  <c r="AH1319" i="1"/>
  <c r="AG1320" i="1"/>
  <c r="AH1320" i="1"/>
  <c r="AG1321" i="1"/>
  <c r="AH1321" i="1"/>
  <c r="AG1322" i="1"/>
  <c r="AH1322" i="1"/>
  <c r="AG1323" i="1"/>
  <c r="AH1323" i="1"/>
  <c r="AG1324" i="1"/>
  <c r="AH1324" i="1"/>
  <c r="AG1325" i="1"/>
  <c r="AH1325" i="1"/>
  <c r="AG1326" i="1"/>
  <c r="AH1326" i="1"/>
  <c r="AG1327" i="1"/>
  <c r="AH1327" i="1"/>
  <c r="AG1328" i="1"/>
  <c r="AH1328" i="1"/>
  <c r="AG1329" i="1"/>
  <c r="AH1329" i="1"/>
  <c r="AG1330" i="1"/>
  <c r="AH1330" i="1"/>
  <c r="AG1331" i="1"/>
  <c r="AH1331" i="1"/>
  <c r="AG1332" i="1"/>
  <c r="AH1332" i="1"/>
  <c r="AG1333" i="1"/>
  <c r="AH1333" i="1"/>
  <c r="AG1334" i="1"/>
  <c r="AH1334" i="1"/>
  <c r="AG1335" i="1"/>
  <c r="AH1335" i="1"/>
  <c r="AG1336" i="1"/>
  <c r="AH1336" i="1"/>
  <c r="AG1337" i="1"/>
  <c r="AH1337" i="1"/>
  <c r="AG1338" i="1"/>
  <c r="AH1338" i="1"/>
  <c r="AG1339" i="1"/>
  <c r="AH1339" i="1"/>
  <c r="AG1340" i="1"/>
  <c r="AH1340" i="1"/>
  <c r="AG1341" i="1"/>
  <c r="AH1341" i="1"/>
  <c r="AG1342" i="1"/>
  <c r="AH1342" i="1"/>
  <c r="AG1343" i="1"/>
  <c r="AH1343" i="1"/>
  <c r="AG1345" i="1"/>
  <c r="AH1345" i="1"/>
  <c r="AG1346" i="1"/>
  <c r="AH1346" i="1"/>
  <c r="AG1347" i="1"/>
  <c r="AH1347" i="1"/>
  <c r="AG1348" i="1"/>
  <c r="AH1348" i="1"/>
  <c r="AG1349" i="1"/>
  <c r="AH1349" i="1"/>
  <c r="AG1350" i="1"/>
  <c r="AH1350" i="1"/>
  <c r="AG1351" i="1"/>
  <c r="AH1351" i="1"/>
  <c r="AG1352" i="1"/>
  <c r="AH1352" i="1"/>
  <c r="AG1353" i="1"/>
  <c r="AH1353" i="1"/>
  <c r="AG1354" i="1"/>
  <c r="AH1354" i="1"/>
  <c r="AG1355" i="1"/>
  <c r="AH1355" i="1"/>
  <c r="AG1356" i="1"/>
  <c r="AH1356" i="1"/>
  <c r="AG1357" i="1"/>
  <c r="AH1357" i="1"/>
  <c r="AG1358" i="1"/>
  <c r="AH1358" i="1"/>
  <c r="AG1359" i="1"/>
  <c r="AH1359" i="1"/>
  <c r="AG1360" i="1"/>
  <c r="AH1360" i="1"/>
  <c r="AG1361" i="1"/>
  <c r="AH1361" i="1"/>
  <c r="AG1362" i="1"/>
  <c r="AH1362" i="1"/>
  <c r="AG1363" i="1"/>
  <c r="AH1363" i="1"/>
  <c r="AG1364" i="1"/>
  <c r="AH1364" i="1"/>
  <c r="AG1365" i="1"/>
  <c r="AH1365" i="1"/>
  <c r="AG1366" i="1"/>
  <c r="AH1366" i="1"/>
  <c r="AG1367" i="1"/>
  <c r="AH1367" i="1"/>
  <c r="AG1368" i="1"/>
  <c r="AH1368" i="1"/>
  <c r="AG1369" i="1"/>
  <c r="AH1369" i="1"/>
  <c r="AG1370" i="1"/>
  <c r="AH1370" i="1"/>
  <c r="AG1371" i="1"/>
  <c r="AH1371" i="1"/>
  <c r="AG1372" i="1"/>
  <c r="AH1372" i="1"/>
  <c r="AG1373" i="1"/>
  <c r="AH1373" i="1"/>
  <c r="AG1374" i="1"/>
  <c r="AH1374" i="1"/>
  <c r="AG1375" i="1"/>
  <c r="AH1375" i="1"/>
  <c r="AG1376" i="1"/>
  <c r="AH1376" i="1"/>
  <c r="AG1377" i="1"/>
  <c r="AH1377" i="1"/>
  <c r="AG1378" i="1"/>
  <c r="AH1378" i="1"/>
  <c r="AG1379" i="1"/>
  <c r="AH1379" i="1"/>
  <c r="AG1380" i="1"/>
  <c r="AH1380" i="1"/>
  <c r="AG1381" i="1"/>
  <c r="AH1381" i="1"/>
  <c r="AG1382" i="1"/>
  <c r="AH1382" i="1"/>
  <c r="AG1383" i="1"/>
  <c r="AH1383" i="1"/>
  <c r="AG1384" i="1"/>
  <c r="AH1384" i="1"/>
  <c r="AG1385" i="1"/>
  <c r="AH1385" i="1"/>
  <c r="AG1386" i="1"/>
  <c r="AH1386" i="1"/>
  <c r="AG1387" i="1"/>
  <c r="AH1387" i="1"/>
  <c r="AG1388" i="1"/>
  <c r="AH1388" i="1"/>
  <c r="AG1389" i="1"/>
  <c r="AH1389" i="1"/>
  <c r="AG1390" i="1"/>
  <c r="AH1390" i="1"/>
  <c r="AG1391" i="1"/>
  <c r="AH1391" i="1"/>
  <c r="AG1392" i="1"/>
  <c r="AH1392" i="1"/>
  <c r="AG1393" i="1"/>
  <c r="AH1393" i="1"/>
  <c r="AG1394" i="1"/>
  <c r="AH1394" i="1"/>
  <c r="AG1395" i="1"/>
  <c r="AH1395" i="1"/>
  <c r="AG1396" i="1"/>
  <c r="AH1396" i="1"/>
  <c r="AG1398" i="1"/>
  <c r="AH1398" i="1"/>
  <c r="AG1399" i="1"/>
  <c r="AH1399" i="1"/>
  <c r="AG1400" i="1"/>
  <c r="AH1400" i="1"/>
  <c r="AG1401" i="1"/>
  <c r="AH1401" i="1"/>
  <c r="AG1402" i="1"/>
  <c r="AH1402" i="1"/>
  <c r="AG1403" i="1"/>
  <c r="AH1403" i="1"/>
  <c r="AG1404" i="1"/>
  <c r="AH1404" i="1"/>
  <c r="AG1405" i="1"/>
  <c r="AH1405" i="1"/>
  <c r="AG1407" i="1"/>
  <c r="AH1407" i="1"/>
  <c r="AG1408" i="1"/>
  <c r="AH1408" i="1"/>
  <c r="AG1410" i="1"/>
  <c r="AH1410" i="1"/>
  <c r="AG1411" i="1"/>
  <c r="AH1411" i="1"/>
  <c r="AG1414" i="1"/>
  <c r="AH1414" i="1"/>
  <c r="AG1415" i="1"/>
  <c r="AH1415" i="1"/>
  <c r="AG1416" i="1"/>
  <c r="AH1416" i="1"/>
  <c r="AG1417" i="1"/>
  <c r="AH1417" i="1"/>
  <c r="AG1418" i="1"/>
  <c r="AH1418" i="1"/>
  <c r="AG1419" i="1"/>
  <c r="AH1419" i="1"/>
  <c r="AG1420" i="1"/>
  <c r="AH1420" i="1"/>
  <c r="AG1421" i="1"/>
  <c r="AH1421" i="1"/>
  <c r="AG1422" i="1"/>
  <c r="AH1422" i="1"/>
  <c r="AG1423" i="1"/>
  <c r="AH1423" i="1"/>
  <c r="AG1424" i="1"/>
  <c r="AH1424" i="1"/>
  <c r="AG1425" i="1"/>
  <c r="AH1425" i="1"/>
  <c r="AG1426" i="1"/>
  <c r="AH1426" i="1"/>
  <c r="AG1429" i="1"/>
  <c r="AH1429" i="1"/>
  <c r="AG1430" i="1"/>
  <c r="AH1430" i="1"/>
  <c r="AG1431" i="1"/>
  <c r="AH1431" i="1"/>
  <c r="AG1432" i="1"/>
  <c r="AH1432" i="1"/>
  <c r="AG1433" i="1"/>
  <c r="AH1433" i="1"/>
  <c r="AG1434" i="1"/>
  <c r="AH1434" i="1"/>
  <c r="AG1435" i="1"/>
  <c r="AH1435" i="1"/>
  <c r="AG1436" i="1"/>
  <c r="AH1436" i="1"/>
  <c r="AG1437" i="1"/>
  <c r="AH1437" i="1"/>
  <c r="AG1438" i="1"/>
  <c r="AH1438" i="1"/>
  <c r="AG1439" i="1"/>
  <c r="AH1439" i="1"/>
  <c r="AG1440" i="1"/>
  <c r="AH1440" i="1"/>
  <c r="AG1441" i="1"/>
  <c r="AH1441" i="1"/>
  <c r="AG1442" i="1"/>
  <c r="AH1442" i="1"/>
  <c r="AG1443" i="1"/>
  <c r="AH1443" i="1"/>
  <c r="AG1444" i="1"/>
  <c r="AH1444" i="1"/>
  <c r="AG1445" i="1"/>
  <c r="AH1445" i="1"/>
  <c r="AG1446" i="1"/>
  <c r="AH1446" i="1"/>
  <c r="AG1447" i="1"/>
  <c r="AH1447" i="1"/>
  <c r="AG1449" i="1"/>
  <c r="AH1449" i="1"/>
  <c r="AG1450" i="1"/>
  <c r="AH1450" i="1"/>
  <c r="AG1451" i="1"/>
  <c r="AH1451" i="1"/>
  <c r="AG1452" i="1"/>
  <c r="AH1452" i="1"/>
  <c r="AG1453" i="1"/>
  <c r="AH1453" i="1"/>
  <c r="AG1454" i="1"/>
  <c r="AH1454" i="1"/>
  <c r="AG1455" i="1"/>
  <c r="AH1455" i="1"/>
  <c r="AG1456" i="1"/>
  <c r="AH1456" i="1"/>
  <c r="AG1457" i="1"/>
  <c r="AH1457" i="1"/>
  <c r="AG1458" i="1"/>
  <c r="AH1458" i="1"/>
  <c r="AG1459" i="1"/>
  <c r="AH1459" i="1"/>
  <c r="AG1460" i="1"/>
  <c r="AH1460" i="1"/>
  <c r="AG1461" i="1"/>
  <c r="AH1461" i="1"/>
  <c r="AG1462" i="1"/>
  <c r="AH1462" i="1"/>
  <c r="AG1463" i="1"/>
  <c r="AH1463" i="1"/>
  <c r="AG1465" i="1"/>
  <c r="AH1465" i="1"/>
  <c r="AG1466" i="1"/>
  <c r="AH1466" i="1"/>
  <c r="AG1467" i="1"/>
  <c r="AH1467" i="1"/>
  <c r="AG1468" i="1"/>
  <c r="AH1468" i="1"/>
  <c r="AG1469" i="1"/>
  <c r="AH1469" i="1"/>
  <c r="AG1470" i="1"/>
  <c r="AH1470" i="1"/>
  <c r="AG1471" i="1"/>
  <c r="AH1471" i="1"/>
  <c r="AG1472" i="1"/>
  <c r="AH1472" i="1"/>
  <c r="AG1473" i="1"/>
  <c r="AH1473" i="1"/>
  <c r="AG1474" i="1"/>
  <c r="AH1474" i="1"/>
  <c r="AG1475" i="1"/>
  <c r="AH1475" i="1"/>
  <c r="AG1476" i="1"/>
  <c r="AH1476" i="1"/>
  <c r="AG1477" i="1"/>
  <c r="AH1477" i="1"/>
  <c r="AG1478" i="1"/>
  <c r="AH1478" i="1"/>
  <c r="AG1479" i="1"/>
  <c r="AH1479" i="1"/>
  <c r="AG1480" i="1"/>
  <c r="AH1480" i="1"/>
  <c r="AG1481" i="1"/>
  <c r="AH1481" i="1"/>
  <c r="AG1482" i="1"/>
  <c r="AH1482" i="1"/>
  <c r="AG1483" i="1"/>
  <c r="AH1483" i="1"/>
  <c r="AG1484" i="1"/>
  <c r="AH1484" i="1"/>
  <c r="AG1485" i="1"/>
  <c r="AH1485" i="1"/>
  <c r="AG1486" i="1"/>
  <c r="AH1486" i="1"/>
  <c r="AG1487" i="1"/>
  <c r="AH1487" i="1"/>
  <c r="AG1488" i="1"/>
  <c r="AH1488" i="1"/>
  <c r="AG1489" i="1"/>
  <c r="AH1489" i="1"/>
  <c r="AG1490" i="1"/>
  <c r="AH1490" i="1"/>
  <c r="AG1491" i="1"/>
  <c r="AH1491" i="1"/>
  <c r="AG1492" i="1"/>
  <c r="AH1492" i="1"/>
  <c r="AG1494" i="1"/>
  <c r="AH1494" i="1"/>
  <c r="AG1495" i="1"/>
  <c r="AH1495" i="1"/>
  <c r="AG1496" i="1"/>
  <c r="AH1496" i="1"/>
  <c r="AG1497" i="1"/>
  <c r="AH1497" i="1"/>
  <c r="AG1499" i="1"/>
  <c r="AH1499" i="1"/>
  <c r="AG1500" i="1"/>
  <c r="AH1500" i="1"/>
  <c r="AG1502" i="1"/>
  <c r="AH1502" i="1"/>
  <c r="AG1503" i="1"/>
  <c r="AH1503" i="1"/>
  <c r="AG1504" i="1"/>
  <c r="AH1504" i="1"/>
  <c r="AG1505" i="1"/>
  <c r="AH1505" i="1"/>
  <c r="AG1507" i="1"/>
  <c r="AH1507" i="1"/>
  <c r="AG2" i="1"/>
  <c r="AH2" i="1"/>
</calcChain>
</file>

<file path=xl/sharedStrings.xml><?xml version="1.0" encoding="utf-8"?>
<sst xmlns="http://schemas.openxmlformats.org/spreadsheetml/2006/main" count="30352" uniqueCount="15701">
  <si>
    <t>Name</t>
  </si>
  <si>
    <t>lat1</t>
  </si>
  <si>
    <t>lon1</t>
  </si>
  <si>
    <t>lat2</t>
  </si>
  <si>
    <t>lon2</t>
  </si>
  <si>
    <t>Desc</t>
  </si>
  <si>
    <t>Trạng thái xử lý</t>
  </si>
  <si>
    <t>Chi tiết lỗi (nếu có)</t>
  </si>
  <si>
    <t>Tên tuyến cáp Tối ưu</t>
  </si>
  <si>
    <t>Tổng Dist (m) (P1-&gt;R + P2-&gt;R)</t>
  </si>
  <si>
    <t>Dist (m) P1-&gt;R</t>
  </si>
  <si>
    <t>Nearest Lat P1</t>
  </si>
  <si>
    <t>Nearest Lon P1</t>
  </si>
  <si>
    <t>Dist (m) P2-&gt;R</t>
  </si>
  <si>
    <t>Nearest Lat P2</t>
  </si>
  <si>
    <t>Nearest Lon P2</t>
  </si>
  <si>
    <t>Full Route Name</t>
  </si>
  <si>
    <t>PC08 (xử lý vi phạm)-KHNT3A</t>
  </si>
  <si>
    <t>12.24807</t>
  </si>
  <si>
    <t>109.1858</t>
  </si>
  <si>
    <t>12.24813001</t>
  </si>
  <si>
    <t>109.18921</t>
  </si>
  <si>
    <t>FO thuê#VNPT#KHNT60-KHNT3A</t>
  </si>
  <si>
    <t>OK</t>
  </si>
  <si>
    <t>5.PA06 cs1 - PC08 csc_Cột trung thế</t>
  </si>
  <si>
    <t>344.49</t>
  </si>
  <si>
    <t>160.67</t>
  </si>
  <si>
    <t>12.249512</t>
  </si>
  <si>
    <t>109.185703</t>
  </si>
  <si>
    <t>183.82</t>
  </si>
  <si>
    <t>12.249510</t>
  </si>
  <si>
    <t>109.188279</t>
  </si>
  <si>
    <t>full_h04/Khánh Hòa/Thu thập EVN_Khánh Hòa/Route_Cấp 3/KH_RING 3/5.PA06 cs1 - PC08 csc_Cột trung thế/5.PA06 cs1 - PC08 csc_Cột trung thế</t>
  </si>
  <si>
    <t>NTG Nha Trang cũ-KHNT03</t>
  </si>
  <si>
    <t>12.27693</t>
  </si>
  <si>
    <t>109.1884</t>
  </si>
  <si>
    <t>12.27620001</t>
  </si>
  <si>
    <t>109.2018</t>
  </si>
  <si>
    <t>FO thuê#VNPT#KHNT79-KHNT03</t>
  </si>
  <si>
    <t>1.CAT Khánh Hòa - PK02 cs1</t>
  </si>
  <si>
    <t>633.88</t>
  </si>
  <si>
    <t>206.48</t>
  </si>
  <si>
    <t>12.278732</t>
  </si>
  <si>
    <t>109.188858</t>
  </si>
  <si>
    <t>427.40</t>
  </si>
  <si>
    <t>12.274830</t>
  </si>
  <si>
    <t>109.198125</t>
  </si>
  <si>
    <t>full_h04/Khánh Hòa/Thu thập EVN_Khánh Hòa/Route_Cấp 3/KH_RING 6/1.CAT Khánh Hòa - PK02 cs1/CAT Khánh Hòa - PK02 cs1_Đoạn côt trung thế_2</t>
  </si>
  <si>
    <t>Nhà tạm giam Diên Khánh-Suối Hiệp</t>
  </si>
  <si>
    <t>12.24635</t>
  </si>
  <si>
    <t>109.0729</t>
  </si>
  <si>
    <t>12.22102</t>
  </si>
  <si>
    <t>109.0838</t>
  </si>
  <si>
    <t>FO thuê#CMC#KHDK13-KHDK06</t>
  </si>
  <si>
    <t>1.CA Diên Khánh - CA Suối Hiệp</t>
  </si>
  <si>
    <t>2420.93</t>
  </si>
  <si>
    <t>2236.48</t>
  </si>
  <si>
    <t>12.243274</t>
  </si>
  <si>
    <t>109.093239</t>
  </si>
  <si>
    <t>184.45</t>
  </si>
  <si>
    <t>12.222536</t>
  </si>
  <si>
    <t>109.084489</t>
  </si>
  <si>
    <t>full_h04/Khánh Hòa/Thu thập EVN_Khánh Hòa/Route_Cấp 4/KH_RING 10/1.CA Diên Khánh - CA Suối Hiệp/CA Diên Khánh - CA Suối Hiệp_Đoạn cột trung thế</t>
  </si>
  <si>
    <t>Suối Hiệp-KHCL23</t>
  </si>
  <si>
    <t>12.1537068</t>
  </si>
  <si>
    <t>109.0672539</t>
  </si>
  <si>
    <t>FO thuê#CMC#KHDK06-KHCL23</t>
  </si>
  <si>
    <t>2.CA Suối Hiệp - CA Suối Dầu</t>
  </si>
  <si>
    <t>4356.92</t>
  </si>
  <si>
    <t>153.90</t>
  </si>
  <si>
    <t>12.220519</t>
  </si>
  <si>
    <t>109.082480</t>
  </si>
  <si>
    <t>4203.02</t>
  </si>
  <si>
    <t>12.191492</t>
  </si>
  <si>
    <t>109.066221</t>
  </si>
  <si>
    <t>full_h04/Khánh Hòa/Thu thập EVN_Khánh Hòa/Route_Cấp 4/KH_RING 10/2.CA Suối Hiệp - CA Suối Dầu/CA Suối Hiệp - CA Suối Dầu_Đoạn cột trung thế</t>
  </si>
  <si>
    <t>PC11a-KHNT59</t>
  </si>
  <si>
    <t>12.1757</t>
  </si>
  <si>
    <t>109.1737</t>
  </si>
  <si>
    <t>12.2108712</t>
  </si>
  <si>
    <t>109.1887008</t>
  </si>
  <si>
    <t>FO thuê#CMC#KHNTMA01-KHNT59</t>
  </si>
  <si>
    <t>3.PA06 cs2 - PC11a</t>
  </si>
  <si>
    <t>51.30</t>
  </si>
  <si>
    <t>9.18</t>
  </si>
  <si>
    <t>12.175753</t>
  </si>
  <si>
    <t>109.173635</t>
  </si>
  <si>
    <t>42.11</t>
  </si>
  <si>
    <t>12.210643</t>
  </si>
  <si>
    <t>109.188391</t>
  </si>
  <si>
    <t>full_h04/Khánh Hòa/Thu thập EVN_Khánh Hòa/Route_Cấp 3/KH_RING 5/3.PA06 cs2 - PC11a/PA06 cs2 - PC11a_Đoạn cột trung thế</t>
  </si>
  <si>
    <t>CATP Nha trang cũ-KHNT24</t>
  </si>
  <si>
    <t>12.24647</t>
  </si>
  <si>
    <t>109.1894</t>
  </si>
  <si>
    <t>12.2522001</t>
  </si>
  <si>
    <t>109.1937001</t>
  </si>
  <si>
    <t>FO thuê#CMC#KHNT83-KHNT24</t>
  </si>
  <si>
    <t>4.PA08 - PA06 cs1</t>
  </si>
  <si>
    <t>297.18</t>
  </si>
  <si>
    <t>227.08</t>
  </si>
  <si>
    <t>12.247764</t>
  </si>
  <si>
    <t>109.191017</t>
  </si>
  <si>
    <t>70.10</t>
  </si>
  <si>
    <t>12.252644</t>
  </si>
  <si>
    <t>109.193242</t>
  </si>
  <si>
    <t>full_h04/Khánh Hòa/Thu thập EVN_Khánh Hòa/Route_Cấp 3/KH_RING 3/4.PA08 - PA06 cs1/PA08 - PA06 cs1_Đoạn cột trung thế</t>
  </si>
  <si>
    <t>PC11a-KHNT1F</t>
  </si>
  <si>
    <t>12.1996477</t>
  </si>
  <si>
    <t>109.1942289</t>
  </si>
  <si>
    <t>FO thuê#CMC#KHNTMA01-KHNT1F</t>
  </si>
  <si>
    <t>4.PC11a - PC02_Đoạn cột trung thế</t>
  </si>
  <si>
    <t>792.90</t>
  </si>
  <si>
    <t>3.34</t>
  </si>
  <si>
    <t>12.175723</t>
  </si>
  <si>
    <t>109.173680</t>
  </si>
  <si>
    <t>789.55</t>
  </si>
  <si>
    <t>12.204105</t>
  </si>
  <si>
    <t>109.188574</t>
  </si>
  <si>
    <t>full_h04/Khánh Hòa/Thu thập EVN_Khánh Hòa/Route_Cấp 3/KH_RING 5/4.PC11a - PC02_Đoạn cột trung thế/4.PC11a - PC02_Đoạn cột trung thế</t>
  </si>
  <si>
    <t>PC11a-KHNT26</t>
  </si>
  <si>
    <t>12.22520174</t>
  </si>
  <si>
    <t>109.1833831</t>
  </si>
  <si>
    <t>FO thuê#CMC#KHNTMA01-KHNT26</t>
  </si>
  <si>
    <t>60.34</t>
  </si>
  <si>
    <t>51.16</t>
  </si>
  <si>
    <t>12.225636</t>
  </si>
  <si>
    <t>109.183539</t>
  </si>
  <si>
    <t>PA08-PC06</t>
  </si>
  <si>
    <t>16.79036</t>
  </si>
  <si>
    <t>107.1043</t>
  </si>
  <si>
    <t>15.56375</t>
  </si>
  <si>
    <t>108.4814</t>
  </si>
  <si>
    <t>FO thuê#CMC#KHNT25-KHNT84</t>
  </si>
  <si>
    <t>Trại giam An Điềm (C10) - Duy Xuyên</t>
  </si>
  <si>
    <t>169460.33</t>
  </si>
  <si>
    <t>131244.19</t>
  </si>
  <si>
    <t>15.875013</t>
  </si>
  <si>
    <t>107.880808</t>
  </si>
  <si>
    <t>38216.13</t>
  </si>
  <si>
    <t>15.822844</t>
  </si>
  <si>
    <t>108.246846</t>
  </si>
  <si>
    <t>full_h04/TP Đà Nẵng/TP Đà Nẵng/Mạng cấp 3_ DN và Quảng Nam/Cấp 3 - Ring 3 - Quảng Nam cũ/Trại giam An Điềm (C10) - Duy Xuyên/Trung thế</t>
  </si>
  <si>
    <t>PC06-PC08 (xử lý vi phạm)</t>
  </si>
  <si>
    <t>FO thuê#CMC#KHNT84-KHNT60</t>
  </si>
  <si>
    <t>Hoài Ân- Vĩnh Kim</t>
  </si>
  <si>
    <t>335568.19</t>
  </si>
  <si>
    <t>143782.80</t>
  </si>
  <si>
    <t>14.360149</t>
  </si>
  <si>
    <t>108.970620</t>
  </si>
  <si>
    <t>191785.39</t>
  </si>
  <si>
    <t>13.966175</t>
  </si>
  <si>
    <t>109.030287</t>
  </si>
  <si>
    <t>full_h04/Gia Lai/GE Mạng cấp III-IV Gia Lai Full v6.kmz/GE Mạng cấp III-IV Gia Lai Full/Mạng cấp III Gia Lai Full/Ring 1/Hoài Ân- Vĩnh Kim/Trung Thế</t>
  </si>
  <si>
    <t>PC08 (xử lý vi phạm)-KHNT24</t>
  </si>
  <si>
    <t>FO thuê#CMC#KHNT60-KHNT24</t>
  </si>
  <si>
    <t>277.71</t>
  </si>
  <si>
    <t>117.04</t>
  </si>
  <si>
    <t>12.253000</t>
  </si>
  <si>
    <t>109.193000</t>
  </si>
  <si>
    <t>PK02 cs1-NTG Nha Trang cũ</t>
  </si>
  <si>
    <t>12.27875</t>
  </si>
  <si>
    <t>109.1889</t>
  </si>
  <si>
    <t>FO thuê#CMC#KHNT94-KHNT79</t>
  </si>
  <si>
    <t>Tuyến nhánh PK02 cs1 - NTG Nha Trang cũ_Cột hạ thế</t>
  </si>
  <si>
    <t>3.53</t>
  </si>
  <si>
    <t>1.27</t>
  </si>
  <si>
    <t>12.278761</t>
  </si>
  <si>
    <t>109.188896</t>
  </si>
  <si>
    <t>2.26</t>
  </si>
  <si>
    <t>12.276948</t>
  </si>
  <si>
    <t>109.188409</t>
  </si>
  <si>
    <t>full_h04/Khánh Hòa/Thu thập EVN_Khánh Hòa/Route_Cấp 3/KH_RING 6/Tuyến nhánh PK02 cs1 - NTG Nha Trang cũ_Cột hạ thế/Tuyến nhánh PK02 cs1 - NTG Nha Trang cũ_Cột hạ thế</t>
  </si>
  <si>
    <t>NTG Nha Trang cũ-KHNT28</t>
  </si>
  <si>
    <t>12.26617101</t>
  </si>
  <si>
    <t>109.19621</t>
  </si>
  <si>
    <t>FO thuê#CMC#KHNT79-KHNT28</t>
  </si>
  <si>
    <t>292.88</t>
  </si>
  <si>
    <t>86.40</t>
  </si>
  <si>
    <t>12.265396</t>
  </si>
  <si>
    <t>109.196152</t>
  </si>
  <si>
    <t>Diên Điền-KHNT07</t>
  </si>
  <si>
    <t>12.27603</t>
  </si>
  <si>
    <t>109.1203</t>
  </si>
  <si>
    <t>12.30220011</t>
  </si>
  <si>
    <t>109.1703001</t>
  </si>
  <si>
    <t>FO thuê#CMC#KHDK08-KHNT07</t>
  </si>
  <si>
    <t>2.CA Diên Điền - CA Bắc Nha Trang</t>
  </si>
  <si>
    <t>2904.54</t>
  </si>
  <si>
    <t>6.07</t>
  </si>
  <si>
    <t>12.276067</t>
  </si>
  <si>
    <t>109.120259</t>
  </si>
  <si>
    <t>2898.47</t>
  </si>
  <si>
    <t>12.288600</t>
  </si>
  <si>
    <t>109.147541</t>
  </si>
  <si>
    <t>full_h04/Khánh Hòa/Thu thập EVN_Khánh Hòa/Route_Cấp 4/KH_RING 8/2.CA Diên Điền - CA Bắc Nha Trang/CA Diên Điền - CA Bắc Nha Trang_Đoạn cột trung thế_1</t>
  </si>
  <si>
    <t>Bắc Nha Trang-Nhà nghỉ dưỡng 378 BCA</t>
  </si>
  <si>
    <t>12.28234</t>
  </si>
  <si>
    <t>109.1981</t>
  </si>
  <si>
    <t>12.25676</t>
  </si>
  <si>
    <t>109.1976</t>
  </si>
  <si>
    <t>FO thuê#CMC#KHNT88-KHNT1N</t>
  </si>
  <si>
    <t>3.CA Bắc Nha Trang - CAT Khánh Hòa</t>
  </si>
  <si>
    <t>1388.96</t>
  </si>
  <si>
    <t>414.08</t>
  </si>
  <si>
    <t>12.280430</t>
  </si>
  <si>
    <t>109.194828</t>
  </si>
  <si>
    <t>974.88</t>
  </si>
  <si>
    <t>12.265409</t>
  </si>
  <si>
    <t>109.196133</t>
  </si>
  <si>
    <t>full_h04/Khánh Hòa/Thu thập EVN_Khánh Hòa/Route_Cấp 4/KH_RING 8/3.CA Bắc Nha Trang - CAT Khánh Hòa/CA Bắc Nha Trang - CAT Khánh Hòa_Đoạn cột trung thế_1</t>
  </si>
  <si>
    <t>Nhà nghỉ dưỡng 378 BCA-Tây Nha Trang</t>
  </si>
  <si>
    <t>12.25114</t>
  </si>
  <si>
    <t>109.1864</t>
  </si>
  <si>
    <t>FO thuê#CMC#KHNT1N-KHNT17</t>
  </si>
  <si>
    <t>3.CA Nha Trang - CA Tây Nha Trang_Cột trung thế</t>
  </si>
  <si>
    <t>663.74</t>
  </si>
  <si>
    <t>659.73</t>
  </si>
  <si>
    <t>12.252942</t>
  </si>
  <si>
    <t>109.192953</t>
  </si>
  <si>
    <t>4.00</t>
  </si>
  <si>
    <t>12.251159</t>
  </si>
  <si>
    <t>109.186369</t>
  </si>
  <si>
    <t>full_h04/Khánh Hòa/Thu thập EVN_Khánh Hòa/Route_Cấp 4/KH_RING 1/3.CA Nha Trang - CA Tây Nha Trang_Cột trung thế/3.CA Nha Trang - CA Tây Nha Trang_Cột trung thế</t>
  </si>
  <si>
    <t>Tây Nha Trang-KHNT24</t>
  </si>
  <si>
    <t>FO thuê#CMC#KHNT17-KHNT24</t>
  </si>
  <si>
    <t>119.80</t>
  </si>
  <si>
    <t>115.79</t>
  </si>
  <si>
    <t>Bắc Nha Trang-KHNT3Q</t>
  </si>
  <si>
    <t>12.29023801</t>
  </si>
  <si>
    <t>109.205394</t>
  </si>
  <si>
    <t>FO thuê#CMC#KHNT88-KHNT3Q</t>
  </si>
  <si>
    <t>1169.78</t>
  </si>
  <si>
    <t>0.85</t>
  </si>
  <si>
    <t>12.282332</t>
  </si>
  <si>
    <t>109.198101</t>
  </si>
  <si>
    <t>1168.93</t>
  </si>
  <si>
    <t>12.282302</t>
  </si>
  <si>
    <t>109.198338</t>
  </si>
  <si>
    <t>full_h04/Khánh Hòa/Thu thập EVN_Khánh Hòa/Route_Cấp 4/KH_RING 8/3.CA Bắc Nha Trang - CAT Khánh Hòa/CA Bắc Nha Trang - CAT Khánh Hòa_Đoạn cột hạ thế</t>
  </si>
  <si>
    <t>PA06 cs2-KHNT68</t>
  </si>
  <si>
    <t>12.23647</t>
  </si>
  <si>
    <t>109.1846</t>
  </si>
  <si>
    <t>12.23434901</t>
  </si>
  <si>
    <t>109.172642</t>
  </si>
  <si>
    <t>FO thuê#CMC#KHNT55-KHNT68</t>
  </si>
  <si>
    <t>5. Cam Phước Đông - CAT Khánh Hòa</t>
  </si>
  <si>
    <t>613.93</t>
  </si>
  <si>
    <t>173.20</t>
  </si>
  <si>
    <t>12.235394</t>
  </si>
  <si>
    <t>109.185752</t>
  </si>
  <si>
    <t>440.74</t>
  </si>
  <si>
    <t>12.235808</t>
  </si>
  <si>
    <t>109.176413</t>
  </si>
  <si>
    <t>full_h04/Khánh Hòa/Thu thập EVN_Khánh Hòa/Route_Cấp 3/KH_RING 2/5. Cam Phước Đông - CAT Khánh Hòa/Cam Phước Đông - CAT Khánh Hòa_Đoạn cột trung thế_5</t>
  </si>
  <si>
    <t>NTG Nha Trang cũ-KHNT3G</t>
  </si>
  <si>
    <t>12.27834601</t>
  </si>
  <si>
    <t>109.199733</t>
  </si>
  <si>
    <t>FO thuê#CMC#KHNT79-KHNT3G</t>
  </si>
  <si>
    <t>538.42</t>
  </si>
  <si>
    <t>331.94</t>
  </si>
  <si>
    <t>12.276457</t>
  </si>
  <si>
    <t>109.197368</t>
  </si>
  <si>
    <t>PC08 csc-KHNT3C</t>
  </si>
  <si>
    <t>12.24904</t>
  </si>
  <si>
    <t>109.1841</t>
  </si>
  <si>
    <t>12.2570531</t>
  </si>
  <si>
    <t>109.1822747</t>
  </si>
  <si>
    <t>FO thuê#CMC#KHNT05-KHNT3C</t>
  </si>
  <si>
    <t>4.CA Tây Nha Trang - TTCMKV Diên Khánh</t>
  </si>
  <si>
    <t>510.41</t>
  </si>
  <si>
    <t>191.02</t>
  </si>
  <si>
    <t>12.250641</t>
  </si>
  <si>
    <t>109.184739</t>
  </si>
  <si>
    <t>319.39</t>
  </si>
  <si>
    <t>12.254597</t>
  </si>
  <si>
    <t>109.180751</t>
  </si>
  <si>
    <t>full_h04/Khánh Hòa/Thu thập EVN_Khánh Hòa/Route_Cấp 4/KH_RING 1/4.CA Tây Nha Trang - TTCMKV Diên Khánh/CA Tây Nha Trang - TTCMKV Diên Khánh_Đoạn cột trung thế_1</t>
  </si>
  <si>
    <t>PC07-Nha Trang</t>
  </si>
  <si>
    <t>16.81325</t>
  </si>
  <si>
    <t>107.0887</t>
  </si>
  <si>
    <t>12.24928</t>
  </si>
  <si>
    <t>109.1925</t>
  </si>
  <si>
    <t>FO thuê#CMC#KHNT90-KHNT4Z</t>
  </si>
  <si>
    <t>Đăk Tô - TT2 Kon Tum</t>
  </si>
  <si>
    <t>519260.73</t>
  </si>
  <si>
    <t>252584.19</t>
  </si>
  <si>
    <t>14.659686</t>
  </si>
  <si>
    <t>107.839439</t>
  </si>
  <si>
    <t>266676.53</t>
  </si>
  <si>
    <t>14.352317</t>
  </si>
  <si>
    <t>108.007831</t>
  </si>
  <si>
    <t>full_h04/KonTum/Mạng cấp III Kon Tum/Ring 4/Đăk Tô - TT2 Kon Tum.kmz/Đăk Tô - TT2 Kon Tum/Đăk Tô - TT2 Kon Tum_Trung thế</t>
  </si>
  <si>
    <t>Nhà tạm giam Diên Khánh-KHDK38</t>
  </si>
  <si>
    <t>12.245628</t>
  </si>
  <si>
    <t>109.097118</t>
  </si>
  <si>
    <t>FO thuê#CMC#KHDK13-KHDK38</t>
  </si>
  <si>
    <t>3. Trại giam A2 - CATP Nha trang cũ</t>
  </si>
  <si>
    <t>1484.17</t>
  </si>
  <si>
    <t>1058.39</t>
  </si>
  <si>
    <t>12.251107</t>
  </si>
  <si>
    <t>109.081336</t>
  </si>
  <si>
    <t>425.79</t>
  </si>
  <si>
    <t>12.243822</t>
  </si>
  <si>
    <t>109.093663</t>
  </si>
  <si>
    <t>full_h04/Khánh Hòa/Thu thập EVN_Khánh Hòa/Route_Cấp 3/KH_RING 4/3. Trại giam A2 - CATP Nha trang cũ/Trại giam A2 - CATP Nha trang cũ_Đoạn cột trung thế_6</t>
  </si>
  <si>
    <t>Diên Điền-KHDK30</t>
  </si>
  <si>
    <t>12.27802</t>
  </si>
  <si>
    <t>109.12975</t>
  </si>
  <si>
    <t>FO thuê#CMC#KHDK08-KHDK30</t>
  </si>
  <si>
    <t>265.61</t>
  </si>
  <si>
    <t>259.54</t>
  </si>
  <si>
    <t>12.278650</t>
  </si>
  <si>
    <t>109.127450</t>
  </si>
  <si>
    <t>Nhà tạm giam Diên Khánh-KHDK05</t>
  </si>
  <si>
    <t>12.25983</t>
  </si>
  <si>
    <t>109.07202</t>
  </si>
  <si>
    <t>FO thuê#CMC#KHDK13-KHDK05</t>
  </si>
  <si>
    <t>2.Nhà tạm giam Diên Khánh - Trại giam A2</t>
  </si>
  <si>
    <t>337.64</t>
  </si>
  <si>
    <t>7.22</t>
  </si>
  <si>
    <t>12.246371</t>
  </si>
  <si>
    <t>109.072963</t>
  </si>
  <si>
    <t>330.42</t>
  </si>
  <si>
    <t>12.256955</t>
  </si>
  <si>
    <t>109.071253</t>
  </si>
  <si>
    <t>full_h04/Khánh Hòa/Thu thập EVN_Khánh Hòa/Route_Cấp 3/KH_RING 4/2.Nhà tạm giam Diên Khánh - Trại giam A2/Nhà tạm giam Diên Khánh - Trại giam A2_Đoạn cột trung thế</t>
  </si>
  <si>
    <t>PC11a-KHNT74</t>
  </si>
  <si>
    <t>12.20345001</t>
  </si>
  <si>
    <t>109.16021</t>
  </si>
  <si>
    <t>FO thuê#CMC#KHNTMA01-KHNT74</t>
  </si>
  <si>
    <t>1703.55</t>
  </si>
  <si>
    <t>1700.20</t>
  </si>
  <si>
    <t>12.196674</t>
  </si>
  <si>
    <t>109.174234</t>
  </si>
  <si>
    <t>Bắc Nha Trang-KHNT77</t>
  </si>
  <si>
    <t>12.29400101</t>
  </si>
  <si>
    <t>109.188739</t>
  </si>
  <si>
    <t>FO thuê#CMC#KHNT88-KHNT77</t>
  </si>
  <si>
    <t>574.64</t>
  </si>
  <si>
    <t>0.89</t>
  </si>
  <si>
    <t>12.282335</t>
  </si>
  <si>
    <t>109.198106</t>
  </si>
  <si>
    <t>573.75</t>
  </si>
  <si>
    <t>12.288899</t>
  </si>
  <si>
    <t>109.189530</t>
  </si>
  <si>
    <t>full_h04/Khánh Hòa/Thu thập EVN_Khánh Hòa/Route_Cấp 4/KH_RING 8/2.CA Diên Điền - CA Bắc Nha Trang/CA Diên Điền - CA Bắc Nha Trang_Đoạn cột trung thế_2</t>
  </si>
  <si>
    <t>Cam Phước Đông-KHCR05</t>
  </si>
  <si>
    <t>11.94161</t>
  </si>
  <si>
    <t>109.1131</t>
  </si>
  <si>
    <t>11.94650301</t>
  </si>
  <si>
    <t>109.092594</t>
  </si>
  <si>
    <t>FO thuê#CMC#KHCR47-KHCR05</t>
  </si>
  <si>
    <t>3.Cam Ranh - Khánh Sơn</t>
  </si>
  <si>
    <t>1461.62</t>
  </si>
  <si>
    <t>100.00</t>
  </si>
  <si>
    <t>11.941592</t>
  </si>
  <si>
    <t>109.112181</t>
  </si>
  <si>
    <t>1361.62</t>
  </si>
  <si>
    <t>11.955189</t>
  </si>
  <si>
    <t>109.101417</t>
  </si>
  <si>
    <t>full_h04/Khánh Hòa/Thu thập EVN_Khánh Hòa/Route_Cấp 3/KH_RING 2/3.Cam Ranh - Khánh Sơn/Cam Ranh - Khánh Sơn_Đoạn cột trung thế</t>
  </si>
  <si>
    <t>Bắc Cam Ranh-KHCR16</t>
  </si>
  <si>
    <t>11.9756</t>
  </si>
  <si>
    <t>109.1961</t>
  </si>
  <si>
    <t>11.97462501</t>
  </si>
  <si>
    <t>109.1886701</t>
  </si>
  <si>
    <t>FO thuê#CMC#KHCR02-KHCR16</t>
  </si>
  <si>
    <t>2.CA Bắc Cam Ranh - CA Cam An</t>
  </si>
  <si>
    <t>672.88</t>
  </si>
  <si>
    <t>125.00</t>
  </si>
  <si>
    <t>11.976645</t>
  </si>
  <si>
    <t>109.195676</t>
  </si>
  <si>
    <t>547.88</t>
  </si>
  <si>
    <t>11.977448</t>
  </si>
  <si>
    <t>109.192799</t>
  </si>
  <si>
    <t>full_h04/Khánh Hòa/Thu thập EVN_Khánh Hòa/Route_Cấp 4/KH_RING 2/2.CA Bắc Cam Ranh - CA Cam An/CA Bắc Cam Ranh - CA Cam An_Đoạn cột trung thế_1</t>
  </si>
  <si>
    <t>Nhà tạm giam Diên Khánh-KHDK10</t>
  </si>
  <si>
    <t>12.23483</t>
  </si>
  <si>
    <t>109.08898</t>
  </si>
  <si>
    <t>FO thuê#CMC#KHDK13-KHDK10</t>
  </si>
  <si>
    <t>2076.33</t>
  </si>
  <si>
    <t>2069.11</t>
  </si>
  <si>
    <t>12.246168</t>
  </si>
  <si>
    <t>109.073882</t>
  </si>
  <si>
    <t>Nhà tạm giam Diên Khánh-KHDK23</t>
  </si>
  <si>
    <t>12.2524949</t>
  </si>
  <si>
    <t>109.0954765</t>
  </si>
  <si>
    <t>FO thuê#CMC#KHDK13-KHDK23</t>
  </si>
  <si>
    <t>1249.28</t>
  </si>
  <si>
    <t>190.90</t>
  </si>
  <si>
    <t>12.251051</t>
  </si>
  <si>
    <t>109.096426</t>
  </si>
  <si>
    <t>Diên Lâm-KHDK17</t>
  </si>
  <si>
    <t>12.26904</t>
  </si>
  <si>
    <t>109.0334</t>
  </si>
  <si>
    <t>12.27189</t>
  </si>
  <si>
    <t>109.04746</t>
  </si>
  <si>
    <t>FO thuê#CMC#KHDK25-KHDK17</t>
  </si>
  <si>
    <t>2.CA Diên Lạc - CA Diên Lâm</t>
  </si>
  <si>
    <t>1182.15</t>
  </si>
  <si>
    <t>3.39</t>
  </si>
  <si>
    <t>12.269048</t>
  </si>
  <si>
    <t>109.033370</t>
  </si>
  <si>
    <t>1178.76</t>
  </si>
  <si>
    <t>12.267572</t>
  </si>
  <si>
    <t>109.037552</t>
  </si>
  <si>
    <t>full_h04/Khánh Hòa/Thu thập EVN_Khánh Hòa/Route_Cấp 4/KH_RING 9/2.CA Diên Lạc - CA Diên Lâm/CA Diên Lạc - CA Diên Lâm_Đoạn cột trung thế_2</t>
  </si>
  <si>
    <t>Suối Hiệp-KHDK28</t>
  </si>
  <si>
    <t>12.22351</t>
  </si>
  <si>
    <t>109.085728</t>
  </si>
  <si>
    <t>FO thuê#CMC#KHDK06-KHDK28</t>
  </si>
  <si>
    <t>174.07</t>
  </si>
  <si>
    <t>2.33</t>
  </si>
  <si>
    <t>12.221002</t>
  </si>
  <si>
    <t>109.083788</t>
  </si>
  <si>
    <t>171.74</t>
  </si>
  <si>
    <t>12.222558</t>
  </si>
  <si>
    <t>109.084483</t>
  </si>
  <si>
    <t>full_h04/Khánh Hòa/Thu thập EVN_Khánh Hòa/Route_Cấp 4/KH_RING 10/1.CA Diên Khánh - CA Suối Hiệp/CA Diên Khánh - CA Suối Hiệp_Đoạn cột hạ thế</t>
  </si>
  <si>
    <t>Diên Lâm-KHDK24</t>
  </si>
  <si>
    <t>12.2569</t>
  </si>
  <si>
    <t>109.0574</t>
  </si>
  <si>
    <t>FO thuê#CMC#KHDK25-KHDK24</t>
  </si>
  <si>
    <t>894.46</t>
  </si>
  <si>
    <t>646.36</t>
  </si>
  <si>
    <t>12.263232</t>
  </si>
  <si>
    <t>109.033157</t>
  </si>
  <si>
    <t>248.11</t>
  </si>
  <si>
    <t>12.255091</t>
  </si>
  <si>
    <t>109.058737</t>
  </si>
  <si>
    <t>Diên Lâm-KHDK09</t>
  </si>
  <si>
    <t>12.26987</t>
  </si>
  <si>
    <t>109.01763</t>
  </si>
  <si>
    <t>FO thuê#CMC#KHDK25-KHDK09</t>
  </si>
  <si>
    <t>3.CA Diên Lâm - CA Bắc Khánh Vĩnh_Cột trung thế</t>
  </si>
  <si>
    <t>545.69</t>
  </si>
  <si>
    <t>3.20</t>
  </si>
  <si>
    <t>12.269061</t>
  </si>
  <si>
    <t>109.033380</t>
  </si>
  <si>
    <t>542.49</t>
  </si>
  <si>
    <t>12.274529</t>
  </si>
  <si>
    <t>109.019110</t>
  </si>
  <si>
    <t>full_h04/Khánh Hòa/Thu thập EVN_Khánh Hòa/Route_Cấp 4/KH_RING 9/3.CA Diên Lâm - CA Bắc Khánh Vĩnh_Cột trung thế/3.CA Diên Lâm - CA Bắc Khánh Vĩnh_Cột trung thế</t>
  </si>
  <si>
    <t>Diên Điền-KHDK33</t>
  </si>
  <si>
    <t>12.28390901</t>
  </si>
  <si>
    <t>109.108828</t>
  </si>
  <si>
    <t>FO thuê#CMC#KHDK08-KHDK33</t>
  </si>
  <si>
    <t>1.CA Diên Khánh - CA Diên Điền_Cột trung thế</t>
  </si>
  <si>
    <t>1324.18</t>
  </si>
  <si>
    <t>5.44</t>
  </si>
  <si>
    <t>12.276034</t>
  </si>
  <si>
    <t>109.120250</t>
  </si>
  <si>
    <t>1318.74</t>
  </si>
  <si>
    <t>12.273352</t>
  </si>
  <si>
    <t>109.114359</t>
  </si>
  <si>
    <t>full_h04/Khánh Hòa/Thu thập EVN_Khánh Hòa/Route_Cấp 4/KH_RING 8/1.CA Diên Khánh - CA Diên Điền_Cột trung thế/1.CA Diên Khánh - CA Diên Điền_Cột trung thế</t>
  </si>
  <si>
    <t>Bắc Nha Trang-KHNT4A</t>
  </si>
  <si>
    <t>12.28893201</t>
  </si>
  <si>
    <t>109.200351</t>
  </si>
  <si>
    <t>FO thuê#CMC#KHNT88-KHNT4A</t>
  </si>
  <si>
    <t>764.16</t>
  </si>
  <si>
    <t>763.31</t>
  </si>
  <si>
    <t>12.282397</t>
  </si>
  <si>
    <t>109.198201</t>
  </si>
  <si>
    <t>PC11a-KHNT3L</t>
  </si>
  <si>
    <t>12.18649</t>
  </si>
  <si>
    <t>109.158723</t>
  </si>
  <si>
    <t>FO thuê#CMC#KHNTMA01-KHNT3L</t>
  </si>
  <si>
    <t>1246.56</t>
  </si>
  <si>
    <t>1243.22</t>
  </si>
  <si>
    <t>12.189206</t>
  </si>
  <si>
    <t>109.169819</t>
  </si>
  <si>
    <t>PK02 cs1-KHNT95</t>
  </si>
  <si>
    <t>12.26984401</t>
  </si>
  <si>
    <t>109.18243</t>
  </si>
  <si>
    <t>FO thuê#CMC#KHNT94-KHNT95</t>
  </si>
  <si>
    <t>1024.07</t>
  </si>
  <si>
    <t>1022.79</t>
  </si>
  <si>
    <t>Bắc Nha Trang-KHNT1S</t>
  </si>
  <si>
    <t>12.28442601</t>
  </si>
  <si>
    <t>109.195839</t>
  </si>
  <si>
    <t>FO thuê#CMC#KHNT88-KHNT1S</t>
  </si>
  <si>
    <t>234.94</t>
  </si>
  <si>
    <t>234.06</t>
  </si>
  <si>
    <t>12.282329</t>
  </si>
  <si>
    <t>109.195653</t>
  </si>
  <si>
    <t>PC11a-KHNT4K</t>
  </si>
  <si>
    <t>12.17269401</t>
  </si>
  <si>
    <t>109.184329</t>
  </si>
  <si>
    <t>FO thuê#CMC#KHNTMA01-KHNT4K</t>
  </si>
  <si>
    <t>1.CAT Khánh Hòa - Cam Lâm</t>
  </si>
  <si>
    <t>536.67</t>
  </si>
  <si>
    <t>136.09</t>
  </si>
  <si>
    <t>12.175768</t>
  </si>
  <si>
    <t>109.174950</t>
  </si>
  <si>
    <t>400.58</t>
  </si>
  <si>
    <t>12.170889</t>
  </si>
  <si>
    <t>109.187518</t>
  </si>
  <si>
    <t>full_h04/Khánh Hòa/Thu thập EVN_Khánh Hòa/Route_Cấp 3/KH_RING 2/1.CAT Khánh Hòa - Cam Lâm/CAT Khánh Hòa - Cam Lâm_Đoạn cột trung thế_2</t>
  </si>
  <si>
    <t>Tây Nha Trang-KHNT3D</t>
  </si>
  <si>
    <t>12.25827501</t>
  </si>
  <si>
    <t>109.190817</t>
  </si>
  <si>
    <t>FO thuê#CMC#KHNT17-KHNT3D</t>
  </si>
  <si>
    <t>633.82</t>
  </si>
  <si>
    <t>424.42</t>
  </si>
  <si>
    <t>12.253059</t>
  </si>
  <si>
    <t>109.189777</t>
  </si>
  <si>
    <t>209.39</t>
  </si>
  <si>
    <t>12.259030</t>
  </si>
  <si>
    <t>109.189052</t>
  </si>
  <si>
    <t>full_h04/Khánh Hòa/Thu thập EVN_Khánh Hòa/Route_Cấp 3/KH_RING 6/1.CAT Khánh Hòa - PK02 cs1/CAT Khánh Hòa - PK02 cs1_Đoạn cột trung thế_1</t>
  </si>
  <si>
    <t>NTG Nha Trang cũ-KHNT21</t>
  </si>
  <si>
    <t>12.28057201</t>
  </si>
  <si>
    <t>109.194297</t>
  </si>
  <si>
    <t>FO thuê#CMC#KHNT79-KHNT21</t>
  </si>
  <si>
    <t>331.83</t>
  </si>
  <si>
    <t>125.35</t>
  </si>
  <si>
    <t>12.279657</t>
  </si>
  <si>
    <t>109.194971</t>
  </si>
  <si>
    <t>PC07-KHNT4B</t>
  </si>
  <si>
    <t>12.2380165</t>
  </si>
  <si>
    <t>109.1872048</t>
  </si>
  <si>
    <t>FO thuê#CMC#KHNT90-KHNT4B</t>
  </si>
  <si>
    <t>520087.22</t>
  </si>
  <si>
    <t>267503.03</t>
  </si>
  <si>
    <t>PC11a-KHNT4Q</t>
  </si>
  <si>
    <t>12.19975101</t>
  </si>
  <si>
    <t>109.177632</t>
  </si>
  <si>
    <t>FO thuê#CMC#KHNTMA01-KHNT4Q</t>
  </si>
  <si>
    <t>147.68</t>
  </si>
  <si>
    <t>144.34</t>
  </si>
  <si>
    <t>12.198800</t>
  </si>
  <si>
    <t>109.176728</t>
  </si>
  <si>
    <t>Tây Nha Trang-KHNT4M</t>
  </si>
  <si>
    <t>12.26323701</t>
  </si>
  <si>
    <t>109.183618</t>
  </si>
  <si>
    <t>FO thuê#CMC#KHNT17-KHNT4M</t>
  </si>
  <si>
    <t>1012.35</t>
  </si>
  <si>
    <t>2.37</t>
  </si>
  <si>
    <t>12.251134</t>
  </si>
  <si>
    <t>109.186421</t>
  </si>
  <si>
    <t>1009.98</t>
  </si>
  <si>
    <t>Suối Hiệp-Diên Lâm</t>
  </si>
  <si>
    <t>FO thuê#CMC#KHDK06-KHDK25</t>
  </si>
  <si>
    <t>3643.19</t>
  </si>
  <si>
    <t>2996.83</t>
  </si>
  <si>
    <t>PC11a-Suối Hiệp</t>
  </si>
  <si>
    <t>FO thuê#CMC#KHNTMA01-KHDK06</t>
  </si>
  <si>
    <t>9316.28</t>
  </si>
  <si>
    <t>4830.56</t>
  </si>
  <si>
    <t>12.209825</t>
  </si>
  <si>
    <t>109.146196</t>
  </si>
  <si>
    <t>4485.72</t>
  </si>
  <si>
    <t>12.183759</t>
  </si>
  <si>
    <t>109.099619</t>
  </si>
  <si>
    <t>full_h04/Khánh Hòa/Thu thập EVN_Khánh Hòa/Route_Cấp 3/KH_RING 2/5. Cam Phước Đông - CAT Khánh Hòa/Cam Phước Đông - CAT Khánh Hòa_Đoạn cột trung thế_3</t>
  </si>
  <si>
    <t>Tây Ninh Hòa-KHNH93</t>
  </si>
  <si>
    <t>12.54083</t>
  </si>
  <si>
    <t>109.0075</t>
  </si>
  <si>
    <t>12.55036</t>
  </si>
  <si>
    <t>109.02233</t>
  </si>
  <si>
    <t>FO thuê#CMC#KHNH06-KHNH93</t>
  </si>
  <si>
    <t>3.CA Tây Ninh Hòa - CA Hòa Trí</t>
  </si>
  <si>
    <t>145.04</t>
  </si>
  <si>
    <t>5.08</t>
  </si>
  <si>
    <t>12.540853</t>
  </si>
  <si>
    <t>109.007460</t>
  </si>
  <si>
    <t>139.96</t>
  </si>
  <si>
    <t>12.550335</t>
  </si>
  <si>
    <t>109.021041</t>
  </si>
  <si>
    <t>full_h04/Khánh Hòa/Thu thập EVN_Khánh Hòa/Route_Cấp 4/KH_RING 6/3.CA Tây Ninh Hòa - CA Hòa Trí/CA Tây Ninh Hòa - CA Hòa Trí_Đoạn cột trung thế_1</t>
  </si>
  <si>
    <t>Ninh Hòa-KHNH1C</t>
  </si>
  <si>
    <t>12.50973</t>
  </si>
  <si>
    <t>109.1375</t>
  </si>
  <si>
    <t>12.49985601</t>
  </si>
  <si>
    <t>109.1339041</t>
  </si>
  <si>
    <t>FO thuê#CMC#KHNH54-KHNH1C</t>
  </si>
  <si>
    <t>3.CA Tân Định - CA Ninh Hòa</t>
  </si>
  <si>
    <t>411.22</t>
  </si>
  <si>
    <t>297.85</t>
  </si>
  <si>
    <t>12.507178</t>
  </si>
  <si>
    <t>109.136665</t>
  </si>
  <si>
    <t>113.37</t>
  </si>
  <si>
    <t>12.500529</t>
  </si>
  <si>
    <t>109.133120</t>
  </si>
  <si>
    <t>full_h04/Khánh Hòa/Thu thập EVN_Khánh Hòa/Route_Cấp 4/KH_RING 5/3.CA Tân Định - CA Ninh Hòa/CA Tân Định - CA Ninh Hòa_Đoạn cột hạ thế_2</t>
  </si>
  <si>
    <t>Ninh Hòa-KHNH96</t>
  </si>
  <si>
    <t>12.48898</t>
  </si>
  <si>
    <t>109.119</t>
  </si>
  <si>
    <t>FO thuê#CMC#KHNH54-KHNH96</t>
  </si>
  <si>
    <t>1.CA Ninh Hòa - CA Hòa Thắng_Cột trung thế</t>
  </si>
  <si>
    <t>1582.27</t>
  </si>
  <si>
    <t>2.77</t>
  </si>
  <si>
    <t>12.509724</t>
  </si>
  <si>
    <t>109.137475</t>
  </si>
  <si>
    <t>1579.51</t>
  </si>
  <si>
    <t>12.481319</t>
  </si>
  <si>
    <t>109.131251</t>
  </si>
  <si>
    <t>full_h04/Khánh Hòa/Thu thập EVN_Khánh Hòa/Route_Cấp 4/KH_RING 5/1.CA Ninh Hòa - CA Hòa Thắng_Cột trung thế/1.CA Ninh Hòa - CA Hòa Thắng_Cột trung thế</t>
  </si>
  <si>
    <t>Cam An-KHCL55</t>
  </si>
  <si>
    <t>11.96294</t>
  </si>
  <si>
    <t>109.095</t>
  </si>
  <si>
    <t>11.965597</t>
  </si>
  <si>
    <t>109.093781</t>
  </si>
  <si>
    <t>FO thuê#CMC#KHCR27-KHCL55</t>
  </si>
  <si>
    <t>325.75</t>
  </si>
  <si>
    <t>3.61</t>
  </si>
  <si>
    <t>11.962966</t>
  </si>
  <si>
    <t>109.095020</t>
  </si>
  <si>
    <t>322.14</t>
  </si>
  <si>
    <t>full_h04/Khánh Hòa/Thu thập EVN_Khánh Hòa/Route_Cấp 4/KH_RING 2/2.CA Bắc Cam Ranh - CA Cam An/CA Bắc Cam Ranh - CA Cam An_Đoạn cột hạ thế_3</t>
  </si>
  <si>
    <t>Cam Ranh-KHCR77</t>
  </si>
  <si>
    <t>11.92552</t>
  </si>
  <si>
    <t>109.1637</t>
  </si>
  <si>
    <t>11.91436</t>
  </si>
  <si>
    <t>109.14944</t>
  </si>
  <si>
    <t>FO thuê#CMC#KHCR52-KHCR77</t>
  </si>
  <si>
    <t>1.CA Cam Ranh - CA Cam Linh</t>
  </si>
  <si>
    <t>754.89</t>
  </si>
  <si>
    <t>313.88</t>
  </si>
  <si>
    <t>11.923000</t>
  </si>
  <si>
    <t>109.165000</t>
  </si>
  <si>
    <t>441.01</t>
  </si>
  <si>
    <t>11.911316</t>
  </si>
  <si>
    <t>109.152038</t>
  </si>
  <si>
    <t>full_h04/Khánh Hòa/Thu thập EVN_Khánh Hòa/Route_Cấp 4/KH_RING 3/1.CA Cam Ranh - CA Cam Linh/CA Cam Ranh - CA Cam Linh_Đoạn cột trung thế</t>
  </si>
  <si>
    <t>Ninh Hòa-KHNH1E</t>
  </si>
  <si>
    <t>12.48759</t>
  </si>
  <si>
    <t>109.13198</t>
  </si>
  <si>
    <t>FO thuê#CMC#KHNH54-KHNH1E</t>
  </si>
  <si>
    <t>273.39</t>
  </si>
  <si>
    <t>270.63</t>
  </si>
  <si>
    <t>12.486466</t>
  </si>
  <si>
    <t>109.134191</t>
  </si>
  <si>
    <t>PC07-KHNT6D</t>
  </si>
  <si>
    <t>12.23900441</t>
  </si>
  <si>
    <t>109.1861532</t>
  </si>
  <si>
    <t>FO thuê#CMC#KHNT90-KHNT6D</t>
  </si>
  <si>
    <t>519936.28</t>
  </si>
  <si>
    <t>267352.08</t>
  </si>
  <si>
    <t>PC07-KHNT2B</t>
  </si>
  <si>
    <t>12.2443602</t>
  </si>
  <si>
    <t>109.1957346</t>
  </si>
  <si>
    <t>FO thuê#CMC#KHNT90-KHNT2B</t>
  </si>
  <si>
    <t>519909.29</t>
  </si>
  <si>
    <t>267325.09</t>
  </si>
  <si>
    <t>PC07-KHNT1H</t>
  </si>
  <si>
    <t>12.2392592</t>
  </si>
  <si>
    <t>109.191774</t>
  </si>
  <si>
    <t>FO thuê#CMC#KHNT90-KHNT1H</t>
  </si>
  <si>
    <t>520201.97</t>
  </si>
  <si>
    <t>267617.77</t>
  </si>
  <si>
    <t>PA08-KHNT1I</t>
  </si>
  <si>
    <t>12.2390501</t>
  </si>
  <si>
    <t>109.181202</t>
  </si>
  <si>
    <t>FO thuê#CMC#KHNT25-KHNT1I</t>
  </si>
  <si>
    <t>516735.24</t>
  </si>
  <si>
    <t>249642.72</t>
  </si>
  <si>
    <t>267092.52</t>
  </si>
  <si>
    <t>PA08-KHNT1J</t>
  </si>
  <si>
    <t>12.24395251</t>
  </si>
  <si>
    <t>109.1803282</t>
  </si>
  <si>
    <t>FO thuê#CMC#KHNT25-KHNT1J</t>
  </si>
  <si>
    <t>516210.17</t>
  </si>
  <si>
    <t>266567.44</t>
  </si>
  <si>
    <t>PC08 csc-KHNT1K</t>
  </si>
  <si>
    <t>12.25090401</t>
  </si>
  <si>
    <t>109.177954</t>
  </si>
  <si>
    <t>FO thuê#CMC#KHNT05-KHNT1K</t>
  </si>
  <si>
    <t>94.89</t>
  </si>
  <si>
    <t>80.62</t>
  </si>
  <si>
    <t>12.249428</t>
  </si>
  <si>
    <t>109.184727</t>
  </si>
  <si>
    <t>14.27</t>
  </si>
  <si>
    <t>12.250778</t>
  </si>
  <si>
    <t>109.177980</t>
  </si>
  <si>
    <t>full_h04/Khánh Hòa/Thu thập EVN_Khánh Hòa/Route_Cấp 3/KH_RING 4/3. Trại giam A2 - CATP Nha trang cũ/Trại giam A2 - CATP Nha trang cũ_Đoạn cột trung thế_8</t>
  </si>
  <si>
    <t>PA06 cs2-KHNT1U</t>
  </si>
  <si>
    <t>12.236069</t>
  </si>
  <si>
    <t>109.1867344</t>
  </si>
  <si>
    <t>FO thuê#CMC#KHNT55-KHNT1U</t>
  </si>
  <si>
    <t>2.PC07 - PA06 cs2_Cột hạ thế</t>
  </si>
  <si>
    <t>134.29</t>
  </si>
  <si>
    <t>4.67</t>
  </si>
  <si>
    <t>12.236451</t>
  </si>
  <si>
    <t>109.184562</t>
  </si>
  <si>
    <t>129.63</t>
  </si>
  <si>
    <t>12.236749</t>
  </si>
  <si>
    <t>109.185765</t>
  </si>
  <si>
    <t>full_h04/Khánh Hòa/Thu thập EVN_Khánh Hòa/Route_Cấp 3/KH_RING 5/2.PC07 - PA06 cs2_Cột hạ thế/2.PC07 - PA06 cs2_Cột hạ thế</t>
  </si>
  <si>
    <t>PA08-KHNT1V</t>
  </si>
  <si>
    <t>12.24066</t>
  </si>
  <si>
    <t>109.18532</t>
  </si>
  <si>
    <t>FO thuê#CMC#KHNT25-KHNT1V</t>
  </si>
  <si>
    <t>516789.80</t>
  </si>
  <si>
    <t>267147.08</t>
  </si>
  <si>
    <t>PA08-KHNT47</t>
  </si>
  <si>
    <t>12.24512014</t>
  </si>
  <si>
    <t>109.1836333</t>
  </si>
  <si>
    <t>FO thuê#CMC#KHNT25-KHNT47</t>
  </si>
  <si>
    <t>516266.32</t>
  </si>
  <si>
    <t>266623.59</t>
  </si>
  <si>
    <t>PA06 cs2-KHNT89</t>
  </si>
  <si>
    <t>12.22998172</t>
  </si>
  <si>
    <t>109.1822861</t>
  </si>
  <si>
    <t>FO thuê#CMC#KHNT55-KHNT89</t>
  </si>
  <si>
    <t>609.57</t>
  </si>
  <si>
    <t>15.81</t>
  </si>
  <si>
    <t>12.236330</t>
  </si>
  <si>
    <t>109.184576</t>
  </si>
  <si>
    <t>593.76</t>
  </si>
  <si>
    <t>12.235100</t>
  </si>
  <si>
    <t>109.183842</t>
  </si>
  <si>
    <t>full_h04/Khánh Hòa/Thu thập EVN_Khánh Hòa/Route_Cấp 3/KH_RING 5/3.PA06 cs2 - PC11a/PA06 cs2 - PC11a_Đoạn cột hạ thế</t>
  </si>
  <si>
    <t>NTG Nha Trang cũ-KHNT4P</t>
  </si>
  <si>
    <t>12.27974401</t>
  </si>
  <si>
    <t>109.197704</t>
  </si>
  <si>
    <t>FO thuê#CMC#KHNT79-KHNT4P</t>
  </si>
  <si>
    <t>478.09</t>
  </si>
  <si>
    <t>271.61</t>
  </si>
  <si>
    <t>12.279789</t>
  </si>
  <si>
    <t>109.195205</t>
  </si>
  <si>
    <t>Cam Hiệp-KHCL40</t>
  </si>
  <si>
    <t>12.03192</t>
  </si>
  <si>
    <t>109.1282</t>
  </si>
  <si>
    <t>12.0483501</t>
  </si>
  <si>
    <t>109.12726</t>
  </si>
  <si>
    <t>FO thuê#CMC#KHCL02-KHCL40</t>
  </si>
  <si>
    <t>4.CA Cam Hiệp - CA Cam Lâm_Cột trung thế</t>
  </si>
  <si>
    <t>140.83</t>
  </si>
  <si>
    <t>1.04</t>
  </si>
  <si>
    <t>12.031929</t>
  </si>
  <si>
    <t>109.128201</t>
  </si>
  <si>
    <t>139.79</t>
  </si>
  <si>
    <t>12.047109</t>
  </si>
  <si>
    <t>109.127058</t>
  </si>
  <si>
    <t>full_h04/Khánh Hòa/Thu thập EVN_Khánh Hòa/Route_Cấp 4/KH_RING 2/4.CA Cam Hiệp - CA Cam Lâm_Cột trung thế/4.CA Cam Hiệp - CA Cam Lâm_Cột trung thế</t>
  </si>
  <si>
    <t>Ninh Hòa-KHNH84</t>
  </si>
  <si>
    <t>12.48151</t>
  </si>
  <si>
    <t>109.12602</t>
  </si>
  <si>
    <t>FO thuê#CMC#KHNH54-KHNH84</t>
  </si>
  <si>
    <t>571.13</t>
  </si>
  <si>
    <t>568.36</t>
  </si>
  <si>
    <t>Ninh Hòa-KHNH85</t>
  </si>
  <si>
    <t>12.49907</t>
  </si>
  <si>
    <t>109.15372</t>
  </si>
  <si>
    <t>FO thuê#CMC#KHNH54-KHNH85</t>
  </si>
  <si>
    <t>5.Trạm CSGT Ninh An cũ - Ninh Hòa</t>
  </si>
  <si>
    <t>626.52</t>
  </si>
  <si>
    <t>2.76</t>
  </si>
  <si>
    <t>12.509732</t>
  </si>
  <si>
    <t>623.76</t>
  </si>
  <si>
    <t>12.504679</t>
  </si>
  <si>
    <t>109.153633</t>
  </si>
  <si>
    <t>full_h04/Khánh Hòa/Thu thập EVN_Khánh Hòa/Route_Cấp 3/KH_RING 6/5.Trạm CSGT Ninh An cũ - Ninh Hòa/Trạm CSGT Ninh An cũ - Ninh Hòa_Đoạn cột trung thế</t>
  </si>
  <si>
    <t>Vạn Ninh-KHVN39</t>
  </si>
  <si>
    <t>12.69077</t>
  </si>
  <si>
    <t>109.2209</t>
  </si>
  <si>
    <t>12.68866</t>
  </si>
  <si>
    <t>109.22417</t>
  </si>
  <si>
    <t>FO thuê#CMC#KHVN04-KHVN39</t>
  </si>
  <si>
    <t>4.CA Vạn Hưng - CA Vạn Ninh</t>
  </si>
  <si>
    <t>431.92</t>
  </si>
  <si>
    <t>3.45</t>
  </si>
  <si>
    <t>12.690776</t>
  </si>
  <si>
    <t>109.220869</t>
  </si>
  <si>
    <t>428.48</t>
  </si>
  <si>
    <t>full_h04/Khánh Hòa/Thu thập EVN_Khánh Hòa/Route_Cấp 4/KH_RING 4/4.CA Vạn Hưng - CA Vạn Ninh/CA Vạn Hưng - CA Vạn Ninh_Đoạn cột hạ thế</t>
  </si>
  <si>
    <t>Cam Ranh-KHCL03</t>
  </si>
  <si>
    <t>11.99699</t>
  </si>
  <si>
    <t>109.12421</t>
  </si>
  <si>
    <t>FO thuê#CMC#KHCR52-KHCL03</t>
  </si>
  <si>
    <t>5280.19</t>
  </si>
  <si>
    <t>274.23</t>
  </si>
  <si>
    <t>11.925938</t>
  </si>
  <si>
    <t>109.161216</t>
  </si>
  <si>
    <t>5005.96</t>
  </si>
  <si>
    <t>11.960527</t>
  </si>
  <si>
    <t>109.097217</t>
  </si>
  <si>
    <t>PC11a-Cam Lâm</t>
  </si>
  <si>
    <t>12.07444</t>
  </si>
  <si>
    <t>109.1681</t>
  </si>
  <si>
    <t>FO thuê#CMC#KHNTMA01-KHCLMA01</t>
  </si>
  <si>
    <t>138.12</t>
  </si>
  <si>
    <t>2.03</t>
  </si>
  <si>
    <t>12.074439</t>
  </si>
  <si>
    <t>109.168081</t>
  </si>
  <si>
    <t>Cam Phước Đông-KHCR19</t>
  </si>
  <si>
    <t>11.99443734</t>
  </si>
  <si>
    <t>109.1526529</t>
  </si>
  <si>
    <t>FO thuê#CMC#KHCR47-KHCR19</t>
  </si>
  <si>
    <t>4045.15</t>
  </si>
  <si>
    <t>3421.38</t>
  </si>
  <si>
    <t>11.972379</t>
  </si>
  <si>
    <t>109.112890</t>
  </si>
  <si>
    <t>623.77</t>
  </si>
  <si>
    <t>11.989046</t>
  </si>
  <si>
    <t>109.151068</t>
  </si>
  <si>
    <t>Cam Ranh-KHCR49</t>
  </si>
  <si>
    <t>11.91870901</t>
  </si>
  <si>
    <t>109.145014</t>
  </si>
  <si>
    <t>FO thuê#CMC#KHCR52-KHCR49</t>
  </si>
  <si>
    <t>4.CA Nam Cam Ranh - CA Cam Ranh</t>
  </si>
  <si>
    <t>476.19</t>
  </si>
  <si>
    <t>271.76</t>
  </si>
  <si>
    <t>11.925971</t>
  </si>
  <si>
    <t>109.161245</t>
  </si>
  <si>
    <t>204.42</t>
  </si>
  <si>
    <t>11.920406</t>
  </si>
  <si>
    <t>109.144291</t>
  </si>
  <si>
    <t>full_h04/Khánh Hòa/Thu thập EVN_Khánh Hòa/Route_Cấp 4/KH_RING 3/4.CA Nam Cam Ranh - CA Cam Ranh/CA Nam Cam Ranh - CA Cam Ranh_Đoạn cột trung thế_3</t>
  </si>
  <si>
    <t>Cam Hiệp-KHCL47</t>
  </si>
  <si>
    <t>12.06328</t>
  </si>
  <si>
    <t>109.1601</t>
  </si>
  <si>
    <t>FO thuê#CMC#KHCL02-KHCL47</t>
  </si>
  <si>
    <t>881.07</t>
  </si>
  <si>
    <t>880.03</t>
  </si>
  <si>
    <t>12.070831</t>
  </si>
  <si>
    <t>109.157676</t>
  </si>
  <si>
    <t>Cam An-Cam Hiệp</t>
  </si>
  <si>
    <t>FO thuê#CMC#KHCR27-KHCL02</t>
  </si>
  <si>
    <t>3.CA Cam An - CA Cam Hiệp</t>
  </si>
  <si>
    <t>2215.62</t>
  </si>
  <si>
    <t>2211.21</t>
  </si>
  <si>
    <t>11.972360</t>
  </si>
  <si>
    <t>109.112902</t>
  </si>
  <si>
    <t>4.41</t>
  </si>
  <si>
    <t>12.031930</t>
  </si>
  <si>
    <t>109.128161</t>
  </si>
  <si>
    <t>full_h04/Khánh Hòa/Thu thập EVN_Khánh Hòa/Route_Cấp 4/KH_RING 2/3.CA Cam An - CA Cam Hiệp/CA Cam An - CA Cam Hiệp_Đoạn cột trung thế_2</t>
  </si>
  <si>
    <t>Cam Ranh-KHCR14</t>
  </si>
  <si>
    <t>11.90960356</t>
  </si>
  <si>
    <t>109.1272345</t>
  </si>
  <si>
    <t>FO thuê#CMC#KHCR52-KHCR14</t>
  </si>
  <si>
    <t>370.23</t>
  </si>
  <si>
    <t>98.47</t>
  </si>
  <si>
    <t>11.908733</t>
  </si>
  <si>
    <t>109.127402</t>
  </si>
  <si>
    <t>Cam Linh-KHCR04</t>
  </si>
  <si>
    <t>11.90677</t>
  </si>
  <si>
    <t>109.1464</t>
  </si>
  <si>
    <t>11.83796801</t>
  </si>
  <si>
    <t>109.111695</t>
  </si>
  <si>
    <t>FO thuê#CMC#KHCR18-KHCR04</t>
  </si>
  <si>
    <t>5756.97</t>
  </si>
  <si>
    <t>1211.77</t>
  </si>
  <si>
    <t>11.915802</t>
  </si>
  <si>
    <t>109.140168</t>
  </si>
  <si>
    <t>4545.20</t>
  </si>
  <si>
    <t>11.878836</t>
  </si>
  <si>
    <t>109.110860</t>
  </si>
  <si>
    <t>Cam Ranh-Cam Linh</t>
  </si>
  <si>
    <t>FO thuê#CMC#KHCR52-KHCR18</t>
  </si>
  <si>
    <t>318.01</t>
  </si>
  <si>
    <t>4.13</t>
  </si>
  <si>
    <t>11.906758</t>
  </si>
  <si>
    <t>109.146364</t>
  </si>
  <si>
    <t>Bắc Cam Ranh-KHCL18</t>
  </si>
  <si>
    <t>12.0299</t>
  </si>
  <si>
    <t>109.1773</t>
  </si>
  <si>
    <t>FO thuê#CMC#KHCR02-KHCL18</t>
  </si>
  <si>
    <t>2.Cam Lâm - Cam Ranh</t>
  </si>
  <si>
    <t>1218.65</t>
  </si>
  <si>
    <t>674.90</t>
  </si>
  <si>
    <t>11.970426</t>
  </si>
  <si>
    <t>109.192857</t>
  </si>
  <si>
    <t>543.75</t>
  </si>
  <si>
    <t>12.034097</t>
  </si>
  <si>
    <t>109.174734</t>
  </si>
  <si>
    <t>full_h04/Khánh Hòa/Thu thập EVN_Khánh Hòa/Route_Cấp 3/KH_RING 2/2.Cam Lâm - Cam Ranh/Cam Lâm - Cam Ranh_Đoạn cột trung thế</t>
  </si>
  <si>
    <t>Cam Lâm-KHCL17</t>
  </si>
  <si>
    <t>12.11886</t>
  </si>
  <si>
    <t>109.1134173</t>
  </si>
  <si>
    <t>FO thuê#CMC#KHCLMA01-KHCL17</t>
  </si>
  <si>
    <t>1833.46</t>
  </si>
  <si>
    <t>1719.35</t>
  </si>
  <si>
    <t>12.075379</t>
  </si>
  <si>
    <t>109.152317</t>
  </si>
  <si>
    <t>114.11</t>
  </si>
  <si>
    <t>12.118789</t>
  </si>
  <si>
    <t>109.112370</t>
  </si>
  <si>
    <t>full_h04/Khánh Hòa/Thu thập EVN_Khánh Hòa/Route_Cấp 3/KH_RING 2/5. Cam Phước Đông - CAT Khánh Hòa/Cam Phước Đông - CAT Khánh Hòa_Đoạn cột trung thế_2</t>
  </si>
  <si>
    <t>Bắc Cam Ranh-KHCR53</t>
  </si>
  <si>
    <t>11.94227001</t>
  </si>
  <si>
    <t>109.17915</t>
  </si>
  <si>
    <t>FO thuê#CMC#KHCR02-KHCR53</t>
  </si>
  <si>
    <t>1.CA Cam Ranh - CA Bắc Cam Ranh</t>
  </si>
  <si>
    <t>297.57</t>
  </si>
  <si>
    <t>125.41</t>
  </si>
  <si>
    <t>11.976637</t>
  </si>
  <si>
    <t>109.195647</t>
  </si>
  <si>
    <t>172.16</t>
  </si>
  <si>
    <t>11.943080</t>
  </si>
  <si>
    <t>109.180499</t>
  </si>
  <si>
    <t>full_h04/Khánh Hòa/Thu thập EVN_Khánh Hòa/Route_Cấp 4/KH_RING 2/1.CA Cam Ranh - CA Bắc Cam Ranh/CA Cam Ranh - CA Bắc Cam Ranh_Đoạn trung thế</t>
  </si>
  <si>
    <t>Cảng HKQT Cam Ranh-Bắc Cam Ranh</t>
  </si>
  <si>
    <t>11.99821</t>
  </si>
  <si>
    <t>109.2188</t>
  </si>
  <si>
    <t>FO thuê#CMC#KHCR10-KHCR02</t>
  </si>
  <si>
    <t>Tuyến nhánh CA Bắc Cam Ranh - Cảng HKQT Cam Ranh</t>
  </si>
  <si>
    <t>2620.93</t>
  </si>
  <si>
    <t>2497.87</t>
  </si>
  <si>
    <t>11.984549</t>
  </si>
  <si>
    <t>109.200570</t>
  </si>
  <si>
    <t>123.07</t>
  </si>
  <si>
    <t>11.976625</t>
  </si>
  <si>
    <t>109.195673</t>
  </si>
  <si>
    <t>full_h04/Khánh Hòa/Thu thập EVN_Khánh Hòa/Route_Cấp 4/KH_RING 2/Tuyến nhánh CA Bắc Cam Ranh - Cảng HKQT Cam Ranh/CA Bắc Cam Ranh - Cảng HKQT Cam Ranh_Đoạn cột trung thế_1</t>
  </si>
  <si>
    <t>Cam Lâm-Cảng HKQT Cam Ranh</t>
  </si>
  <si>
    <t>FO thuê#CMC#KHCLMA01-KHCR10</t>
  </si>
  <si>
    <t>3017.86</t>
  </si>
  <si>
    <t>5.32</t>
  </si>
  <si>
    <t>12.074472</t>
  </si>
  <si>
    <t>109.168063</t>
  </si>
  <si>
    <t>3012.54</t>
  </si>
  <si>
    <t>11.992822</t>
  </si>
  <si>
    <t>109.191656</t>
  </si>
  <si>
    <t>Cảng HKQT Cam Ranh-KHCL33</t>
  </si>
  <si>
    <t>12.0551579</t>
  </si>
  <si>
    <t>109.1992261</t>
  </si>
  <si>
    <t>FO thuê#CMC#KHCR10-KHCL33</t>
  </si>
  <si>
    <t>6114.73</t>
  </si>
  <si>
    <t>5.18</t>
  </si>
  <si>
    <t>11.998255</t>
  </si>
  <si>
    <t>109.218788</t>
  </si>
  <si>
    <t>6109.55</t>
  </si>
  <si>
    <t>12.001107</t>
  </si>
  <si>
    <t>109.209318</t>
  </si>
  <si>
    <t>full_h04/Khánh Hòa/Thu thập EVN_Khánh Hòa/Route_Cấp 4/KH_RING 2/Tuyến nhánh CA Bắc Cam Ranh - Cảng HKQT Cam Ranh/CA Bắc Cam Ranh - Cảng HKQT Cam Ranh_Đoạn ngầm_2</t>
  </si>
  <si>
    <t>Cam Hiệp-KHCL09</t>
  </si>
  <si>
    <t>12.0107571</t>
  </si>
  <si>
    <t>109.0860198</t>
  </si>
  <si>
    <t>FO thuê#CMC#KHCL02-KHCL09</t>
  </si>
  <si>
    <t>4303.41</t>
  </si>
  <si>
    <t>4299.01</t>
  </si>
  <si>
    <t>12.006541</t>
  </si>
  <si>
    <t>109.125311</t>
  </si>
  <si>
    <t>Cam Hiệp-KHCL13</t>
  </si>
  <si>
    <t>12.0156218</t>
  </si>
  <si>
    <t>109.113312</t>
  </si>
  <si>
    <t>FO thuê#CMC#KHCL02-KHCL13</t>
  </si>
  <si>
    <t>1580.41</t>
  </si>
  <si>
    <t>1576.01</t>
  </si>
  <si>
    <t>12.008963</t>
  </si>
  <si>
    <t>109.126104</t>
  </si>
  <si>
    <t>Cam Ranh-KHCR17</t>
  </si>
  <si>
    <t>11.91789</t>
  </si>
  <si>
    <t>109.15163</t>
  </si>
  <si>
    <t>FO thuê#CMC#KHCR52-KHCR17</t>
  </si>
  <si>
    <t>557.99</t>
  </si>
  <si>
    <t>286.23</t>
  </si>
  <si>
    <t>11.920144</t>
  </si>
  <si>
    <t>109.150360</t>
  </si>
  <si>
    <t>Cam Linh-KHCR34</t>
  </si>
  <si>
    <t>11.9030769</t>
  </si>
  <si>
    <t>109.1457086</t>
  </si>
  <si>
    <t>FO thuê#CMC#KHCR18-KHCR34</t>
  </si>
  <si>
    <t>2.CA Cam Linh - CA Ba Ngòi</t>
  </si>
  <si>
    <t>314.65</t>
  </si>
  <si>
    <t>11.906751</t>
  </si>
  <si>
    <t>109.146369</t>
  </si>
  <si>
    <t>310.65</t>
  </si>
  <si>
    <t>11.905789</t>
  </si>
  <si>
    <t>109.145025</t>
  </si>
  <si>
    <t>full_h04/Khánh Hòa/Thu thập EVN_Khánh Hòa/Route_Cấp 4/KH_RING 3/2.CA Cam Linh - CA Ba Ngòi/CA Cam Linh - CA Ba Ngòi_Đoạn cột trung thế</t>
  </si>
  <si>
    <t>Cam Ranh-KHCR33</t>
  </si>
  <si>
    <t>11.91452</t>
  </si>
  <si>
    <t>109.15903</t>
  </si>
  <si>
    <t>FO thuê#CMC#KHCR52-KHCR33</t>
  </si>
  <si>
    <t>1033.25</t>
  </si>
  <si>
    <t>719.36</t>
  </si>
  <si>
    <t>11.920300</t>
  </si>
  <si>
    <t>109.162000</t>
  </si>
  <si>
    <t>Bắc Cam Ranh-KHCR25</t>
  </si>
  <si>
    <t>11.98831</t>
  </si>
  <si>
    <t>109.1746</t>
  </si>
  <si>
    <t>FO thuê#CMC#KHCR02-KHCR25</t>
  </si>
  <si>
    <t>260.36</t>
  </si>
  <si>
    <t>135.35</t>
  </si>
  <si>
    <t>11.987181</t>
  </si>
  <si>
    <t>109.174135</t>
  </si>
  <si>
    <t>Cam Linh-KHCR36</t>
  </si>
  <si>
    <t>11.90945</t>
  </si>
  <si>
    <t>109.14203</t>
  </si>
  <si>
    <t>FO thuê#CMC#KHCR18-KHCR36</t>
  </si>
  <si>
    <t>19.85</t>
  </si>
  <si>
    <t>15.86</t>
  </si>
  <si>
    <t>11.909582</t>
  </si>
  <si>
    <t>109.141975</t>
  </si>
  <si>
    <t>Cam Ranh-KHCR37</t>
  </si>
  <si>
    <t>11.90782</t>
  </si>
  <si>
    <t>109.15242</t>
  </si>
  <si>
    <t>FO thuê#CMC#KHCR52-KHCR37</t>
  </si>
  <si>
    <t>636.01</t>
  </si>
  <si>
    <t>322.13</t>
  </si>
  <si>
    <t>11.909857</t>
  </si>
  <si>
    <t>109.150314</t>
  </si>
  <si>
    <t>Cam An-KHCR70</t>
  </si>
  <si>
    <t>11.95555662</t>
  </si>
  <si>
    <t>109.1041677</t>
  </si>
  <si>
    <t>FO thuê#CMC#KHCR27-KHCR70</t>
  </si>
  <si>
    <t>221.84</t>
  </si>
  <si>
    <t>134.52</t>
  </si>
  <si>
    <t>11.962003</t>
  </si>
  <si>
    <t>109.094218</t>
  </si>
  <si>
    <t>87.33</t>
  </si>
  <si>
    <t>11.955971</t>
  </si>
  <si>
    <t>109.103486</t>
  </si>
  <si>
    <t>KHVN53-Vạn Ninh</t>
  </si>
  <si>
    <t>12.7108</t>
  </si>
  <si>
    <t>109.23668</t>
  </si>
  <si>
    <t>FO thuê#VNPT#KHVN53-KHVN04</t>
  </si>
  <si>
    <t>1.CA Vạn Ninh - CA Vạn Thắng_Cột trung thế</t>
  </si>
  <si>
    <t>667.15</t>
  </si>
  <si>
    <t>663.57</t>
  </si>
  <si>
    <t>12.704838</t>
  </si>
  <si>
    <t>109.236941</t>
  </si>
  <si>
    <t>3.57</t>
  </si>
  <si>
    <t>12.690783</t>
  </si>
  <si>
    <t>109.220870</t>
  </si>
  <si>
    <t>full_h04/Khánh Hòa/Thu thập EVN_Khánh Hòa/Route_Cấp 4/KH_RING 7/1.CA Vạn Ninh - CA Vạn Thắng_Cột trung thế/1.CA Vạn Ninh - CA Vạn Thắng_Cột trung thế</t>
  </si>
  <si>
    <t>KHVN38-Vạn Ninh</t>
  </si>
  <si>
    <t>12.72197</t>
  </si>
  <si>
    <t>109.23442</t>
  </si>
  <si>
    <t>FO thuê#VNPT#KHVN38-KHVN04</t>
  </si>
  <si>
    <t>4.CA Đại Lãnh - CA Vạn Ninh</t>
  </si>
  <si>
    <t>533.33</t>
  </si>
  <si>
    <t>46.30</t>
  </si>
  <si>
    <t>12.721617</t>
  </si>
  <si>
    <t>109.234646</t>
  </si>
  <si>
    <t>487.03</t>
  </si>
  <si>
    <t>12.693424</t>
  </si>
  <si>
    <t>109.217328</t>
  </si>
  <si>
    <t>full_h04/Khánh Hòa/Thu thập EVN_Khánh Hòa/Route_Cấp 4/KH_RING 7/4.CA Đại Lãnh - CA Vạn Ninh/CA Đại Lãnh - CA Vạn Ninh_Đoạn cột trung thế_1</t>
  </si>
  <si>
    <t>KHVN50-Vạn Ninh</t>
  </si>
  <si>
    <t>12.71453</t>
  </si>
  <si>
    <t>109.2534</t>
  </si>
  <si>
    <t>FO thuê#VNPT#KHVN50-KHVN04</t>
  </si>
  <si>
    <t>1805.95</t>
  </si>
  <si>
    <t>1318.92</t>
  </si>
  <si>
    <t>12.726119</t>
  </si>
  <si>
    <t>109.255991</t>
  </si>
  <si>
    <t>KHVN22-Vạn Ninh</t>
  </si>
  <si>
    <t>12.70296</t>
  </si>
  <si>
    <t>109.22034</t>
  </si>
  <si>
    <t>FO thuê#VNPT#KHVN22-KHVN04</t>
  </si>
  <si>
    <t>640.53</t>
  </si>
  <si>
    <t>636.96</t>
  </si>
  <si>
    <t>12.699181</t>
  </si>
  <si>
    <t>109.224753</t>
  </si>
  <si>
    <t>KHVN47-Vạn Ninh</t>
  </si>
  <si>
    <t>12.70494</t>
  </si>
  <si>
    <t>109.24838</t>
  </si>
  <si>
    <t>FO thuê#VNPT#KHVN47-KHVN04</t>
  </si>
  <si>
    <t>1216.41</t>
  </si>
  <si>
    <t>1212.84</t>
  </si>
  <si>
    <t>12.704770</t>
  </si>
  <si>
    <t>109.237200</t>
  </si>
  <si>
    <t>KHDK44-Diên Lâm</t>
  </si>
  <si>
    <t>12.2704521</t>
  </si>
  <si>
    <t>109.0337186</t>
  </si>
  <si>
    <t>FO thuê#VNPT#KHDK44-KHDK25</t>
  </si>
  <si>
    <t>129.19</t>
  </si>
  <si>
    <t>125.99</t>
  </si>
  <si>
    <t>12.269342</t>
  </si>
  <si>
    <t>109.033485</t>
  </si>
  <si>
    <t>KHDK41-Nhà tạm giam Diên Khánh</t>
  </si>
  <si>
    <t>12.2585011</t>
  </si>
  <si>
    <t>109.0813154</t>
  </si>
  <si>
    <t>FO thuê#VNPT#KHDK41-KHDK13</t>
  </si>
  <si>
    <t>732.69</t>
  </si>
  <si>
    <t>725.47</t>
  </si>
  <si>
    <t>12.253289</t>
  </si>
  <si>
    <t>109.077300</t>
  </si>
  <si>
    <t>KHDK47-Suối Hiệp</t>
  </si>
  <si>
    <t>12.20177801</t>
  </si>
  <si>
    <t>109.063683</t>
  </si>
  <si>
    <t>FO thuê#VNPT#KHDK47-KHDK06</t>
  </si>
  <si>
    <t>845.12</t>
  </si>
  <si>
    <t>691.22</t>
  </si>
  <si>
    <t>12.197663</t>
  </si>
  <si>
    <t>109.068449</t>
  </si>
  <si>
    <t>KHCL36-Cam Hiệp</t>
  </si>
  <si>
    <t>12.01606101</t>
  </si>
  <si>
    <t>109.128601</t>
  </si>
  <si>
    <t>FO thuê#VNPT#KHCL36-KHCL02</t>
  </si>
  <si>
    <t>586.94</t>
  </si>
  <si>
    <t>426.11</t>
  </si>
  <si>
    <t>12.012766</t>
  </si>
  <si>
    <t>109.126600</t>
  </si>
  <si>
    <t>160.83</t>
  </si>
  <si>
    <t>12.033222</t>
  </si>
  <si>
    <t>109.128844</t>
  </si>
  <si>
    <t>KHCL65-Cam Lâm</t>
  </si>
  <si>
    <t>12.09608612</t>
  </si>
  <si>
    <t>109.1916937</t>
  </si>
  <si>
    <t>FO thuê#VNPT#KHCL65-KHCLMA01</t>
  </si>
  <si>
    <t>351.58</t>
  </si>
  <si>
    <t>349.55</t>
  </si>
  <si>
    <t>12.096610</t>
  </si>
  <si>
    <t>109.188524</t>
  </si>
  <si>
    <t>KHCL66-Cam Lâm</t>
  </si>
  <si>
    <t>12.07798701</t>
  </si>
  <si>
    <t>109.196856</t>
  </si>
  <si>
    <t>FO thuê#VNPT#KHCL66-KHCLMA01</t>
  </si>
  <si>
    <t>1166.83</t>
  </si>
  <si>
    <t>1164.80</t>
  </si>
  <si>
    <t>12.085071</t>
  </si>
  <si>
    <t>109.188964</t>
  </si>
  <si>
    <t>KHCR64-Cam Linh</t>
  </si>
  <si>
    <t>11.9069515</t>
  </si>
  <si>
    <t>109.1477022</t>
  </si>
  <si>
    <t>FO thuê#VNPT#KHCR64-KHCR18</t>
  </si>
  <si>
    <t>132.86</t>
  </si>
  <si>
    <t>128.73</t>
  </si>
  <si>
    <t>11.906952</t>
  </si>
  <si>
    <t>109.146519</t>
  </si>
  <si>
    <t>KHCR71-Cam Phước Đông</t>
  </si>
  <si>
    <t>11.92726001</t>
  </si>
  <si>
    <t>109.1087601</t>
  </si>
  <si>
    <t>FO thuê#VNPT#KHCR71-KHCR47</t>
  </si>
  <si>
    <t>1467.81</t>
  </si>
  <si>
    <t>1367.81</t>
  </si>
  <si>
    <t>11.932957</t>
  </si>
  <si>
    <t>109.119903</t>
  </si>
  <si>
    <t>KHNT20-PC06</t>
  </si>
  <si>
    <t>12.2443233</t>
  </si>
  <si>
    <t>109.1882667</t>
  </si>
  <si>
    <t>FO thuê#VNPT#KHNT20-KHNT84</t>
  </si>
  <si>
    <t>336006.80</t>
  </si>
  <si>
    <t>192224.00</t>
  </si>
  <si>
    <t>KHNT5S-PA06 cs2</t>
  </si>
  <si>
    <t>12.233701</t>
  </si>
  <si>
    <t>109.185861</t>
  </si>
  <si>
    <t>FO thuê#VNPT#KHNT5S-KHNT55</t>
  </si>
  <si>
    <t>284.78</t>
  </si>
  <si>
    <t>268.97</t>
  </si>
  <si>
    <t>KHNT6V-PA08</t>
  </si>
  <si>
    <t>12.23616701</t>
  </si>
  <si>
    <t>109.178073</t>
  </si>
  <si>
    <t>FO thuê#VNPT#KHNT6V-KHNT25</t>
  </si>
  <si>
    <t>516857.06</t>
  </si>
  <si>
    <t>267214.34</t>
  </si>
  <si>
    <t>KHNH18-Ninh Hòa</t>
  </si>
  <si>
    <t>12.49078</t>
  </si>
  <si>
    <t>109.12521</t>
  </si>
  <si>
    <t>FO thuê#VNPT#KHNH18-KHNH54</t>
  </si>
  <si>
    <t>1089.40</t>
  </si>
  <si>
    <t>1086.63</t>
  </si>
  <si>
    <t>KHNH1I-Hòa Thắng</t>
  </si>
  <si>
    <t>12.46218</t>
  </si>
  <si>
    <t>109.12141</t>
  </si>
  <si>
    <t>12.48016</t>
  </si>
  <si>
    <t>109.1325</t>
  </si>
  <si>
    <t>FO thuê#VNPT#KHNH1I-KHNH10</t>
  </si>
  <si>
    <t>4.PK02 cs2 - Trạm CSGT Ninh An cũ</t>
  </si>
  <si>
    <t>249.88</t>
  </si>
  <si>
    <t>63.93</t>
  </si>
  <si>
    <t>12.462367</t>
  </si>
  <si>
    <t>109.121967</t>
  </si>
  <si>
    <t>185.95</t>
  </si>
  <si>
    <t>12.481264</t>
  </si>
  <si>
    <t>109.131214</t>
  </si>
  <si>
    <t>full_h04/Khánh Hòa/Thu thập EVN_Khánh Hòa/Route_Cấp 3/KH_RING 6/4.PK02 cs2 - Trạm CSGT Ninh An cũ/PK02 cs2 - Trạm CSGT Ninh An cũ_Đoạn cột trung thế_2</t>
  </si>
  <si>
    <t>KHNH1O-Tây Ninh Hòa</t>
  </si>
  <si>
    <t>12.53785</t>
  </si>
  <si>
    <t>109.01861</t>
  </si>
  <si>
    <t>FO thuê#VNPT#KHNH1O-KHNH06</t>
  </si>
  <si>
    <t>2.CA Nam Ninh Hòa - CA Tây Ninh Hòa</t>
  </si>
  <si>
    <t>94.84</t>
  </si>
  <si>
    <t>90.25</t>
  </si>
  <si>
    <t>12.537073</t>
  </si>
  <si>
    <t>109.018368</t>
  </si>
  <si>
    <t>4.59</t>
  </si>
  <si>
    <t>12.540865</t>
  </si>
  <si>
    <t>109.007478</t>
  </si>
  <si>
    <t>full_h04/Khánh Hòa/Thu thập EVN_Khánh Hòa/Route_Cấp 4/KH_RING 6/2.CA Nam Ninh Hòa - CA Tây Ninh Hòa/CA Nam Ninh Hòa - CA Tây Ninh Hòa_Đoạn cột trung thế_2</t>
  </si>
  <si>
    <t>KHNH1S-Tây Ninh Hòa</t>
  </si>
  <si>
    <t>12.527823</t>
  </si>
  <si>
    <t>109.037572</t>
  </si>
  <si>
    <t>FO thuê#VNPT#KHNH1S-KHNH06</t>
  </si>
  <si>
    <t>548.34</t>
  </si>
  <si>
    <t>12.526709</t>
  </si>
  <si>
    <t>109.032694</t>
  </si>
  <si>
    <t>KHNH89-Tân Định</t>
  </si>
  <si>
    <t>12.51451</t>
  </si>
  <si>
    <t>109.12176</t>
  </si>
  <si>
    <t>12.48945</t>
  </si>
  <si>
    <t>109.1137</t>
  </si>
  <si>
    <t>FO thuê#VNPT#KHNH89-KHNH12</t>
  </si>
  <si>
    <t>2390.92</t>
  </si>
  <si>
    <t>2008.93</t>
  </si>
  <si>
    <t>12.496466</t>
  </si>
  <si>
    <t>109.120838</t>
  </si>
  <si>
    <t>381.98</t>
  </si>
  <si>
    <t>12.492870</t>
  </si>
  <si>
    <t>109.114033</t>
  </si>
  <si>
    <t>full_h04/Khánh Hòa/Thu thập EVN_Khánh Hòa/Route_Cấp 4/KH_RING 5/3.CA Tân Định - CA Ninh Hòa/CA Tân Định - CA Ninh Hòa_Đoạn cột trung thế_1</t>
  </si>
  <si>
    <t>KHNT85-PC06</t>
  </si>
  <si>
    <t>12.23781501</t>
  </si>
  <si>
    <t>109.196403</t>
  </si>
  <si>
    <t>FO thuê#VNPT#KHNT85-KHNT84</t>
  </si>
  <si>
    <t>336807.77</t>
  </si>
  <si>
    <t>193024.98</t>
  </si>
  <si>
    <t>KHNT86-PC08 (xử lý vi phạm)</t>
  </si>
  <si>
    <t>12.24619123</t>
  </si>
  <si>
    <t>109.1957109</t>
  </si>
  <si>
    <t>FO thuê#VNPT#KHNT86-KHNT60</t>
  </si>
  <si>
    <t>639.19</t>
  </si>
  <si>
    <t>448.45</t>
  </si>
  <si>
    <t>12.245355</t>
  </si>
  <si>
    <t>109.191674</t>
  </si>
  <si>
    <t>190.74</t>
  </si>
  <si>
    <t>KHNT49-Nhà nghỉ dưỡng 378 BCA</t>
  </si>
  <si>
    <t>12.29445132</t>
  </si>
  <si>
    <t>109.2126144</t>
  </si>
  <si>
    <t>FO thuê#VNPT#KHNT49-KHNT1N</t>
  </si>
  <si>
    <t>3457.82</t>
  </si>
  <si>
    <t>2482.94</t>
  </si>
  <si>
    <t>KHNT2K-CATP Nha trang cũ</t>
  </si>
  <si>
    <t>12.23675</t>
  </si>
  <si>
    <t>109.19695</t>
  </si>
  <si>
    <t>FO thuê#VNPT#KHNT2K-KHNT83</t>
  </si>
  <si>
    <t>1.CAT Khánh Hòa - CATP Nha Trang cũ</t>
  </si>
  <si>
    <t>669.81</t>
  </si>
  <si>
    <t>197.51</t>
  </si>
  <si>
    <t>12.235557</t>
  </si>
  <si>
    <t>109.195603</t>
  </si>
  <si>
    <t>472.29</t>
  </si>
  <si>
    <t>12.243201</t>
  </si>
  <si>
    <t>109.192176</t>
  </si>
  <si>
    <t>full_h04/Khánh Hòa/Thu thập EVN_Khánh Hòa/Route_Cấp 3/KH_RING 3/1.CAT Khánh Hòa - CATP Nha Trang cũ/CAT Khánh Hòa - CATP Nha Trang cũ_Đoạn cột trung thế</t>
  </si>
  <si>
    <t>KHNT6N-CATP Nha trang cũ</t>
  </si>
  <si>
    <t>12.24037001</t>
  </si>
  <si>
    <t>109.192334</t>
  </si>
  <si>
    <t>FO thuê#VNPT#KHNT6N-KHNT83</t>
  </si>
  <si>
    <t>445.51</t>
  </si>
  <si>
    <t>314.70</t>
  </si>
  <si>
    <t>12.243196</t>
  </si>
  <si>
    <t>109.192182</t>
  </si>
  <si>
    <t>130.81</t>
  </si>
  <si>
    <t>12.245826</t>
  </si>
  <si>
    <t>109.190408</t>
  </si>
  <si>
    <t>full_h04/Khánh Hòa/Thu thập EVN_Khánh Hòa/Route_Cấp 3/KH_RING 3/1.CAT Khánh Hòa - CATP Nha Trang cũ/CAT Khánh Hòa - CATP Nha Trang cũ_Đoạn cột hạ thế</t>
  </si>
  <si>
    <t>KHNT6Q-Nha Trang</t>
  </si>
  <si>
    <t>12.23888929</t>
  </si>
  <si>
    <t>109.1955664</t>
  </si>
  <si>
    <t>FO thuê#VNPT#KHNT6Q-KHNT4Z</t>
  </si>
  <si>
    <t>512.30</t>
  </si>
  <si>
    <t>354.87</t>
  </si>
  <si>
    <t>12.235698</t>
  </si>
  <si>
    <t>109.195623</t>
  </si>
  <si>
    <t>157.43</t>
  </si>
  <si>
    <t>12.249330</t>
  </si>
  <si>
    <t>109.193948</t>
  </si>
  <si>
    <t>KHNT4T-CATP Nha trang cũ</t>
  </si>
  <si>
    <t>12.23620801</t>
  </si>
  <si>
    <t>109.196419</t>
  </si>
  <si>
    <t>FO thuê#VNPT#KHNT4T-KHNT83</t>
  </si>
  <si>
    <t>586.73</t>
  </si>
  <si>
    <t>114.44</t>
  </si>
  <si>
    <t>KHCL22-Suối Hiệp</t>
  </si>
  <si>
    <t>12.1910055</t>
  </si>
  <si>
    <t>109.0657518</t>
  </si>
  <si>
    <t>FO thuê#VNPT#KHCL22-KHDK06</t>
  </si>
  <si>
    <t>228.27</t>
  </si>
  <si>
    <t>74.37</t>
  </si>
  <si>
    <t>KHCL10-Cảng HKQT Cam Ranh</t>
  </si>
  <si>
    <t>12.04389</t>
  </si>
  <si>
    <t>109.19883</t>
  </si>
  <si>
    <t>FO thuê#VNPT#KHCL10-KHCR10</t>
  </si>
  <si>
    <t>4897.24</t>
  </si>
  <si>
    <t>4892.06</t>
  </si>
  <si>
    <t>KHCR76-Cam Phước Đông</t>
  </si>
  <si>
    <t>11.93832746</t>
  </si>
  <si>
    <t>109.0835991</t>
  </si>
  <si>
    <t>FO thuê#VNPT#KHCR76-KHCR47</t>
  </si>
  <si>
    <t>2788.44</t>
  </si>
  <si>
    <t>2781.82</t>
  </si>
  <si>
    <t>11.952555</t>
  </si>
  <si>
    <t>109.104632</t>
  </si>
  <si>
    <t>6.63</t>
  </si>
  <si>
    <t>11.941641</t>
  </si>
  <si>
    <t>109.113048</t>
  </si>
  <si>
    <t>full_h04/Khánh Hòa/Thu thập EVN_Khánh Hòa/Route_Cấp 3/KH_RING 2/5. Cam Phước Đông - CAT Khánh Hòa/Cam Phước Đông - CAT Khánh Hòa_Đoạn cột trung thế_1</t>
  </si>
  <si>
    <t>KHCL54-Cam Phước Đông</t>
  </si>
  <si>
    <t>11.95549001</t>
  </si>
  <si>
    <t>109.07917</t>
  </si>
  <si>
    <t>FO thuê#VNPT#KHCL54-KHCR47</t>
  </si>
  <si>
    <t>1051.47</t>
  </si>
  <si>
    <t>951.47</t>
  </si>
  <si>
    <t>11.963487</t>
  </si>
  <si>
    <t>109.082281</t>
  </si>
  <si>
    <t>KHCR01-Cam Linh</t>
  </si>
  <si>
    <t>11.91363801</t>
  </si>
  <si>
    <t>109.137019</t>
  </si>
  <si>
    <t>FO thuê#VNPT#KHCR01-KHCR18</t>
  </si>
  <si>
    <t>40.30</t>
  </si>
  <si>
    <t>36.31</t>
  </si>
  <si>
    <t>11.913854</t>
  </si>
  <si>
    <t>109.137269</t>
  </si>
  <si>
    <t>KHNT7N-NTG Nha Trang cũ</t>
  </si>
  <si>
    <t>12.27667</t>
  </si>
  <si>
    <t>109.192912</t>
  </si>
  <si>
    <t>FO thuê#CMC#KHNT7N-KHNT79</t>
  </si>
  <si>
    <t>410.93</t>
  </si>
  <si>
    <t>408.67</t>
  </si>
  <si>
    <t>12.277380</t>
  </si>
  <si>
    <t>109.189222</t>
  </si>
  <si>
    <t>KHNT7Q-PC08 (CSGT đường thủy)</t>
  </si>
  <si>
    <t>12.210391</t>
  </si>
  <si>
    <t>109.213307</t>
  </si>
  <si>
    <t>12.1976</t>
  </si>
  <si>
    <t>109.2157</t>
  </si>
  <si>
    <t>FO thuê#CMC#KHNT7Q-KHNT42</t>
  </si>
  <si>
    <t>Tuyến nhánh PC02 - PC08 (CSGT đường thủy)</t>
  </si>
  <si>
    <t>579.39</t>
  </si>
  <si>
    <t>12.56</t>
  </si>
  <si>
    <t>12.210410</t>
  </si>
  <si>
    <t>109.213421</t>
  </si>
  <si>
    <t>566.83</t>
  </si>
  <si>
    <t>12.202648</t>
  </si>
  <si>
    <t>109.214975</t>
  </si>
  <si>
    <t>full_h04/Khánh Hòa/Thu thập EVN_Khánh Hòa/Route_Cấp 3/KH_RING 5/Tuyến nhánh PC02 - PC08 (CSGT đường thủy)/PC02 - PC08 (CSGT đường thủy)_Đoạn cột trung thế</t>
  </si>
  <si>
    <t>KHNT7P-PC08 csc</t>
  </si>
  <si>
    <t>12.250794</t>
  </si>
  <si>
    <t>109.184882</t>
  </si>
  <si>
    <t>FO thuê#CMC#KHNT7P-KHNT05</t>
  </si>
  <si>
    <t>2.CA Nam Nha Trang - CA Nha Trang</t>
  </si>
  <si>
    <t>131.73</t>
  </si>
  <si>
    <t>49.56</t>
  </si>
  <si>
    <t>12.250440</t>
  </si>
  <si>
    <t>109.184605</t>
  </si>
  <si>
    <t>82.17</t>
  </si>
  <si>
    <t>12.249479</t>
  </si>
  <si>
    <t>109.184708</t>
  </si>
  <si>
    <t>full_h04/Khánh Hòa/Thu thập EVN_Khánh Hòa/Route_Cấp 4/KH_RING 1/2.CA Nam Nha Trang - CA Nha Trang/CA Nam Nha Trang - CA Nha Trang_Đoạn cột trung thế_2</t>
  </si>
  <si>
    <t>KHCR56-Cảng HKQT Cam Ranh</t>
  </si>
  <si>
    <t>12.00719331</t>
  </si>
  <si>
    <t>109.2158522</t>
  </si>
  <si>
    <t>FO thuê#CMC#KHCR56-KHCR10</t>
  </si>
  <si>
    <t>986.52</t>
  </si>
  <si>
    <t>981.34</t>
  </si>
  <si>
    <t>KHDK37-Diên Lâm</t>
  </si>
  <si>
    <t>12.30831901</t>
  </si>
  <si>
    <t>108.997223</t>
  </si>
  <si>
    <t>FO thuê#CMC#KHDK37-KHDK25</t>
  </si>
  <si>
    <t>150.39</t>
  </si>
  <si>
    <t>147.19</t>
  </si>
  <si>
    <t>12.308507</t>
  </si>
  <si>
    <t>108.998564</t>
  </si>
  <si>
    <t>KHNT1E-PC08 csc</t>
  </si>
  <si>
    <t>12.25410001</t>
  </si>
  <si>
    <t>109.1721001</t>
  </si>
  <si>
    <t>FO thuê#CMC#KHNT1E-KHNT05</t>
  </si>
  <si>
    <t>381.80</t>
  </si>
  <si>
    <t>301.17</t>
  </si>
  <si>
    <t>12.252969</t>
  </si>
  <si>
    <t>109.174619</t>
  </si>
  <si>
    <t>Diên Khánh-Nhà tạm giam Diên Khánh</t>
  </si>
  <si>
    <t>12.2563</t>
  </si>
  <si>
    <t>109.0941</t>
  </si>
  <si>
    <t>FO thuê#CMC#KHDKMA01-KHDK13</t>
  </si>
  <si>
    <t>1.Diên Khánh - CA Diên Lạc_Cột hạ thế</t>
  </si>
  <si>
    <t>1443.52</t>
  </si>
  <si>
    <t>13.09</t>
  </si>
  <si>
    <t>12.256291</t>
  </si>
  <si>
    <t>109.093980</t>
  </si>
  <si>
    <t>1430.42</t>
  </si>
  <si>
    <t>12.259205</t>
  </si>
  <si>
    <t>109.072396</t>
  </si>
  <si>
    <t>full_h04/Khánh Hòa/Thu thập EVN_Khánh Hòa/Route_Cấp 4/KH_RING 9/1.Diên Khánh - CA Diên Lạc_Cột hạ thế/1.Diên Khánh - CA Diên Lạc_Cột hạ thế</t>
  </si>
  <si>
    <t>KHDK12-Diên Lâm</t>
  </si>
  <si>
    <t>12.209992</t>
  </si>
  <si>
    <t>109.042219</t>
  </si>
  <si>
    <t>FO thuê#CMC#KHDK12-KHDK25</t>
  </si>
  <si>
    <t>3.CA Suối Dầu - CA Diên Thọ_Đoạn cột trung thế</t>
  </si>
  <si>
    <t>2962.55</t>
  </si>
  <si>
    <t>153.69</t>
  </si>
  <si>
    <t>12.210621</t>
  </si>
  <si>
    <t>109.043478</t>
  </si>
  <si>
    <t>2808.86</t>
  </si>
  <si>
    <t>12.244787</t>
  </si>
  <si>
    <t>109.026172</t>
  </si>
  <si>
    <t>full_h04/Khánh Hòa/Thu thập EVN_Khánh Hòa/Route_Cấp 4/KH_RING 10/3.CA Suối Dầu - CA Diên Thọ_Đoạn cột trung thế/3.CA Suối Dầu - CA Diên Thọ_Đoạn cột trung thế</t>
  </si>
  <si>
    <t>KHNT1R-CATP Nha trang cũ</t>
  </si>
  <si>
    <t>12.23172001</t>
  </si>
  <si>
    <t>109.1959501</t>
  </si>
  <si>
    <t>FO thuê#CMC#KHNT1R-KHNT83</t>
  </si>
  <si>
    <t>1.CAT Khánh Hòa - Diên Khánh</t>
  </si>
  <si>
    <t>496.07</t>
  </si>
  <si>
    <t>12.14</t>
  </si>
  <si>
    <t>12.231815</t>
  </si>
  <si>
    <t>109.196006</t>
  </si>
  <si>
    <t>483.94</t>
  </si>
  <si>
    <t>12.243709</t>
  </si>
  <si>
    <t>109.185958</t>
  </si>
  <si>
    <t>full_h04/Khánh Hòa/Thu thập EVN_Khánh Hòa/Route_Cấp 3/KH_RING 1/1.CAT Khánh Hòa - Diên Khánh/CAT Khánh Hòa - Diên Khánh_Đoạn cột trung thế_1</t>
  </si>
  <si>
    <t>KHNT56-PC07</t>
  </si>
  <si>
    <t>12.2193301</t>
  </si>
  <si>
    <t>109.1953001</t>
  </si>
  <si>
    <t>FO thuê#CMC#KHNT56-KHNT90</t>
  </si>
  <si>
    <t>522333.64</t>
  </si>
  <si>
    <t>269749.44</t>
  </si>
  <si>
    <t>KHNT26-PA06 cs2</t>
  </si>
  <si>
    <t>FO thuê#CMC#KHNT26-KHNT55</t>
  </si>
  <si>
    <t>223.17</t>
  </si>
  <si>
    <t>172.01</t>
  </si>
  <si>
    <t>12.235105</t>
  </si>
  <si>
    <t>109.183856</t>
  </si>
  <si>
    <t>KHNT62-PK02 cs1</t>
  </si>
  <si>
    <t>12.26788503</t>
  </si>
  <si>
    <t>109.1721217</t>
  </si>
  <si>
    <t>FO thuê#CMC#KHNT62-KHNT94</t>
  </si>
  <si>
    <t>2.PK02 cs1 - Trung đoàn CSCĐ-E23_Cột trung thế</t>
  </si>
  <si>
    <t>1458.25</t>
  </si>
  <si>
    <t>1453.51</t>
  </si>
  <si>
    <t>12.279755</t>
  </si>
  <si>
    <t>109.177725</t>
  </si>
  <si>
    <t>4.75</t>
  </si>
  <si>
    <t>109.188860</t>
  </si>
  <si>
    <t>full_h04/Khánh Hòa/Thu thập EVN_Khánh Hòa/Route_Cấp 3/KH_RING 6/2.PK02 cs1 - Trung đoàn CSCĐ-E23_Cột trung thế/2.PK02 cs1 - Trung đoàn CSCĐ-E23_Cột trung thế</t>
  </si>
  <si>
    <t>Diên Khánh-Diên Điền</t>
  </si>
  <si>
    <t>FO thuê#CMC#KHDKMA01-KHDK08</t>
  </si>
  <si>
    <t>9.11</t>
  </si>
  <si>
    <t>3.67</t>
  </si>
  <si>
    <t>12.256280</t>
  </si>
  <si>
    <t>109.094073</t>
  </si>
  <si>
    <t>KHNT07-Bắc Nha Trang</t>
  </si>
  <si>
    <t>FO thuê#CMC#KHNT07-KHNT88</t>
  </si>
  <si>
    <t>221.26</t>
  </si>
  <si>
    <t>220.38</t>
  </si>
  <si>
    <t>12.303599</t>
  </si>
  <si>
    <t>109.168863</t>
  </si>
  <si>
    <t>KHCL35-Cam Lâm</t>
  </si>
  <si>
    <t>12.07766301</t>
  </si>
  <si>
    <t>109.192146</t>
  </si>
  <si>
    <t>FO thuê#CMC#KHCL35-KHCLMA01</t>
  </si>
  <si>
    <t>888.04</t>
  </si>
  <si>
    <t>886.00</t>
  </si>
  <si>
    <t>12.083787</t>
  </si>
  <si>
    <t>109.186933</t>
  </si>
  <si>
    <t>KHNH52-Đông Ninh Hòa</t>
  </si>
  <si>
    <t>12.57941</t>
  </si>
  <si>
    <t>109.22298</t>
  </si>
  <si>
    <t>12.55549</t>
  </si>
  <si>
    <t>109.2176</t>
  </si>
  <si>
    <t>FO thuê#CMC#KHNH52-KHNH32</t>
  </si>
  <si>
    <t>2.CA Đông Ninh Hòa - CA Bắc Ninh Hòa</t>
  </si>
  <si>
    <t>1861.74</t>
  </si>
  <si>
    <t>1857.48</t>
  </si>
  <si>
    <t>12.566857</t>
  </si>
  <si>
    <t>109.211688</t>
  </si>
  <si>
    <t>4.26</t>
  </si>
  <si>
    <t>12.555453</t>
  </si>
  <si>
    <t>109.217609</t>
  </si>
  <si>
    <t>full_h04/Khánh Hòa/Thu thập EVN_Khánh Hòa/Route_Cấp 4/KH_RING 4/2.CA Đông Ninh Hòa - CA Bắc Ninh Hòa/CA Đông Ninh Hòa - CA Bắc Ninh Hòa_Đoạn cột trung thế_1</t>
  </si>
  <si>
    <t>KHNT59-Nam Nha Trang</t>
  </si>
  <si>
    <t>12.2116</t>
  </si>
  <si>
    <t>109.1942</t>
  </si>
  <si>
    <t>FO thuê#CMC#KHNT59-KHNT72</t>
  </si>
  <si>
    <t>72.99</t>
  </si>
  <si>
    <t>42.66</t>
  </si>
  <si>
    <t>12.210644</t>
  </si>
  <si>
    <t>109.188384</t>
  </si>
  <si>
    <t>30.33</t>
  </si>
  <si>
    <t>12.211372</t>
  </si>
  <si>
    <t>109.194048</t>
  </si>
  <si>
    <t>KHNT56-PC02</t>
  </si>
  <si>
    <t>12.21899</t>
  </si>
  <si>
    <t>109.2043</t>
  </si>
  <si>
    <t>FO thuê#CMC#KHNT56-KHNT4D</t>
  </si>
  <si>
    <t>398.11</t>
  </si>
  <si>
    <t>394.50</t>
  </si>
  <si>
    <t>12.216838</t>
  </si>
  <si>
    <t>109.197884</t>
  </si>
  <si>
    <t>12.219013</t>
  </si>
  <si>
    <t>109.204276</t>
  </si>
  <si>
    <t>KHNT07-Trung đoàn CSCĐ-E23</t>
  </si>
  <si>
    <t>12.28833</t>
  </si>
  <si>
    <t>109.1638</t>
  </si>
  <si>
    <t>FO thuê#CMC#KHNT07-KHNT78</t>
  </si>
  <si>
    <t>3.Trung đoàn CSCĐ-E23 - PK02 cs2</t>
  </si>
  <si>
    <t>234.56</t>
  </si>
  <si>
    <t>214.35</t>
  </si>
  <si>
    <t>12.303977</t>
  </si>
  <si>
    <t>109.169534</t>
  </si>
  <si>
    <t>20.21</t>
  </si>
  <si>
    <t>12.288512</t>
  </si>
  <si>
    <t>109.163809</t>
  </si>
  <si>
    <t>full_h04/Khánh Hòa/Thu thập EVN_Khánh Hòa/Route_Cấp 3/KH_RING 6/3.Trung đoàn CSCĐ-E23 - PK02 cs2/Trung đoàn CSCĐ-E23 - PK02 cs2_Đoạn cột trung thế</t>
  </si>
  <si>
    <t>KHNT32-PC08 (CSGT đường thủy)</t>
  </si>
  <si>
    <t>12.20906401</t>
  </si>
  <si>
    <t>109.201835</t>
  </si>
  <si>
    <t>FO thuê#CMC#KHNT32-KHNT42</t>
  </si>
  <si>
    <t>1589.27</t>
  </si>
  <si>
    <t>1022.44</t>
  </si>
  <si>
    <t>12.214154</t>
  </si>
  <si>
    <t>109.209670</t>
  </si>
  <si>
    <t>KHCR49-Cam Phước Đông</t>
  </si>
  <si>
    <t>FO thuê#CMC#KHCR49-KHCR47</t>
  </si>
  <si>
    <t>302.27</t>
  </si>
  <si>
    <t>202.27</t>
  </si>
  <si>
    <t>11.920372</t>
  </si>
  <si>
    <t>109.144260</t>
  </si>
  <si>
    <t>KHCR14-Cam An</t>
  </si>
  <si>
    <t>FO thuê#CMC#KHCR14-KHCR27</t>
  </si>
  <si>
    <t>888.36</t>
  </si>
  <si>
    <t>753.84</t>
  </si>
  <si>
    <t>11.912904</t>
  </si>
  <si>
    <t>109.133286</t>
  </si>
  <si>
    <t>KHCR50-Cam Ranh</t>
  </si>
  <si>
    <t>11.9188041</t>
  </si>
  <si>
    <t>109.1602275</t>
  </si>
  <si>
    <t>FO thuê#CMC#KHCR50-KHCR52</t>
  </si>
  <si>
    <t>568.55</t>
  </si>
  <si>
    <t>254.67</t>
  </si>
  <si>
    <t>PC11a-KHNT24</t>
  </si>
  <si>
    <t>FO DT#MBF#KHNTMA01-KHNT24</t>
  </si>
  <si>
    <t>2190.43</t>
  </si>
  <si>
    <t>2181.24</t>
  </si>
  <si>
    <t>Cam Lâm-KHNT24</t>
  </si>
  <si>
    <t>FO DT#MBF#KHCLMA01-KHNT24</t>
  </si>
  <si>
    <t>3852.34</t>
  </si>
  <si>
    <t>3850.30</t>
  </si>
  <si>
    <t>12.219301</t>
  </si>
  <si>
    <t>109.204751</t>
  </si>
  <si>
    <t>Tây Ninh Hòa-Vạn Ninh</t>
  </si>
  <si>
    <t>FO DT#MBF#KHNH06-KHVN04</t>
  </si>
  <si>
    <t>4.Ninh Hòa - Vạn Ninh</t>
  </si>
  <si>
    <t>14774.74</t>
  </si>
  <si>
    <t>14507.25</t>
  </si>
  <si>
    <t>12.509475</t>
  </si>
  <si>
    <t>109.137231</t>
  </si>
  <si>
    <t>267.49</t>
  </si>
  <si>
    <t>12.689125</t>
  </si>
  <si>
    <t>109.219101</t>
  </si>
  <si>
    <t>full_h04/Khánh Hòa/Thu thập EVN_Khánh Hòa/Route_Cấp 3/KH_RING 1/4.Ninh Hòa - Vạn Ninh/Ninh Hòa - Vạn Ninh_Đoạn cột trung thế</t>
  </si>
  <si>
    <t>Vạn Ninh-KHVN23</t>
  </si>
  <si>
    <t>12.64482</t>
  </si>
  <si>
    <t>109.19394</t>
  </si>
  <si>
    <t>FO DT#MBF#KHVN04-KHVN23</t>
  </si>
  <si>
    <t>368.28</t>
  </si>
  <si>
    <t>267.48</t>
  </si>
  <si>
    <t>12.689116</t>
  </si>
  <si>
    <t>109.219109</t>
  </si>
  <si>
    <t>100.80</t>
  </si>
  <si>
    <t>12.644480</t>
  </si>
  <si>
    <t>109.194801</t>
  </si>
  <si>
    <t>full_h04/Khánh Hòa/Thu thập EVN_Khánh Hòa/Route_Cấp 4/KH_RING 4/4.CA Vạn Hưng - CA Vạn Ninh/4CA Vạn Hưng - CA Vạn Ninh_Đoạn cột trung thế</t>
  </si>
  <si>
    <t>Ninh Hòa-KHNT24</t>
  </si>
  <si>
    <t>FO DT#MBF#KHNH54-KHNT24</t>
  </si>
  <si>
    <t>5.Vạn Ninh - CAT Khánh Hòa</t>
  </si>
  <si>
    <t>2205.54</t>
  </si>
  <si>
    <t>693.41</t>
  </si>
  <si>
    <t>12.504055</t>
  </si>
  <si>
    <t>109.140149</t>
  </si>
  <si>
    <t>1512.13</t>
  </si>
  <si>
    <t>12.265585</t>
  </si>
  <si>
    <t>109.196157</t>
  </si>
  <si>
    <t>full_h04/Khánh Hòa/Thu thập EVN_Khánh Hòa/Route_Cấp 3/KH_RING 1/5.Vạn Ninh - CAT Khánh Hòa/Vạn Ninh - CAT Khánh Hòa_Đoạn cột trung thế_3</t>
  </si>
  <si>
    <t>Tây Ninh Hòa-Ninh Hòa</t>
  </si>
  <si>
    <t>FO DT#MBF#KHNH06-KHNH54</t>
  </si>
  <si>
    <t>7029.57</t>
  </si>
  <si>
    <t>7024.98</t>
  </si>
  <si>
    <t>12.507222</t>
  </si>
  <si>
    <t>109.072838</t>
  </si>
  <si>
    <t>Diên Lâm-PC11a</t>
  </si>
  <si>
    <t>FO DT#MBF#KHDK25-KHNTMA01</t>
  </si>
  <si>
    <t>4.CA Diên Thọ - CA Diên Khánh</t>
  </si>
  <si>
    <t>13250.83</t>
  </si>
  <si>
    <t>748.20</t>
  </si>
  <si>
    <t>12.262793</t>
  </si>
  <si>
    <t>109.035959</t>
  </si>
  <si>
    <t>12502.63</t>
  </si>
  <si>
    <t>12.248526</t>
  </si>
  <si>
    <t>109.086050</t>
  </si>
  <si>
    <t>full_h04/Khánh Hòa/Thu thập EVN_Khánh Hòa/Route_Cấp 4/KH_RING 10/4.CA Diên Thọ - CA Diên Khánh/4.CA Diên Thọ - CA Diên Khánh_Đoạn cột trung thế</t>
  </si>
  <si>
    <t>Cam Ranh-Bắc Cam Ranh</t>
  </si>
  <si>
    <t>FO DT#MBF#KHCR52-KHCR02</t>
  </si>
  <si>
    <t>445.58</t>
  </si>
  <si>
    <t>320.16</t>
  </si>
  <si>
    <t>11.923038</t>
  </si>
  <si>
    <t>109.165192</t>
  </si>
  <si>
    <t>Bắc Cam Ranh-Cam Lâm</t>
  </si>
  <si>
    <t>FO DT#MBF#KHCR02-KHCLMA01</t>
  </si>
  <si>
    <t>680.22</t>
  </si>
  <si>
    <t>Tây Ninh Hòa-KHNH14</t>
  </si>
  <si>
    <t>12.45989</t>
  </si>
  <si>
    <t>109.08108</t>
  </si>
  <si>
    <t>FO DT#MBF#KHNH06-KHNH14</t>
  </si>
  <si>
    <t>5343.16</t>
  </si>
  <si>
    <t>5338.57</t>
  </si>
  <si>
    <t>Hòa Thắng-Ninh Hòa</t>
  </si>
  <si>
    <t>FO DT#MBF#KHNH10-KHNH54</t>
  </si>
  <si>
    <t>5.79</t>
  </si>
  <si>
    <t>3.02</t>
  </si>
  <si>
    <t>12.480164</t>
  </si>
  <si>
    <t>109.132472</t>
  </si>
  <si>
    <t>Tây Ninh Hòa-KHNH09</t>
  </si>
  <si>
    <t>12.50179</t>
  </si>
  <si>
    <t>109.07819</t>
  </si>
  <si>
    <t>FO DT#MBF#KHNH06-KHNH09</t>
  </si>
  <si>
    <t>842.66</t>
  </si>
  <si>
    <t>838.08</t>
  </si>
  <si>
    <t>Ninh Hòa-KHNH04</t>
  </si>
  <si>
    <t>12.42114</t>
  </si>
  <si>
    <t>109.14842</t>
  </si>
  <si>
    <t>FO DT#MBF#KHNH54-KHNH04</t>
  </si>
  <si>
    <t>1136.94</t>
  </si>
  <si>
    <t>443.53</t>
  </si>
  <si>
    <t>12.420916</t>
  </si>
  <si>
    <t>109.144342</t>
  </si>
  <si>
    <t>PK02 cs2-KHNT24</t>
  </si>
  <si>
    <t>12.33893</t>
  </si>
  <si>
    <t>109.1952</t>
  </si>
  <si>
    <t>FO DT#MBF#KHNT13-KHNT24</t>
  </si>
  <si>
    <t>1629.35</t>
  </si>
  <si>
    <t>117.23</t>
  </si>
  <si>
    <t>12.338985</t>
  </si>
  <si>
    <t>109.194122</t>
  </si>
  <si>
    <t>Tây Ninh Hòa-KHNH44</t>
  </si>
  <si>
    <t>12.52466</t>
  </si>
  <si>
    <t>109.10231</t>
  </si>
  <si>
    <t>FO DT#MBF#KHNH06-KHNH44</t>
  </si>
  <si>
    <t>3745.62</t>
  </si>
  <si>
    <t>3741.03</t>
  </si>
  <si>
    <t>Tân Định-Ninh Hòa</t>
  </si>
  <si>
    <t>FO DT#MBF#KHNH12-KHNH54</t>
  </si>
  <si>
    <t>1612.06</t>
  </si>
  <si>
    <t>1230.07</t>
  </si>
  <si>
    <t>12.499728</t>
  </si>
  <si>
    <t>109.132660</t>
  </si>
  <si>
    <t>Vạn Ninh-KHVN41</t>
  </si>
  <si>
    <t>12.73268</t>
  </si>
  <si>
    <t>109.27022</t>
  </si>
  <si>
    <t>FO DT#MBF#KHVN04-KHVN41</t>
  </si>
  <si>
    <t>1164.23</t>
  </si>
  <si>
    <t>677.21</t>
  </si>
  <si>
    <t>12.731598</t>
  </si>
  <si>
    <t>109.264076</t>
  </si>
  <si>
    <t>Tu Bông-Đại Lãnh</t>
  </si>
  <si>
    <t>12.77881</t>
  </si>
  <si>
    <t>109.3127</t>
  </si>
  <si>
    <t>12.80321</t>
  </si>
  <si>
    <t>109.3338</t>
  </si>
  <si>
    <t>FO DT#MBF#KHVN03-KHVN55</t>
  </si>
  <si>
    <t>3.CA Tu Bông - CA Đại Lãnh_Cột trung thế</t>
  </si>
  <si>
    <t>8.64</t>
  </si>
  <si>
    <t>2.08</t>
  </si>
  <si>
    <t>12.778815</t>
  </si>
  <si>
    <t>109.312718</t>
  </si>
  <si>
    <t>6.55</t>
  </si>
  <si>
    <t>12.803207</t>
  </si>
  <si>
    <t>109.333740</t>
  </si>
  <si>
    <t>full_h04/Khánh Hòa/Thu thập EVN_Khánh Hòa/Route_Cấp 4/KH_RING 7/3.CA Tu Bông - CA Đại Lãnh_Cột trung thế/3.CA Tu Bông - CA Đại Lãnh_Cột trung thế</t>
  </si>
  <si>
    <t>Đại Lãnh-KHVN23</t>
  </si>
  <si>
    <t>FO DT#MBF#KHVN55-KHVN23</t>
  </si>
  <si>
    <t>5977.23</t>
  </si>
  <si>
    <t>6.73</t>
  </si>
  <si>
    <t>12.803200</t>
  </si>
  <si>
    <t>109.333739</t>
  </si>
  <si>
    <t>5970.50</t>
  </si>
  <si>
    <t>Vạn Ninh-KHVN29</t>
  </si>
  <si>
    <t>12.69361</t>
  </si>
  <si>
    <t>109.22722</t>
  </si>
  <si>
    <t>FO DT#MBF#KHVN04-KHVN29</t>
  </si>
  <si>
    <t>499.96</t>
  </si>
  <si>
    <t>496.38</t>
  </si>
  <si>
    <t>12.697971</t>
  </si>
  <si>
    <t>109.226242</t>
  </si>
  <si>
    <t>Đông Ninh Hòa-KHNH02</t>
  </si>
  <si>
    <t>12.54233</t>
  </si>
  <si>
    <t>109.22581</t>
  </si>
  <si>
    <t>FO DT#MBF#KHNH32-KHNH02</t>
  </si>
  <si>
    <t>1.CA Ninh Hòa - CA Đông Ninh Hòa_Đoạn cột trung thế</t>
  </si>
  <si>
    <t>1157.51</t>
  </si>
  <si>
    <t>5.23</t>
  </si>
  <si>
    <t>12.555443</t>
  </si>
  <si>
    <t>109.217606</t>
  </si>
  <si>
    <t>1152.28</t>
  </si>
  <si>
    <t>12.543041</t>
  </si>
  <si>
    <t>109.215219</t>
  </si>
  <si>
    <t>full_h04/Khánh Hòa/Thu thập EVN_Khánh Hòa/Route_Cấp 4/KH_RING 4/1.CA Ninh Hòa - CA Đông Ninh Hòa_Đoạn cột trung thế/1.CA Ninh Hòa - CA Đông Ninh Hòa_Đoạn cột trung thế</t>
  </si>
  <si>
    <t>Trạm CSGT Ninh An cũ-KHNH19</t>
  </si>
  <si>
    <t>12.53169</t>
  </si>
  <si>
    <t>109.1604</t>
  </si>
  <si>
    <t>12.5036001</t>
  </si>
  <si>
    <t>109.1399001</t>
  </si>
  <si>
    <t>FO DT#MBF#KHNH20-KHNH19</t>
  </si>
  <si>
    <t>742.02</t>
  </si>
  <si>
    <t>467.73</t>
  </si>
  <si>
    <t>12.533543</t>
  </si>
  <si>
    <t>109.164268</t>
  </si>
  <si>
    <t>274.29</t>
  </si>
  <si>
    <t>12.505213</t>
  </si>
  <si>
    <t>109.141811</t>
  </si>
  <si>
    <t>Diên Khánh-Diên Lâm</t>
  </si>
  <si>
    <t>FO DT#MBF#KHDKMA01-KHDK25</t>
  </si>
  <si>
    <t>1566.48</t>
  </si>
  <si>
    <t>818.28</t>
  </si>
  <si>
    <t>12.255680</t>
  </si>
  <si>
    <t>109.086596</t>
  </si>
  <si>
    <t>Diên Khánh-Tây Ninh Hòa</t>
  </si>
  <si>
    <t>FO DT#MBF#KHDKMA01-KHNH06</t>
  </si>
  <si>
    <t>25735.56</t>
  </si>
  <si>
    <t>10890.65</t>
  </si>
  <si>
    <t>12.292957</t>
  </si>
  <si>
    <t>109.187048</t>
  </si>
  <si>
    <t>14844.91</t>
  </si>
  <si>
    <t>12.501725</t>
  </si>
  <si>
    <t>109.138258</t>
  </si>
  <si>
    <t>KHVN13-Ninh Hòa</t>
  </si>
  <si>
    <t>12.63042</t>
  </si>
  <si>
    <t>109.18631</t>
  </si>
  <si>
    <t>FO DT#MBF#KHVN13-KHNH54</t>
  </si>
  <si>
    <t>115.80</t>
  </si>
  <si>
    <t>110.58</t>
  </si>
  <si>
    <t>12.630297</t>
  </si>
  <si>
    <t>109.187321</t>
  </si>
  <si>
    <t>5.22</t>
  </si>
  <si>
    <t>12.509763</t>
  </si>
  <si>
    <t>109.137465</t>
  </si>
  <si>
    <t>KHCL47-Cam Ranh</t>
  </si>
  <si>
    <t>FO DT#MBF#KHCL47-KHCR52</t>
  </si>
  <si>
    <t>415.75</t>
  </si>
  <si>
    <t>98.97</t>
  </si>
  <si>
    <t>12.063228</t>
  </si>
  <si>
    <t>109.159191</t>
  </si>
  <si>
    <t>316.78</t>
  </si>
  <si>
    <t>11.923064</t>
  </si>
  <si>
    <t>109.165175</t>
  </si>
  <si>
    <t>KHNH14-Hòa Thắng</t>
  </si>
  <si>
    <t>FO DT#MBF#KHNH14-KHNH10</t>
  </si>
  <si>
    <t>3.Khánh Vĩnh - Ninh Hòa</t>
  </si>
  <si>
    <t>2680.86</t>
  </si>
  <si>
    <t>230.10</t>
  </si>
  <si>
    <t>12.461582</t>
  </si>
  <si>
    <t>109.082300</t>
  </si>
  <si>
    <t>2450.76</t>
  </si>
  <si>
    <t>12.476619</t>
  </si>
  <si>
    <t>109.110220</t>
  </si>
  <si>
    <t>full_h04/Khánh Hòa/Thu thập EVN_Khánh Hòa/Route_Cấp 3/KH_RING 1/3.Khánh Vĩnh - Ninh Hòa/Khánh Vĩnh - Ninh Hòa_Đoạn cột trung thế_4</t>
  </si>
  <si>
    <t>KHNH09-Ninh Hòa</t>
  </si>
  <si>
    <t>FO DT#MBF#KHNH09-KHNH54</t>
  </si>
  <si>
    <t>4207.79</t>
  </si>
  <si>
    <t>442.39</t>
  </si>
  <si>
    <t>12.505764</t>
  </si>
  <si>
    <t>109.078005</t>
  </si>
  <si>
    <t>3765.40</t>
  </si>
  <si>
    <t>12.502251</t>
  </si>
  <si>
    <t>109.103671</t>
  </si>
  <si>
    <t>full_h04/Khánh Hòa/Thu thập EVN_Khánh Hòa/Route_Cấp 4/KH_RING 6/2.CA Nam Ninh Hòa - CA Tây Ninh Hòa/CA Nam Ninh Hòa - CA Tây Ninh Hòa_Đoạn cột trung thế_1</t>
  </si>
  <si>
    <t>KHNH04-PK02 cs2</t>
  </si>
  <si>
    <t>FO DT#MBF#KHNH04-KHNT13</t>
  </si>
  <si>
    <t>560.76</t>
  </si>
  <si>
    <t>KHNH44-Tân Định</t>
  </si>
  <si>
    <t>FO DT#MBF#KHNH44-KHNH12</t>
  </si>
  <si>
    <t>3462.89</t>
  </si>
  <si>
    <t>2181.61</t>
  </si>
  <si>
    <t>12.505404</t>
  </si>
  <si>
    <t>109.098456</t>
  </si>
  <si>
    <t>1281.28</t>
  </si>
  <si>
    <t>12.495311</t>
  </si>
  <si>
    <t>109.103539</t>
  </si>
  <si>
    <t>KHVN41-Tu Bông</t>
  </si>
  <si>
    <t>FO DT#MBF#KHVN41-KHVN03</t>
  </si>
  <si>
    <t>2.CA Vạn Thắng - CA Tu Bông_Cột trung thế</t>
  </si>
  <si>
    <t>289.90</t>
  </si>
  <si>
    <t>289.55</t>
  </si>
  <si>
    <t>12.730185</t>
  </si>
  <si>
    <t>109.269456</t>
  </si>
  <si>
    <t>0.35</t>
  </si>
  <si>
    <t>12.778810</t>
  </si>
  <si>
    <t>109.312703</t>
  </si>
  <si>
    <t>full_h04/Khánh Hòa/Thu thập EVN_Khánh Hòa/Route_Cấp 4/KH_RING 7/2.CA Vạn Thắng - CA Tu Bông_Cột trung thế/2.CA Vạn Thắng - CA Tu Bông_Cột trung thế</t>
  </si>
  <si>
    <t>KHVN13-Đông Ninh Hòa</t>
  </si>
  <si>
    <t>FO DT#MBF#KHVN13-KHNH32</t>
  </si>
  <si>
    <t>4221.33</t>
  </si>
  <si>
    <t>4110.75</t>
  </si>
  <si>
    <t>12.534793</t>
  </si>
  <si>
    <t>109.186219</t>
  </si>
  <si>
    <t>KHNH55-Ninh Hòa</t>
  </si>
  <si>
    <t>12.48969</t>
  </si>
  <si>
    <t>109.15228</t>
  </si>
  <si>
    <t>FO DT#MBF#KHNH55-KHNH54</t>
  </si>
  <si>
    <t>1353.25</t>
  </si>
  <si>
    <t>1350.48</t>
  </si>
  <si>
    <t>12.492353</t>
  </si>
  <si>
    <t>109.140143</t>
  </si>
  <si>
    <t>KHNH76-Trạm CSGT Ninh An cũ</t>
  </si>
  <si>
    <t>12.56596</t>
  </si>
  <si>
    <t>109.17084</t>
  </si>
  <si>
    <t>FO DT#MBF#KHNH76-KHNH20</t>
  </si>
  <si>
    <t>1120.59</t>
  </si>
  <si>
    <t>152.65</t>
  </si>
  <si>
    <t>12.564939</t>
  </si>
  <si>
    <t>109.171781</t>
  </si>
  <si>
    <t>967.94</t>
  </si>
  <si>
    <t>12.525967</t>
  </si>
  <si>
    <t>109.167119</t>
  </si>
  <si>
    <t>KHNH19-Ninh Hòa</t>
  </si>
  <si>
    <t>FO DT#MBF#KHNH19-KHNH54</t>
  </si>
  <si>
    <t>1.CA Ninh Hòa - CA Nam Ninh Hòa_Cột trung thế</t>
  </si>
  <si>
    <t>29.24</t>
  </si>
  <si>
    <t>24.35</t>
  </si>
  <si>
    <t>12.503812</t>
  </si>
  <si>
    <t>109.139841</t>
  </si>
  <si>
    <t>4.88</t>
  </si>
  <si>
    <t>12.509730</t>
  </si>
  <si>
    <t>109.137455</t>
  </si>
  <si>
    <t>full_h04/Khánh Hòa/Thu thập EVN_Khánh Hòa/Route_Cấp 4/KH_RING 6/1.CA Ninh Hòa - CA Nam Ninh Hòa_Cột trung thế/1.CA Ninh Hòa - CA Nam Ninh Hòa_Cột trung thế</t>
  </si>
  <si>
    <t>Diên Khánh-KHDK15</t>
  </si>
  <si>
    <t>12.27</t>
  </si>
  <si>
    <t>109.0894</t>
  </si>
  <si>
    <t>FO thuê#CMC#KHDKMA01-KHDK15</t>
  </si>
  <si>
    <t>1314.82</t>
  </si>
  <si>
    <t>1301.73</t>
  </si>
  <si>
    <t>12.259256</t>
  </si>
  <si>
    <t>109.084643</t>
  </si>
  <si>
    <t>Diên Khánh-KHNT1M</t>
  </si>
  <si>
    <t>12.25463</t>
  </si>
  <si>
    <t>109.13705</t>
  </si>
  <si>
    <t>FO thuê#CMC#KHDKMA01-KHNT1M</t>
  </si>
  <si>
    <t>1953.90</t>
  </si>
  <si>
    <t>1446.96</t>
  </si>
  <si>
    <t>12.257196</t>
  </si>
  <si>
    <t>109.107385</t>
  </si>
  <si>
    <t>506.95</t>
  </si>
  <si>
    <t>12.257274</t>
  </si>
  <si>
    <t>109.140851</t>
  </si>
  <si>
    <t>full_h04/Khánh Hòa/Thu thập EVN_Khánh Hòa/Route_Cấp 3/KH_RING 4/3. Trại giam A2 - CATP Nha trang cũ/Trại giam A2 - CATP Nha trang cũ_Đoạn cột trung thế_7</t>
  </si>
  <si>
    <t>Diên Khánh-KHNT62</t>
  </si>
  <si>
    <t>12.26789</t>
  </si>
  <si>
    <t>109.17212</t>
  </si>
  <si>
    <t>FO thuê#CMC#KHDKMA01-KHNT62</t>
  </si>
  <si>
    <t>2948.96</t>
  </si>
  <si>
    <t>1446.62</t>
  </si>
  <si>
    <t>12.257207</t>
  </si>
  <si>
    <t>109.107381</t>
  </si>
  <si>
    <t>1502.34</t>
  </si>
  <si>
    <t>12.255112</t>
  </si>
  <si>
    <t>109.167627</t>
  </si>
  <si>
    <t>full_h04/Khánh Hòa/Thu thập EVN_Khánh Hòa/Route_Cấp 4/KH_RING 1/4.CA Tây Nha Trang - TTCMKV Diên Khánh/CA Tây Nha Trang - TTCMKV Diên Khánh_Đoạn cột trung thế_2</t>
  </si>
  <si>
    <t>Diên Khánh-KHDK26</t>
  </si>
  <si>
    <t>12.26733</t>
  </si>
  <si>
    <t>109.10723</t>
  </si>
  <si>
    <t>FO thuê#CMC#KHDKMA01-KHDK26</t>
  </si>
  <si>
    <t>152.37</t>
  </si>
  <si>
    <t>148.70</t>
  </si>
  <si>
    <t>12.267650</t>
  </si>
  <si>
    <t>109.108559</t>
  </si>
  <si>
    <t>Diên Khánh-KHDK20</t>
  </si>
  <si>
    <t>12.25731</t>
  </si>
  <si>
    <t>109.10836</t>
  </si>
  <si>
    <t>FO thuê#CMC#KHDKMA01-KHDK20</t>
  </si>
  <si>
    <t>181.44</t>
  </si>
  <si>
    <t>177.77</t>
  </si>
  <si>
    <t>12.257208</t>
  </si>
  <si>
    <t>109.106727</t>
  </si>
  <si>
    <t>Diên Khánh-KHDK27</t>
  </si>
  <si>
    <t>12.26241</t>
  </si>
  <si>
    <t>109.12155</t>
  </si>
  <si>
    <t>FO thuê#CMC#KHDKMA01-KHDK27</t>
  </si>
  <si>
    <t>1447.06</t>
  </si>
  <si>
    <t>1443.39</t>
  </si>
  <si>
    <t>12.274564</t>
  </si>
  <si>
    <t>109.116886</t>
  </si>
  <si>
    <t>Diên Khánh-KHDK36</t>
  </si>
  <si>
    <t>12.24168</t>
  </si>
  <si>
    <t>109.11002</t>
  </si>
  <si>
    <t>FO thuê#CMC#KHDKMA01-KHDK36</t>
  </si>
  <si>
    <t>1737.99</t>
  </si>
  <si>
    <t>12.256322</t>
  </si>
  <si>
    <t>109.094061</t>
  </si>
  <si>
    <t>1733.11</t>
  </si>
  <si>
    <t>12.240461</t>
  </si>
  <si>
    <t>109.094120</t>
  </si>
  <si>
    <t>KHDK34-Diên Khánh</t>
  </si>
  <si>
    <t>12.25604</t>
  </si>
  <si>
    <t>109.11559</t>
  </si>
  <si>
    <t>FO thuê#VNPT#KHDK34-KHDKMA01</t>
  </si>
  <si>
    <t>969.56</t>
  </si>
  <si>
    <t>965.89</t>
  </si>
  <si>
    <t>12.258484</t>
  </si>
  <si>
    <t>109.107060</t>
  </si>
  <si>
    <t>KHDK40-Diên Khánh</t>
  </si>
  <si>
    <t>12.25364</t>
  </si>
  <si>
    <t>109.10362</t>
  </si>
  <si>
    <t>FO thuê#VNPT#KHDK40-KHDKMA01</t>
  </si>
  <si>
    <t>411.70</t>
  </si>
  <si>
    <t>408.03</t>
  </si>
  <si>
    <t>109.104496</t>
  </si>
  <si>
    <t>KHDK01-Diên Khánh</t>
  </si>
  <si>
    <t>12.25623</t>
  </si>
  <si>
    <t>109.09795</t>
  </si>
  <si>
    <t>FO thuê#VNPT#KHDK01-KHDKMA01</t>
  </si>
  <si>
    <t>63.19</t>
  </si>
  <si>
    <t>58.31</t>
  </si>
  <si>
    <t>12.256041</t>
  </si>
  <si>
    <t>109.097449</t>
  </si>
  <si>
    <t>KHCL23-Diên Khánh</t>
  </si>
  <si>
    <t>12.15371</t>
  </si>
  <si>
    <t>109.06725</t>
  </si>
  <si>
    <t>FO thuê#CMC#KHCL23-KHDKMA01</t>
  </si>
  <si>
    <t>7884.01</t>
  </si>
  <si>
    <t>7879.13</t>
  </si>
  <si>
    <t>Diên Khánh-KHNT24</t>
  </si>
  <si>
    <t>12.2522</t>
  </si>
  <si>
    <t>109.1937</t>
  </si>
  <si>
    <t>FO DT#MBF#KHDKMA01-KHNT24</t>
  </si>
  <si>
    <t>4298.22</t>
  </si>
  <si>
    <t>2851.61</t>
  </si>
  <si>
    <t>Diên Khánh-KHCL47</t>
  </si>
  <si>
    <t>FO DT#MBF#KHDKMA01-KHCL47</t>
  </si>
  <si>
    <t>11802.20</t>
  </si>
  <si>
    <t>10371.14</t>
  </si>
  <si>
    <t>12.164901</t>
  </si>
  <si>
    <t>109.075083</t>
  </si>
  <si>
    <t>1431.05</t>
  </si>
  <si>
    <t>12.073610</t>
  </si>
  <si>
    <t>109.152251</t>
  </si>
  <si>
    <t>Diên Khánh-KHDK14</t>
  </si>
  <si>
    <t>12.2489</t>
  </si>
  <si>
    <t>109.1027</t>
  </si>
  <si>
    <t>FO DT#MBF#KHDKMA01-KHDK14</t>
  </si>
  <si>
    <t>698.36</t>
  </si>
  <si>
    <t>693.48</t>
  </si>
  <si>
    <t>12.252197</t>
  </si>
  <si>
    <t>109.097283</t>
  </si>
  <si>
    <t>KHNT24-Diên Khánh</t>
  </si>
  <si>
    <t>FO DT#MBF#KHNT24-KHDKMA01</t>
  </si>
  <si>
    <t>PC08 csc-PA08</t>
  </si>
  <si>
    <t>FO DT#MBF#KHNT05-KHNT25</t>
  </si>
  <si>
    <t>515907.01</t>
  </si>
  <si>
    <t>266264.29</t>
  </si>
  <si>
    <t>PA08-PA06 cs2</t>
  </si>
  <si>
    <t>FO DT#MBF#KHNT25-KHNT55</t>
  </si>
  <si>
    <t>517162.81</t>
  </si>
  <si>
    <t>267520.09</t>
  </si>
  <si>
    <t>PA06 cs2-PC07</t>
  </si>
  <si>
    <t>FO DT#MBF#KHNT55-KHNT90</t>
  </si>
  <si>
    <t>520104.28</t>
  </si>
  <si>
    <t>PC07-CATP Nha trang cũ</t>
  </si>
  <si>
    <t>FO DT#MBF#KHNT90-KHNT83</t>
  </si>
  <si>
    <t>519374.19</t>
  </si>
  <si>
    <t>266790.00</t>
  </si>
  <si>
    <t>CATP Nha trang cũ-KHNT1R</t>
  </si>
  <si>
    <t>12.23172</t>
  </si>
  <si>
    <t>109.19595</t>
  </si>
  <si>
    <t>FO DT#MBF#KHNT83-KHNT1R</t>
  </si>
  <si>
    <t>496.08</t>
  </si>
  <si>
    <t>NTG Nha Trang cũ-KHNT53</t>
  </si>
  <si>
    <t>12.27243</t>
  </si>
  <si>
    <t>109.19829</t>
  </si>
  <si>
    <t>FO DT#MBF#KHNT79-KHNT53</t>
  </si>
  <si>
    <t>354.20</t>
  </si>
  <si>
    <t>147.72</t>
  </si>
  <si>
    <t>12.271109</t>
  </si>
  <si>
    <t>109.198149</t>
  </si>
  <si>
    <t>NTG Nha Trang cũ-KHNT99</t>
  </si>
  <si>
    <t>12.28407</t>
  </si>
  <si>
    <t>109.20241</t>
  </si>
  <si>
    <t>FO DT#MBF#KHNT79-KHNT99</t>
  </si>
  <si>
    <t>1122.72</t>
  </si>
  <si>
    <t>916.23</t>
  </si>
  <si>
    <t>Hòa Thắng-KHNH80</t>
  </si>
  <si>
    <t>12.47144</t>
  </si>
  <si>
    <t>109.10375</t>
  </si>
  <si>
    <t>FO DT#MBF#KHNH10-KHNH80</t>
  </si>
  <si>
    <t>2356.93</t>
  </si>
  <si>
    <t>2170.99</t>
  </si>
  <si>
    <t>12.464891</t>
  </si>
  <si>
    <t>109.122587</t>
  </si>
  <si>
    <t>Đông Ninh Hòa-KHNH78</t>
  </si>
  <si>
    <t>12.54987</t>
  </si>
  <si>
    <t>109.21542</t>
  </si>
  <si>
    <t>FO DT#MBF#KHNH32-KHNH78</t>
  </si>
  <si>
    <t>86.63</t>
  </si>
  <si>
    <t>81.41</t>
  </si>
  <si>
    <t>12.549190</t>
  </si>
  <si>
    <t>109.215142</t>
  </si>
  <si>
    <t>Tân Định-KHNH01</t>
  </si>
  <si>
    <t>12.49437</t>
  </si>
  <si>
    <t>109.13245</t>
  </si>
  <si>
    <t>FO DT#MBF#KHNH12-KHNH01</t>
  </si>
  <si>
    <t>435.85</t>
  </si>
  <si>
    <t>53.87</t>
  </si>
  <si>
    <t>12.494854</t>
  </si>
  <si>
    <t>109.132463</t>
  </si>
  <si>
    <t>Trạm CSGT Ninh An cũ-KHNH39</t>
  </si>
  <si>
    <t>12.53557</t>
  </si>
  <si>
    <t>109.18657</t>
  </si>
  <si>
    <t>FO DT#MBF#KHNH20-KHNH39</t>
  </si>
  <si>
    <t>1062.39</t>
  </si>
  <si>
    <t>94.45</t>
  </si>
  <si>
    <t>Tân Định-KHNH82</t>
  </si>
  <si>
    <t>12.50405</t>
  </si>
  <si>
    <t>109.10782</t>
  </si>
  <si>
    <t>FO DT#MBF#KHNH12-KHNH82</t>
  </si>
  <si>
    <t>1319.89</t>
  </si>
  <si>
    <t>937.90</t>
  </si>
  <si>
    <t>12.497920</t>
  </si>
  <si>
    <t>109.113754</t>
  </si>
  <si>
    <t>Trạm CSGT Ninh An cũ-KHNH33</t>
  </si>
  <si>
    <t>12.55275</t>
  </si>
  <si>
    <t>109.15134</t>
  </si>
  <si>
    <t>FO DT#MBF#KHNH20-KHNH33</t>
  </si>
  <si>
    <t>1826.66</t>
  </si>
  <si>
    <t>27.93</t>
  </si>
  <si>
    <t>12.531679</t>
  </si>
  <si>
    <t>109.160657</t>
  </si>
  <si>
    <t>1798.73</t>
  </si>
  <si>
    <t>12.541455</t>
  </si>
  <si>
    <t>109.163204</t>
  </si>
  <si>
    <t>full_h04/Khánh Hòa/Thu thập EVN_Khánh Hòa/Route_Cấp 3/KH_RING 1/5.Vạn Ninh - CAT Khánh Hòa/Vạn Ninh - CAT Khánh Hòa_Đoạn cột hạ thế_2</t>
  </si>
  <si>
    <t>Trạm CSGT Ninh An cũ-KHNH72</t>
  </si>
  <si>
    <t>12.51415</t>
  </si>
  <si>
    <t>109.15184</t>
  </si>
  <si>
    <t>FO DT#MBF#KHNH20-KHNH72</t>
  </si>
  <si>
    <t>285.31</t>
  </si>
  <si>
    <t>32.40</t>
  </si>
  <si>
    <t>12.531810</t>
  </si>
  <si>
    <t>109.160672</t>
  </si>
  <si>
    <t>252.91</t>
  </si>
  <si>
    <t>12.513339</t>
  </si>
  <si>
    <t>109.154017</t>
  </si>
  <si>
    <t>full_h04/Khánh Hòa/Thu thập EVN_Khánh Hòa/Route_Cấp 3/KH_RING 6/4.PK02 cs2 - Trạm CSGT Ninh An cũ/PK02 cs2 - Trạm CSGT Ninh An cũ_Đoạn cột hạ thế_2</t>
  </si>
  <si>
    <t>Đại Lãnh-KHVN02</t>
  </si>
  <si>
    <t>12.81172</t>
  </si>
  <si>
    <t>109.35932</t>
  </si>
  <si>
    <t>FO DT#MBF#KHVN55-KHVN02</t>
  </si>
  <si>
    <t>2886.35</t>
  </si>
  <si>
    <t>2879.80</t>
  </si>
  <si>
    <t>12.804639</t>
  </si>
  <si>
    <t>109.333773</t>
  </si>
  <si>
    <t>CATP Nha trang cũ-KHNT1W</t>
  </si>
  <si>
    <t>12.24261</t>
  </si>
  <si>
    <t>109.19261</t>
  </si>
  <si>
    <t>FO DT#MBF#KHNT83-KHNT1W</t>
  </si>
  <si>
    <t>210.89</t>
  </si>
  <si>
    <t>80.08</t>
  </si>
  <si>
    <t>Trung tâm Cai nghiện Khánh Bình-KHKV25</t>
  </si>
  <si>
    <t>12.40598</t>
  </si>
  <si>
    <t>108.9571</t>
  </si>
  <si>
    <t>12.38485</t>
  </si>
  <si>
    <t>108.95519</t>
  </si>
  <si>
    <t>FO DT#MBF#KHKV08-KHKV25</t>
  </si>
  <si>
    <t>Tuyến nhánh CA Bắc Khánh Vĩnh - Trung tâm Cai nghiện Khánh Bình_Cột trung thế</t>
  </si>
  <si>
    <t>92.02</t>
  </si>
  <si>
    <t>3.43</t>
  </si>
  <si>
    <t>12.405990</t>
  </si>
  <si>
    <t>108.957070</t>
  </si>
  <si>
    <t>88.59</t>
  </si>
  <si>
    <t>12.384286</t>
  </si>
  <si>
    <t>108.954614</t>
  </si>
  <si>
    <t>full_h04/Khánh Hòa/Thu thập EVN_Khánh Hòa/Route_Cấp 4/KH_RING 9/Tuyến nhánh CA Bắc Khánh Vĩnh - Trung tâm Cai nghiện Khánh Bình_Cột trung thế/Tuyến nhánh CA Bắc Khánh Vĩnh - Trung tâm Cai nghiện Khánh Bình_Cột trung thế</t>
  </si>
  <si>
    <t>Cảng HKQT Cam Ranh-KHCR88</t>
  </si>
  <si>
    <t>12.02698</t>
  </si>
  <si>
    <t>109.21712</t>
  </si>
  <si>
    <t>FO DT#MBF#KHCR10-KHCR88</t>
  </si>
  <si>
    <t>3004.62</t>
  </si>
  <si>
    <t>2999.45</t>
  </si>
  <si>
    <t>PC08 csc-KHNT7M</t>
  </si>
  <si>
    <t>12.25024</t>
  </si>
  <si>
    <t>109.17297</t>
  </si>
  <si>
    <t>FO DT#MBF#KHNT05-KHNT7M</t>
  </si>
  <si>
    <t>433.01</t>
  </si>
  <si>
    <t>352.39</t>
  </si>
  <si>
    <t>PC08 csc-KHNT24</t>
  </si>
  <si>
    <t>FO DT#MBF#KHNT05-KHNT24</t>
  </si>
  <si>
    <t>119.37</t>
  </si>
  <si>
    <t>12.249037</t>
  </si>
  <si>
    <t>109.184079</t>
  </si>
  <si>
    <t>Đại Lãnh-KHVN59</t>
  </si>
  <si>
    <t>12.82478</t>
  </si>
  <si>
    <t>109.35603</t>
  </si>
  <si>
    <t>FO DT#MBF#KHVN55-KHVN59</t>
  </si>
  <si>
    <t>3298.92</t>
  </si>
  <si>
    <t>3292.36</t>
  </si>
  <si>
    <t>PC08 (CSGT đường thủy)-Trạm điện 220 KVA_VINPEARL_ĐẤT LIỀN</t>
  </si>
  <si>
    <t>12.20279</t>
  </si>
  <si>
    <t>109.21487</t>
  </si>
  <si>
    <t>FO DT#MBF#KHNT42-Trạm điện 220 KVA_VINPEARL_ĐẤT LIỀN</t>
  </si>
  <si>
    <t>29.14</t>
  </si>
  <si>
    <t>3.80</t>
  </si>
  <si>
    <t>12.197634</t>
  </si>
  <si>
    <t>109.215698</t>
  </si>
  <si>
    <t>25.34</t>
  </si>
  <si>
    <t>12.202632</t>
  </si>
  <si>
    <t>109.215038</t>
  </si>
  <si>
    <t>full_h04/Khánh Hòa/Thu thập EVN_Khánh Hòa/Route_Cấp 3/KH_RING 5/Tuyến nhánh PC02 - PC08 (CSGT đường thủy)/PC02 - PC08 (CSGT đường thủy)_Đoạn ngầm</t>
  </si>
  <si>
    <t>KHNT01-PC08 csc</t>
  </si>
  <si>
    <t>12.2537</t>
  </si>
  <si>
    <t>109.1954</t>
  </si>
  <si>
    <t>FO DT#MBF#KHNT01-KHNT05</t>
  </si>
  <si>
    <t>131.11</t>
  </si>
  <si>
    <t>128.78</t>
  </si>
  <si>
    <t>12.253722</t>
  </si>
  <si>
    <t>109.194215</t>
  </si>
  <si>
    <t>KHCR62-Bắc Cam Ranh</t>
  </si>
  <si>
    <t>11.9939</t>
  </si>
  <si>
    <t>109.168</t>
  </si>
  <si>
    <t>FO DT#MBF#KHCR62-KHCR02</t>
  </si>
  <si>
    <t>801.16</t>
  </si>
  <si>
    <t>676.15</t>
  </si>
  <si>
    <t>11.987859</t>
  </si>
  <si>
    <t>109.168706</t>
  </si>
  <si>
    <t>KHNT3F-PC07</t>
  </si>
  <si>
    <t>12.22087</t>
  </si>
  <si>
    <t>109.20023</t>
  </si>
  <si>
    <t>FO DT#MBF#KHNT3F-KHNT90</t>
  </si>
  <si>
    <t>522437.58</t>
  </si>
  <si>
    <t>269853.38</t>
  </si>
  <si>
    <t>KHNT65-PC11a</t>
  </si>
  <si>
    <t>12.1815</t>
  </si>
  <si>
    <t>109.174</t>
  </si>
  <si>
    <t>FO DT#MBF#KHNT65-KHNTMA01</t>
  </si>
  <si>
    <t>119.50</t>
  </si>
  <si>
    <t>116.16</t>
  </si>
  <si>
    <t>12.181132</t>
  </si>
  <si>
    <t>109.173000</t>
  </si>
  <si>
    <t>KHNT34-PC11a</t>
  </si>
  <si>
    <t>12.17863</t>
  </si>
  <si>
    <t>109.18385</t>
  </si>
  <si>
    <t>FO DT#MBF#KHNT34-KHNTMA01</t>
  </si>
  <si>
    <t>1039.93</t>
  </si>
  <si>
    <t>903.85</t>
  </si>
  <si>
    <t>12.173728</t>
  </si>
  <si>
    <t>109.177217</t>
  </si>
  <si>
    <t>KHNT11-PC11a</t>
  </si>
  <si>
    <t>12.19157</t>
  </si>
  <si>
    <t>109.16812</t>
  </si>
  <si>
    <t>FO DT#MBF#KHNT11-KHNTMA01</t>
  </si>
  <si>
    <t>318.50</t>
  </si>
  <si>
    <t>315.15</t>
  </si>
  <si>
    <t>12.190373</t>
  </si>
  <si>
    <t>109.170748</t>
  </si>
  <si>
    <t>KHNT93-PC08 csc</t>
  </si>
  <si>
    <t>12.25242</t>
  </si>
  <si>
    <t>109.18285</t>
  </si>
  <si>
    <t>FO DT#MBF#KHNT93-KHNT05</t>
  </si>
  <si>
    <t>198.19</t>
  </si>
  <si>
    <t>7.17</t>
  </si>
  <si>
    <t>12.252446</t>
  </si>
  <si>
    <t>109.182911</t>
  </si>
  <si>
    <t>KHNT67-Nhà nghỉ dưỡng 378 BCA</t>
  </si>
  <si>
    <t>12.26469</t>
  </si>
  <si>
    <t>109.19942</t>
  </si>
  <si>
    <t>FO DT#MBF#KHNT67-KHNT1N</t>
  </si>
  <si>
    <t>Tuyến nhánh PA06 cs1 - Nhà nghỉ dưỡng 378 BCA_Cột trung thế</t>
  </si>
  <si>
    <t>907.58</t>
  </si>
  <si>
    <t>902.40</t>
  </si>
  <si>
    <t>12.256762</t>
  </si>
  <si>
    <t>109.197648</t>
  </si>
  <si>
    <t>full_h04/Khánh Hòa/Thu thập EVN_Khánh Hòa/Route_Cấp 3/KH_RING 3/Tuyến nhánh PA06 cs1 - Nhà nghỉ dưỡng 378 BCA_Cột trung thế/Tuyến nhánh PA06 cs1 - Nhà nghỉ dưỡng 378 BCA_Cột trung thế</t>
  </si>
  <si>
    <t>KHNT41-PK02 cs1</t>
  </si>
  <si>
    <t>12.28702</t>
  </si>
  <si>
    <t>109.18761</t>
  </si>
  <si>
    <t>FO DT#MBF#KHNT41-KHNT94</t>
  </si>
  <si>
    <t>789.77</t>
  </si>
  <si>
    <t>785.02</t>
  </si>
  <si>
    <t>12.280041</t>
  </si>
  <si>
    <t>109.188703</t>
  </si>
  <si>
    <t>KHNT15-Nhà nghỉ dưỡng 378 BCA</t>
  </si>
  <si>
    <t>12.28867</t>
  </si>
  <si>
    <t>109.2026</t>
  </si>
  <si>
    <t>FO DT#MBF#KHNT15-KHNT1N</t>
  </si>
  <si>
    <t>2220.85</t>
  </si>
  <si>
    <t>1245.98</t>
  </si>
  <si>
    <t>KHNT4I-PK02 cs1</t>
  </si>
  <si>
    <t>12.27377</t>
  </si>
  <si>
    <t>109.17512</t>
  </si>
  <si>
    <t>FO DT#MBF#KHNT4I-KHNT94</t>
  </si>
  <si>
    <t>727.92</t>
  </si>
  <si>
    <t>723.17</t>
  </si>
  <si>
    <t>KHNT2D-Bắc Nha Trang</t>
  </si>
  <si>
    <t>12.28473</t>
  </si>
  <si>
    <t>109.1917</t>
  </si>
  <si>
    <t>FO DT#MBF#KHNT2D-KHNT88</t>
  </si>
  <si>
    <t>53.74</t>
  </si>
  <si>
    <t>52.86</t>
  </si>
  <si>
    <t>12.285191</t>
  </si>
  <si>
    <t>109.191820</t>
  </si>
  <si>
    <t>KHNT45-PC11a</t>
  </si>
  <si>
    <t>12.16875</t>
  </si>
  <si>
    <t>109.19051</t>
  </si>
  <si>
    <t>FO DT#MBF#KHNT45-KHNTMA01</t>
  </si>
  <si>
    <t>222.30</t>
  </si>
  <si>
    <t>86.21</t>
  </si>
  <si>
    <t>12.169498</t>
  </si>
  <si>
    <t>109.190720</t>
  </si>
  <si>
    <t>KHNT3M-PC08 csc</t>
  </si>
  <si>
    <t>12.24668</t>
  </si>
  <si>
    <t>109.18138</t>
  </si>
  <si>
    <t>FO DT#MBF#KHNT3M-KHNT05</t>
  </si>
  <si>
    <t>6.PC08 csc - CAT Khánh Hòa_Cột trung thế</t>
  </si>
  <si>
    <t>32.28</t>
  </si>
  <si>
    <t>30.03</t>
  </si>
  <si>
    <t>12.246561</t>
  </si>
  <si>
    <t>109.181628</t>
  </si>
  <si>
    <t>2.25</t>
  </si>
  <si>
    <t>12.249053</t>
  </si>
  <si>
    <t>109.184084</t>
  </si>
  <si>
    <t>full_h04/Khánh Hòa/Thu thập EVN_Khánh Hòa/Route_Cấp 3/KH_RING 3/6.PC08 csc - CAT Khánh Hòa_Cột trung thế/6.PC08 csc - CAT Khánh Hòa_Cột trung thế</t>
  </si>
  <si>
    <t>KHNT6M-Bắc Nha Trang</t>
  </si>
  <si>
    <t>12.30214</t>
  </si>
  <si>
    <t>109.18654</t>
  </si>
  <si>
    <t>FO DT#MBF#KHNT6M-KHNT88</t>
  </si>
  <si>
    <t>626.93</t>
  </si>
  <si>
    <t>200.82</t>
  </si>
  <si>
    <t>12.300356</t>
  </si>
  <si>
    <t>109.186825</t>
  </si>
  <si>
    <t>426.12</t>
  </si>
  <si>
    <t>12.279659</t>
  </si>
  <si>
    <t>109.195298</t>
  </si>
  <si>
    <t>KHNT6C-CATP Nha trang cũ</t>
  </si>
  <si>
    <t>12.24099</t>
  </si>
  <si>
    <t>109.19585</t>
  </si>
  <si>
    <t>FO DT#MBF#KHNT6C-KHNT83</t>
  </si>
  <si>
    <t>598.85</t>
  </si>
  <si>
    <t>468.04</t>
  </si>
  <si>
    <t>KHCL20-Cam An</t>
  </si>
  <si>
    <t>11.97158</t>
  </si>
  <si>
    <t>109.06631</t>
  </si>
  <si>
    <t>FO DT#MBF#KHCL20-KHCR27</t>
  </si>
  <si>
    <t>521.46</t>
  </si>
  <si>
    <t>386.95</t>
  </si>
  <si>
    <t>11.974343</t>
  </si>
  <si>
    <t>109.068472</t>
  </si>
  <si>
    <t>KHCL61-Bắc Cam Ranh</t>
  </si>
  <si>
    <t>12.02729</t>
  </si>
  <si>
    <t>109.19345</t>
  </si>
  <si>
    <t>FO DT#MBF#KHCL61-KHCR02</t>
  </si>
  <si>
    <t>1651.48</t>
  </si>
  <si>
    <t>976.58</t>
  </si>
  <si>
    <t>12.018553</t>
  </si>
  <si>
    <t>109.192533</t>
  </si>
  <si>
    <t>KHCL19-Cam Lâm</t>
  </si>
  <si>
    <t>12.0805</t>
  </si>
  <si>
    <t>109.1801</t>
  </si>
  <si>
    <t>FO DT#MBF#KHCL19-KHCLMA01</t>
  </si>
  <si>
    <t>87.53</t>
  </si>
  <si>
    <t>85.50</t>
  </si>
  <si>
    <t>12.080638</t>
  </si>
  <si>
    <t>109.180874</t>
  </si>
  <si>
    <t>KHCL62-Cam Lâm</t>
  </si>
  <si>
    <t>12.0652</t>
  </si>
  <si>
    <t>109.18471</t>
  </si>
  <si>
    <t>FO DT#MBF#KHCL62-KHCLMA01</t>
  </si>
  <si>
    <t>1691.44</t>
  </si>
  <si>
    <t>1689.41</t>
  </si>
  <si>
    <t>12.079612</t>
  </si>
  <si>
    <t>109.179793</t>
  </si>
  <si>
    <t>KHCL31-Cam Lâm</t>
  </si>
  <si>
    <t>12.09833</t>
  </si>
  <si>
    <t>109.18722</t>
  </si>
  <si>
    <t>FO DT#MBF#KHCL31-KHCLMA01</t>
  </si>
  <si>
    <t>240.10</t>
  </si>
  <si>
    <t>238.07</t>
  </si>
  <si>
    <t>KHDK49-Diên Điền</t>
  </si>
  <si>
    <t>12.27073</t>
  </si>
  <si>
    <t>109.13329</t>
  </si>
  <si>
    <t>FO DT#MBF#KHDK49-KHDK08</t>
  </si>
  <si>
    <t>1091.49</t>
  </si>
  <si>
    <t>1085.42</t>
  </si>
  <si>
    <t>KHDK46-Suối Hiệp</t>
  </si>
  <si>
    <t>12.22036</t>
  </si>
  <si>
    <t>109.05533</t>
  </si>
  <si>
    <t>FO DT#MBF#KHDK46-KHDK06</t>
  </si>
  <si>
    <t>2282.34</t>
  </si>
  <si>
    <t>2128.44</t>
  </si>
  <si>
    <t>12.215051</t>
  </si>
  <si>
    <t>109.074147</t>
  </si>
  <si>
    <t>KHDK14-Diên Khánh</t>
  </si>
  <si>
    <t>FO DT#MBF#KHDK14-KHDKMA01</t>
  </si>
  <si>
    <t>KHNH59-Tân Định</t>
  </si>
  <si>
    <t>12.50549</t>
  </si>
  <si>
    <t>109.12846</t>
  </si>
  <si>
    <t>FO DT#MBF#KHNH59-KHNH12</t>
  </si>
  <si>
    <t>1168.36</t>
  </si>
  <si>
    <t>786.37</t>
  </si>
  <si>
    <t>KHNH23-Hòa Thắng</t>
  </si>
  <si>
    <t>12.45234</t>
  </si>
  <si>
    <t>109.11297</t>
  </si>
  <si>
    <t>FO DT#MBF#KHNH23-KHNH10</t>
  </si>
  <si>
    <t>1216.54</t>
  </si>
  <si>
    <t>1030.59</t>
  </si>
  <si>
    <t>12.455375</t>
  </si>
  <si>
    <t>109.121938</t>
  </si>
  <si>
    <t>KHNH24-Tân Định</t>
  </si>
  <si>
    <t>12.48512</t>
  </si>
  <si>
    <t>109.13401</t>
  </si>
  <si>
    <t>FO DT#MBF#KHNH24-KHNH12</t>
  </si>
  <si>
    <t>1477.34</t>
  </si>
  <si>
    <t>1095.35</t>
  </si>
  <si>
    <t>KHNH15-Đông Ninh Hòa</t>
  </si>
  <si>
    <t>12.56971</t>
  </si>
  <si>
    <t>109.23236</t>
  </si>
  <si>
    <t>FO DT#MBF#KHNH15-KHNH32</t>
  </si>
  <si>
    <t>2074.18</t>
  </si>
  <si>
    <t>2069.92</t>
  </si>
  <si>
    <t>12.559902</t>
  </si>
  <si>
    <t>109.216150</t>
  </si>
  <si>
    <t>KHNH64-Tân Định</t>
  </si>
  <si>
    <t>12.49165</t>
  </si>
  <si>
    <t>109.12901</t>
  </si>
  <si>
    <t>FO DT#MBF#KHNH64-KHNH12</t>
  </si>
  <si>
    <t>681.08</t>
  </si>
  <si>
    <t>299.09</t>
  </si>
  <si>
    <t>12.494325</t>
  </si>
  <si>
    <t>109.128719</t>
  </si>
  <si>
    <t>KHNH31-Hòa Thắng</t>
  </si>
  <si>
    <t>12.46365</t>
  </si>
  <si>
    <t>109.14001</t>
  </si>
  <si>
    <t>FO DT#MBF#KHNH31-KHNH10</t>
  </si>
  <si>
    <t>1889.42</t>
  </si>
  <si>
    <t>1703.47</t>
  </si>
  <si>
    <t>12.471017</t>
  </si>
  <si>
    <t>109.126253</t>
  </si>
  <si>
    <t>KHNT44-PK02 cs2</t>
  </si>
  <si>
    <t>12.36465</t>
  </si>
  <si>
    <t>109.19431</t>
  </si>
  <si>
    <t>FO DT#MBF#KHNT44-KHNT13</t>
  </si>
  <si>
    <t>138.19</t>
  </si>
  <si>
    <t>20.96</t>
  </si>
  <si>
    <t>12.364605</t>
  </si>
  <si>
    <t>109.194498</t>
  </si>
  <si>
    <t>KHNH13-PK02 cs2</t>
  </si>
  <si>
    <t>12.38523</t>
  </si>
  <si>
    <t>109.19578</t>
  </si>
  <si>
    <t>FO DT#MBF#KHNH13-KHNT13</t>
  </si>
  <si>
    <t>251.61</t>
  </si>
  <si>
    <t>134.38</t>
  </si>
  <si>
    <t>12.384585</t>
  </si>
  <si>
    <t>109.194734</t>
  </si>
  <si>
    <t>KHNH62-Tây Ninh Hòa</t>
  </si>
  <si>
    <t>12.54099</t>
  </si>
  <si>
    <t>109.01055</t>
  </si>
  <si>
    <t>FO DT#MBF#KHNH62-KHNH06</t>
  </si>
  <si>
    <t>93.36</t>
  </si>
  <si>
    <t>88.78</t>
  </si>
  <si>
    <t>12.540544</t>
  </si>
  <si>
    <t>109.009872</t>
  </si>
  <si>
    <t>KHNH43-Tây Ninh Hòa</t>
  </si>
  <si>
    <t>12.54399</t>
  </si>
  <si>
    <t>109.05504</t>
  </si>
  <si>
    <t>FO DT#MBF#KHNH43-KHNH06</t>
  </si>
  <si>
    <t>3042.21</t>
  </si>
  <si>
    <t>3037.62</t>
  </si>
  <si>
    <t>12.519499</t>
  </si>
  <si>
    <t>109.042643</t>
  </si>
  <si>
    <t>KHVN51-Vạn Ninh</t>
  </si>
  <si>
    <t>12.71461</t>
  </si>
  <si>
    <t>109.24381</t>
  </si>
  <si>
    <t>FO DT#MBF#KHVN51-KHVN04</t>
  </si>
  <si>
    <t>1311.74</t>
  </si>
  <si>
    <t>1308.17</t>
  </si>
  <si>
    <t>KHVN20-Tu Bông</t>
  </si>
  <si>
    <t>109.31663</t>
  </si>
  <si>
    <t>FO DT#MBF#KHVN20-KHVN03</t>
  </si>
  <si>
    <t>365.75</t>
  </si>
  <si>
    <t>365.40</t>
  </si>
  <si>
    <t>12.778753</t>
  </si>
  <si>
    <t>109.313261</t>
  </si>
  <si>
    <t>KHVN43-Tu Bông</t>
  </si>
  <si>
    <t>12.78391</t>
  </si>
  <si>
    <t>109.30672</t>
  </si>
  <si>
    <t>FO DT#MBF#KHVN43-KHVN03</t>
  </si>
  <si>
    <t>177.99</t>
  </si>
  <si>
    <t>175.91</t>
  </si>
  <si>
    <t>12.784682</t>
  </si>
  <si>
    <t>109.305304</t>
  </si>
  <si>
    <t>KHNT6I-PC07</t>
  </si>
  <si>
    <t>12.23759</t>
  </si>
  <si>
    <t>109.19083</t>
  </si>
  <si>
    <t>FO DT#MBF#KHNT6I-KHNT90</t>
  </si>
  <si>
    <t>520316.29</t>
  </si>
  <si>
    <t>267732.10</t>
  </si>
  <si>
    <t>KHNT3P-PA08</t>
  </si>
  <si>
    <t>12.23582</t>
  </si>
  <si>
    <t>109.18092</t>
  </si>
  <si>
    <t>FO DT#MBF#KHNT3P-KHNT25</t>
  </si>
  <si>
    <t>517037.19</t>
  </si>
  <si>
    <t>267394.47</t>
  </si>
  <si>
    <t>KHNT5U-PC08 (xử lý vi phạm)</t>
  </si>
  <si>
    <t>12.25156</t>
  </si>
  <si>
    <t>109.18883</t>
  </si>
  <si>
    <t>FO DT#MBF#KHNT5U-KHNT60</t>
  </si>
  <si>
    <t>254.76</t>
  </si>
  <si>
    <t>94.09</t>
  </si>
  <si>
    <t>12.251268</t>
  </si>
  <si>
    <t>109.189643</t>
  </si>
  <si>
    <t>KHDK22-Diên Lâm</t>
  </si>
  <si>
    <t>12.23889</t>
  </si>
  <si>
    <t>109.0079</t>
  </si>
  <si>
    <t>FO DT#MBF#KHDK22-KHDK25</t>
  </si>
  <si>
    <t>814.18</t>
  </si>
  <si>
    <t>65.98</t>
  </si>
  <si>
    <t>12.238942</t>
  </si>
  <si>
    <t>109.008505</t>
  </si>
  <si>
    <t>KHNH65-Ninh Hòa</t>
  </si>
  <si>
    <t>12.48371</t>
  </si>
  <si>
    <t>109.11364</t>
  </si>
  <si>
    <t>FO DT#MBF#KHNH65-KHNH54</t>
  </si>
  <si>
    <t>1820.48</t>
  </si>
  <si>
    <t>1815.59</t>
  </si>
  <si>
    <t>12.476967</t>
  </si>
  <si>
    <t>109.128870</t>
  </si>
  <si>
    <t>KHNT2W-PK02 cs1</t>
  </si>
  <si>
    <t>12.27995</t>
  </si>
  <si>
    <t>109.19013</t>
  </si>
  <si>
    <t>FO DT#MBF#KHNT2W-KHNT94</t>
  </si>
  <si>
    <t>93.87</t>
  </si>
  <si>
    <t>88.92</t>
  </si>
  <si>
    <t>12.279602</t>
  </si>
  <si>
    <t>109.190867</t>
  </si>
  <si>
    <t>4.96</t>
  </si>
  <si>
    <t>KHNT69-PA06 cs2</t>
  </si>
  <si>
    <t>12.24114</t>
  </si>
  <si>
    <t>109.16022</t>
  </si>
  <si>
    <t>FO DT#MBF#KHNT69-KHNT55</t>
  </si>
  <si>
    <t>2030.07</t>
  </si>
  <si>
    <t>1856.87</t>
  </si>
  <si>
    <t>KHNT1T-PC08 (xử lý vi phạm)</t>
  </si>
  <si>
    <t>12.25049</t>
  </si>
  <si>
    <t>109.18682</t>
  </si>
  <si>
    <t>FO DT#MBF#KHNT1T-KHNT60</t>
  </si>
  <si>
    <t>Tuyến nhánh PC08 csc - PC08 (xử lý vi phạm)</t>
  </si>
  <si>
    <t>277.79</t>
  </si>
  <si>
    <t>276.13</t>
  </si>
  <si>
    <t>12.248199</t>
  </si>
  <si>
    <t>109.185840</t>
  </si>
  <si>
    <t>1.67</t>
  </si>
  <si>
    <t>12.248073</t>
  </si>
  <si>
    <t>109.185785</t>
  </si>
  <si>
    <t>full_h04/Khánh Hòa/Thu thập EVN_Khánh Hòa/Route_Cấp 3/KH_RING 3/Tuyến nhánh PC08 csc - PC08 (xử lý vi phạm)/Tuyến nhánh PC08 csc - PC08 (xử lý vi phạm)</t>
  </si>
  <si>
    <t>KHNT12-CATP Nha trang cũ</t>
  </si>
  <si>
    <t>12.24001</t>
  </si>
  <si>
    <t>109.18822</t>
  </si>
  <si>
    <t>FO DT#MBF#KHNT12-KHNT83</t>
  </si>
  <si>
    <t>1.CATP Nha trang cũ - PC07</t>
  </si>
  <si>
    <t>481.67</t>
  </si>
  <si>
    <t>12.239117</t>
  </si>
  <si>
    <t>109.186642</t>
  </si>
  <si>
    <t>283.48</t>
  </si>
  <si>
    <t>12.243925</t>
  </si>
  <si>
    <t>109.189556</t>
  </si>
  <si>
    <t>full_h04/Khánh Hòa/Thu thập EVN_Khánh Hòa/Route_Cấp 3/KH_RING 5/1.CATP Nha trang cũ - PC07/CATP Nha trang cũ - PC07_Đoạn cột trung thế</t>
  </si>
  <si>
    <t>KHNT2V-Tây Nha Trang</t>
  </si>
  <si>
    <t>12.25528</t>
  </si>
  <si>
    <t>109.1898</t>
  </si>
  <si>
    <t>FO DT#MBF#KHNT2V-KHNT17</t>
  </si>
  <si>
    <t>415.64</t>
  </si>
  <si>
    <t>411.64</t>
  </si>
  <si>
    <t>12.252363</t>
  </si>
  <si>
    <t>109.192133</t>
  </si>
  <si>
    <t>KHNT5R-Tây Nha Trang</t>
  </si>
  <si>
    <t>12.25404</t>
  </si>
  <si>
    <t>109.18731</t>
  </si>
  <si>
    <t>FO DT#MBF#KHNT5R-KHNT17</t>
  </si>
  <si>
    <t>291.64</t>
  </si>
  <si>
    <t>289.27</t>
  </si>
  <si>
    <t>12.251707</t>
  </si>
  <si>
    <t>109.186132</t>
  </si>
  <si>
    <t>KHNT58-Tây Nha Trang</t>
  </si>
  <si>
    <t>12.26105</t>
  </si>
  <si>
    <t>109.1916</t>
  </si>
  <si>
    <t>FO DT#MBF#KHNT58-KHNT17</t>
  </si>
  <si>
    <t>492.85</t>
  </si>
  <si>
    <t>63.74</t>
  </si>
  <si>
    <t>12.261350</t>
  </si>
  <si>
    <t>109.191100</t>
  </si>
  <si>
    <t>429.11</t>
  </si>
  <si>
    <t>12.253068</t>
  </si>
  <si>
    <t>109.189821</t>
  </si>
  <si>
    <t>full_h04/Khánh Hòa/Thu thập EVN_Khánh Hòa/Route_Cấp 3/KH_RING 1/5.Vạn Ninh - CAT Khánh Hòa/Vạn Ninh - CAT Khánh Hòa_Đoạn cột trung thế_2</t>
  </si>
  <si>
    <t>KHNT2Z-PC06</t>
  </si>
  <si>
    <t>12.24204</t>
  </si>
  <si>
    <t>109.189</t>
  </si>
  <si>
    <t>FO DT#MBF#KHNT2Z-KHNT84</t>
  </si>
  <si>
    <t>336266.77</t>
  </si>
  <si>
    <t>192483.97</t>
  </si>
  <si>
    <t>17KH025-Nhà nghỉ dưỡng 378 BCA</t>
  </si>
  <si>
    <t>12.26737</t>
  </si>
  <si>
    <t>109.2033</t>
  </si>
  <si>
    <t>FO DT#MBF#17KH025-KHNT1N</t>
  </si>
  <si>
    <t>1335.10</t>
  </si>
  <si>
    <t>1329.92</t>
  </si>
  <si>
    <t>KHKV10-Bắc Khánh Vĩnh</t>
  </si>
  <si>
    <t>12.34991</t>
  </si>
  <si>
    <t>108.97801</t>
  </si>
  <si>
    <t>12.35885</t>
  </si>
  <si>
    <t>108.9607</t>
  </si>
  <si>
    <t>FO DT#MBF#KHKV10-KHKV05</t>
  </si>
  <si>
    <t>208.64</t>
  </si>
  <si>
    <t>205.15</t>
  </si>
  <si>
    <t>12.351702</t>
  </si>
  <si>
    <t>108.978459</t>
  </si>
  <si>
    <t>3.48</t>
  </si>
  <si>
    <t>12.358868</t>
  </si>
  <si>
    <t>108.960726</t>
  </si>
  <si>
    <t>KHKV25-Bắc Khánh Vĩnh</t>
  </si>
  <si>
    <t>FO DT#MBF#KHKV25-KHKV05</t>
  </si>
  <si>
    <t>90.56</t>
  </si>
  <si>
    <t>1.97</t>
  </si>
  <si>
    <t>12.358832</t>
  </si>
  <si>
    <t>108.960699</t>
  </si>
  <si>
    <t>KHKV23-Bắc Khánh Vĩnh</t>
  </si>
  <si>
    <t>12.37577</t>
  </si>
  <si>
    <t>108.93669</t>
  </si>
  <si>
    <t>FO DT#MBF#KHKV23-KHKV05</t>
  </si>
  <si>
    <t>4.CA Bắc Khánh Vĩnh - CA Trung Khánh Vĩnh_Cột trung thế</t>
  </si>
  <si>
    <t>80.53</t>
  </si>
  <si>
    <t>77.17</t>
  </si>
  <si>
    <t>12.376333</t>
  </si>
  <si>
    <t>108.936274</t>
  </si>
  <si>
    <t>3.37</t>
  </si>
  <si>
    <t>12.358875</t>
  </si>
  <si>
    <t>108.960717</t>
  </si>
  <si>
    <t>full_h04/Khánh Hòa/Thu thập EVN_Khánh Hòa/Route_Cấp 4/KH_RING 9/4.CA Bắc Khánh Vĩnh - CA Trung Khánh Vĩnh_Cột trung thế/4.CA Bắc Khánh Vĩnh - CA Trung Khánh Vĩnh_Cột trung thế</t>
  </si>
  <si>
    <t>KHDK03-Diên Lâm</t>
  </si>
  <si>
    <t>12.2453</t>
  </si>
  <si>
    <t>109.0412</t>
  </si>
  <si>
    <t>FO DT#MBF#KHDK03-KHDK25</t>
  </si>
  <si>
    <t>1974.80</t>
  </si>
  <si>
    <t>1971.41</t>
  </si>
  <si>
    <t>12.262613</t>
  </si>
  <si>
    <t>109.037289</t>
  </si>
  <si>
    <t>KHNT3O-Bắc Nha Trang</t>
  </si>
  <si>
    <t>12.29859</t>
  </si>
  <si>
    <t>109.21044</t>
  </si>
  <si>
    <t>FO DT#MBF#KHNT3O-KHNT88</t>
  </si>
  <si>
    <t>2238.93</t>
  </si>
  <si>
    <t>2238.08</t>
  </si>
  <si>
    <t>KHDK30-Diên Điền</t>
  </si>
  <si>
    <t>FO DT#MBF#KHDK30-KHDK08</t>
  </si>
  <si>
    <t>KHVN44-Đại Lãnh</t>
  </si>
  <si>
    <t>12.8012</t>
  </si>
  <si>
    <t>109.35284</t>
  </si>
  <si>
    <t>FO DT#MBF#KHVN44-KHVN55</t>
  </si>
  <si>
    <t>2045.65</t>
  </si>
  <si>
    <t>2038.93</t>
  </si>
  <si>
    <t>12.803173</t>
  </si>
  <si>
    <t>109.334145</t>
  </si>
  <si>
    <t>KHVN18-Đại Lãnh</t>
  </si>
  <si>
    <t>12.77596</t>
  </si>
  <si>
    <t>109.35836</t>
  </si>
  <si>
    <t>FO DT#MBF#KHVN18-KHVN55</t>
  </si>
  <si>
    <t>4013.08</t>
  </si>
  <si>
    <t>4006.35</t>
  </si>
  <si>
    <t>KHVN28-Đại Lãnh</t>
  </si>
  <si>
    <t>12.83621</t>
  </si>
  <si>
    <t>109.36243</t>
  </si>
  <si>
    <t>FO DT#MBF#KHVN28-KHVN55</t>
  </si>
  <si>
    <t>4694.65</t>
  </si>
  <si>
    <t>4688.09</t>
  </si>
  <si>
    <t>KHCR26-Cam Phước Đông</t>
  </si>
  <si>
    <t>11.92448</t>
  </si>
  <si>
    <t>109.12728</t>
  </si>
  <si>
    <t>FO DT#MBF#KHCR26-KHCR47</t>
  </si>
  <si>
    <t>252.14</t>
  </si>
  <si>
    <t>152.13</t>
  </si>
  <si>
    <t>11.923322</t>
  </si>
  <si>
    <t>109.126536</t>
  </si>
  <si>
    <t>KHCR70-Cam Phước Đông</t>
  </si>
  <si>
    <t>11.95556</t>
  </si>
  <si>
    <t>109.10417</t>
  </si>
  <si>
    <t>FO DT#MBF#KHCR70-KHCR47</t>
  </si>
  <si>
    <t>95.74</t>
  </si>
  <si>
    <t>89.11</t>
  </si>
  <si>
    <t>11.956004</t>
  </si>
  <si>
    <t>109.103488</t>
  </si>
  <si>
    <t>KHNH95-Trạm CSGT Ninh An cũ</t>
  </si>
  <si>
    <t>12.54265</t>
  </si>
  <si>
    <t>109.16408</t>
  </si>
  <si>
    <t>FO DT#MBF#KHNH95-KHNH20</t>
  </si>
  <si>
    <t>191.34</t>
  </si>
  <si>
    <t>163.41</t>
  </si>
  <si>
    <t>KHNT8P-CATP Nha trang cũ</t>
  </si>
  <si>
    <t>12.23912</t>
  </si>
  <si>
    <t>109.18977</t>
  </si>
  <si>
    <t>FO DT#MBF#KHNT8P-KHNT83</t>
  </si>
  <si>
    <t>615.17</t>
  </si>
  <si>
    <t>331.69</t>
  </si>
  <si>
    <t>12.238712</t>
  </si>
  <si>
    <t>109.186746</t>
  </si>
  <si>
    <t>KHNT8V-PC11a</t>
  </si>
  <si>
    <t>12.19789</t>
  </si>
  <si>
    <t>109.16692</t>
  </si>
  <si>
    <t>FO DT#MBF#KHNT8V-KHNTMA01</t>
  </si>
  <si>
    <t>809.65</t>
  </si>
  <si>
    <t>806.31</t>
  </si>
  <si>
    <t>KHNT8D-PC02</t>
  </si>
  <si>
    <t>12.21948</t>
  </si>
  <si>
    <t>109.2042</t>
  </si>
  <si>
    <t>FO DT#MBF#KHNT8D-KHNT4D</t>
  </si>
  <si>
    <t>55.58</t>
  </si>
  <si>
    <t>53.53</t>
  </si>
  <si>
    <t>12.219007</t>
  </si>
  <si>
    <t>109.204294</t>
  </si>
  <si>
    <t>2.04</t>
  </si>
  <si>
    <t>KHNT8B-Nhà nghỉ dưỡng 378 BCA</t>
  </si>
  <si>
    <t>12.26741</t>
  </si>
  <si>
    <t>109.20332</t>
  </si>
  <si>
    <t>FO DT#MBF#KHNT8B-KHNT1N</t>
  </si>
  <si>
    <t>1340.05</t>
  </si>
  <si>
    <t>1334.87</t>
  </si>
  <si>
    <t>KHNT57-PC02</t>
  </si>
  <si>
    <t>12.2146</t>
  </si>
  <si>
    <t>109.20179</t>
  </si>
  <si>
    <t>FO DT#MBF#KHNT57-KHNT4D</t>
  </si>
  <si>
    <t>342.16</t>
  </si>
  <si>
    <t>338.55</t>
  </si>
  <si>
    <t>12.217110</t>
  </si>
  <si>
    <t>109.200027</t>
  </si>
  <si>
    <t>KHNT8F-PA08</t>
  </si>
  <si>
    <t>12.24156</t>
  </si>
  <si>
    <t>109.17704</t>
  </si>
  <si>
    <t>FO DT#MBF#KHNT8F-KHNT25</t>
  </si>
  <si>
    <t>516275.44</t>
  </si>
  <si>
    <t>266632.72</t>
  </si>
  <si>
    <t>QTTP35-TT2 Quảng Trị</t>
  </si>
  <si>
    <t>16.81011</t>
  </si>
  <si>
    <t>107.14673</t>
  </si>
  <si>
    <t>FO thuê#VNPT#QTTP35-QTDH14</t>
  </si>
  <si>
    <t>CA Công an Quảng Trị-Triệu Phong</t>
  </si>
  <si>
    <t>2816.27</t>
  </si>
  <si>
    <t>2735.78</t>
  </si>
  <si>
    <t>16.798327</t>
  </si>
  <si>
    <t>107.124168</t>
  </si>
  <si>
    <t>80.49</t>
  </si>
  <si>
    <t>16.790924</t>
  </si>
  <si>
    <t>107.104774</t>
  </si>
  <si>
    <t>full_h04/Quảng Trị/Mạng cấp IV-Quảng Trị (cũ)/Ring 7/CA Công an Quảng Trị-Triệu Phong/Tuyến Trung thế</t>
  </si>
  <si>
    <t>QTCL02-TT2 Quảng Trị</t>
  </si>
  <si>
    <t>16.74525</t>
  </si>
  <si>
    <t>106.9641</t>
  </si>
  <si>
    <t>FO thuê#VNPT#QTCL02-QTDH14</t>
  </si>
  <si>
    <t>TT2 Quảng Trị - Đăk Rông</t>
  </si>
  <si>
    <t>8982.56</t>
  </si>
  <si>
    <t>8918.31</t>
  </si>
  <si>
    <t>16.803405</t>
  </si>
  <si>
    <t>107.021788</t>
  </si>
  <si>
    <t>64.25</t>
  </si>
  <si>
    <t>16.790624</t>
  </si>
  <si>
    <t>107.103763</t>
  </si>
  <si>
    <t>full_h04/Quảng Trị/Mạng cấp III- Quảng Trị (cũ)/Công an Quảng Trị/TTCMKV Ring 4/TT2 Quảng Trị - Đăk Rông/Tuyến Trung thế 1</t>
  </si>
  <si>
    <t>Trung tâm sát hạch lái xe-TT2 Quảng Trị</t>
  </si>
  <si>
    <t>16.79029</t>
  </si>
  <si>
    <t>107.091</t>
  </si>
  <si>
    <t>FO thuê#VNPT#QTDH50-QTDH14</t>
  </si>
  <si>
    <t>TT2 Quảng Trị-PC07</t>
  </si>
  <si>
    <t>112.13</t>
  </si>
  <si>
    <t>40.36</t>
  </si>
  <si>
    <t>16.790599</t>
  </si>
  <si>
    <t>107.091199</t>
  </si>
  <si>
    <t>71.77</t>
  </si>
  <si>
    <t>16.790613</t>
  </si>
  <si>
    <t>107.103680</t>
  </si>
  <si>
    <t>full_h04/Quảng Trị/Mạng cấp III- Quảng Trị (cũ)/Cấp phòng/Phòng-Ring 5/TT2 Quảng Trị-PC07/Tuyến trung thế 3</t>
  </si>
  <si>
    <t>TX Quảng Trị-TT2 Quảng Trị</t>
  </si>
  <si>
    <t>16.73942</t>
  </si>
  <si>
    <t>107.1883</t>
  </si>
  <si>
    <t>FO thuê#CMC#QTQT09-QTDH14</t>
  </si>
  <si>
    <t>Hải Lăng - TT2 Quảng Trị</t>
  </si>
  <si>
    <t>4955.32</t>
  </si>
  <si>
    <t>1526.92</t>
  </si>
  <si>
    <t>16.749236</t>
  </si>
  <si>
    <t>107.178272</t>
  </si>
  <si>
    <t>3428.40</t>
  </si>
  <si>
    <t>16.791696</t>
  </si>
  <si>
    <t>107.136475</t>
  </si>
  <si>
    <t>full_h04/Quảng Trị/Mạng cấp III- Quảng Trị (cũ)/Công an Quảng Trị/TTCMKV Ring 3/Hải Lăng - TT2 Quảng Trị/Tuyến trung thế 3</t>
  </si>
  <si>
    <t>QTTP23-TT2 Quảng Trị</t>
  </si>
  <si>
    <t>16.79871</t>
  </si>
  <si>
    <t>107.1613</t>
  </si>
  <si>
    <t>FO thuê#CMC#QTTP23-QTDH14</t>
  </si>
  <si>
    <t>4033.40</t>
  </si>
  <si>
    <t>3952.91</t>
  </si>
  <si>
    <t>QTCL20-Hiếu Giang</t>
  </si>
  <si>
    <t>16.811</t>
  </si>
  <si>
    <t>107.05531</t>
  </si>
  <si>
    <t>16.80435</t>
  </si>
  <si>
    <t>107.0406</t>
  </si>
  <si>
    <t>FO thuê#VNPT#QTCL20-QTCL13</t>
  </si>
  <si>
    <t>Cửa Việt-Hiếu Giang</t>
  </si>
  <si>
    <t>101.08</t>
  </si>
  <si>
    <t>64.44</t>
  </si>
  <si>
    <t>16.810813</t>
  </si>
  <si>
    <t>107.055883</t>
  </si>
  <si>
    <t>36.65</t>
  </si>
  <si>
    <t>16.804551</t>
  </si>
  <si>
    <t>107.040873</t>
  </si>
  <si>
    <t>full_h04/Quảng Trị/Mạng cấp IV-Quảng Trị (cũ)/Ring 2/Cửa Việt-Hiếu Giang/Tuyến trung thế 6</t>
  </si>
  <si>
    <t>QTCL17-Hiếu Giang</t>
  </si>
  <si>
    <t>16.81839</t>
  </si>
  <si>
    <t>107.03923</t>
  </si>
  <si>
    <t>FO thuê#VNPT#QTCL17-QTCL13</t>
  </si>
  <si>
    <t>1511.86</t>
  </si>
  <si>
    <t>1475.22</t>
  </si>
  <si>
    <t>16.806810</t>
  </si>
  <si>
    <t>107.045994</t>
  </si>
  <si>
    <t>QTGL42-Cửa Việt</t>
  </si>
  <si>
    <t>16.90134</t>
  </si>
  <si>
    <t>107.17274</t>
  </si>
  <si>
    <t>16.90575</t>
  </si>
  <si>
    <t>107.1769</t>
  </si>
  <si>
    <t>FO thuê#VNPT#QTGL42-QTGL03</t>
  </si>
  <si>
    <t>56.57</t>
  </si>
  <si>
    <t>44.34</t>
  </si>
  <si>
    <t>16.901360</t>
  </si>
  <si>
    <t>107.172324</t>
  </si>
  <si>
    <t>12.23</t>
  </si>
  <si>
    <t>16.905641</t>
  </si>
  <si>
    <t>107.176884</t>
  </si>
  <si>
    <t>full_h04/Quảng Trị/Mạng cấp IV-Quảng Trị (cũ)/Ring 2/Cửa Việt-Hiếu Giang/Tuyến hạ thế 1</t>
  </si>
  <si>
    <t>QTDH10-Hiếu Giang</t>
  </si>
  <si>
    <t>16.81659</t>
  </si>
  <si>
    <t>107.07734</t>
  </si>
  <si>
    <t>FO thuê#VNPT#QTDH10-QTCL13</t>
  </si>
  <si>
    <t>Cam Lộ - Nam Đông Hà</t>
  </si>
  <si>
    <t>72.58</t>
  </si>
  <si>
    <t>40.58</t>
  </si>
  <si>
    <t>16.816952</t>
  </si>
  <si>
    <t>107.077390</t>
  </si>
  <si>
    <t>32.00</t>
  </si>
  <si>
    <t>16.804628</t>
  </si>
  <si>
    <t>107.040678</t>
  </si>
  <si>
    <t>full_h04/Quảng Trị/Mạng cấp IV-Quảng Trị (cũ)/Ring 6/Cam Lộ - Nam Đông Hà/Tuyến trung thế 4</t>
  </si>
  <si>
    <t>Hiếu Giang-Cam Lộ</t>
  </si>
  <si>
    <t>16.80733</t>
  </si>
  <si>
    <t>106.9927</t>
  </si>
  <si>
    <t>FO thuê#VNPT#QTCL13-QTCL34</t>
  </si>
  <si>
    <t>Cơ sở cai nghiện (Cam Hiếu, Cam Lộ) - TTCMKV Cam Lộ</t>
  </si>
  <si>
    <t>480.57</t>
  </si>
  <si>
    <t>455.33</t>
  </si>
  <si>
    <t>16.800270</t>
  </si>
  <si>
    <t>107.040229</t>
  </si>
  <si>
    <t>25.24</t>
  </si>
  <si>
    <t>16.807246</t>
  </si>
  <si>
    <t>106.992480</t>
  </si>
  <si>
    <t>full_h04/Quảng Trị/Mạng cấp III- Quảng Trị (cũ)/Cấp phòng/Phòng-Ring 7/Cơ sở cai nghiện (Cam Hiếu, Cam Lộ) - TTCMKV Cam Lộ/Tuyến Trung thế</t>
  </si>
  <si>
    <t>VNPOST Lương An-Cửa Việt</t>
  </si>
  <si>
    <t>16.81594</t>
  </si>
  <si>
    <t>107.1106</t>
  </si>
  <si>
    <t>FO thuê#VNPT#VNPOST Lương An-QTGL03</t>
  </si>
  <si>
    <t>8215.07</t>
  </si>
  <si>
    <t>4809.76</t>
  </si>
  <si>
    <t>16.858868</t>
  </si>
  <si>
    <t>107.116151</t>
  </si>
  <si>
    <t>3405.32</t>
  </si>
  <si>
    <t>16.886193</t>
  </si>
  <si>
    <t>107.152270</t>
  </si>
  <si>
    <t>full_h04/Quảng Trị/Mạng cấp IV-Quảng Trị (cũ)/Ring 2/Cửa Việt-Hiếu Giang/Tuyến hạ thế 3</t>
  </si>
  <si>
    <t>Cửa Việt-QTGL15</t>
  </si>
  <si>
    <t>16.96674</t>
  </si>
  <si>
    <t>107.13804</t>
  </si>
  <si>
    <t>FO thuê#VNPT#QTGL03-QTGL15</t>
  </si>
  <si>
    <t>Cửa Tùng-Phòng PH10 (Nhà Nghỉ dưỡng Cửa Việt)</t>
  </si>
  <si>
    <t>3488.89</t>
  </si>
  <si>
    <t>584.18</t>
  </si>
  <si>
    <t>16.909170</t>
  </si>
  <si>
    <t>107.181069</t>
  </si>
  <si>
    <t>2904.71</t>
  </si>
  <si>
    <t>16.944781</t>
  </si>
  <si>
    <t>107.152832</t>
  </si>
  <si>
    <t>full_h04/Quảng Trị/Mạng cấp IV-Quảng Trị (cũ)/Ring 2/Cửa Tùng-Phòng PH10 (Nhà Nghỉ dưỡng Cửa Việt)/Tuyến trung thế 3</t>
  </si>
  <si>
    <t>QTGL15-Bến Hải</t>
  </si>
  <si>
    <t>16.98909</t>
  </si>
  <si>
    <t>107.1067</t>
  </si>
  <si>
    <t>FO thuê#VNPT#QTGL15-QTGL12</t>
  </si>
  <si>
    <t>1654.97</t>
  </si>
  <si>
    <t>1632.07</t>
  </si>
  <si>
    <t>16.978664</t>
  </si>
  <si>
    <t>107.129091</t>
  </si>
  <si>
    <t>22.90</t>
  </si>
  <si>
    <t>16.988969</t>
  </si>
  <si>
    <t>107.106525</t>
  </si>
  <si>
    <t>full_h04/Quảng Trị/Mạng cấp IV-Quảng Trị (cũ)/Ring 2/Cửa Tùng-Phòng PH10 (Nhà Nghỉ dưỡng Cửa Việt)/Tuyến trung thế 1</t>
  </si>
  <si>
    <t>Bến Hải-QTGL44</t>
  </si>
  <si>
    <t>16.9664</t>
  </si>
  <si>
    <t>107.06918</t>
  </si>
  <si>
    <t>FO thuê#VNPT#QTGL12-QTGL44</t>
  </si>
  <si>
    <t>Bến Hải-PC07 (Đội PCCC khu vực 4)</t>
  </si>
  <si>
    <t>784.07</t>
  </si>
  <si>
    <t>21.88</t>
  </si>
  <si>
    <t>16.988904</t>
  </si>
  <si>
    <t>107.106632</t>
  </si>
  <si>
    <t>762.20</t>
  </si>
  <si>
    <t>16.970361</t>
  </si>
  <si>
    <t>107.075029</t>
  </si>
  <si>
    <t>full_h04/Quảng Trị/Mạng cấp IV-Quảng Trị (cũ)/Ring 3/Bến Hải-PC07 (Đội PCCC khu vực 4)/Tuyến hạ thế 1</t>
  </si>
  <si>
    <t>QTCL08-Cam Lộ</t>
  </si>
  <si>
    <t>16.82654</t>
  </si>
  <si>
    <t>107.00301</t>
  </si>
  <si>
    <t>FO thuê#VNPT#QTCL08-QTCL34</t>
  </si>
  <si>
    <t>Cam Lộ - Vĩnh Linh</t>
  </si>
  <si>
    <t>305.69</t>
  </si>
  <si>
    <t>99.07</t>
  </si>
  <si>
    <t>16.827306</t>
  </si>
  <si>
    <t>107.003486</t>
  </si>
  <si>
    <t>206.63</t>
  </si>
  <si>
    <t>16.808361</t>
  </si>
  <si>
    <t>106.994315</t>
  </si>
  <si>
    <t>full_h04/Quảng Trị/Mạng cấp III- Quảng Trị (cũ)/Công an Quảng Trị/TTCMKV Ring 4/Cam Lộ - Vĩnh Linh/Tuyến Trung thế</t>
  </si>
  <si>
    <t>Cam Lộ-QTCL09</t>
  </si>
  <si>
    <t>16.79332</t>
  </si>
  <si>
    <t>106.96828</t>
  </si>
  <si>
    <t>FO thuê#VNPT#QTCL34-QTCL09</t>
  </si>
  <si>
    <t>140.93</t>
  </si>
  <si>
    <t>25.04</t>
  </si>
  <si>
    <t>16.807250</t>
  </si>
  <si>
    <t>115.89</t>
  </si>
  <si>
    <t>16.794359</t>
  </si>
  <si>
    <t>106.968371</t>
  </si>
  <si>
    <t>full_h04/Quảng Trị/Mạng cấp III- Quảng Trị (cũ)/Công an Quảng Trị/TTCMKV Ring 4/TT2 Quảng Trị - Đăk Rông/Tuyến Trung thế 3</t>
  </si>
  <si>
    <t>TP Đông Hà-QTDH08</t>
  </si>
  <si>
    <t>16.81566</t>
  </si>
  <si>
    <t>107.1054</t>
  </si>
  <si>
    <t>16.80622</t>
  </si>
  <si>
    <t>107.10414</t>
  </si>
  <si>
    <t>FO thuê#VNPT#QTDH17-QTDH08</t>
  </si>
  <si>
    <t>PA09 - TP Đông Hà</t>
  </si>
  <si>
    <t>832.84</t>
  </si>
  <si>
    <t>170.69</t>
  </si>
  <si>
    <t>16.814189</t>
  </si>
  <si>
    <t>107.104940</t>
  </si>
  <si>
    <t>662.15</t>
  </si>
  <si>
    <t>16.810613</t>
  </si>
  <si>
    <t>107.108340</t>
  </si>
  <si>
    <t>full_h04/Quảng Trị/Mạng cấp III- Quảng Trị (cũ)/Cấp phòng/Phòng-Ring 6/PA09 - TP Đông Hà/Tuyến Trung thế</t>
  </si>
  <si>
    <t>QTTP08-Hải Lăng</t>
  </si>
  <si>
    <t>16.88189</t>
  </si>
  <si>
    <t>107.2065</t>
  </si>
  <si>
    <t>16.69184</t>
  </si>
  <si>
    <t>107.2455</t>
  </si>
  <si>
    <t>FO thuê#CMC#QTTP08-QTHL25</t>
  </si>
  <si>
    <t>15092.01</t>
  </si>
  <si>
    <t>15061.66</t>
  </si>
  <si>
    <t>16.746937</t>
  </si>
  <si>
    <t>107.194355</t>
  </si>
  <si>
    <t>30.35</t>
  </si>
  <si>
    <t>16.692073</t>
  </si>
  <si>
    <t>107.245351</t>
  </si>
  <si>
    <t>full_h04/Quảng Trị/Mạng cấp III- Quảng Trị (cũ)/Công an Quảng Trị/TTCMKV Ring 3/Hải Lăng - TT2 Quảng Trị/Tuyến trung thế 1</t>
  </si>
  <si>
    <t>Hải Lăng-TX Quảng Trị</t>
  </si>
  <si>
    <t>FO thuê#CMC#QTHL25-QTQT09</t>
  </si>
  <si>
    <t>989.41</t>
  </si>
  <si>
    <t>959.07</t>
  </si>
  <si>
    <t>16.744100</t>
  </si>
  <si>
    <t>107.195866</t>
  </si>
  <si>
    <t>QTHL22-Mỹ Thủy</t>
  </si>
  <si>
    <t>16.77698</t>
  </si>
  <si>
    <t>107.32986</t>
  </si>
  <si>
    <t>16.72653</t>
  </si>
  <si>
    <t>107.335</t>
  </si>
  <si>
    <t>FO thuê#CMC#QTHL22-QTHL10</t>
  </si>
  <si>
    <t>Mỹ Thủy - Vĩnh Định</t>
  </si>
  <si>
    <t>4267.69</t>
  </si>
  <si>
    <t>4222.55</t>
  </si>
  <si>
    <t>16.743266</t>
  </si>
  <si>
    <t>107.311608</t>
  </si>
  <si>
    <t>45.14</t>
  </si>
  <si>
    <t>16.726124</t>
  </si>
  <si>
    <t>107.334998</t>
  </si>
  <si>
    <t>full_h04/Quảng Trị/Mạng cấp IV-Quảng Trị (cũ)/Ring 4/Mỹ Thủy - Vĩnh Định/Tuyến trung thế 3</t>
  </si>
  <si>
    <t>Mỹ Thủy-Hải Lăng</t>
  </si>
  <si>
    <t>FO thuê#CMC#QTHL10-QTHL25</t>
  </si>
  <si>
    <t>Nam hải Lăng - Mỹ Thủy</t>
  </si>
  <si>
    <t>8605.83</t>
  </si>
  <si>
    <t>1165.58</t>
  </si>
  <si>
    <t>16.719866</t>
  </si>
  <si>
    <t>107.343448</t>
  </si>
  <si>
    <t>7440.25</t>
  </si>
  <si>
    <t>16.657613</t>
  </si>
  <si>
    <t>107.305519</t>
  </si>
  <si>
    <t>full_h04/Quảng Trị/Mạng cấp IV-Quảng Trị (cũ)/Ring 4/Nam hải Lăng - Mỹ Thủy/Tuyến trung thế 2 (Băng sông Mỹ chánh dùng 2 Néo)</t>
  </si>
  <si>
    <t>Hải Lăng-Phòng PC07, Đội PCCC khu vực Hải lăng</t>
  </si>
  <si>
    <t>16.71074</t>
  </si>
  <si>
    <t>107.2445</t>
  </si>
  <si>
    <t>FO thuê#CMC#QTHL25-QTHL03</t>
  </si>
  <si>
    <t>1379.78</t>
  </si>
  <si>
    <t>1349.44</t>
  </si>
  <si>
    <t>16.703041</t>
  </si>
  <si>
    <t>107.234706</t>
  </si>
  <si>
    <t>Phòng PC07, Đội PCCC khu vực Hải lăng-QTHL17</t>
  </si>
  <si>
    <t>16.7426</t>
  </si>
  <si>
    <t>107.2784</t>
  </si>
  <si>
    <t>FO thuê#CMC#QTHL03-QTHL17</t>
  </si>
  <si>
    <t>PC07 (Đội PCCC khu vực Hải lăng)-Hải Lăng</t>
  </si>
  <si>
    <t>4980.23</t>
  </si>
  <si>
    <t>73.96</t>
  </si>
  <si>
    <t>16.710955</t>
  </si>
  <si>
    <t>107.245157</t>
  </si>
  <si>
    <t>4906.27</t>
  </si>
  <si>
    <t>16.709967</t>
  </si>
  <si>
    <t>107.247390</t>
  </si>
  <si>
    <t>full_h04/Quảng Trị/Mạng cấp III- Quảng Trị (cũ)/Cấp phòng/Phòng-Nhánh lẽ/PC07 (Đội PCCC khu vực Hải lăng)-Hải Lăng/Tuyến trung thế</t>
  </si>
  <si>
    <t>QTHL17-Triệu Cơ</t>
  </si>
  <si>
    <t>16.76343</t>
  </si>
  <si>
    <t>107.2432</t>
  </si>
  <si>
    <t>FO thuê#CMC#QTHL17-QTTP05</t>
  </si>
  <si>
    <t>4079.00</t>
  </si>
  <si>
    <t>3737.36</t>
  </si>
  <si>
    <t>16.771798</t>
  </si>
  <si>
    <t>107.261014</t>
  </si>
  <si>
    <t>341.64</t>
  </si>
  <si>
    <t>16.766484</t>
  </si>
  <si>
    <t>107.242845</t>
  </si>
  <si>
    <t>full_h04/Quảng Trị/Mạng cấp IV-Quảng Trị (cũ)/Ring 4/Mỹ Thủy - Vĩnh Định/Tuyến trung thế 1</t>
  </si>
  <si>
    <t>Triệu Cơ-Vĩnh Định</t>
  </si>
  <si>
    <t>16.7645</t>
  </si>
  <si>
    <t>107.224</t>
  </si>
  <si>
    <t>FO thuê#CMC#QTTP05-QTHL19</t>
  </si>
  <si>
    <t>Nam Cửa Việt - Triệu Cơ</t>
  </si>
  <si>
    <t>733.45</t>
  </si>
  <si>
    <t>46.07</t>
  </si>
  <si>
    <t>16.763350</t>
  </si>
  <si>
    <t>107.242775</t>
  </si>
  <si>
    <t>687.38</t>
  </si>
  <si>
    <t>16.769258</t>
  </si>
  <si>
    <t>107.228122</t>
  </si>
  <si>
    <t>full_h04/Quảng Trị/Mạng cấp IV-Quảng Trị (cũ)/Ring 5/Nam Cửa Việt - Triệu Cơ/Tuyến trung thế 3</t>
  </si>
  <si>
    <t>Vĩnh Định-TX Quảng Trị</t>
  </si>
  <si>
    <t>FO thuê#CMC#QTHL19-QTQT09</t>
  </si>
  <si>
    <t>Quảng Trị-PC07 (Đội PCCC khu vực 5)</t>
  </si>
  <si>
    <t>2915.45</t>
  </si>
  <si>
    <t>2885.90</t>
  </si>
  <si>
    <t>16.755588</t>
  </si>
  <si>
    <t>107.198543</t>
  </si>
  <si>
    <t>29.56</t>
  </si>
  <si>
    <t>16.739565</t>
  </si>
  <si>
    <t>107.188067</t>
  </si>
  <si>
    <t>full_h04/Quảng Trị/Mạng cấp IV-Quảng Trị (cũ)/Ring 5/Quảng Trị-PC07 (Đội PCCC khu vực 5)/Tuyến trung thế</t>
  </si>
  <si>
    <t>Hải Lăng-QTHL06</t>
  </si>
  <si>
    <t>16.66435</t>
  </si>
  <si>
    <t>107.27957</t>
  </si>
  <si>
    <t>FO thuê#CMC#QTHL25-QTHL06</t>
  </si>
  <si>
    <t>Diên Sanh-Nam Hải Lăng</t>
  </si>
  <si>
    <t>334.39</t>
  </si>
  <si>
    <t>44.10</t>
  </si>
  <si>
    <t>16.691837</t>
  </si>
  <si>
    <t>107.245086</t>
  </si>
  <si>
    <t>290.30</t>
  </si>
  <si>
    <t>16.661896</t>
  </si>
  <si>
    <t>107.278641</t>
  </si>
  <si>
    <t>full_h04/Quảng Trị/Mạng cấp IV-Quảng Trị (cũ)/Ring 4/Diên Sanh-Nam Hải Lăng/Tuyến trung thế 1</t>
  </si>
  <si>
    <t>QTHL12-TX Quảng Trị</t>
  </si>
  <si>
    <t>16.7409</t>
  </si>
  <si>
    <t>107.19352</t>
  </si>
  <si>
    <t>FO thuê#CMC#QTHL12-QTQT09</t>
  </si>
  <si>
    <t>TX Quảng Trị - Hải Lăng</t>
  </si>
  <si>
    <t>196.81</t>
  </si>
  <si>
    <t>169.47</t>
  </si>
  <si>
    <t>16.740214</t>
  </si>
  <si>
    <t>107.192099</t>
  </si>
  <si>
    <t>27.34</t>
  </si>
  <si>
    <t>16.739604</t>
  </si>
  <si>
    <t>107.188470</t>
  </si>
  <si>
    <t>full_h04/Quảng Trị/Mạng cấp III- Quảng Trị (cũ)/Công an Quảng Trị/TTCMKV Ring 3/TX Quảng Trị - Hải Lăng/Tuyến hạ thế 3</t>
  </si>
  <si>
    <t>Hải Lăng-QTHL28</t>
  </si>
  <si>
    <t>16.69882</t>
  </si>
  <si>
    <t>107.26566</t>
  </si>
  <si>
    <t>FO thuê#CMC#QTHL25-QTHL28</t>
  </si>
  <si>
    <t>1246.45</t>
  </si>
  <si>
    <t>31.11</t>
  </si>
  <si>
    <t>16.692076</t>
  </si>
  <si>
    <t>107.245344</t>
  </si>
  <si>
    <t>1215.34</t>
  </si>
  <si>
    <t>16.701003</t>
  </si>
  <si>
    <t>107.254479</t>
  </si>
  <si>
    <t>full_h04/Quảng Trị/Mạng cấp III- Quảng Trị (cũ)/Cấp phòng/Phòng-Nhánh lẽ/PC07 (Đội PCCC khu vực Hải lăng)-Hải Lăng/Tuyến cột trung thế</t>
  </si>
  <si>
    <t>QTHL28-Hải Lăng</t>
  </si>
  <si>
    <t>FO thuê#CMC#QTHL28-QTHL05</t>
  </si>
  <si>
    <t>FO thuê#CMC#QTHL05-QTQT09</t>
  </si>
  <si>
    <t>QTTP21-TX Quảng Trị</t>
  </si>
  <si>
    <t>16.772</t>
  </si>
  <si>
    <t>107.18918</t>
  </si>
  <si>
    <t>FO thuê#CMC#QTTP21-QTQT09</t>
  </si>
  <si>
    <t>Ái Tử-TTCMKV TX Quảng Trị</t>
  </si>
  <si>
    <t>1967.45</t>
  </si>
  <si>
    <t>629.55</t>
  </si>
  <si>
    <t>16.767475</t>
  </si>
  <si>
    <t>107.192733</t>
  </si>
  <si>
    <t>1337.90</t>
  </si>
  <si>
    <t>16.751204</t>
  </si>
  <si>
    <t>107.185762</t>
  </si>
  <si>
    <t>full_h04/Quảng Trị/Mạng cấp IV-Quảng Trị (cũ)/Ring 7/Ái Tử-TTCMKV TX Quảng Trị/Tuyến Trung thế 2</t>
  </si>
  <si>
    <t>QTTP47-Ái Tử</t>
  </si>
  <si>
    <t>16.81954</t>
  </si>
  <si>
    <t>107.17156</t>
  </si>
  <si>
    <t>16.791</t>
  </si>
  <si>
    <t>107.1727</t>
  </si>
  <si>
    <t>FO thuê#CMC#QTTP47-QTTP10</t>
  </si>
  <si>
    <t>3005.76</t>
  </si>
  <si>
    <t>3005.20</t>
  </si>
  <si>
    <t>16.792856</t>
  </si>
  <si>
    <t>107.176041</t>
  </si>
  <si>
    <t>0.56</t>
  </si>
  <si>
    <t>16.790996</t>
  </si>
  <si>
    <t>107.172702</t>
  </si>
  <si>
    <t>full_h04/Quảng Trị/Mạng cấp IV-Quảng Trị (cũ)/Ring 7/Ái Tử-TTCMKV TX Quảng Trị/Tuyến Hạ thế 3</t>
  </si>
  <si>
    <t>Ái Tử-QTQT05</t>
  </si>
  <si>
    <t>16.74284</t>
  </si>
  <si>
    <t>107.1853</t>
  </si>
  <si>
    <t>FO thuê#CMC#QTTP10-QTQT05</t>
  </si>
  <si>
    <t>3251.83</t>
  </si>
  <si>
    <t>2219.45</t>
  </si>
  <si>
    <t>16.777950</t>
  </si>
  <si>
    <t>107.156925</t>
  </si>
  <si>
    <t>1032.38</t>
  </si>
  <si>
    <t>QTQT05-TX Quảng Trị</t>
  </si>
  <si>
    <t>FO thuê#CMC#QTQT05-QTQT09</t>
  </si>
  <si>
    <t>185.49</t>
  </si>
  <si>
    <t>155.45</t>
  </si>
  <si>
    <t>16.741446</t>
  </si>
  <si>
    <t>107.185410</t>
  </si>
  <si>
    <t>30.04</t>
  </si>
  <si>
    <t>16.739592</t>
  </si>
  <si>
    <t>107.188083</t>
  </si>
  <si>
    <t>full_h04/Quảng Trị/Mạng cấp IV-Quảng Trị (cũ)/Ring 7/Ái Tử-TTCMKV TX Quảng Trị/Tuyến Hạ thế 5</t>
  </si>
  <si>
    <t>QTTP48-Phòng PC07, Đội PCCC khu vực 5</t>
  </si>
  <si>
    <t>16.79406</t>
  </si>
  <si>
    <t>107.2448</t>
  </si>
  <si>
    <t>16.75634</t>
  </si>
  <si>
    <t>107.1986</t>
  </si>
  <si>
    <t>FO thuê#CMC#QTTP48-QTQT06</t>
  </si>
  <si>
    <t>3373.30</t>
  </si>
  <si>
    <t>30.58</t>
  </si>
  <si>
    <t>16.794289</t>
  </si>
  <si>
    <t>107.244959</t>
  </si>
  <si>
    <t>3342.73</t>
  </si>
  <si>
    <t>16.771896</t>
  </si>
  <si>
    <t>107.225466</t>
  </si>
  <si>
    <t>Phòng PC07, Đội PCCC khu vực 5-TX Quảng Trị</t>
  </si>
  <si>
    <t>FO thuê#CMC#QTQT06-QTQT09</t>
  </si>
  <si>
    <t>83.81</t>
  </si>
  <si>
    <t>TX Quảng Trị-QTQT03</t>
  </si>
  <si>
    <t>16.74744</t>
  </si>
  <si>
    <t>107.17837</t>
  </si>
  <si>
    <t>FO thuê#CMC#QTQT09-QTQT03</t>
  </si>
  <si>
    <t>TTCMKV Triệu Phong - TX Quảng Trị</t>
  </si>
  <si>
    <t>617.42</t>
  </si>
  <si>
    <t>570.32</t>
  </si>
  <si>
    <t>16.741590</t>
  </si>
  <si>
    <t>107.183447</t>
  </si>
  <si>
    <t>47.10</t>
  </si>
  <si>
    <t>16.747253</t>
  </si>
  <si>
    <t>107.177973</t>
  </si>
  <si>
    <t>full_h04/Quảng Trị/Mạng cấp III- Quảng Trị (cũ)/Cấp phòng/Phòng-Ring 7/TTCMKV Triệu Phong - TX Quảng Trị/Tuyến Hạ Thế 2 ( Có đoạn băng cầu)</t>
  </si>
  <si>
    <t>QTQT03-TX Quảng Trị</t>
  </si>
  <si>
    <t>FO thuê#CMC#QTQT03-QTQT09</t>
  </si>
  <si>
    <t>QTHL50-Hải Lăng</t>
  </si>
  <si>
    <t>16.72548</t>
  </si>
  <si>
    <t>107.22768</t>
  </si>
  <si>
    <t>FO thuê#CMC#QTHL50-QTHL05</t>
  </si>
  <si>
    <t>975.49</t>
  </si>
  <si>
    <t>945.15</t>
  </si>
  <si>
    <t>16.718718</t>
  </si>
  <si>
    <t>107.222302</t>
  </si>
  <si>
    <t>QTDH56-Đông Hà</t>
  </si>
  <si>
    <t>16.81538</t>
  </si>
  <si>
    <t>107.09006</t>
  </si>
  <si>
    <t>16.81241</t>
  </si>
  <si>
    <t>107.0893</t>
  </si>
  <si>
    <t>FO thuê#CMC#QTDH56-QTDH07</t>
  </si>
  <si>
    <t>Gio Linh-Đông Hà</t>
  </si>
  <si>
    <t>58.35</t>
  </si>
  <si>
    <t>29.18</t>
  </si>
  <si>
    <t>16.815601</t>
  </si>
  <si>
    <t>107.090208</t>
  </si>
  <si>
    <t>29.17</t>
  </si>
  <si>
    <t>16.812353</t>
  </si>
  <si>
    <t>107.089033</t>
  </si>
  <si>
    <t>full_h04/Quảng Trị/Mạng cấp IV-Quảng Trị (cũ)/Ring 3/Gio Linh-Đông Hà/Tuyến trung thế 5</t>
  </si>
  <si>
    <t>QTGL19-Cửa Việt</t>
  </si>
  <si>
    <t>16.93446</t>
  </si>
  <si>
    <t>107.16216</t>
  </si>
  <si>
    <t>FO thuê#CMC#QTGL19-QTGL03</t>
  </si>
  <si>
    <t>824.87</t>
  </si>
  <si>
    <t>240.69</t>
  </si>
  <si>
    <t>16.933150</t>
  </si>
  <si>
    <t>107.160359</t>
  </si>
  <si>
    <t>QTDH33-Phòng PH10 Bệnh xá Cơ sở 1 - Phía Nam</t>
  </si>
  <si>
    <t>16.77582</t>
  </si>
  <si>
    <t>107.11228</t>
  </si>
  <si>
    <t>16.7889</t>
  </si>
  <si>
    <t>107.1041</t>
  </si>
  <si>
    <t>FO thuê#CMC#QTDH33-QTDH34</t>
  </si>
  <si>
    <t>Trung tâm sát hạch lái xe - TX Quảng Trị</t>
  </si>
  <si>
    <t>1209.60</t>
  </si>
  <si>
    <t>897.53</t>
  </si>
  <si>
    <t>16.783339</t>
  </si>
  <si>
    <t>107.109214</t>
  </si>
  <si>
    <t>312.07</t>
  </si>
  <si>
    <t>16.786483</t>
  </si>
  <si>
    <t>107.105590</t>
  </si>
  <si>
    <t>full_h04/Quảng Trị/Mạng cấp III- Quảng Trị (cũ)/Cấp phòng/Phòng-Ring 4/Trung tâm sát hạch lái xe - TX Quảng Trị/Tuyến trung thế 2</t>
  </si>
  <si>
    <t>QTDH24-Trung tâm sát hạch lái xe</t>
  </si>
  <si>
    <t>16.78979</t>
  </si>
  <si>
    <t>107.0994</t>
  </si>
  <si>
    <t>FO thuê#CMC#QTDH24-QTDH50</t>
  </si>
  <si>
    <t>131.01</t>
  </si>
  <si>
    <t>90.65</t>
  </si>
  <si>
    <t>16.790571</t>
  </si>
  <si>
    <t>107.099158</t>
  </si>
  <si>
    <t>QTDH52-Trung tâm sát hạch lái xe</t>
  </si>
  <si>
    <t>16.78768</t>
  </si>
  <si>
    <t>107.06597</t>
  </si>
  <si>
    <t>FO thuê#CMC#QTDH52-QTDH50</t>
  </si>
  <si>
    <t>Hiếu Giang-CA Công an Quảng Trị</t>
  </si>
  <si>
    <t>250.41</t>
  </si>
  <si>
    <t>246.40</t>
  </si>
  <si>
    <t>16.789893</t>
  </si>
  <si>
    <t>107.065859</t>
  </si>
  <si>
    <t>4.01</t>
  </si>
  <si>
    <t>16.790272</t>
  </si>
  <si>
    <t>107.090967</t>
  </si>
  <si>
    <t>full_h04/Quảng Trị/Mạng cấp IV-Quảng Trị (cũ)/Ring 2/Hiếu Giang-CA Công an Quảng Trị/Tuyến trung thế 1</t>
  </si>
  <si>
    <t>QTDH38-TP Đông Hà</t>
  </si>
  <si>
    <t>16.81529</t>
  </si>
  <si>
    <t>107.10029</t>
  </si>
  <si>
    <t>FO thuê#CMC#QTDH38-QTDH17</t>
  </si>
  <si>
    <t>106.05</t>
  </si>
  <si>
    <t>72.54</t>
  </si>
  <si>
    <t>16.814690</t>
  </si>
  <si>
    <t>107.100023</t>
  </si>
  <si>
    <t>33.50</t>
  </si>
  <si>
    <t>16.815836</t>
  </si>
  <si>
    <t>107.105145</t>
  </si>
  <si>
    <t>full_h04/Quảng Trị/Mạng cấp IV-Quảng Trị (cũ)/Ring 6/Cam Lộ - Nam Đông Hà/Tuyến hạ thế 4</t>
  </si>
  <si>
    <t>QTDH60-Phòng PH10 Bệnh xá Cơ sở 1 - Phía Nam</t>
  </si>
  <si>
    <t>16.79118</t>
  </si>
  <si>
    <t>107.11464</t>
  </si>
  <si>
    <t>FO thuê#CMC#QTDH60-QTDH34</t>
  </si>
  <si>
    <t>573.98</t>
  </si>
  <si>
    <t>407.92</t>
  </si>
  <si>
    <t>16.794229</t>
  </si>
  <si>
    <t>107.112510</t>
  </si>
  <si>
    <t>166.06</t>
  </si>
  <si>
    <t>16.790262</t>
  </si>
  <si>
    <t>107.103460</t>
  </si>
  <si>
    <t>QTDH61-PC11 (Trại tạm giam)</t>
  </si>
  <si>
    <t>16.80207</t>
  </si>
  <si>
    <t>107.0926</t>
  </si>
  <si>
    <t>16.80126</t>
  </si>
  <si>
    <t>107.0875</t>
  </si>
  <si>
    <t>FO thuê#CMC#QTDH61-QTDH04</t>
  </si>
  <si>
    <t>Đông Hà-CA Công an Quảng Trị</t>
  </si>
  <si>
    <t>397.07</t>
  </si>
  <si>
    <t>197.87</t>
  </si>
  <si>
    <t>16.800302</t>
  </si>
  <si>
    <t>107.092807</t>
  </si>
  <si>
    <t>199.20</t>
  </si>
  <si>
    <t>16.800886</t>
  </si>
  <si>
    <t>107.085670</t>
  </si>
  <si>
    <t>full_h04/Quảng Trị/Mạng cấp IV-Quảng Trị (cũ)/Ring 3/Đông Hà-CA Công an Quảng Trị/Tuyến trung thế 1</t>
  </si>
  <si>
    <t>QTGL20-Bến Hải</t>
  </si>
  <si>
    <t>16.99723</t>
  </si>
  <si>
    <t>107.1097</t>
  </si>
  <si>
    <t>FO thuê#CMC#QTGL20-QTGL12</t>
  </si>
  <si>
    <t>81.65</t>
  </si>
  <si>
    <t>58.75</t>
  </si>
  <si>
    <t>16.997064</t>
  </si>
  <si>
    <t>107.109176</t>
  </si>
  <si>
    <t>QTTP45-Ái Tử</t>
  </si>
  <si>
    <t>16.78299</t>
  </si>
  <si>
    <t>107.16666</t>
  </si>
  <si>
    <t>FO thuê#CMC#QTTP45-QTTP10</t>
  </si>
  <si>
    <t>Triệu Phong-Ái Tử</t>
  </si>
  <si>
    <t>892.75</t>
  </si>
  <si>
    <t>881.84</t>
  </si>
  <si>
    <t>16.789978</t>
  </si>
  <si>
    <t>107.170577</t>
  </si>
  <si>
    <t>10.92</t>
  </si>
  <si>
    <t>16.791053</t>
  </si>
  <si>
    <t>107.172613</t>
  </si>
  <si>
    <t>full_h04/Quảng Trị/Mạng cấp IV-Quảng Trị (cũ)/Ring 7/Triệu Phong-Ái Tử/Tuyến hạ thế</t>
  </si>
  <si>
    <t>Phòng PC07, Đội PCCC khu vực 5-QTQT02</t>
  </si>
  <si>
    <t>16.76573</t>
  </si>
  <si>
    <t>107.20434</t>
  </si>
  <si>
    <t>FO thuê#CMC#QTQT06-QTQT02</t>
  </si>
  <si>
    <t>PC07 (Đội PCCC khu vực 5)-Triệu Cơ</t>
  </si>
  <si>
    <t>160.44</t>
  </si>
  <si>
    <t>38.99</t>
  </si>
  <si>
    <t>16.756113</t>
  </si>
  <si>
    <t>107.198879</t>
  </si>
  <si>
    <t>121.44</t>
  </si>
  <si>
    <t>16.764667</t>
  </si>
  <si>
    <t>107.204076</t>
  </si>
  <si>
    <t>full_h04/Quảng Trị/Mạng cấp IV-Quảng Trị (cũ)/Ring 5/PC07 (Đội PCCC khu vực 5)-Triệu Cơ/Tuyến trung thế 2</t>
  </si>
  <si>
    <t>Vĩnh Định-QTHL42</t>
  </si>
  <si>
    <t>16.76467</t>
  </si>
  <si>
    <t>107.22041</t>
  </si>
  <si>
    <t>FO thuê#CMC#QTHL19-QTHL42</t>
  </si>
  <si>
    <t>201.03</t>
  </si>
  <si>
    <t>9.82</t>
  </si>
  <si>
    <t>16.764587</t>
  </si>
  <si>
    <t>107.223982</t>
  </si>
  <si>
    <t>191.20</t>
  </si>
  <si>
    <t>16.765232</t>
  </si>
  <si>
    <t>107.222107</t>
  </si>
  <si>
    <t>full_h04/Quảng Trị/Mạng cấp IV-Quảng Trị (cũ)/Ring 4/Mỹ Thủy - Vĩnh Định/Tuyến hạ thế 1</t>
  </si>
  <si>
    <t>QTTP20-Triệu Cơ</t>
  </si>
  <si>
    <t>16.77247</t>
  </si>
  <si>
    <t>107.2321</t>
  </si>
  <si>
    <t>FO thuê#CMC#QTTP20-QTTP05</t>
  </si>
  <si>
    <t>583.29</t>
  </si>
  <si>
    <t>537.22</t>
  </si>
  <si>
    <t>16.768227</t>
  </si>
  <si>
    <t>107.229687</t>
  </si>
  <si>
    <t>Triệu Cơ-QTHL43</t>
  </si>
  <si>
    <t>16.77302</t>
  </si>
  <si>
    <t>107.2656</t>
  </si>
  <si>
    <t>FO thuê#CMC#QTTP05-QTHL43</t>
  </si>
  <si>
    <t>848.47</t>
  </si>
  <si>
    <t>506.83</t>
  </si>
  <si>
    <t>QTHL34-Mỹ Thủy</t>
  </si>
  <si>
    <t>16.73679</t>
  </si>
  <si>
    <t>107.32397</t>
  </si>
  <si>
    <t>FO thuê#CMC#QTHL34-QTHL10</t>
  </si>
  <si>
    <t>367.90</t>
  </si>
  <si>
    <t>322.75</t>
  </si>
  <si>
    <t>16.734660</t>
  </si>
  <si>
    <t>107.321911</t>
  </si>
  <si>
    <t>QTQT10-Phòng PC07, Đội PCCC khu vực 5</t>
  </si>
  <si>
    <t>16.74887</t>
  </si>
  <si>
    <t>107.19196</t>
  </si>
  <si>
    <t>FO thuê#CMC#QTQT10-QTQT06</t>
  </si>
  <si>
    <t>312.67</t>
  </si>
  <si>
    <t>228.86</t>
  </si>
  <si>
    <t>16.749626</t>
  </si>
  <si>
    <t>107.193959</t>
  </si>
  <si>
    <t>QTHL04-Mỹ Thủy</t>
  </si>
  <si>
    <t>16.75406</t>
  </si>
  <si>
    <t>107.36818</t>
  </si>
  <si>
    <t>FO thuê#CMC#QTHL04-QTHL10</t>
  </si>
  <si>
    <t>4600.14</t>
  </si>
  <si>
    <t>4504.26</t>
  </si>
  <si>
    <t>16.720812</t>
  </si>
  <si>
    <t>107.344017</t>
  </si>
  <si>
    <t>95.88</t>
  </si>
  <si>
    <t>16.725816</t>
  </si>
  <si>
    <t>107.335505</t>
  </si>
  <si>
    <t>full_h04/Quảng Trị/Mạng cấp IV-Quảng Trị (cũ)/Ring 4/Nam hải Lăng - Mỹ Thủy/Tuyến trung thế 1</t>
  </si>
  <si>
    <t>QTHL39-Hải Lăng</t>
  </si>
  <si>
    <t>16.67688</t>
  </si>
  <si>
    <t>107.30419</t>
  </si>
  <si>
    <t>FO thuê#CMC#QTHL39-QTHL25</t>
  </si>
  <si>
    <t>3153.37</t>
  </si>
  <si>
    <t>3109.27</t>
  </si>
  <si>
    <t>16.660246</t>
  </si>
  <si>
    <t>107.280727</t>
  </si>
  <si>
    <t>VNPOST Lương An-TT2 Quảng Trị</t>
  </si>
  <si>
    <t>FO DT#MBF#VNPOST Lương An-QTDH14</t>
  </si>
  <si>
    <t>664.55</t>
  </si>
  <si>
    <t>574.74</t>
  </si>
  <si>
    <t>16.812517</t>
  </si>
  <si>
    <t>107.106554</t>
  </si>
  <si>
    <t>89.80</t>
  </si>
  <si>
    <t>16.790647</t>
  </si>
  <si>
    <t>107.105089</t>
  </si>
  <si>
    <t>QTCL_newsite1-TT2 Quảng Trị</t>
  </si>
  <si>
    <t>16.8097</t>
  </si>
  <si>
    <t>107.00179</t>
  </si>
  <si>
    <t>FO DT#MBF#QTCL_newsite1-QTDH14</t>
  </si>
  <si>
    <t>2305.08</t>
  </si>
  <si>
    <t>2240.84</t>
  </si>
  <si>
    <t>QTDH35-TT2 Quảng Trị</t>
  </si>
  <si>
    <t>16.80033</t>
  </si>
  <si>
    <t>107.10853</t>
  </si>
  <si>
    <t>FO DT#MBF#QTDH35-QTDH14</t>
  </si>
  <si>
    <t>731.79</t>
  </si>
  <si>
    <t>641.99</t>
  </si>
  <si>
    <t>16.801244</t>
  </si>
  <si>
    <t>107.114485</t>
  </si>
  <si>
    <t>QTDH32-TT2 Quảng Trị</t>
  </si>
  <si>
    <t>16.80418</t>
  </si>
  <si>
    <t>107.11417</t>
  </si>
  <si>
    <t>FO DT#MBF#QTDH32-QTDH14</t>
  </si>
  <si>
    <t>132.40</t>
  </si>
  <si>
    <t>42.59</t>
  </si>
  <si>
    <t>16.804106</t>
  </si>
  <si>
    <t>107.113777</t>
  </si>
  <si>
    <t>VNPOST Lương An-TP Đông Hà</t>
  </si>
  <si>
    <t>FO DT#MBF#VNPOST Lương An-QTDH17</t>
  </si>
  <si>
    <t>Vĩnh Linh - TT2 Quảng Trị</t>
  </si>
  <si>
    <t>412.50</t>
  </si>
  <si>
    <t>82.72</t>
  </si>
  <si>
    <t>16.815229</t>
  </si>
  <si>
    <t>107.110372</t>
  </si>
  <si>
    <t>329.79</t>
  </si>
  <si>
    <t>16.817404</t>
  </si>
  <si>
    <t>107.107906</t>
  </si>
  <si>
    <t>full_h04/Quảng Trị/Mạng cấp III- Quảng Trị (cũ)/Công an Quảng Trị/TTCMKV Ring 4/Vĩnh Linh - TT2 Quảng Trị/Tuyến trung thế</t>
  </si>
  <si>
    <t>QTDH08-Phòng PH10 Bệnh xá Cơ sở 1 - Phía Nam</t>
  </si>
  <si>
    <t>FO DT#MBF#QTDH08-QTDH34</t>
  </si>
  <si>
    <t>883.07</t>
  </si>
  <si>
    <t>220.92</t>
  </si>
  <si>
    <t>Phòng PH10 Bệnh xá Cơ sở 1 - Phía Nam-TT2 Quảng Trị</t>
  </si>
  <si>
    <t>FO DT#MBF#QTDH34-QTDH14</t>
  </si>
  <si>
    <t>PA07</t>
  </si>
  <si>
    <t>139.76</t>
  </si>
  <si>
    <t>90.53</t>
  </si>
  <si>
    <t>16.789712</t>
  </si>
  <si>
    <t>107.104035</t>
  </si>
  <si>
    <t>49.23</t>
  </si>
  <si>
    <t>16.790007</t>
  </si>
  <si>
    <t>107.104020</t>
  </si>
  <si>
    <t>full_h04/Quảng Trị/Mạng cấp III- Quảng Trị (cũ)/Cấp phòng/Phòng-Ring 5/Khối CS-PC04/PA07/Tuyến Ngầm mới (Nhập trạm)</t>
  </si>
  <si>
    <t>QTDH36-PC04/PA07</t>
  </si>
  <si>
    <t>16.8189</t>
  </si>
  <si>
    <t>107.09815</t>
  </si>
  <si>
    <t>16.80926</t>
  </si>
  <si>
    <t>107.0959</t>
  </si>
  <si>
    <t>FO DT#MBF#QTDH36-QTDH05</t>
  </si>
  <si>
    <t>PC07-Khối CS</t>
  </si>
  <si>
    <t>682.54</t>
  </si>
  <si>
    <t>411.42</t>
  </si>
  <si>
    <t>16.815262</t>
  </si>
  <si>
    <t>107.097443</t>
  </si>
  <si>
    <t>271.13</t>
  </si>
  <si>
    <t>16.809928</t>
  </si>
  <si>
    <t>107.098350</t>
  </si>
  <si>
    <t>full_h04/Quảng Trị/Mạng cấp III- Quảng Trị (cũ)/Cấp phòng/Phòng-Ring 5/PC07-Khối CS/Tuyến trung thế 1</t>
  </si>
  <si>
    <t>PC04/PA07-TT2 Quảng Trị</t>
  </si>
  <si>
    <t>FO DT#MBF#QTDH05-QTDH14</t>
  </si>
  <si>
    <t>1197.22</t>
  </si>
  <si>
    <t>1107.42</t>
  </si>
  <si>
    <t>QTDH27-TT2 Quảng Trị</t>
  </si>
  <si>
    <t>16.80727</t>
  </si>
  <si>
    <t>107.09889</t>
  </si>
  <si>
    <t>FO DT#MBF#QTDH27-QTDH14</t>
  </si>
  <si>
    <t>1086.74</t>
  </si>
  <si>
    <t>996.93</t>
  </si>
  <si>
    <t>16.813187</t>
  </si>
  <si>
    <t>107.105927</t>
  </si>
  <si>
    <t>QTDH09-Đông Hà</t>
  </si>
  <si>
    <t>16.81988</t>
  </si>
  <si>
    <t>107.09096</t>
  </si>
  <si>
    <t>FO DT#MBF#QTDH09-QTDH07</t>
  </si>
  <si>
    <t>41.08</t>
  </si>
  <si>
    <t>11.90</t>
  </si>
  <si>
    <t>16.819821</t>
  </si>
  <si>
    <t>107.090867</t>
  </si>
  <si>
    <t>Đông Hà-PC07</t>
  </si>
  <si>
    <t>FO DT#MBF#QTDH07-QTDH19</t>
  </si>
  <si>
    <t>44.28</t>
  </si>
  <si>
    <t>15.10</t>
  </si>
  <si>
    <t>16.813209</t>
  </si>
  <si>
    <t>107.088835</t>
  </si>
  <si>
    <t>PC07-PC11 (Trại tạm giam)</t>
  </si>
  <si>
    <t>FO DT#MBF#QTDH19-QTDH04</t>
  </si>
  <si>
    <t>728.56</t>
  </si>
  <si>
    <t>529.36</t>
  </si>
  <si>
    <t>16.808980</t>
  </si>
  <si>
    <t>107.086501</t>
  </si>
  <si>
    <t>PC11 (Trại tạm giam)-Trung tâm sát hạch lái xe</t>
  </si>
  <si>
    <t>FO DT#MBF#QTDH04-QTDH50</t>
  </si>
  <si>
    <t>437.57</t>
  </si>
  <si>
    <t>280.22</t>
  </si>
  <si>
    <t>16.798743</t>
  </si>
  <si>
    <t>107.087372</t>
  </si>
  <si>
    <t>157.35</t>
  </si>
  <si>
    <t>16.790248</t>
  </si>
  <si>
    <t>107.089523</t>
  </si>
  <si>
    <t>full_h04/Quảng Trị/Mạng cấp III- Quảng Trị (cũ)/Cấp phòng/Phòng-Ring 5/Khối CS-PC04/PA07/Tuyến trung thế 2</t>
  </si>
  <si>
    <t>QTCL01-Cam Lộ</t>
  </si>
  <si>
    <t>16.80691</t>
  </si>
  <si>
    <t>106.99367</t>
  </si>
  <si>
    <t>FO DT#MBF#QTCL01-QTCL34</t>
  </si>
  <si>
    <t>Đăk Rông - Cam Lộ</t>
  </si>
  <si>
    <t>65.25</t>
  </si>
  <si>
    <t>26.25</t>
  </si>
  <si>
    <t>16.806694</t>
  </si>
  <si>
    <t>106.993571</t>
  </si>
  <si>
    <t>39.00</t>
  </si>
  <si>
    <t>16.807315</t>
  </si>
  <si>
    <t>106.993066</t>
  </si>
  <si>
    <t>full_h04/Quảng Trị/Mạng cấp III- Quảng Trị (cũ)/Công an Quảng Trị/TTCMKV Ring 4/Đăk Rông - Cam Lộ/Tuyến Trung thế 1</t>
  </si>
  <si>
    <t>QTCL04-Cam Lộ</t>
  </si>
  <si>
    <t>16.80247</t>
  </si>
  <si>
    <t>107.02414</t>
  </si>
  <si>
    <t>FO DT#MBF#QTCL04-QTCL34</t>
  </si>
  <si>
    <t>261.15</t>
  </si>
  <si>
    <t>235.91</t>
  </si>
  <si>
    <t>16.800385</t>
  </si>
  <si>
    <t>107.023729</t>
  </si>
  <si>
    <t>QTTP37-TT2 Quảng Trị</t>
  </si>
  <si>
    <t>16.78131</t>
  </si>
  <si>
    <t>107.13157</t>
  </si>
  <si>
    <t>FO DT#MBF#QTTP37-QTDH14</t>
  </si>
  <si>
    <t>TT2 Quảng Trị - TX Quảng Trị</t>
  </si>
  <si>
    <t>2008.61</t>
  </si>
  <si>
    <t>935.20</t>
  </si>
  <si>
    <t>16.785588</t>
  </si>
  <si>
    <t>107.124006</t>
  </si>
  <si>
    <t>1073.41</t>
  </si>
  <si>
    <t>16.785213</t>
  </si>
  <si>
    <t>107.112830</t>
  </si>
  <si>
    <t>full_h04/Quảng Trị/Mạng cấp III- Quảng Trị (cũ)/Công an Quảng Trị/TTCMKV Ring 3/TT2 Quảng Trị - TX Quảng Trị/Tuyến trung thế 4</t>
  </si>
  <si>
    <t>QTGL49-Bến Hải</t>
  </si>
  <si>
    <t>16.9518</t>
  </si>
  <si>
    <t>107.11288</t>
  </si>
  <si>
    <t>FO DT#MBF#QTGL49-QTGL12</t>
  </si>
  <si>
    <t>3270.60</t>
  </si>
  <si>
    <t>3248.72</t>
  </si>
  <si>
    <t>16.978266</t>
  </si>
  <si>
    <t>107.099942</t>
  </si>
  <si>
    <t>QTVL06-Phòng PC07, Đội PCCC khu vực 3</t>
  </si>
  <si>
    <t>17.06836</t>
  </si>
  <si>
    <t>107.00447</t>
  </si>
  <si>
    <t>17.07781</t>
  </si>
  <si>
    <t>106.9983</t>
  </si>
  <si>
    <t>FO DT#MBF#QTVL06-QTVL01</t>
  </si>
  <si>
    <t>Phòng PC07 (Đội PCCC khu vực 3)-Vĩnh Linh</t>
  </si>
  <si>
    <t>345.78</t>
  </si>
  <si>
    <t>254.51</t>
  </si>
  <si>
    <t>17.070645</t>
  </si>
  <si>
    <t>107.004336</t>
  </si>
  <si>
    <t>91.27</t>
  </si>
  <si>
    <t>17.077088</t>
  </si>
  <si>
    <t>106.997892</t>
  </si>
  <si>
    <t>full_h04/Quảng Trị/Mạng cấp III- Quảng Trị (cũ)/Cấp phòng/Phòng-Nhánh lẽ/Phòng PC07 (Đội PCCC khu vực 3)-Vĩnh Linh/Tuyến trung thế 1</t>
  </si>
  <si>
    <t>QTVL22-Phòng PC07, Đội PCCC khu vực 3</t>
  </si>
  <si>
    <t>17.09841</t>
  </si>
  <si>
    <t>106.98224</t>
  </si>
  <si>
    <t>FO DT#MBF#QTVL22-QTVL01</t>
  </si>
  <si>
    <t>Vĩnh Hoàng-Bến Quan</t>
  </si>
  <si>
    <t>2655.86</t>
  </si>
  <si>
    <t>2537.60</t>
  </si>
  <si>
    <t>17.076810</t>
  </si>
  <si>
    <t>106.989945</t>
  </si>
  <si>
    <t>118.26</t>
  </si>
  <si>
    <t>17.076766</t>
  </si>
  <si>
    <t>106.998086</t>
  </si>
  <si>
    <t>full_h04/Quảng Trị/Mạng cấp IV-Quảng Trị (cũ)/Ring 1/Vĩnh Hoàng-Bến Quan/Tuyến trung thế 1</t>
  </si>
  <si>
    <t>QTQT04-TX Quảng Trị</t>
  </si>
  <si>
    <t>16.70533</t>
  </si>
  <si>
    <t>107.16344</t>
  </si>
  <si>
    <t>FO DT#MBF#QTQT04-QTQT09</t>
  </si>
  <si>
    <t>4453.98</t>
  </si>
  <si>
    <t>4421.48</t>
  </si>
  <si>
    <t>16.739268</t>
  </si>
  <si>
    <t>107.185075</t>
  </si>
  <si>
    <t>32.49</t>
  </si>
  <si>
    <t>16.739595</t>
  </si>
  <si>
    <t>107.188056</t>
  </si>
  <si>
    <t>full_h04/Quảng Trị/Mạng cấp III- Quảng Trị (cũ)/Cấp phòng/Phòng-Ring 4/Trung tâm sát hạch lái xe - TX Quảng Trị/Tuyến hạ thế 7</t>
  </si>
  <si>
    <t>Công an xã Trường Xuân-DGDS46</t>
  </si>
  <si>
    <t>12.102472</t>
  </si>
  <si>
    <t>107.654444</t>
  </si>
  <si>
    <t>12.08581</t>
  </si>
  <si>
    <t>107.65562</t>
  </si>
  <si>
    <t>FO thuê#VNPT#DGDS21-DGDS46</t>
  </si>
  <si>
    <t>Công an tỉnh Lâm Đồng - TT2 - Công an xã Đức An (Trụ sở CAH Đắk Song cũ)</t>
  </si>
  <si>
    <t>589.48</t>
  </si>
  <si>
    <t>364.81</t>
  </si>
  <si>
    <t>12.099976</t>
  </si>
  <si>
    <t>107.656622</t>
  </si>
  <si>
    <t>224.66</t>
  </si>
  <si>
    <t>12.087807</t>
  </si>
  <si>
    <t>107.655304</t>
  </si>
  <si>
    <t>full_h04/Đắk Nông/Đăk Nông - Ring 3.kmz/Đăk Nông - Ring 3/Công an tỉnh Lâm Đồng - TT2 - Công an xã Đức An (Trụ sở CAH Đắk Song cũ)/trung thế</t>
  </si>
  <si>
    <t>Công an xã Đức Lập (Trụ sở 2 CAH Đắk Mil cũ)-DGDM01</t>
  </si>
  <si>
    <t>12.447389</t>
  </si>
  <si>
    <t>107.621694</t>
  </si>
  <si>
    <t>12.44905</t>
  </si>
  <si>
    <t>107.62149</t>
  </si>
  <si>
    <t>FO thuê#VNPT#DGDM29-DGDM01</t>
  </si>
  <si>
    <t>Công an xã Đức Lập (Trụ sở 2 CAH Đắk Mil cũ)
 -  Công an xã Cư Jút (Trụ sở CAH Cư Jút cũ)</t>
  </si>
  <si>
    <t>67.33</t>
  </si>
  <si>
    <t>2.06</t>
  </si>
  <si>
    <t>12.447380</t>
  </si>
  <si>
    <t>107.621711</t>
  </si>
  <si>
    <t>65.27</t>
  </si>
  <si>
    <t>12.448696</t>
  </si>
  <si>
    <t>107.621010</t>
  </si>
  <si>
    <t>full_h04/Đắk Nông/Đắk Nông - Ring 1.kmz/Đắk Nông - Ring 1/Công an xã Đức Lập (Trụ sở 2 CAH Đắk Mil cũ)
 -  Công an xã Cư Jút (Trụ sở CAH Cư Jút cũ)/Ngầm xây dựng mới</t>
  </si>
  <si>
    <t>Công an xã Nam Dong-DGCJ11</t>
  </si>
  <si>
    <t>12.650222</t>
  </si>
  <si>
    <t>107.873528</t>
  </si>
  <si>
    <t>12.62613</t>
  </si>
  <si>
    <t>107.87282</t>
  </si>
  <si>
    <t>FO thuê#VNPT#DGCJ01-DGCJ11</t>
  </si>
  <si>
    <t>Công an xã Nam Dong - Công an xã Đắk Mil</t>
  </si>
  <si>
    <t>2681.46</t>
  </si>
  <si>
    <t>0.75</t>
  </si>
  <si>
    <t>12.650228</t>
  </si>
  <si>
    <t>107.873526</t>
  </si>
  <si>
    <t>2680.71</t>
  </si>
  <si>
    <t>full_h04/Đắk Nông/DakNong_Cap IV_Ring 1.kmz/DakNong_Cap IV_Ring 1/Công an xã Nam Dong - Công an xã Đắk Mil/cáp treo</t>
  </si>
  <si>
    <t>Cơ sở cai nghiện Ma Túy số 4 tỉnh Lâm Đồng-DGTD23</t>
  </si>
  <si>
    <t>12.095351</t>
  </si>
  <si>
    <t>107.481352</t>
  </si>
  <si>
    <t>12.09035</t>
  </si>
  <si>
    <t>107.50275</t>
  </si>
  <si>
    <t>FO thuê#VNPT#DGTD05-DGTD23</t>
  </si>
  <si>
    <t>Đường PC08 đội 6 - CS Cai nghiện số 4</t>
  </si>
  <si>
    <t>2304.00</t>
  </si>
  <si>
    <t>47.06</t>
  </si>
  <si>
    <t>12.095341</t>
  </si>
  <si>
    <t>107.480919</t>
  </si>
  <si>
    <t>2256.94</t>
  </si>
  <si>
    <t>12.096983</t>
  </si>
  <si>
    <t>107.483132</t>
  </si>
  <si>
    <t>full_h04/Đắk Nông/Ring 7 - Final.kmz/Ring 7/Đường PC08 đội 6 - CS Cai nghiện số 4/Trung thế</t>
  </si>
  <si>
    <t>Công an xã Đắk Mil-DGDM13</t>
  </si>
  <si>
    <t>12.509472</t>
  </si>
  <si>
    <t>107.749028</t>
  </si>
  <si>
    <t>12.5394</t>
  </si>
  <si>
    <t>107.78745</t>
  </si>
  <si>
    <t>FO thuê#VNPT#DGDM07-DGDM13</t>
  </si>
  <si>
    <t>722.98</t>
  </si>
  <si>
    <t>260.50</t>
  </si>
  <si>
    <t>12.511249</t>
  </si>
  <si>
    <t>107.747464</t>
  </si>
  <si>
    <t>462.48</t>
  </si>
  <si>
    <t>12.543331</t>
  </si>
  <si>
    <t>107.786057</t>
  </si>
  <si>
    <t>full_h04/Đắk Nông/Đắk Nông - Ring 1.kmz/Đắk Nông - Ring 1/Công an xã Đức Lập (Trụ sở 2 CAH Đắk Mil cũ)
 -  Công an xã Cư Jút (Trụ sở CAH Cư Jút cũ)/Trung thế</t>
  </si>
  <si>
    <t>Công an xã Quảng Khê-DGDG09</t>
  </si>
  <si>
    <t>11.911861</t>
  </si>
  <si>
    <t>107.791278</t>
  </si>
  <si>
    <t>11.91863</t>
  </si>
  <si>
    <t>107.78717</t>
  </si>
  <si>
    <t>FO thuê#VNPT#DGDG04-DGDG09</t>
  </si>
  <si>
    <t>Công an tỉnh Lâm Đồng - TT2 - Công an xã Quảng Khê</t>
  </si>
  <si>
    <t>577.64</t>
  </si>
  <si>
    <t>226.46</t>
  </si>
  <si>
    <t>11.913882</t>
  </si>
  <si>
    <t>107.791538</t>
  </si>
  <si>
    <t>351.18</t>
  </si>
  <si>
    <t>11.917935</t>
  </si>
  <si>
    <t>107.790319</t>
  </si>
  <si>
    <t>full_h04/Đắk Nông/Đăk Nông - Mục IV - Ring 10.kmz/Đăk Nông - Mục IV - Ring 10/Công an tỉnh Lâm Đồng - TT2 - Công an xã Quảng Khê/hạ thế</t>
  </si>
  <si>
    <t>Trụ sở Công an xã Tuy Đức là trụ sở CAH Tuy Đức (cũ) - TTCMKV Tuy Đức-Công an xã Đức Lập (Trụ sở 2 CAH Đắk Mil cũ)</t>
  </si>
  <si>
    <t>12.219056</t>
  </si>
  <si>
    <t>107.477611</t>
  </si>
  <si>
    <t>FO thuê#VNPT#DGTD24-DGDM29</t>
  </si>
  <si>
    <t>Công an tỉnh Lâm Đồng - TT2
- Công an xã Đức Lập (Trụ sở 2 CAH Đắk Mil cũ)</t>
  </si>
  <si>
    <t>24690.13</t>
  </si>
  <si>
    <t>24684.21</t>
  </si>
  <si>
    <t>12.415565</t>
  </si>
  <si>
    <t>107.583311</t>
  </si>
  <si>
    <t>5.91</t>
  </si>
  <si>
    <t>12.447349</t>
  </si>
  <si>
    <t>107.621730</t>
  </si>
  <si>
    <t>full_h04/Đắk Nông/Đắk Nông - Ring 1.kmz/Đắk Nông - Ring 1/Công an tỉnh Lâm Đồng - TT2
- Công an xã Đức Lập (Trụ sở 2 CAH Đắk Mil cũ)/Trung thế</t>
  </si>
  <si>
    <t>Công an xã Đức Lập (Trụ sở 2 CAH Đắk Mil cũ)-DGDS05</t>
  </si>
  <si>
    <t>12.20324</t>
  </si>
  <si>
    <t>107.63731</t>
  </si>
  <si>
    <t>FO thuê#VNPT#DGDM29-DGDS05</t>
  </si>
  <si>
    <t>15005.25</t>
  </si>
  <si>
    <t>11711.93</t>
  </si>
  <si>
    <t>12.355719</t>
  </si>
  <si>
    <t>107.568584</t>
  </si>
  <si>
    <t>3293.32</t>
  </si>
  <si>
    <t>12.232109</t>
  </si>
  <si>
    <t>107.630541</t>
  </si>
  <si>
    <t>Trụ sở Công an xã Kiến Đức là trụ sở CAH Đắk R'Lấp (cũ) - TTCMKV Đắk R'Lấp-Trụ sở Công an xã Tuy Đức là trụ sở CAH Tuy Đức (cũ) - TTCMKV Tuy Đức</t>
  </si>
  <si>
    <t>12.007167</t>
  </si>
  <si>
    <t>107.512917</t>
  </si>
  <si>
    <t>FO thuê#VNPT#DGDL37-DGTD24</t>
  </si>
  <si>
    <t>Công an xã Tuy Đức (Trụ sở CAH Tuy Đức cũ) - Công an xã Kiến Đức (Trụ sở CAH Đắk R'Lấp cũ)</t>
  </si>
  <si>
    <t>2597.29</t>
  </si>
  <si>
    <t>2574.22</t>
  </si>
  <si>
    <t>12.018853</t>
  </si>
  <si>
    <t>107.492485</t>
  </si>
  <si>
    <t>23.06</t>
  </si>
  <si>
    <t>12.218915</t>
  </si>
  <si>
    <t>107.477455</t>
  </si>
  <si>
    <t>full_h04/Đắk Nông/Đăk Nông - Ring 3.kmz/Đăk Nông - Ring 3/Công an xã Tuy Đức (Trụ sở CAH Tuy Đức cũ) - Công an xã Kiến Đức (Trụ sở CAH Đắk R'Lấp cũ)/trung thế</t>
  </si>
  <si>
    <t>Trụ sở Công an xã Tuy Đức là trụ sở CAH Tuy Đức (cũ) - TTCMKV Tuy Đức-DGDS05</t>
  </si>
  <si>
    <t>FO thuê#VNPT#DGTD24-DGDS05</t>
  </si>
  <si>
    <t>Công an xã Đức An (Trụ sở CAH Đắk Song cũ) - Công an xã Tuy Đức (Trụ sở CAH Tuy Đức cũ)</t>
  </si>
  <si>
    <t>8914.00</t>
  </si>
  <si>
    <t>4762.24</t>
  </si>
  <si>
    <t>12.199433</t>
  </si>
  <si>
    <t>107.516560</t>
  </si>
  <si>
    <t>4151.75</t>
  </si>
  <si>
    <t>12.229092</t>
  </si>
  <si>
    <t>107.609746</t>
  </si>
  <si>
    <t>full_h04/Đắk Nông/Đăk Nông - Ring 3.kmz/Đăk Nông - Ring 3/Công an xã Đức An (Trụ sở CAH Đắk Song cũ) - Công an xã Tuy Đức (Trụ sở CAH Tuy Đức cũ)/trung thế</t>
  </si>
  <si>
    <t>Trụ sở Công an xã Tuy Đức là trụ sở CAH Tuy Đức (cũ) - TTCMKV Tuy Đức-DGDS11</t>
  </si>
  <si>
    <t>12.29025</t>
  </si>
  <si>
    <t>107.54757</t>
  </si>
  <si>
    <t>FO thuê#VNPT#DGTD24-DGDS11</t>
  </si>
  <si>
    <t>Thuận Hạnh - Quảng Trực</t>
  </si>
  <si>
    <t>9976.35</t>
  </si>
  <si>
    <t>3942.84</t>
  </si>
  <si>
    <t>12.250896</t>
  </si>
  <si>
    <t>107.493579</t>
  </si>
  <si>
    <t>6033.51</t>
  </si>
  <si>
    <t>12.243800</t>
  </si>
  <si>
    <t>107.518868</t>
  </si>
  <si>
    <t>full_h04/Đắk Nông/Ring 6 - Final.kmz/Ring 6/Thuận Hạnh - Quảng Trực/Trồng trụ mới</t>
  </si>
  <si>
    <t>Trụ sở Công an xã Tuy Đức là trụ sở CAH Tuy Đức (cũ) - TTCMKV Tuy Đức-Phòng PC02 - Tổ địa bàn số 2</t>
  </si>
  <si>
    <t>12.41197</t>
  </si>
  <si>
    <t>107.580073</t>
  </si>
  <si>
    <t>FO thuê#VNPT#DGTD24-DGDM34</t>
  </si>
  <si>
    <t>21138.30</t>
  </si>
  <si>
    <t>14760.23</t>
  </si>
  <si>
    <t>12.276176</t>
  </si>
  <si>
    <t>107.600225</t>
  </si>
  <si>
    <t>6378.07</t>
  </si>
  <si>
    <t>Phòng PC02 - Tổ địa bàn số 2-DGDM17</t>
  </si>
  <si>
    <t>12.44853</t>
  </si>
  <si>
    <t>107.6097</t>
  </si>
  <si>
    <t>FO thuê#VNPT#DGDM34-DGDM17</t>
  </si>
  <si>
    <t>670.63</t>
  </si>
  <si>
    <t>532.38</t>
  </si>
  <si>
    <t>138.26</t>
  </si>
  <si>
    <t>12.447320</t>
  </si>
  <si>
    <t>107.609408</t>
  </si>
  <si>
    <t>Phòng PC07 - Đội CC&amp;CNCH khu vực 14-Công an xã Đức Lập (Trụ sở 2 CAH Đắk Mil cũ)</t>
  </si>
  <si>
    <t>12.459472</t>
  </si>
  <si>
    <t>107.613278</t>
  </si>
  <si>
    <t>FO thuê#VNPT#DGDM23-DGDM29</t>
  </si>
  <si>
    <t>Phòng PC07 - Đội CC&amp;CNCH khu vực 14 - Công an xã Đức Lập (Trụ sở 2 CAH Đắk Mil cũ)</t>
  </si>
  <si>
    <t>5.95</t>
  </si>
  <si>
    <t>2.99</t>
  </si>
  <si>
    <t>12.459466</t>
  </si>
  <si>
    <t>107.613251</t>
  </si>
  <si>
    <t>2.96</t>
  </si>
  <si>
    <t>12.447415</t>
  </si>
  <si>
    <t>107.621692</t>
  </si>
  <si>
    <t>full_h04/Đắk Nông/DakNong_Cap IV_Ring 1.kmz/DakNong_Cap IV_Ring 1/Phòng PC07 - Đội CC&amp;CNCH khu vực 14 - Công an xã Đức Lập (Trụ sở 2 CAH Đắk Mil cũ)/trung thế</t>
  </si>
  <si>
    <t>Công an xã Đức Lập (Trụ sở 2 CAH Đắk Mil cũ)-DGDM24</t>
  </si>
  <si>
    <t>12.45477</t>
  </si>
  <si>
    <t>107.6368</t>
  </si>
  <si>
    <t>FO thuê#VNPT#DGDM29-DGDM24</t>
  </si>
  <si>
    <t>290.98</t>
  </si>
  <si>
    <t>174.60</t>
  </si>
  <si>
    <t>12.448781</t>
  </si>
  <si>
    <t>107.620950</t>
  </si>
  <si>
    <t>116.38</t>
  </si>
  <si>
    <t>12.455816</t>
  </si>
  <si>
    <t>107.636764</t>
  </si>
  <si>
    <t>Công an xã Đắk Mil-DGKN37</t>
  </si>
  <si>
    <t>12.46132</t>
  </si>
  <si>
    <t>107.74579</t>
  </si>
  <si>
    <t>FO thuê#VNPT#DGDM07-DGKN37</t>
  </si>
  <si>
    <t>TTCMKV Krông Nô - Đắk Sắk</t>
  </si>
  <si>
    <t>3548.16</t>
  </si>
  <si>
    <t>3423.15</t>
  </si>
  <si>
    <t>12.482524</t>
  </si>
  <si>
    <t>107.764273</t>
  </si>
  <si>
    <t>125.01</t>
  </si>
  <si>
    <t>12.461428</t>
  </si>
  <si>
    <t>107.746936</t>
  </si>
  <si>
    <t>full_h04/Đắk Nông/Ring 4 Final.kmz/Ring 4/TTCMKV Krông Nô - Đắk Sắk/Trung thế</t>
  </si>
  <si>
    <t>Công an xã Đức Lập (Trụ sở 2 CAH Đắk Mil cũ)-DGDM10</t>
  </si>
  <si>
    <t>12.45404</t>
  </si>
  <si>
    <t>107.65631</t>
  </si>
  <si>
    <t>FO thuê#VNPT#DGDM29-DGDM10</t>
  </si>
  <si>
    <t>408.80</t>
  </si>
  <si>
    <t>234.19</t>
  </si>
  <si>
    <t>12.456039</t>
  </si>
  <si>
    <t>107.655632</t>
  </si>
  <si>
    <t>Trụ sở Công an xã Tuy Đức là trụ sở CAH Tuy Đức (cũ) - TTCMKV Tuy Đức-DGDM15</t>
  </si>
  <si>
    <t>12.35606</t>
  </si>
  <si>
    <t>107.56914</t>
  </si>
  <si>
    <t>FO thuê#VNPT#DGTD24-DGDM15</t>
  </si>
  <si>
    <t>14831.56</t>
  </si>
  <si>
    <t>71.33</t>
  </si>
  <si>
    <t>Công an xã Đức Lập (Trụ sở 2 CAH Đắk Mil cũ)-Công an xã Đắk Sắk</t>
  </si>
  <si>
    <t>12.428417</t>
  </si>
  <si>
    <t>107.668556</t>
  </si>
  <si>
    <t>FO thuê#VNPT#DGDM29-DGDM22</t>
  </si>
  <si>
    <t>3547.73</t>
  </si>
  <si>
    <t>3373.13</t>
  </si>
  <si>
    <t>12.456171</t>
  </si>
  <si>
    <t>107.656017</t>
  </si>
  <si>
    <t>Công an xã Đắk Sắk-Công an xã Đắk Song</t>
  </si>
  <si>
    <t>12.401083</t>
  </si>
  <si>
    <t>107.6455</t>
  </si>
  <si>
    <t>FO thuê#VNPT#DGDM22-DGDS30</t>
  </si>
  <si>
    <t>Đắk Sắk - Đắk Song</t>
  </si>
  <si>
    <t>410.29</t>
  </si>
  <si>
    <t>393.59</t>
  </si>
  <si>
    <t>12.431643</t>
  </si>
  <si>
    <t>107.667064</t>
  </si>
  <si>
    <t>16.70</t>
  </si>
  <si>
    <t>12.401227</t>
  </si>
  <si>
    <t>107.645455</t>
  </si>
  <si>
    <t>full_h04/Đắk Nông/Ring 4 Final.kmz/Ring 4/Đắk Sắk - Đắk Song/Trung thế</t>
  </si>
  <si>
    <t>Công an xã Đắk Song-DGDS07</t>
  </si>
  <si>
    <t>12.35894</t>
  </si>
  <si>
    <t>107.63448</t>
  </si>
  <si>
    <t>FO thuê#VNPT#DGDS30-DGDS07</t>
  </si>
  <si>
    <t>Công an xã Đắk Song - Công an xã Thuận An</t>
  </si>
  <si>
    <t>4851.03</t>
  </si>
  <si>
    <t>7.94</t>
  </si>
  <si>
    <t>12.401150</t>
  </si>
  <si>
    <t>107.645475</t>
  </si>
  <si>
    <t>4843.09</t>
  </si>
  <si>
    <t>full_h04/Đắk Nông/Ring 4 Final.kmz/Ring 4/Công an xã Đắk Song - Công an xã Thuận An/Trồng trụ mới</t>
  </si>
  <si>
    <t>Trụ sở Công an xã Tuy Đức là trụ sở CAH Tuy Đức (cũ) - TTCMKV Tuy Đức-Công an xã Quảng Trực</t>
  </si>
  <si>
    <t>12.263944</t>
  </si>
  <si>
    <t>107.378</t>
  </si>
  <si>
    <t>FO thuê#VNPT#DGTD24-DGTD04</t>
  </si>
  <si>
    <t>5133.63</t>
  </si>
  <si>
    <t>1190.78</t>
  </si>
  <si>
    <t>12.256794</t>
  </si>
  <si>
    <t>107.386159</t>
  </si>
  <si>
    <t>Công an xã Quảng Trực-DGTD03</t>
  </si>
  <si>
    <t>12.24755</t>
  </si>
  <si>
    <t>107.43764</t>
  </si>
  <si>
    <t>FO thuê#VNPT#DGTD04-DGTD03</t>
  </si>
  <si>
    <t>1310.47</t>
  </si>
  <si>
    <t>119.69</t>
  </si>
  <si>
    <t>12.246599</t>
  </si>
  <si>
    <t>107.437123</t>
  </si>
  <si>
    <t>Đội CSGT Đường bộ số 4 - II (trụ sở công an thị trấn đức an)-DGDS05</t>
  </si>
  <si>
    <t>12.254917</t>
  </si>
  <si>
    <t>107.608667</t>
  </si>
  <si>
    <t>FO thuê#VNPT#DGDS02-DGDS05</t>
  </si>
  <si>
    <t>3398.18</t>
  </si>
  <si>
    <t>101.63</t>
  </si>
  <si>
    <t>12.254339</t>
  </si>
  <si>
    <t>107.609391</t>
  </si>
  <si>
    <t>3296.55</t>
  </si>
  <si>
    <t>12.232143</t>
  </si>
  <si>
    <t>107.630559</t>
  </si>
  <si>
    <t>Trụ sở Công an xã Kiến Đức là trụ sở CAH Đắk R'Lấp (cũ) - TTCMKV Đắk R'Lấp-DGDL29</t>
  </si>
  <si>
    <t>12.01351</t>
  </si>
  <si>
    <t>107.49011</t>
  </si>
  <si>
    <t>FO thuê#VNPT#DGDL37-DGDL29</t>
  </si>
  <si>
    <t>Đường Quảng Tân - TTCMKV Đắk R'Lấp</t>
  </si>
  <si>
    <t>518.68</t>
  </si>
  <si>
    <t>232.64</t>
  </si>
  <si>
    <t>12.006525</t>
  </si>
  <si>
    <t>107.510881</t>
  </si>
  <si>
    <t>286.03</t>
  </si>
  <si>
    <t>12.014405</t>
  </si>
  <si>
    <t>107.492576</t>
  </si>
  <si>
    <t>full_h04/Đắk Nông/Ring 7 - Final.kmz/Ring 7/Đường Quảng Tân - TTCMKV Đắk R'Lấp/Hạ thế</t>
  </si>
  <si>
    <t>Công an xã Quảng Tân-Cơ sở cai nghiện Ma Túy số 4 tỉnh Lâm Đồng</t>
  </si>
  <si>
    <t>12.044639</t>
  </si>
  <si>
    <t>107.490278</t>
  </si>
  <si>
    <t>FO thuê#VNPT#DGTD11-DGTD05</t>
  </si>
  <si>
    <t>216.37</t>
  </si>
  <si>
    <t>148.81</t>
  </si>
  <si>
    <t>12.043371</t>
  </si>
  <si>
    <t>107.489839</t>
  </si>
  <si>
    <t>67.56</t>
  </si>
  <si>
    <t>12.094770</t>
  </si>
  <si>
    <t>107.481535</t>
  </si>
  <si>
    <t>Cơ sở cai nghiện Ma Túy số 4 tỉnh Lâm Đồng-DGTD09</t>
  </si>
  <si>
    <t>12.18423</t>
  </si>
  <si>
    <t>107.45027</t>
  </si>
  <si>
    <t>FO thuê#VNPT#DGTD05-DGTD09</t>
  </si>
  <si>
    <t>142.40</t>
  </si>
  <si>
    <t>74.84</t>
  </si>
  <si>
    <t>12.184903</t>
  </si>
  <si>
    <t>107.450288</t>
  </si>
  <si>
    <t>Trụ sở Công an xã Tuy Đức là trụ sở CAH Tuy Đức (cũ) - TTCMKV Tuy Đức-DGTD02</t>
  </si>
  <si>
    <t>12.2039</t>
  </si>
  <si>
    <t>107.48915</t>
  </si>
  <si>
    <t>FO thuê#VNPT#DGTD24-DGTD02</t>
  </si>
  <si>
    <t>803.51</t>
  </si>
  <si>
    <t>4.46</t>
  </si>
  <si>
    <t>12.219081</t>
  </si>
  <si>
    <t>107.477643</t>
  </si>
  <si>
    <t>799.06</t>
  </si>
  <si>
    <t>12.209053</t>
  </si>
  <si>
    <t>107.484025</t>
  </si>
  <si>
    <t>full_h04/Đắk Nông/Đăk Nông - Ring 3.kmz/Đăk Nông - Ring 3/Công an xã Đức An (Trụ sở CAH Đắk Song cũ) - Công an xã Tuy Đức (Trụ sở CAH Tuy Đức cũ)/hạ thế</t>
  </si>
  <si>
    <t>Công an xã Trường Xuân-DGGN05</t>
  </si>
  <si>
    <t>12.0542</t>
  </si>
  <si>
    <t>107.68023</t>
  </si>
  <si>
    <t>FO thuê#VNPT#DGDS21-DGGN05</t>
  </si>
  <si>
    <t>Trường Xuân - TT2 LÂM ĐỒNG (GIA NGHĨA)</t>
  </si>
  <si>
    <t>433.52</t>
  </si>
  <si>
    <t>373.54</t>
  </si>
  <si>
    <t>12.099860</t>
  </si>
  <si>
    <t>107.656604</t>
  </si>
  <si>
    <t>59.97</t>
  </si>
  <si>
    <t>12.054191</t>
  </si>
  <si>
    <t>107.680781</t>
  </si>
  <si>
    <t>full_h04/Đắk Nông/Ring 5 - Final.kmz/Ring 5/Trường Xuân - TT2 LÂM ĐỒNG (GIA NGHĨA)/Trung thế</t>
  </si>
  <si>
    <t>Công an phường Bắc Gia Nghĩa-DGGN24</t>
  </si>
  <si>
    <t>12.009</t>
  </si>
  <si>
    <t>107.694556</t>
  </si>
  <si>
    <t>12.01786</t>
  </si>
  <si>
    <t>107.70115</t>
  </si>
  <si>
    <t>FO thuê#PITC#DGGN15-DGGN24</t>
  </si>
  <si>
    <t>Công an phường Bắc Gia Nghĩa - Công an phường Đông Gia Nghĩa</t>
  </si>
  <si>
    <t>1189.99</t>
  </si>
  <si>
    <t>4.06</t>
  </si>
  <si>
    <t>12.008977</t>
  </si>
  <si>
    <t>107.694585</t>
  </si>
  <si>
    <t>1185.92</t>
  </si>
  <si>
    <t>12.008922</t>
  </si>
  <si>
    <t>107.695200</t>
  </si>
  <si>
    <t>full_h04/Đắk Nông/Đăk Nông - Mục IV - Ring 9.kmz/Đăk Nông - Mục IV - Ring 9/Công an phường Bắc Gia Nghĩa - Công an phường Đông Gia Nghĩa/hạ thế</t>
  </si>
  <si>
    <t>Công an tỉnh Lâm Đồng - Trụ sở 2-DGGN31</t>
  </si>
  <si>
    <t>12.02358</t>
  </si>
  <si>
    <t>107.686</t>
  </si>
  <si>
    <t>12.00736</t>
  </si>
  <si>
    <t>107.68546</t>
  </si>
  <si>
    <t>FO thuê#PITC#DGGN03-DGGN31</t>
  </si>
  <si>
    <t>1.35</t>
  </si>
  <si>
    <t>12.023592</t>
  </si>
  <si>
    <t>107.685997</t>
  </si>
  <si>
    <t>31.13</t>
  </si>
  <si>
    <t>12.007395</t>
  </si>
  <si>
    <t>107.685744</t>
  </si>
  <si>
    <t>full_h04/Đắk Nông/Đăk Nông - Mục IV - Ring 10.kmz/Đăk Nông - Mục IV - Ring 10/Công an tỉnh Lâm Đồng - TT2 - Công an xã Quảng Khê/trung thế</t>
  </si>
  <si>
    <t>Công an Xã Nhân Cơ-DGDL03</t>
  </si>
  <si>
    <t>11.981056</t>
  </si>
  <si>
    <t>107.588278</t>
  </si>
  <si>
    <t>11.9843</t>
  </si>
  <si>
    <t>107.57251</t>
  </si>
  <si>
    <t>FO thuê#PITC#DGDL19-DGDL03</t>
  </si>
  <si>
    <t>Công an phường Nam Gia Nghĩa - Công an xã Kiến Đức</t>
  </si>
  <si>
    <t>223.57</t>
  </si>
  <si>
    <t>130.19</t>
  </si>
  <si>
    <t>11.982198</t>
  </si>
  <si>
    <t>107.588012</t>
  </si>
  <si>
    <t>93.38</t>
  </si>
  <si>
    <t>11.984299</t>
  </si>
  <si>
    <t>107.573368</t>
  </si>
  <si>
    <t>full_h04/Đắk Nông/Đăk Nông - Mục IV - Ring 9.kmz/Đăk Nông - Mục IV - Ring 9/Công an phường Nam Gia Nghĩa - Công an xã Kiến Đức/trung thế</t>
  </si>
  <si>
    <t>Phòng PK02 - Tổ địa bàn số 2-Đồn CA KCN Nhân Cơ</t>
  </si>
  <si>
    <t>11.982665</t>
  </si>
  <si>
    <t>107.655628</t>
  </si>
  <si>
    <t>11.975583</t>
  </si>
  <si>
    <t>107.58175</t>
  </si>
  <si>
    <t>FO thuê#PITC#DGGN07-DGDL05</t>
  </si>
  <si>
    <t>972.89</t>
  </si>
  <si>
    <t>287.95</t>
  </si>
  <si>
    <t>11.981467</t>
  </si>
  <si>
    <t>107.657975</t>
  </si>
  <si>
    <t>684.94</t>
  </si>
  <si>
    <t>11.981696</t>
  </si>
  <si>
    <t>107.580975</t>
  </si>
  <si>
    <t>Đồn CA KCN Nhân Cơ-DGDL30</t>
  </si>
  <si>
    <t>12.00816</t>
  </si>
  <si>
    <t>107.56442</t>
  </si>
  <si>
    <t>FO thuê#PITC#DGDL05-DGDL30</t>
  </si>
  <si>
    <t>2558.84</t>
  </si>
  <si>
    <t>1873.89</t>
  </si>
  <si>
    <t>11.992266</t>
  </si>
  <si>
    <t>107.558694</t>
  </si>
  <si>
    <t>Công an xã Quảng Tín-DGDL43</t>
  </si>
  <si>
    <t>11.912556</t>
  </si>
  <si>
    <t>107.398806</t>
  </si>
  <si>
    <t>11.92155</t>
  </si>
  <si>
    <t>107.41687</t>
  </si>
  <si>
    <t>FO thuê#PITC#DGDL07-DGDL43</t>
  </si>
  <si>
    <t>Đội CC&amp;CNCH khu vực 13 - Công an xã Quảng Tín</t>
  </si>
  <si>
    <t>321.73</t>
  </si>
  <si>
    <t>35.54</t>
  </si>
  <si>
    <t>11.912875</t>
  </si>
  <si>
    <t>107.398793</t>
  </si>
  <si>
    <t>286.19</t>
  </si>
  <si>
    <t>11.923932</t>
  </si>
  <si>
    <t>107.415873</t>
  </si>
  <si>
    <t>full_h04/Đắk Nông/Đăk Nông - Mục IV - Ring 8.kmz/Đăk Nông - Mục IV - Ring 8/Đội CC&amp;CNCH khu vực 13 - Công an xã Quảng Tín/trung thế</t>
  </si>
  <si>
    <t>DGDM20-Công an xã Đắk Mil</t>
  </si>
  <si>
    <t>12.50165</t>
  </si>
  <si>
    <t>107.74227</t>
  </si>
  <si>
    <t>FO thuê#VNPT#DGDM20-DGDM07</t>
  </si>
  <si>
    <t>Công an xã Đắk Mil - Phòng PC08 - Đội CSGT số 4</t>
  </si>
  <si>
    <t>114.74</t>
  </si>
  <si>
    <t>112.16</t>
  </si>
  <si>
    <t>12.501187</t>
  </si>
  <si>
    <t>107.743188</t>
  </si>
  <si>
    <t>2.58</t>
  </si>
  <si>
    <t>12.509452</t>
  </si>
  <si>
    <t>107.749016</t>
  </si>
  <si>
    <t>full_h04/Đắk Nông/DakNong_Cap IV_Ring 1.kmz/DakNong_Cap IV_Ring 1/Công an xã Đắk Mil - Phòng PC08 - Đội CSGT số 4/hạ thế</t>
  </si>
  <si>
    <t>DGDM30-Công an xã Đắk Mil</t>
  </si>
  <si>
    <t>12.52023</t>
  </si>
  <si>
    <t>107.78412</t>
  </si>
  <si>
    <t>FO thuê#VNPT#DGDM30-DGDM07</t>
  </si>
  <si>
    <t>1829.93</t>
  </si>
  <si>
    <t>1569.43</t>
  </si>
  <si>
    <t>12.532603</t>
  </si>
  <si>
    <t>107.777164</t>
  </si>
  <si>
    <t>DGDM06-Phòng PC02 - Tổ địa bàn số 2</t>
  </si>
  <si>
    <t>12.40828</t>
  </si>
  <si>
    <t>107.58648</t>
  </si>
  <si>
    <t>FO thuê#VNPT#DGDM06-DGDM34</t>
  </si>
  <si>
    <t>Công an xã Thuận An - Phòng PC02 - Tổ địa bàn số 2</t>
  </si>
  <si>
    <t>622.58</t>
  </si>
  <si>
    <t>620.10</t>
  </si>
  <si>
    <t>12.410084</t>
  </si>
  <si>
    <t>107.581077</t>
  </si>
  <si>
    <t>2.48</t>
  </si>
  <si>
    <t>12.411950</t>
  </si>
  <si>
    <t>107.580064</t>
  </si>
  <si>
    <t>full_h04/Đắk Nông/Ring 4 Final.kmz/Ring 4/Công an xã Thuận An - Phòng PC02 - Tổ địa bàn số 2/Hạ thế</t>
  </si>
  <si>
    <t>DGDM09-Phòng PC02 - Tổ địa bàn số 2</t>
  </si>
  <si>
    <t>12.43548</t>
  </si>
  <si>
    <t>107.5931</t>
  </si>
  <si>
    <t>FO thuê#VNPT#DGDM09-DGDM34</t>
  </si>
  <si>
    <t>654.42</t>
  </si>
  <si>
    <t>122.04</t>
  </si>
  <si>
    <t>12.436080</t>
  </si>
  <si>
    <t>107.592159</t>
  </si>
  <si>
    <t>DGDS03-Đội CSGT Đường bộ số 4 - II (trụ sở công an thị trấn đức an)</t>
  </si>
  <si>
    <t>12.26043</t>
  </si>
  <si>
    <t>107.61169</t>
  </si>
  <si>
    <t>FO thuê#VNPT#DGDS03-DGDS02</t>
  </si>
  <si>
    <t>210.27</t>
  </si>
  <si>
    <t>65.91</t>
  </si>
  <si>
    <t>12.260488</t>
  </si>
  <si>
    <t>107.611086</t>
  </si>
  <si>
    <t>144.36</t>
  </si>
  <si>
    <t>12.254780</t>
  </si>
  <si>
    <t>107.609988</t>
  </si>
  <si>
    <t>DGCJ19-Công an xã Nam Dong</t>
  </si>
  <si>
    <t>12.63855</t>
  </si>
  <si>
    <t>107.85212</t>
  </si>
  <si>
    <t>FO thuê#VNPT#DGCJ19-DGCJ01</t>
  </si>
  <si>
    <t>1025.89</t>
  </si>
  <si>
    <t>93.89</t>
  </si>
  <si>
    <t>12.639130</t>
  </si>
  <si>
    <t>107.851491</t>
  </si>
  <si>
    <t>932.00</t>
  </si>
  <si>
    <t>12.649492</t>
  </si>
  <si>
    <t>107.864970</t>
  </si>
  <si>
    <t>full_h04/Đắk Nông/DakNong_Cap IV_Ring 1.kmz/DakNong_Cap IV_Ring 1/Công an xã Nam Dong - Công an xã Đắk Mil/trung thế</t>
  </si>
  <si>
    <t>DGTD21-Công an xã Quảng Trực</t>
  </si>
  <si>
    <t>12.26524</t>
  </si>
  <si>
    <t>107.36315</t>
  </si>
  <si>
    <t>FO thuê#VNPT#DGTD21-DGTD04</t>
  </si>
  <si>
    <t>1620.03</t>
  </si>
  <si>
    <t>1617.32</t>
  </si>
  <si>
    <t>12.263942</t>
  </si>
  <si>
    <t>107.377975</t>
  </si>
  <si>
    <t>2.71</t>
  </si>
  <si>
    <t>full_h04/Đắk Nông/Ring 6 - Final.kmz/Ring 6/Thuận Hạnh - Quảng Trực/Hạ thế</t>
  </si>
  <si>
    <t>DGDS20-Công an xã Trường Xuân</t>
  </si>
  <si>
    <t>12.13064</t>
  </si>
  <si>
    <t>107.64932</t>
  </si>
  <si>
    <t>FO thuê#VNPT#DGDS20-DGDS21</t>
  </si>
  <si>
    <t>760.50</t>
  </si>
  <si>
    <t>395.69</t>
  </si>
  <si>
    <t>12.131571</t>
  </si>
  <si>
    <t>107.652833</t>
  </si>
  <si>
    <t>DGDS18-Công an xã Trường Xuân</t>
  </si>
  <si>
    <t>12.10023</t>
  </si>
  <si>
    <t>107.66409</t>
  </si>
  <si>
    <t>FO thuê#VNPT#DGDS18-DGDS21</t>
  </si>
  <si>
    <t>Đội CSGT Đường bộ số 4 - II  - Trường Xuân</t>
  </si>
  <si>
    <t>638.96</t>
  </si>
  <si>
    <t>632.88</t>
  </si>
  <si>
    <t>12.101863</t>
  </si>
  <si>
    <t>107.658514</t>
  </si>
  <si>
    <t>6.08</t>
  </si>
  <si>
    <t>12.102447</t>
  </si>
  <si>
    <t>107.654394</t>
  </si>
  <si>
    <t>full_h04/Đắk Nông/Ring 5 - Final.kmz/Ring 5/Đội CSGT Đường bộ số 4 - II  - Trường Xuân/Trồng trụ mới</t>
  </si>
  <si>
    <t>DGCJ25-Công an xã Nam Dong</t>
  </si>
  <si>
    <t>12.67186</t>
  </si>
  <si>
    <t>107.87318</t>
  </si>
  <si>
    <t>FO thuê#VNPT#DGCJ25-DGCJ01</t>
  </si>
  <si>
    <t>Công an xã Đắk Wil - Công an xã Nam Dong</t>
  </si>
  <si>
    <t>1445.14</t>
  </si>
  <si>
    <t>1390.95</t>
  </si>
  <si>
    <t>12.663349</t>
  </si>
  <si>
    <t>107.863784</t>
  </si>
  <si>
    <t>54.19</t>
  </si>
  <si>
    <t>12.650290</t>
  </si>
  <si>
    <t>107.873033</t>
  </si>
  <si>
    <t>full_h04/Đắk Nông/DakNong_Cap IV_Ring 1.kmz/DakNong_Cap IV_Ring 1/Công an xã Đắk Wil - Công an xã Nam Dong/trung thế</t>
  </si>
  <si>
    <t>DGDM41-Công an xã Đắk Sắk</t>
  </si>
  <si>
    <t>12.43345</t>
  </si>
  <si>
    <t>107.65</t>
  </si>
  <si>
    <t>FO thuê#VNPT#DGDM41-DGDM22</t>
  </si>
  <si>
    <t>1137.61</t>
  </si>
  <si>
    <t>744.02</t>
  </si>
  <si>
    <t>12.430532</t>
  </si>
  <si>
    <t>107.656166</t>
  </si>
  <si>
    <t>DGDM19-Phòng PC02 - Tổ địa bàn số 2</t>
  </si>
  <si>
    <t>12.39277</t>
  </si>
  <si>
    <t>107.56847</t>
  </si>
  <si>
    <t>FO thuê#VNPT#DGDM19-DGDM34</t>
  </si>
  <si>
    <t>520.62</t>
  </si>
  <si>
    <t>470.55</t>
  </si>
  <si>
    <t>12.395092</t>
  </si>
  <si>
    <t>107.572092</t>
  </si>
  <si>
    <t>50.07</t>
  </si>
  <si>
    <t>12.411679</t>
  </si>
  <si>
    <t>107.580425</t>
  </si>
  <si>
    <t>full_h04/Đắk Nông/Đắk Nông - Ring 1.kmz/Đắk Nông - Ring 1/Công an tỉnh Lâm Đồng - TT2
- Công an xã Đức Lập (Trụ sở 2 CAH Đắk Mil cũ)/Hạ thế</t>
  </si>
  <si>
    <t>DGGN16-Phòng PK02 - Tổ địa bàn số 2</t>
  </si>
  <si>
    <t>11.99441</t>
  </si>
  <si>
    <t>107.66364</t>
  </si>
  <si>
    <t>FO thuê#VNPT#DGGN16-DGGN07</t>
  </si>
  <si>
    <t>Phòng PK02 - Tổ địa bàn số 2 - Phòng PA06 - Tổ địa bàn số 2</t>
  </si>
  <si>
    <t>250.43</t>
  </si>
  <si>
    <t>245.75</t>
  </si>
  <si>
    <t>11.992292</t>
  </si>
  <si>
    <t>107.664286</t>
  </si>
  <si>
    <t>11.982702</t>
  </si>
  <si>
    <t>107.655608</t>
  </si>
  <si>
    <t>full_h04/Đắk Nông/Đăk Nông - Mục III - Ring 8.kmz/Đăk Nông - Mục III - Ring 8/Phòng PK02 - Tổ địa bàn số 2 - Phòng PA06 - Tổ địa bàn số 2/trung thế</t>
  </si>
  <si>
    <t>DGGN32-Công an tỉnh Lâm Đồng - Trụ sở 2</t>
  </si>
  <si>
    <t>12.00522</t>
  </si>
  <si>
    <t>107.67665</t>
  </si>
  <si>
    <t>FO thuê#VNPT#DGGN32-DGGN03</t>
  </si>
  <si>
    <t>Phòng PA06 - Tổ địa bàn số 2 - Công an tỉnh Lâm Đồng - TT2</t>
  </si>
  <si>
    <t>229.03</t>
  </si>
  <si>
    <t>213.63</t>
  </si>
  <si>
    <t>12.006126</t>
  </si>
  <si>
    <t>107.674918</t>
  </si>
  <si>
    <t>15.40</t>
  </si>
  <si>
    <t>12.023471</t>
  </si>
  <si>
    <t>107.686087</t>
  </si>
  <si>
    <t>full_h04/Đắk Nông/Đăk Nông - Mục III - Ring 8.kmz/Đăk Nông - Mục III - Ring 8/Phòng PA06 - Tổ địa bàn số 2 - Công an tỉnh Lâm Đồng - TT2/trung thế</t>
  </si>
  <si>
    <t>DGGN33-Công an Xã Nhân Cơ</t>
  </si>
  <si>
    <t>12.00955</t>
  </si>
  <si>
    <t>107.60201</t>
  </si>
  <si>
    <t>FO thuê#VNPT#DGGN33-DGDL19</t>
  </si>
  <si>
    <t>3244.70</t>
  </si>
  <si>
    <t>3114.51</t>
  </si>
  <si>
    <t>11.981562</t>
  </si>
  <si>
    <t>107.600892</t>
  </si>
  <si>
    <t>DGDL10-Trụ sở Công an xã Kiến Đức là trụ sở CAH Đắk R'Lấp (cũ) - TTCMKV Đắk R'Lấp</t>
  </si>
  <si>
    <t>11.97456</t>
  </si>
  <si>
    <t>107.49229</t>
  </si>
  <si>
    <t>FO thuê#VNPT#DGDL10-DGDL37</t>
  </si>
  <si>
    <t>1706.19</t>
  </si>
  <si>
    <t>93.95</t>
  </si>
  <si>
    <t>11.973898</t>
  </si>
  <si>
    <t>107.492827</t>
  </si>
  <si>
    <t>1612.24</t>
  </si>
  <si>
    <t>11.992825</t>
  </si>
  <si>
    <t>107.510738</t>
  </si>
  <si>
    <t>DGDL20-Công an Xã Nhân Cơ</t>
  </si>
  <si>
    <t>11.97632</t>
  </si>
  <si>
    <t>107.62622</t>
  </si>
  <si>
    <t>FO thuê#VNPT#DGDL20-DGDL19</t>
  </si>
  <si>
    <t>204.06</t>
  </si>
  <si>
    <t>73.87</t>
  </si>
  <si>
    <t>11.976922</t>
  </si>
  <si>
    <t>107.625933</t>
  </si>
  <si>
    <t>DGDL58-Phòng PK02 - Tổ địa bàn số 2</t>
  </si>
  <si>
    <t>11.96381</t>
  </si>
  <si>
    <t>107.6366</t>
  </si>
  <si>
    <t>FO thuê#VNPT#DGDL58-DGGN07</t>
  </si>
  <si>
    <t>Công an xã Kiến Đức (Trụ sở CAH Đắk R'Lấp cũ) - Công an tỉnh Lâm Đồng - TT2</t>
  </si>
  <si>
    <t>1804.94</t>
  </si>
  <si>
    <t>1506.47</t>
  </si>
  <si>
    <t>11.977278</t>
  </si>
  <si>
    <t>107.638107</t>
  </si>
  <si>
    <t>298.48</t>
  </si>
  <si>
    <t>11.981714</t>
  </si>
  <si>
    <t>107.658194</t>
  </si>
  <si>
    <t>full_h04/Đắk Nông/Đăk Nông - Ring 3.kmz/Đăk Nông - Ring 3/Công an xã Kiến Đức (Trụ sở CAH Đắk R'Lấp cũ) - Công an tỉnh Lâm Đồng - TT2/trung thế</t>
  </si>
  <si>
    <t>DGGN14-Công an phường Đông Gia Nghĩa</t>
  </si>
  <si>
    <t>11.98273</t>
  </si>
  <si>
    <t>107.73865</t>
  </si>
  <si>
    <t>11.959972</t>
  </si>
  <si>
    <t>107.728583</t>
  </si>
  <si>
    <t>FO thuê#VNPT#DGGN14-DGGN06</t>
  </si>
  <si>
    <t>2068.52</t>
  </si>
  <si>
    <t>2062.38</t>
  </si>
  <si>
    <t>11.964795</t>
  </si>
  <si>
    <t>107.733818</t>
  </si>
  <si>
    <t>6.14</t>
  </si>
  <si>
    <t>11.959954</t>
  </si>
  <si>
    <t>107.728636</t>
  </si>
  <si>
    <t>DGGN29-Công an phường Đông Gia Nghĩa</t>
  </si>
  <si>
    <t>11.99205</t>
  </si>
  <si>
    <t>107.76289</t>
  </si>
  <si>
    <t>FO thuê#VNPT#DGGN29-DGGN06</t>
  </si>
  <si>
    <t>4386.16</t>
  </si>
  <si>
    <t>4380.02</t>
  </si>
  <si>
    <t>DGDL45-Đồn CA KCN Nhân Cơ</t>
  </si>
  <si>
    <t>11.9645</t>
  </si>
  <si>
    <t>107.5874</t>
  </si>
  <si>
    <t>FO thuê#VNPT#DGDL45-DGDL05</t>
  </si>
  <si>
    <t>Công An xã Quảng Tín - Đồn CA KCN Nhân Cơ</t>
  </si>
  <si>
    <t>1381.74</t>
  </si>
  <si>
    <t>1378.88</t>
  </si>
  <si>
    <t>11.975606</t>
  </si>
  <si>
    <t>107.581761</t>
  </si>
  <si>
    <t>2.86</t>
  </si>
  <si>
    <t>full_h04/Đắk Nông/Đăk Nông - Mục IV - Ring 8.kmz/Đăk Nông - Mục IV - Ring 8/Công An xã Quảng Tín - Đồn CA KCN Nhân Cơ/Tuyến ngầm xây dựng mới</t>
  </si>
  <si>
    <t>DGDL06-Công an Xã Nhân Cơ</t>
  </si>
  <si>
    <t>11.98649</t>
  </si>
  <si>
    <t>107.60946</t>
  </si>
  <si>
    <t>FO thuê#VNPT#DGDL06-DGDL19</t>
  </si>
  <si>
    <t>850.09</t>
  </si>
  <si>
    <t>719.90</t>
  </si>
  <si>
    <t>11.980341</t>
  </si>
  <si>
    <t>107.607388</t>
  </si>
  <si>
    <t>DG_DWDM_DKGGNA-Trụ sở Công an xã Tuy Đức là trụ sở CAH Tuy Đức (cũ) - TTCMKV Tuy Đức</t>
  </si>
  <si>
    <t>12.00254</t>
  </si>
  <si>
    <t>107.69232</t>
  </si>
  <si>
    <t>FO thuê#VNPT#DG_DWDM_DKGGNA-DGTD24</t>
  </si>
  <si>
    <t>18691.84</t>
  </si>
  <si>
    <t>2437.89</t>
  </si>
  <si>
    <t>12.023574</t>
  </si>
  <si>
    <t>16253.95</t>
  </si>
  <si>
    <t>12.205288</t>
  </si>
  <si>
    <t>107.626506</t>
  </si>
  <si>
    <t>DGDS05-Công an tỉnh Lâm Đồng - Trụ sở 2</t>
  </si>
  <si>
    <t>FO thuê#VNPT#DGDS05-DGGN03</t>
  </si>
  <si>
    <t>404.43</t>
  </si>
  <si>
    <t>403.68</t>
  </si>
  <si>
    <t>12.202097</t>
  </si>
  <si>
    <t>107.633785</t>
  </si>
  <si>
    <t>DGDM17-Phòng PC07 - Đội CC&amp;CNCH khu vực 14</t>
  </si>
  <si>
    <t>FO thuê#VNPT#DGDM17-DGDM23</t>
  </si>
  <si>
    <t>141.31</t>
  </si>
  <si>
    <t>138.32</t>
  </si>
  <si>
    <t>12.447314</t>
  </si>
  <si>
    <t>107.609429</t>
  </si>
  <si>
    <t>DGDM31-Công an xã Đắk Mil</t>
  </si>
  <si>
    <t>12.47789</t>
  </si>
  <si>
    <t>107.69952</t>
  </si>
  <si>
    <t>FO thuê#VNPT#DGDM31-DGDM07</t>
  </si>
  <si>
    <t>2939.26</t>
  </si>
  <si>
    <t>2936.68</t>
  </si>
  <si>
    <t>12.489154</t>
  </si>
  <si>
    <t>107.723986</t>
  </si>
  <si>
    <t>DGDM35-Công an xã Đức Lập (Trụ sở 2 CAH Đắk Mil cũ)</t>
  </si>
  <si>
    <t>12.44234</t>
  </si>
  <si>
    <t>107.63013</t>
  </si>
  <si>
    <t>FO thuê#VNPT#DGDM35-DGDM29</t>
  </si>
  <si>
    <t>96.65</t>
  </si>
  <si>
    <t>80.05</t>
  </si>
  <si>
    <t>12.441776</t>
  </si>
  <si>
    <t>107.629672</t>
  </si>
  <si>
    <t>16.60</t>
  </si>
  <si>
    <t>12.447270</t>
  </si>
  <si>
    <t>107.621786</t>
  </si>
  <si>
    <t>full_h04/Đắk Nông/Ring 4 Final.kmz/Ring 4/Công an xã Đắk Song - Công an xã Thuận An/Trung thế</t>
  </si>
  <si>
    <t>DGDS08-Đội CSGT Đường bộ số 4 - II (trụ sở công an thị trấn đức an)</t>
  </si>
  <si>
    <t>12.30471</t>
  </si>
  <si>
    <t>107.59354</t>
  </si>
  <si>
    <t>FO thuê#VNPT#DGDS08-DGDS02</t>
  </si>
  <si>
    <t>272.70</t>
  </si>
  <si>
    <t>128.34</t>
  </si>
  <si>
    <t>12.303564</t>
  </si>
  <si>
    <t>107.593400</t>
  </si>
  <si>
    <t>DGDL29-Công an xã Quảng Tân</t>
  </si>
  <si>
    <t>FO thuê#VNPT#DGDL29-DGTD11</t>
  </si>
  <si>
    <t>796.62</t>
  </si>
  <si>
    <t>647.81</t>
  </si>
  <si>
    <t>DGTD09-Trụ sở Công an xã Tuy Đức là trụ sở CAH Tuy Đức (cũ) - TTCMKV Tuy Đức</t>
  </si>
  <si>
    <t>FO thuê#VNPT#DGTD09-DGTD24</t>
  </si>
  <si>
    <t>97.91</t>
  </si>
  <si>
    <t>DGDS17-Công an xã Trường Xuân</t>
  </si>
  <si>
    <t>12.14824</t>
  </si>
  <si>
    <t>107.63949</t>
  </si>
  <si>
    <t>FO thuê#VNPT#DGDS17-DGDS21</t>
  </si>
  <si>
    <t>826.18</t>
  </si>
  <si>
    <t>452.80</t>
  </si>
  <si>
    <t>12.150210</t>
  </si>
  <si>
    <t>107.643135</t>
  </si>
  <si>
    <t>373.39</t>
  </si>
  <si>
    <t>12.099854</t>
  </si>
  <si>
    <t>107.656595</t>
  </si>
  <si>
    <t>DGGN13-Công an tỉnh Lâm Đồng - Trụ sở 2</t>
  </si>
  <si>
    <t>12.03377</t>
  </si>
  <si>
    <t>107.68668</t>
  </si>
  <si>
    <t>FO thuê#VNPT#DGGN13-DGGN03</t>
  </si>
  <si>
    <t>63.71</t>
  </si>
  <si>
    <t>62.95</t>
  </si>
  <si>
    <t>12.033684</t>
  </si>
  <si>
    <t>107.687252</t>
  </si>
  <si>
    <t>DGGN11-Công an tỉnh Lâm Đồng - Trụ sở 2</t>
  </si>
  <si>
    <t>12.02508</t>
  </si>
  <si>
    <t>107.74028</t>
  </si>
  <si>
    <t>FO thuê#VNPT#DGGN11-DGGN03</t>
  </si>
  <si>
    <t>Công an xã Quảng Sơn - Trại tạm giam cơ sở 2</t>
  </si>
  <si>
    <t>4548.84</t>
  </si>
  <si>
    <t>466.02</t>
  </si>
  <si>
    <t>12.021367</t>
  </si>
  <si>
    <t>107.738292</t>
  </si>
  <si>
    <t>4082.82</t>
  </si>
  <si>
    <t>12.006174</t>
  </si>
  <si>
    <t>107.719054</t>
  </si>
  <si>
    <t>full_h04/Đắk Nông/Đắk Nông - Ring 1.kmz/Đắk Nông - Ring 1/Công an xã Quảng Sơn - Trại tạm giam cơ sở 2/trung thế</t>
  </si>
  <si>
    <t>DGDL44-Đồn CA KCN Nhân Cơ</t>
  </si>
  <si>
    <t>11.97153</t>
  </si>
  <si>
    <t>107.57687</t>
  </si>
  <si>
    <t>FO thuê#PITC#DGDL44-DGDL05</t>
  </si>
  <si>
    <t>204.91</t>
  </si>
  <si>
    <t>108.08</t>
  </si>
  <si>
    <t>11.970678</t>
  </si>
  <si>
    <t>107.576391</t>
  </si>
  <si>
    <t>96.83</t>
  </si>
  <si>
    <t>11.976427</t>
  </si>
  <si>
    <t>107.581530</t>
  </si>
  <si>
    <t>full_h04/Đắk Nông/Đăk Nông - Mục IV - Ring 8.kmz/Đăk Nông - Mục IV - Ring 8/Công An xã Quảng Tín - Đồn CA KCN Nhân Cơ/trung thế</t>
  </si>
  <si>
    <t>DGDL15-Trụ sở Công an xã Kiến Đức là trụ sở CAH Đắk R'Lấp (cũ) - TTCMKV Đắk R'Lấp</t>
  </si>
  <si>
    <t>11.96196</t>
  </si>
  <si>
    <t>107.51798</t>
  </si>
  <si>
    <t>FO thuê#PITC#DGDL15-DGDL37</t>
  </si>
  <si>
    <t>3604.33</t>
  </si>
  <si>
    <t>3532.75</t>
  </si>
  <si>
    <t>11.992852</t>
  </si>
  <si>
    <t>107.510395</t>
  </si>
  <si>
    <t>71.58</t>
  </si>
  <si>
    <t>12.006530</t>
  </si>
  <si>
    <t>107.513014</t>
  </si>
  <si>
    <t>full_h04/Đắk Nông/Đăk Nông - Mục IV - Ring 8.kmz/Đăk Nông - Mục IV - Ring 8/Đội CC&amp;CNCH khu vực 13 - Công an xã Quảng Tín/hạ thế</t>
  </si>
  <si>
    <t>DGDL18-Trụ sở Công an xã Kiến Đức là trụ sở CAH Đắk R'Lấp (cũ) - TTCMKV Đắk R'Lấp</t>
  </si>
  <si>
    <t>11.95198</t>
  </si>
  <si>
    <t>107.47943</t>
  </si>
  <si>
    <t>FO thuê#PITC#DGDL18-DGDL37</t>
  </si>
  <si>
    <t>2602.99</t>
  </si>
  <si>
    <t>990.75</t>
  </si>
  <si>
    <t>11.955950</t>
  </si>
  <si>
    <t>107.471277</t>
  </si>
  <si>
    <t>DG_DWDM_DKGGNA-Công an Xã Nhân Cơ</t>
  </si>
  <si>
    <t>FO thuê#PITC#DG_DWDM_DKGGNA-DGDL19</t>
  </si>
  <si>
    <t>1891.62</t>
  </si>
  <si>
    <t>1761.43</t>
  </si>
  <si>
    <t>12.001449</t>
  </si>
  <si>
    <t>107.676164</t>
  </si>
  <si>
    <t>DGDL09-Trụ sở Công an xã Kiến Đức là trụ sở CAH Đắk R'Lấp (cũ) - TTCMKV Đắk R'Lấp</t>
  </si>
  <si>
    <t>11.99235</t>
  </si>
  <si>
    <t>107.54496</t>
  </si>
  <si>
    <t>FO thuê#PITC#DGDL09-DGDL37</t>
  </si>
  <si>
    <t>878.46</t>
  </si>
  <si>
    <t>222.28</t>
  </si>
  <si>
    <t>11.993557</t>
  </si>
  <si>
    <t>107.546589</t>
  </si>
  <si>
    <t>656.18</t>
  </si>
  <si>
    <t>12.001529</t>
  </si>
  <si>
    <t>107.511134</t>
  </si>
  <si>
    <t>DG_DWDM_DKGGNA-Phòng PK02 - Tổ địa bàn số 2</t>
  </si>
  <si>
    <t>FO thuê#PITC#DG_DWDM_DKGGNA-DGGN07</t>
  </si>
  <si>
    <t>Công an xã Nhân Cơ - Công an tỉnh Lâm Đồng - TT2</t>
  </si>
  <si>
    <t>1887.02</t>
  </si>
  <si>
    <t>1596.34</t>
  </si>
  <si>
    <t>12.013104</t>
  </si>
  <si>
    <t>107.682381</t>
  </si>
  <si>
    <t>290.69</t>
  </si>
  <si>
    <t>11.981328</t>
  </si>
  <si>
    <t>107.657925</t>
  </si>
  <si>
    <t>full_h04/Đắk Nông/Đăk Nông - Mục IV - Ring 8.kmz/Đăk Nông - Mục IV - Ring 8/Công an xã Nhân Cơ - Công an tỉnh Lâm Đồng - TT2/trung thế</t>
  </si>
  <si>
    <t>DGDL16-Trụ sở Công an xã Kiến Đức là trụ sở CAH Đắk R'Lấp (cũ) - TTCMKV Đắk R'Lấp</t>
  </si>
  <si>
    <t>12.011</t>
  </si>
  <si>
    <t>107.52691</t>
  </si>
  <si>
    <t>FO thuê#PITC#DGDL16-DGDL37</t>
  </si>
  <si>
    <t>1580.52</t>
  </si>
  <si>
    <t>1573.51</t>
  </si>
  <si>
    <t>12.007192</t>
  </si>
  <si>
    <t>107.512976</t>
  </si>
  <si>
    <t>7.01</t>
  </si>
  <si>
    <t>full_h04/Đắk Nông/Ring 7 - Final.kmz/Ring 7/Đường Quảng Tân - TTCMKV Đắk R'Lấp/Trung thế</t>
  </si>
  <si>
    <t>DGDL32-Công an xã Quảng Tín</t>
  </si>
  <si>
    <t>11.87666</t>
  </si>
  <si>
    <t>107.41516</t>
  </si>
  <si>
    <t>FO thuê#PITC#DGDL32-DGDL07</t>
  </si>
  <si>
    <t>1133.31</t>
  </si>
  <si>
    <t>163.54</t>
  </si>
  <si>
    <t>11.877683</t>
  </si>
  <si>
    <t>107.416240</t>
  </si>
  <si>
    <t>969.77</t>
  </si>
  <si>
    <t>11.904558</t>
  </si>
  <si>
    <t>107.395252</t>
  </si>
  <si>
    <t>DGDL22-Trụ sở Công an xã Kiến Đức là trụ sở CAH Đắk R'Lấp (cũ) - TTCMKV Đắk R'Lấp</t>
  </si>
  <si>
    <t>11.93348</t>
  </si>
  <si>
    <t>107.43347</t>
  </si>
  <si>
    <t>FO thuê#PITC#DGDL22-DGDL37</t>
  </si>
  <si>
    <t>1706.80</t>
  </si>
  <si>
    <t>94.57</t>
  </si>
  <si>
    <t>11.932662</t>
  </si>
  <si>
    <t>107.433708</t>
  </si>
  <si>
    <t>22DG033-Công an phường Đông Gia Nghĩa</t>
  </si>
  <si>
    <t>11.95716</t>
  </si>
  <si>
    <t>107.72809</t>
  </si>
  <si>
    <t>FO thuê#PITC#22DG033-DGGN06</t>
  </si>
  <si>
    <t>Công an phường Đông Gia Nghĩa - Công an phường Nam Gia Nghĩa</t>
  </si>
  <si>
    <t>162.14</t>
  </si>
  <si>
    <t>157.93</t>
  </si>
  <si>
    <t>11.958558</t>
  </si>
  <si>
    <t>107.727834</t>
  </si>
  <si>
    <t>4.21</t>
  </si>
  <si>
    <t>11.959940</t>
  </si>
  <si>
    <t>107.728562</t>
  </si>
  <si>
    <t>full_h04/Đắk Nông/Đăk Nông - Mục IV - Ring 9.kmz/Đăk Nông - Mục IV - Ring 9/Công an phường Đông Gia Nghĩa - Công an phường Nam Gia Nghĩa/trung thế</t>
  </si>
  <si>
    <t>DGGN01-Công an tỉnh Lâm Đồng - Trụ sở 2</t>
  </si>
  <si>
    <t>11.99045</t>
  </si>
  <si>
    <t>107.67281</t>
  </si>
  <si>
    <t>FO DT#MBF#DGGN01-DGGN03</t>
  </si>
  <si>
    <t>364.07</t>
  </si>
  <si>
    <t>348.67</t>
  </si>
  <si>
    <t>11.992517</t>
  </si>
  <si>
    <t>107.670400</t>
  </si>
  <si>
    <t>Công an tỉnh Lâm Đồng - Trụ sở 2-DGGN01</t>
  </si>
  <si>
    <t>FO DT#MBF#DGGN03-DGGN01</t>
  </si>
  <si>
    <t>Công an tỉnh Lâm Đồng - Trụ sở 2-DG_DWDM_DKGGNA</t>
  </si>
  <si>
    <t>FO DT#MBF#DGGN03-DG_DWDM_DKGGNA</t>
  </si>
  <si>
    <t>90.99</t>
  </si>
  <si>
    <t>89.63</t>
  </si>
  <si>
    <t>12.002910</t>
  </si>
  <si>
    <t>107.693052</t>
  </si>
  <si>
    <t>DGGN01-Trụ sở Công an xã Kiến Đức là trụ sở CAH Đắk R'Lấp (cũ) - TTCMKV Đắk R'Lấp</t>
  </si>
  <si>
    <t>FO DT#MBF#DGGN01-DGDL37</t>
  </si>
  <si>
    <t>1003.78</t>
  </si>
  <si>
    <t>347.59</t>
  </si>
  <si>
    <t>11.992581</t>
  </si>
  <si>
    <t>107.670472</t>
  </si>
  <si>
    <t>Trụ sở Công an xã Kiến Đức là trụ sở CAH Đắk R'Lấp (cũ) - TTCMKV Đắk R'Lấp-Công an tỉnh Lâm Đồng - Trụ sở 2</t>
  </si>
  <si>
    <t>FO DT#MBF#DGDL37-DGGN03</t>
  </si>
  <si>
    <t>3155.90</t>
  </si>
  <si>
    <t>2499.72</t>
  </si>
  <si>
    <t>12.003711</t>
  </si>
  <si>
    <t>107.675248</t>
  </si>
  <si>
    <t>Công an phường Đông Gia Nghĩa-DGGN17</t>
  </si>
  <si>
    <t>11.9366</t>
  </si>
  <si>
    <t>107.74814</t>
  </si>
  <si>
    <t>FO DT#MBF#DGGN06-DGGN17</t>
  </si>
  <si>
    <t>1177.03</t>
  </si>
  <si>
    <t>588.55</t>
  </si>
  <si>
    <t>11.965243</t>
  </si>
  <si>
    <t>107.729074</t>
  </si>
  <si>
    <t>588.48</t>
  </si>
  <si>
    <t>11.940144</t>
  </si>
  <si>
    <t>107.752158</t>
  </si>
  <si>
    <t>DGGN01-Công an phường Nam Gia Nghĩa</t>
  </si>
  <si>
    <t>12.000556</t>
  </si>
  <si>
    <t>107.676333</t>
  </si>
  <si>
    <t>FO DT#MBF#DGGN01-DGGN08</t>
  </si>
  <si>
    <t>448.57</t>
  </si>
  <si>
    <t>100.98</t>
  </si>
  <si>
    <t>Công an phường Nam Gia Nghĩa-DGGN04</t>
  </si>
  <si>
    <t>12.01548</t>
  </si>
  <si>
    <t>107.68506</t>
  </si>
  <si>
    <t>FO DT#MBF#DGGN08-DGGN04</t>
  </si>
  <si>
    <t>469.85</t>
  </si>
  <si>
    <t>361.91</t>
  </si>
  <si>
    <t>12.001927</t>
  </si>
  <si>
    <t>107.673315</t>
  </si>
  <si>
    <t>107.94</t>
  </si>
  <si>
    <t>12.016175</t>
  </si>
  <si>
    <t>107.684367</t>
  </si>
  <si>
    <t>Công an phường Bắc Gia Nghĩa-DGGN02</t>
  </si>
  <si>
    <t>11.99812</t>
  </si>
  <si>
    <t>107.70333</t>
  </si>
  <si>
    <t>FO DT#MBF#DGGN15-DGGN02</t>
  </si>
  <si>
    <t>720.29</t>
  </si>
  <si>
    <t>647.55</t>
  </si>
  <si>
    <t>12.003776</t>
  </si>
  <si>
    <t>107.691926</t>
  </si>
  <si>
    <t>72.74</t>
  </si>
  <si>
    <t>11.998570</t>
  </si>
  <si>
    <t>107.703815</t>
  </si>
  <si>
    <t>DG_DWDM_DKGGNA-Công an tỉnh Lâm Đồng - Trụ sở 2</t>
  </si>
  <si>
    <t>FO DT#MBF#DG_DWDM_DKGGNA-DGGN03</t>
  </si>
  <si>
    <t>DGGN22-Công an phường Đông Gia Nghĩa</t>
  </si>
  <si>
    <t>11.95141</t>
  </si>
  <si>
    <t>107.70277</t>
  </si>
  <si>
    <t>FO DT#MBF#DGGN22-DGGN06</t>
  </si>
  <si>
    <t>1680.11</t>
  </si>
  <si>
    <t>1675.90</t>
  </si>
  <si>
    <t>11.965643</t>
  </si>
  <si>
    <t>107.707839</t>
  </si>
  <si>
    <t>DGGN20-Công an tỉnh Lâm Đồng - Trụ sở 2</t>
  </si>
  <si>
    <t>11.98377</t>
  </si>
  <si>
    <t>107.69812</t>
  </si>
  <si>
    <t>FO DT#MBF#DGGN20-DGGN03</t>
  </si>
  <si>
    <t>392.76</t>
  </si>
  <si>
    <t>391.41</t>
  </si>
  <si>
    <t>11.985188</t>
  </si>
  <si>
    <t>107.701414</t>
  </si>
  <si>
    <t>DGGN04-Công an phường Bắc Gia Nghĩa</t>
  </si>
  <si>
    <t>FO DT#MBF#DGGN04-DGGN15</t>
  </si>
  <si>
    <t>Công an tỉnh Lâm Đồng - TT2 - Công an phường Bắc Gia Nghĩa</t>
  </si>
  <si>
    <t>301.29</t>
  </si>
  <si>
    <t>244.46</t>
  </si>
  <si>
    <t>12.015499</t>
  </si>
  <si>
    <t>107.687308</t>
  </si>
  <si>
    <t>56.83</t>
  </si>
  <si>
    <t>12.009066</t>
  </si>
  <si>
    <t>107.694038</t>
  </si>
  <si>
    <t>full_h04/Đắk Nông/Đăk Nông - Mục IV - Ring 9.kmz/Đăk Nông - Mục IV - Ring 9/Công an tỉnh Lâm Đồng - TT2 - Công an phường Bắc Gia Nghĩa/trung thế</t>
  </si>
  <si>
    <t>DGGN25-Công an tỉnh Lâm Đồng - Trụ sở 2</t>
  </si>
  <si>
    <t>11.99761</t>
  </si>
  <si>
    <t>107.69206</t>
  </si>
  <si>
    <t>FO DT#MBF#DGGN25-DGGN03</t>
  </si>
  <si>
    <t>481.47</t>
  </si>
  <si>
    <t>480.12</t>
  </si>
  <si>
    <t>12.001100</t>
  </si>
  <si>
    <t>107.694659</t>
  </si>
  <si>
    <t>DGDM24-Công an xã Đức Lập (Trụ sở 2 CAH Đắk Mil cũ)</t>
  </si>
  <si>
    <t>FO DT#MBF#DGDM24-DGDM29</t>
  </si>
  <si>
    <t>Cơ sở cai nghiện Ma Túy số 4 tỉnh Lâm Đồng-DGTD18</t>
  </si>
  <si>
    <t>12.07051</t>
  </si>
  <si>
    <t>107.47558</t>
  </si>
  <si>
    <t>FO DT#MBF#DGTD05-DGTD18</t>
  </si>
  <si>
    <t>Đường Cơ sở cai nghiện số 4 - Quảng Tân</t>
  </si>
  <si>
    <t>219.67</t>
  </si>
  <si>
    <t>53.32</t>
  </si>
  <si>
    <t>12.095286</t>
  </si>
  <si>
    <t>107.480866</t>
  </si>
  <si>
    <t>166.35</t>
  </si>
  <si>
    <t>12.069982</t>
  </si>
  <si>
    <t>107.474149</t>
  </si>
  <si>
    <t>full_h04/Đắk Nông/Ring 7 - Final.kmz/Ring 7/Đường Cơ sở cai nghiện số 4 - Quảng Tân/Trung thế</t>
  </si>
  <si>
    <t>Đội CSGT Đường bộ số 4 - II (trụ sở công an thị trấn đức an)-DGDS49</t>
  </si>
  <si>
    <t>12.25274</t>
  </si>
  <si>
    <t>107.61461</t>
  </si>
  <si>
    <t>FO DT#MBF#DGDS02-DGDS49</t>
  </si>
  <si>
    <t>248.83</t>
  </si>
  <si>
    <t>147.20</t>
  </si>
  <si>
    <t>12.251628</t>
  </si>
  <si>
    <t>107.613875</t>
  </si>
  <si>
    <t>DGDL01-Trụ sở Công an xã Kiến Đức là trụ sở CAH Đắk R'Lấp (cũ) - TTCMKV Đắk R'Lấp</t>
  </si>
  <si>
    <t>11.99667</t>
  </si>
  <si>
    <t>107.51188</t>
  </si>
  <si>
    <t>FO DT#MBF#DGDL01-DGDL37</t>
  </si>
  <si>
    <t>120.28</t>
  </si>
  <si>
    <t>77.29</t>
  </si>
  <si>
    <t>11.996240</t>
  </si>
  <si>
    <t>107.512438</t>
  </si>
  <si>
    <t>42.99</t>
  </si>
  <si>
    <t>12.006998</t>
  </si>
  <si>
    <t>107.512562</t>
  </si>
  <si>
    <t>full_h04/Đắk Nông/Đăk Nông - Ring 3.kmz/Đăk Nông - Ring 3/Công an xã Kiến Đức (Trụ sở CAH Đắk R'Lấp cũ) - Công an tỉnh Lâm Đồng - TT2/hạ thế</t>
  </si>
  <si>
    <t>DGGN27-Phòng PK02 - Tổ địa bàn số 2</t>
  </si>
  <si>
    <t>11.99786</t>
  </si>
  <si>
    <t>107.64402</t>
  </si>
  <si>
    <t>FO DT#MBF#DGGN27-DGGN07</t>
  </si>
  <si>
    <t>2109.31</t>
  </si>
  <si>
    <t>2104.63</t>
  </si>
  <si>
    <t>21DG017-Công an phường Đông Gia Nghĩa</t>
  </si>
  <si>
    <t>11.97792</t>
  </si>
  <si>
    <t>107.75672</t>
  </si>
  <si>
    <t>FO DT#MBF#21DG017-DGGN06</t>
  </si>
  <si>
    <t>2885.78</t>
  </si>
  <si>
    <t>2879.64</t>
  </si>
  <si>
    <t>11.964401</t>
  </si>
  <si>
    <t>107.734140</t>
  </si>
  <si>
    <t>21DG019-Đội CSGT Đường bộ số 4 - II (trụ sở công an thị trấn đức an)</t>
  </si>
  <si>
    <t>12.23711</t>
  </si>
  <si>
    <t>107.627</t>
  </si>
  <si>
    <t>FO DT#MBF#21DG019-DGDS02</t>
  </si>
  <si>
    <t>353.36</t>
  </si>
  <si>
    <t>251.73</t>
  </si>
  <si>
    <t>12.234887</t>
  </si>
  <si>
    <t>107.627437</t>
  </si>
  <si>
    <t>22DG011-Công an xã Đắk Sắk</t>
  </si>
  <si>
    <t>12.43101</t>
  </si>
  <si>
    <t>107.6594</t>
  </si>
  <si>
    <t>FO DT#MBF#22DG011-DGDM22</t>
  </si>
  <si>
    <t>534.69</t>
  </si>
  <si>
    <t>141.10</t>
  </si>
  <si>
    <t>12.432173</t>
  </si>
  <si>
    <t>107.659920</t>
  </si>
  <si>
    <t>DGTD01-Cơ sở cai nghiện Ma Túy số 4 tỉnh Lâm Đồng</t>
  </si>
  <si>
    <t>12.1318</t>
  </si>
  <si>
    <t>107.47094</t>
  </si>
  <si>
    <t>FO DT#MBF#DGTD01-DGTD05</t>
  </si>
  <si>
    <t>101.25</t>
  </si>
  <si>
    <t>12.131737</t>
  </si>
  <si>
    <t>107.471434</t>
  </si>
  <si>
    <t>DGTD18-Công an xã Quảng Tân</t>
  </si>
  <si>
    <t>FO DT#MBF#DGTD18-DGTD11</t>
  </si>
  <si>
    <t>311.76</t>
  </si>
  <si>
    <t>162.95</t>
  </si>
  <si>
    <t>12.069726</t>
  </si>
  <si>
    <t>107.474314</t>
  </si>
  <si>
    <t>DGTD12-Công an xã Quảng Tân</t>
  </si>
  <si>
    <t>12.02781</t>
  </si>
  <si>
    <t>107.47677</t>
  </si>
  <si>
    <t>FO DT#MBF#DGTD12-DGTD11</t>
  </si>
  <si>
    <t>1796.42</t>
  </si>
  <si>
    <t>1777.72</t>
  </si>
  <si>
    <t>12.024914</t>
  </si>
  <si>
    <t>107.492846</t>
  </si>
  <si>
    <t>18.70</t>
  </si>
  <si>
    <t>12.044472</t>
  </si>
  <si>
    <t>107.490295</t>
  </si>
  <si>
    <t>DGDG12-Công an xã Quảng Khê</t>
  </si>
  <si>
    <t>11.8967</t>
  </si>
  <si>
    <t>107.79486</t>
  </si>
  <si>
    <t>FO DT#MBF#DGDG12-DGDG04</t>
  </si>
  <si>
    <t>Công an xã Quảng Khê - Công an xã Tà Đùng</t>
  </si>
  <si>
    <t>1397.07</t>
  </si>
  <si>
    <t>1304.84</t>
  </si>
  <si>
    <t>11.907869</t>
  </si>
  <si>
    <t>107.798538</t>
  </si>
  <si>
    <t>92.23</t>
  </si>
  <si>
    <t>11.912007</t>
  </si>
  <si>
    <t>107.792113</t>
  </si>
  <si>
    <t>full_h04/Đắk Nông/Đăk Nông - Mục IV - Ring 10.kmz/Đăk Nông - Mục IV - Ring 10/Công an xã Quảng Khê - Công an xã Tà Đùng/trung thế</t>
  </si>
  <si>
    <t>DGDG11-Công an xã Quảng Khê</t>
  </si>
  <si>
    <t>11.90708</t>
  </si>
  <si>
    <t>107.81754</t>
  </si>
  <si>
    <t>FO DT#MBF#DGDG11-DGDG04</t>
  </si>
  <si>
    <t>1151.92</t>
  </si>
  <si>
    <t>1059.69</t>
  </si>
  <si>
    <t>11.900826</t>
  </si>
  <si>
    <t>107.824889</t>
  </si>
  <si>
    <t>Ngọc Hồi-Sa Thầy</t>
  </si>
  <si>
    <t>14.72453</t>
  </si>
  <si>
    <t>107.6878</t>
  </si>
  <si>
    <t>14.39803</t>
  </si>
  <si>
    <t>107.7961</t>
  </si>
  <si>
    <t>FO thuê#VNPT#KTNH01-KTST_newsite1</t>
  </si>
  <si>
    <t>2358.26</t>
  </si>
  <si>
    <t>2321.40</t>
  </si>
  <si>
    <t>14.703706</t>
  </si>
  <si>
    <t>107.686259</t>
  </si>
  <si>
    <t>36.87</t>
  </si>
  <si>
    <t>14.398239</t>
  </si>
  <si>
    <t>107.796366</t>
  </si>
  <si>
    <t>full_h04/KonTum/Mạng cấp III Kon Tum/Ring 3/Ngọc Hồi-Sa Thầy/Trung Thế</t>
  </si>
  <si>
    <t>Kon Đào-KTDT17</t>
  </si>
  <si>
    <t>14.69842</t>
  </si>
  <si>
    <t>107.8363</t>
  </si>
  <si>
    <t>14.7280737</t>
  </si>
  <si>
    <t>107.7528482</t>
  </si>
  <si>
    <t>FO thuê#VNPT#KTDT04-KTDT17</t>
  </si>
  <si>
    <t>Đăk Mar - Ngọk Tụ</t>
  </si>
  <si>
    <t>4806.48</t>
  </si>
  <si>
    <t>52.76</t>
  </si>
  <si>
    <t>14.698688</t>
  </si>
  <si>
    <t>107.836705</t>
  </si>
  <si>
    <t>4753.72</t>
  </si>
  <si>
    <t>14.716917</t>
  </si>
  <si>
    <t>107.795519</t>
  </si>
  <si>
    <t>full_h04/KonTum/Mạng Cấp IV Kon Tum/Kon Tum - Cấp 4 - Ring 5.kmz/Đăk Mar - Ngọk Tụ/Trung thế | EVN</t>
  </si>
  <si>
    <t>Ngọc Hồi-KTNH12</t>
  </si>
  <si>
    <t>14.69709</t>
  </si>
  <si>
    <t>107.66606</t>
  </si>
  <si>
    <t>FO thuê#VNPT#KTNH01-KTNH12</t>
  </si>
  <si>
    <t>TTCMKV Ngọc Hồi - Sa Loong</t>
  </si>
  <si>
    <t>2202.55</t>
  </si>
  <si>
    <t>14.724419</t>
  </si>
  <si>
    <t>107.687892</t>
  </si>
  <si>
    <t>2186.74</t>
  </si>
  <si>
    <t>14.694341</t>
  </si>
  <si>
    <t>107.686191</t>
  </si>
  <si>
    <t>full_h04/KonTum/Mạng Cấp IV Kon Tum/Kon Tum - Cấp 4 - Ring 8.kmz/Kon Tum - Ring 8/TTCMKV Ngọc Hồi - Sa Loong/Trụ trung thế EVN</t>
  </si>
  <si>
    <t>Sa Thầy-KTST14</t>
  </si>
  <si>
    <t>14.40478</t>
  </si>
  <si>
    <t>107.81391</t>
  </si>
  <si>
    <t>FO thuê#VNPT#KTST_newsite1-KTST14</t>
  </si>
  <si>
    <t>TTCMKV Sa Thầy - Sa Bình</t>
  </si>
  <si>
    <t>971.36</t>
  </si>
  <si>
    <t>2.28</t>
  </si>
  <si>
    <t>14.398050</t>
  </si>
  <si>
    <t>107.796096</t>
  </si>
  <si>
    <t>969.08</t>
  </si>
  <si>
    <t>14.396425</t>
  </si>
  <si>
    <t>107.816470</t>
  </si>
  <si>
    <t>full_h04/KonTum/Mạng Cấp IV Kon Tum/Kon Tum - Cấp 4 - Ring 10.kmz/Kon Tum - Ring 10/TTCMKV Sa Thầy - Sa Bình/Trung thê EVN</t>
  </si>
  <si>
    <t>TT2 Kon Tum-KTDH09</t>
  </si>
  <si>
    <t>14.353</t>
  </si>
  <si>
    <t>108.0079</t>
  </si>
  <si>
    <t>14.518508</t>
  </si>
  <si>
    <t>107.946291</t>
  </si>
  <si>
    <t>FO thuê#VNPT#KTKT19-KTDH09</t>
  </si>
  <si>
    <t>TT2 Kon Tum - PC11</t>
  </si>
  <si>
    <t>2086.91</t>
  </si>
  <si>
    <t>77.01</t>
  </si>
  <si>
    <t>14.352309</t>
  </si>
  <si>
    <t>108.007857</t>
  </si>
  <si>
    <t>2009.89</t>
  </si>
  <si>
    <t>14.500681</t>
  </si>
  <si>
    <t>107.943207</t>
  </si>
  <si>
    <t>full_h04/KonTum/Mạng cấp III Kon Tum/Ring 6/TT2 Kon Tum - PC11.kmz/TT2 Kon Tum - PC11/TT2 Kon Tum - PC11_Trung thế</t>
  </si>
  <si>
    <t>Đăk Ui-Đăk Mar</t>
  </si>
  <si>
    <t>14.53098</t>
  </si>
  <si>
    <t>107.9402</t>
  </si>
  <si>
    <t>14.54562</t>
  </si>
  <si>
    <t>107.92</t>
  </si>
  <si>
    <t>FO thuê#VNPT#KTDH15-KTDH06</t>
  </si>
  <si>
    <t>Đăk Ui - Đăk Mar</t>
  </si>
  <si>
    <t>141.22</t>
  </si>
  <si>
    <t>50.16</t>
  </si>
  <si>
    <t>14.530880</t>
  </si>
  <si>
    <t>107.940654</t>
  </si>
  <si>
    <t>91.06</t>
  </si>
  <si>
    <t>14.545250</t>
  </si>
  <si>
    <t>107.920755</t>
  </si>
  <si>
    <t>full_h04/KonTum/Mạng Cấp IV Kon Tum/Kon Tum - Cấp 4 - Ring 5.kmz/Đăk Ui - Đăk Mar/Trung thế| EVN</t>
  </si>
  <si>
    <t>Đăk Mar-KTDH22</t>
  </si>
  <si>
    <t>14.5199</t>
  </si>
  <si>
    <t>107.91507</t>
  </si>
  <si>
    <t>FO thuê#VNPT#KTDH06-KTDH22</t>
  </si>
  <si>
    <t>499.47</t>
  </si>
  <si>
    <t>79.93</t>
  </si>
  <si>
    <t>14.545744</t>
  </si>
  <si>
    <t>107.920731</t>
  </si>
  <si>
    <t>419.54</t>
  </si>
  <si>
    <t>14.521151</t>
  </si>
  <si>
    <t>107.918747</t>
  </si>
  <si>
    <t>Đăk Hà-KTDH04</t>
  </si>
  <si>
    <t>14.49126</t>
  </si>
  <si>
    <t>107.9251</t>
  </si>
  <si>
    <t>14.46181</t>
  </si>
  <si>
    <t>107.91134</t>
  </si>
  <si>
    <t>FO thuê#VNPT#KTDH01-KTDH04</t>
  </si>
  <si>
    <t>Đăk Pxi - CAT Kon Tum</t>
  </si>
  <si>
    <t>2835.25</t>
  </si>
  <si>
    <t>80.02</t>
  </si>
  <si>
    <t>14.491634</t>
  </si>
  <si>
    <t>107.925735</t>
  </si>
  <si>
    <t>2755.23</t>
  </si>
  <si>
    <t>14.475080</t>
  </si>
  <si>
    <t>107.932951</t>
  </si>
  <si>
    <t>full_h04/KonTum/Mạng Cấp IV Kon Tum/Kon Tum - Cấp 4 - Ring 6.kmz/Đăk Pxi - CAT Kon Tum/Trung thế 3 | EVN</t>
  </si>
  <si>
    <t>Đăk Hà-PC11</t>
  </si>
  <si>
    <t>15.55858</t>
  </si>
  <si>
    <t>108.45</t>
  </si>
  <si>
    <t>FO thuê#VNPT#KTDH01-KTDH18</t>
  </si>
  <si>
    <t>Bắc Trà My - Phú Ninh</t>
  </si>
  <si>
    <t>103344.28</t>
  </si>
  <si>
    <t>99366.74</t>
  </si>
  <si>
    <t>15.340258</t>
  </si>
  <si>
    <t>108.213703</t>
  </si>
  <si>
    <t>3977.54</t>
  </si>
  <si>
    <t>15.550722</t>
  </si>
  <si>
    <t>108.413776</t>
  </si>
  <si>
    <t>full_h04/TP Đà Nẵng/TP Đà Nẵng/Mạng cấp 3_ DN và Quảng Nam/Cấp 3 - Ring 4 - Quảng Nam cũ/Bắc Trà My - Phú Ninh/Đoạn trung thế 2</t>
  </si>
  <si>
    <t>PC11-KTDH08</t>
  </si>
  <si>
    <t>14.50654</t>
  </si>
  <si>
    <t>108.00968</t>
  </si>
  <si>
    <t>FO thuê#VNPT#KTDH18-KTDH08</t>
  </si>
  <si>
    <t>99239.15</t>
  </si>
  <si>
    <t>95261.61</t>
  </si>
  <si>
    <t>Kon Đào-KTDT19</t>
  </si>
  <si>
    <t>14.69485</t>
  </si>
  <si>
    <t>107.83867</t>
  </si>
  <si>
    <t>FO thuê#VNPT#KTDT04-KTDT19</t>
  </si>
  <si>
    <t>TTCMKV Đăk Tô - Kon Đào</t>
  </si>
  <si>
    <t>0.99</t>
  </si>
  <si>
    <t>14.698413</t>
  </si>
  <si>
    <t>107.836294</t>
  </si>
  <si>
    <t>92.90</t>
  </si>
  <si>
    <t>14.695057</t>
  </si>
  <si>
    <t>107.837833</t>
  </si>
  <si>
    <t>full_h04/KonTum/Mạng Cấp IV Kon Tum/Kon Tum - Cấp 4 - Ring 7.kmz/Kon Tum - Ring 7/TTCMKV Đăk Tô - Kon Đào/Trung thế 1</t>
  </si>
  <si>
    <t>Ngọc Hồi-KTNH10</t>
  </si>
  <si>
    <t>14.6869118</t>
  </si>
  <si>
    <t>107.6878178</t>
  </si>
  <si>
    <t>FO thuê#VNPT#KTNH01-KTNH10</t>
  </si>
  <si>
    <t>55.91</t>
  </si>
  <si>
    <t>40.10</t>
  </si>
  <si>
    <t>14.687182</t>
  </si>
  <si>
    <t>107.687571</t>
  </si>
  <si>
    <t>KTDH _newsite1-Ngọc Hồi</t>
  </si>
  <si>
    <t>14.49433</t>
  </si>
  <si>
    <t>107.92508</t>
  </si>
  <si>
    <t>FO thuê#VNPT#KTDH _newsite1-KTNH01</t>
  </si>
  <si>
    <t>Đak Hà- Ngọc Hồi</t>
  </si>
  <si>
    <t>191.92</t>
  </si>
  <si>
    <t>110.28</t>
  </si>
  <si>
    <t>14.493388</t>
  </si>
  <si>
    <t>107.924759</t>
  </si>
  <si>
    <t>81.64</t>
  </si>
  <si>
    <t>14.724747</t>
  </si>
  <si>
    <t>107.688525</t>
  </si>
  <si>
    <t>full_h04/KonTum/Mạng cấp III Kon Tum/Ring 3/Đak Hà- Ngọc Hồi/Trung Thế</t>
  </si>
  <si>
    <t>KTNH13-Ngọc Hồi</t>
  </si>
  <si>
    <t>14.7059</t>
  </si>
  <si>
    <t>107.69823</t>
  </si>
  <si>
    <t>FO thuê#VNPT#KTNH13-KTNH01</t>
  </si>
  <si>
    <t>Pô Kô - TTCMKV Ngọc Hồi</t>
  </si>
  <si>
    <t>161.46</t>
  </si>
  <si>
    <t>145.96</t>
  </si>
  <si>
    <t>14.704893</t>
  </si>
  <si>
    <t>107.697359</t>
  </si>
  <si>
    <t>15.50</t>
  </si>
  <si>
    <t>14.724414</t>
  </si>
  <si>
    <t>107.687880</t>
  </si>
  <si>
    <t>full_h04/KonTum/Mạng Cấp IV Kon Tum/Kon Tum - Cấp 4 - Ring 10.kmz/Kon Tum - Ring 10/Pô Kô - TTCMKV Ngọc Hồi/Trung thế EVN</t>
  </si>
  <si>
    <t>KTDH01 (KTDH_newsite1)-Kon Đào</t>
  </si>
  <si>
    <t>FO thuê#VNPT#KTDH01 (KTDH_newsite1)-KTDT04</t>
  </si>
  <si>
    <t>4425.24</t>
  </si>
  <si>
    <t>109.89</t>
  </si>
  <si>
    <t>14.493391</t>
  </si>
  <si>
    <t>107.924763</t>
  </si>
  <si>
    <t>4315.35</t>
  </si>
  <si>
    <t>14.659758</t>
  </si>
  <si>
    <t>107.839785</t>
  </si>
  <si>
    <t>KTNH17-Ngọc Hồi</t>
  </si>
  <si>
    <t>14.7320628</t>
  </si>
  <si>
    <t>107.6928822</t>
  </si>
  <si>
    <t>FO thuê#VNPT#KTNH17-KTNH01</t>
  </si>
  <si>
    <t>Bờ Y - Đăk Môn</t>
  </si>
  <si>
    <t>131.09</t>
  </si>
  <si>
    <t>114.38</t>
  </si>
  <si>
    <t>14.732032</t>
  </si>
  <si>
    <t>107.691819</t>
  </si>
  <si>
    <t>16.71</t>
  </si>
  <si>
    <t>14.724416</t>
  </si>
  <si>
    <t>107.687901</t>
  </si>
  <si>
    <t>full_h04/KonTum/Mạng Cấp IV Kon Tum/Kon Tum - Cấp 4 - Ring 13.kmz/Kon Tum - Ring 13/Bờ Y - Đăk Môn/EVN 1 trung thế</t>
  </si>
  <si>
    <t>KTNH08-Ngọc Hồi</t>
  </si>
  <si>
    <t>14.6871</t>
  </si>
  <si>
    <t>107.7168</t>
  </si>
  <si>
    <t>FO thuê#VNPT#KTNH08-KTNH01</t>
  </si>
  <si>
    <t>135.58</t>
  </si>
  <si>
    <t>120.08</t>
  </si>
  <si>
    <t>14.688022</t>
  </si>
  <si>
    <t>107.717382</t>
  </si>
  <si>
    <t>KTKT75-Đăk BLa</t>
  </si>
  <si>
    <t>14.30219</t>
  </si>
  <si>
    <t>107.99275</t>
  </si>
  <si>
    <t>14.30277</t>
  </si>
  <si>
    <t>107.9937</t>
  </si>
  <si>
    <t>FO thuê#VNPT#KTKT75-KTKT05</t>
  </si>
  <si>
    <t>CAT Kon TUm - Đăk Bla</t>
  </si>
  <si>
    <t>87.67</t>
  </si>
  <si>
    <t>55.13</t>
  </si>
  <si>
    <t>14.302493</t>
  </si>
  <si>
    <t>107.993155</t>
  </si>
  <si>
    <t>32.54</t>
  </si>
  <si>
    <t>14.302560</t>
  </si>
  <si>
    <t>107.993490</t>
  </si>
  <si>
    <t>full_h04/KonTum/Mạng Cấp IV Kon Tum/Kon Tum - Cấp 4 - Ring 1.kmz/Kon Tum - Ring 1/CAT Kon TUm - Đăk Bla/Thiết kế CAT Kon Tum - Đăk Bla | EVN</t>
  </si>
  <si>
    <t>KTKT81-Đăk BLa</t>
  </si>
  <si>
    <t>14.3195</t>
  </si>
  <si>
    <t>107.98656</t>
  </si>
  <si>
    <t>FO thuê#VNPT#KTKT81-KTKT05</t>
  </si>
  <si>
    <t>178.46</t>
  </si>
  <si>
    <t>145.92</t>
  </si>
  <si>
    <t>14.319242</t>
  </si>
  <si>
    <t>107.987888</t>
  </si>
  <si>
    <t>KTKT90-PC07</t>
  </si>
  <si>
    <t>14.36893</t>
  </si>
  <si>
    <t>107.99563</t>
  </si>
  <si>
    <t>FO thuê#VNPT#KTKT90-KTKT10</t>
  </si>
  <si>
    <t>252756.48</t>
  </si>
  <si>
    <t>172.28</t>
  </si>
  <si>
    <t>14.367519</t>
  </si>
  <si>
    <t>107.994969</t>
  </si>
  <si>
    <t>KTKT91-PC08</t>
  </si>
  <si>
    <t>14.36803</t>
  </si>
  <si>
    <t>108.00502</t>
  </si>
  <si>
    <t>16.00757</t>
  </si>
  <si>
    <t>108.2176</t>
  </si>
  <si>
    <t>FO thuê#VNPT#KTKT91-KTKT30</t>
  </si>
  <si>
    <t>156046.13</t>
  </si>
  <si>
    <t>796.64</t>
  </si>
  <si>
    <t>14.363782</t>
  </si>
  <si>
    <t>107.999065</t>
  </si>
  <si>
    <t>155249.48</t>
  </si>
  <si>
    <t>KTKT56-PK02/PX03</t>
  </si>
  <si>
    <t>14.38025</t>
  </si>
  <si>
    <t>108.0317</t>
  </si>
  <si>
    <t>14.37695</t>
  </si>
  <si>
    <t>108.0199</t>
  </si>
  <si>
    <t>FO thuê#VNPT#KTKT56-KTKT50</t>
  </si>
  <si>
    <t>Ia chim - Đăk Rơ Wa</t>
  </si>
  <si>
    <t>331.13</t>
  </si>
  <si>
    <t>290.43</t>
  </si>
  <si>
    <t>14.381186</t>
  </si>
  <si>
    <t>108.029183</t>
  </si>
  <si>
    <t>40.70</t>
  </si>
  <si>
    <t>14.377232</t>
  </si>
  <si>
    <t>108.020140</t>
  </si>
  <si>
    <t>full_h04/KonTum/Mạng Cấp IV Kon Tum/Kon Tum - Cấp 4 - Ring 1.kmz/Kon Tum - Ring 1/Ia chim - Đăk Rơ Wa/Trung thế EVN</t>
  </si>
  <si>
    <t>KTDH09-Đăk Ui</t>
  </si>
  <si>
    <t>FO thuê#VNPT#KTDH09-KTDH15</t>
  </si>
  <si>
    <t>Đăk Hà - Đăk Ui</t>
  </si>
  <si>
    <t>1111.72</t>
  </si>
  <si>
    <t>1055.28</t>
  </si>
  <si>
    <t>14.519339</t>
  </si>
  <si>
    <t>107.936525</t>
  </si>
  <si>
    <t>56.44</t>
  </si>
  <si>
    <t>14.530480</t>
  </si>
  <si>
    <t>107.940293</t>
  </si>
  <si>
    <t>full_h04/KonTum/Mạng Cấp IV Kon Tum/Kon Tum - Cấp 4 - Ring 5.kmz/Đăk Hà - Đăk Ui/Trung thế 2 |EVN</t>
  </si>
  <si>
    <t>KTDH22-Đăk Hà</t>
  </si>
  <si>
    <t>FO thuê#VNPT#KTDH22-KTDH01</t>
  </si>
  <si>
    <t>500.13</t>
  </si>
  <si>
    <t>80.59</t>
  </si>
  <si>
    <t>14.491771</t>
  </si>
  <si>
    <t>107.925631</t>
  </si>
  <si>
    <t>KTDH08-TT2 Kon Tum</t>
  </si>
  <si>
    <t>FO thuê#VNPT#KTDH08-KTKT19</t>
  </si>
  <si>
    <t>5661.56</t>
  </si>
  <si>
    <t>5584.54</t>
  </si>
  <si>
    <t>14.494221</t>
  </si>
  <si>
    <t>107.959389</t>
  </si>
  <si>
    <t>KTKT18-PC08</t>
  </si>
  <si>
    <t>14.36003</t>
  </si>
  <si>
    <t>108.00946</t>
  </si>
  <si>
    <t>FO thuê#VNPT#KTKT18-KTKT30</t>
  </si>
  <si>
    <t>156124.86</t>
  </si>
  <si>
    <t>875.38</t>
  </si>
  <si>
    <t>KTKT02-PC07</t>
  </si>
  <si>
    <t>14.37239</t>
  </si>
  <si>
    <t>108.00749</t>
  </si>
  <si>
    <t>FO thuê#VNPT#KTKT02-KTKT10</t>
  </si>
  <si>
    <t>253903.22</t>
  </si>
  <si>
    <t>1319.03</t>
  </si>
  <si>
    <t>KTKT49-PC07</t>
  </si>
  <si>
    <t>14.36116</t>
  </si>
  <si>
    <t>107.9987485</t>
  </si>
  <si>
    <t>FO thuê#VNPT#KTKT49-KTKT10</t>
  </si>
  <si>
    <t>252723.12</t>
  </si>
  <si>
    <t>138.93</t>
  </si>
  <si>
    <t>14.360534</t>
  </si>
  <si>
    <t>107.999864</t>
  </si>
  <si>
    <t>KTKT09-Ngọk Bay</t>
  </si>
  <si>
    <t>14.35694</t>
  </si>
  <si>
    <t>107.99499</t>
  </si>
  <si>
    <t>14.35821</t>
  </si>
  <si>
    <t>107.9793</t>
  </si>
  <si>
    <t>FO thuê#VNPT#KTKT09-KTKT39</t>
  </si>
  <si>
    <t>CAT Kon Tum - Ngọk Bay</t>
  </si>
  <si>
    <t>58.43</t>
  </si>
  <si>
    <t>52.82</t>
  </si>
  <si>
    <t>14.356554</t>
  </si>
  <si>
    <t>107.994704</t>
  </si>
  <si>
    <t>5.61</t>
  </si>
  <si>
    <t>14.358169</t>
  </si>
  <si>
    <t>107.979270</t>
  </si>
  <si>
    <t>full_h04/KonTum/Mạng Cấp IV Kon Tum/Kon Tum - Cấp 4 - Ring 9.kmz/Kon Tum - Ring 9/CAT Kon Tum - Ngọk Bay/Trung thế EVN</t>
  </si>
  <si>
    <t>KTKT14-Ngọk Bay</t>
  </si>
  <si>
    <t>14.35791</t>
  </si>
  <si>
    <t>107.97344</t>
  </si>
  <si>
    <t>FO thuê#VNPT#KTKT14-KTKT39</t>
  </si>
  <si>
    <t>Ngọk Bay - Ya Ly</t>
  </si>
  <si>
    <t>303.87</t>
  </si>
  <si>
    <t>303.15</t>
  </si>
  <si>
    <t>14.360420</t>
  </si>
  <si>
    <t>107.974538</t>
  </si>
  <si>
    <t>0.72</t>
  </si>
  <si>
    <t>14.358211</t>
  </si>
  <si>
    <t>107.979293</t>
  </si>
  <si>
    <t>full_h04/KonTum/Mạng Cấp IV Kon Tum/Kon Tum - Cấp 4 - Ring 9.kmz/Kon Tum - Ring 9/Ngọk Bay - Ya Ly/Trung the EVN</t>
  </si>
  <si>
    <t>KTKT31-Khối CS (PC01, PC02, PC03, PC04)</t>
  </si>
  <si>
    <t>14.36494</t>
  </si>
  <si>
    <t>107.99072</t>
  </si>
  <si>
    <t>14.38014</t>
  </si>
  <si>
    <t>107.9868</t>
  </si>
  <si>
    <t>FO thuê#VNPT#KTKT31-KTKT33</t>
  </si>
  <si>
    <t>Sa Thầy-TT2 Kon Tum</t>
  </si>
  <si>
    <t>462.93</t>
  </si>
  <si>
    <t>37.48</t>
  </si>
  <si>
    <t>14.364989</t>
  </si>
  <si>
    <t>107.990376</t>
  </si>
  <si>
    <t>425.45</t>
  </si>
  <si>
    <t>14.377385</t>
  </si>
  <si>
    <t>107.984059</t>
  </si>
  <si>
    <t>full_h04/KonTum/Mạng cấp III Kon Tum/Ring 3/Sa Thầy-TT2 Kon Tum/Trung Thế</t>
  </si>
  <si>
    <t>KTKT26-PH10</t>
  </si>
  <si>
    <t>14.34501</t>
  </si>
  <si>
    <t>108.01521</t>
  </si>
  <si>
    <t>14.35304</t>
  </si>
  <si>
    <t>108.0101</t>
  </si>
  <si>
    <t>FO thuê#VNPT#KTKT26-KTKT57</t>
  </si>
  <si>
    <t>397.23</t>
  </si>
  <si>
    <t>142.83</t>
  </si>
  <si>
    <t>14.346040</t>
  </si>
  <si>
    <t>108.014417</t>
  </si>
  <si>
    <t>254.40</t>
  </si>
  <si>
    <t>14.352304</t>
  </si>
  <si>
    <t>108.007864</t>
  </si>
  <si>
    <t>full_h04/KonTum/Mạng Cấp IV Kon Tum/Kon Tum - Cấp 4 - Ring 1.kmz/Kon Tum - Ring 1/CAT Kon TUm - Đăk Bla/Thiết kế CAT Kon Tum - Đăk Bla | EVN 2</t>
  </si>
  <si>
    <t>KTKT72-PK02/PX03</t>
  </si>
  <si>
    <t>14.3777013</t>
  </si>
  <si>
    <t>108.0211741</t>
  </si>
  <si>
    <t>FO thuê#VNPT#KTKT72-KTKT50</t>
  </si>
  <si>
    <t>64.91</t>
  </si>
  <si>
    <t>24.22</t>
  </si>
  <si>
    <t>14.377484</t>
  </si>
  <si>
    <t>108.021191</t>
  </si>
  <si>
    <t>KTKT27-Ia Chim</t>
  </si>
  <si>
    <t>14.27736</t>
  </si>
  <si>
    <t>107.92882</t>
  </si>
  <si>
    <t>14.314</t>
  </si>
  <si>
    <t>107.925</t>
  </si>
  <si>
    <t>FO thuê#VNPT#KTKT27-KTKT11</t>
  </si>
  <si>
    <t>Đăk Bla - Ia Chim</t>
  </si>
  <si>
    <t>684.03</t>
  </si>
  <si>
    <t>61.17</t>
  </si>
  <si>
    <t>14.276998</t>
  </si>
  <si>
    <t>107.929247</t>
  </si>
  <si>
    <t>622.86</t>
  </si>
  <si>
    <t>14.309680</t>
  </si>
  <si>
    <t>107.928680</t>
  </si>
  <si>
    <t>full_h04/KonTum/Mạng Cấp IV Kon Tum/Kon Tum - Cấp 4 - Ring 1.kmz/Kon Tum - Ring 1/Đăk Bla - Ia Chim/Trung thế 4 | EVN</t>
  </si>
  <si>
    <t>KTDT10-Kon Đào</t>
  </si>
  <si>
    <t>14.71612</t>
  </si>
  <si>
    <t>107.79311</t>
  </si>
  <si>
    <t>FO thuê#VNPT#KTDT10-KTDT04</t>
  </si>
  <si>
    <t>326.56</t>
  </si>
  <si>
    <t>273.80</t>
  </si>
  <si>
    <t>KTST20-Sa Thầy</t>
  </si>
  <si>
    <t>14.39325</t>
  </si>
  <si>
    <t>107.8091</t>
  </si>
  <si>
    <t>FO thuê#VNPT#KTST20-KTST_newsite1</t>
  </si>
  <si>
    <t>127.71</t>
  </si>
  <si>
    <t>125.43</t>
  </si>
  <si>
    <t>14.394170</t>
  </si>
  <si>
    <t>107.809774</t>
  </si>
  <si>
    <t>KTST05-Sa Thầy</t>
  </si>
  <si>
    <t>14.38093</t>
  </si>
  <si>
    <t>107.80149</t>
  </si>
  <si>
    <t>FO thuê#VNPT#KTST05-KTST_newsite1</t>
  </si>
  <si>
    <t>Ya Ly - Sa Thầy</t>
  </si>
  <si>
    <t>93.50</t>
  </si>
  <si>
    <t>91.99</t>
  </si>
  <si>
    <t>14.381275</t>
  </si>
  <si>
    <t>107.802266</t>
  </si>
  <si>
    <t>1.51</t>
  </si>
  <si>
    <t>14.398033</t>
  </si>
  <si>
    <t>107.796086</t>
  </si>
  <si>
    <t>full_h04/KonTum/Mạng Cấp IV Kon Tum/Kon Tum - Cấp 4 - Ring 9.kmz/Kon Tum - Ring 9/Ya Ly - Sa Thầy/Trung thế EVN</t>
  </si>
  <si>
    <t>KTST04-Sa Thầy</t>
  </si>
  <si>
    <t>14.40839</t>
  </si>
  <si>
    <t>107.76738</t>
  </si>
  <si>
    <t>FO thuê#VNPT#KTST04-KTST_newsite1</t>
  </si>
  <si>
    <t>2070.45</t>
  </si>
  <si>
    <t>2033.58</t>
  </si>
  <si>
    <t>14.410907</t>
  </si>
  <si>
    <t>107.786083</t>
  </si>
  <si>
    <t>VNPOST Kon Tum-TT2 Kon Tum</t>
  </si>
  <si>
    <t>14.35357</t>
  </si>
  <si>
    <t>108.00216</t>
  </si>
  <si>
    <t>FO DT#MBF#VNPOST Kon Tum-KTKT19</t>
  </si>
  <si>
    <t>178.47</t>
  </si>
  <si>
    <t>102.19</t>
  </si>
  <si>
    <t>14.354221</t>
  </si>
  <si>
    <t>108.002830</t>
  </si>
  <si>
    <t>76.28</t>
  </si>
  <si>
    <t>TT2 Kon Tum-PK02/PX03</t>
  </si>
  <si>
    <t>FO DT#MBF#KTKT19-KTKT50</t>
  </si>
  <si>
    <t>PX05</t>
  </si>
  <si>
    <t>345.25</t>
  </si>
  <si>
    <t>341.75</t>
  </si>
  <si>
    <t>14.349970</t>
  </si>
  <si>
    <t>108.007367</t>
  </si>
  <si>
    <t>3.50</t>
  </si>
  <si>
    <t>14.376951</t>
  </si>
  <si>
    <t>108.019868</t>
  </si>
  <si>
    <t>full_h04/KonTum/Mạng cấp III Kon Tum/Ring 6/PK02PX03 - PA05PC10PX05PX06.kmz/PK02/PX03 - PA05/PC10/PX05/PX06/PK02/PX03 - PA05/PC10/PX05/PX06_Trung thế</t>
  </si>
  <si>
    <t>KTKT51-Khối CS (PC01, PC02, PC03, PC04)</t>
  </si>
  <si>
    <t>14.380341</t>
  </si>
  <si>
    <t>107.97553</t>
  </si>
  <si>
    <t>FO DT#MBF#KTKT51-KTKT33</t>
  </si>
  <si>
    <t>519.50</t>
  </si>
  <si>
    <t>94.05</t>
  </si>
  <si>
    <t>14.381167</t>
  </si>
  <si>
    <t>107.975342</t>
  </si>
  <si>
    <t>VNPOST Kon Tum-PA06</t>
  </si>
  <si>
    <t>16.0661</t>
  </si>
  <si>
    <t>108.2218</t>
  </si>
  <si>
    <t>FO DT#MBF#VNPOST Kon Tum-KTKT44</t>
  </si>
  <si>
    <t>161755.38</t>
  </si>
  <si>
    <t>161653.19</t>
  </si>
  <si>
    <t>PA06-PC07</t>
  </si>
  <si>
    <t>FO DT#MBF#KTKT44-KTKT10</t>
  </si>
  <si>
    <t>Ring 1 Chân Mây_Lăng Cô-Phú Lộc</t>
  </si>
  <si>
    <t>126697.95</t>
  </si>
  <si>
    <t>24952.22</t>
  </si>
  <si>
    <t>16.242724</t>
  </si>
  <si>
    <t>108.077691</t>
  </si>
  <si>
    <t>101745.73</t>
  </si>
  <si>
    <t>16.274787</t>
  </si>
  <si>
    <t>107.860466</t>
  </si>
  <si>
    <t>full_h04/Huế/Mang cap 4/Ring 1/Ring 1 Chân Mây_Lăng Cô-Phú Lộc/Tuyến trung thế 1</t>
  </si>
  <si>
    <t>PC07-PC08</t>
  </si>
  <si>
    <t>FO DT#MBF#KTKT10-KTKT30</t>
  </si>
  <si>
    <t>131863.31</t>
  </si>
  <si>
    <t>30117.58</t>
  </si>
  <si>
    <t>PC08-TT2 Kon Tum</t>
  </si>
  <si>
    <t>FO DT#MBF#KTKT30-KTKT19</t>
  </si>
  <si>
    <t>155325.76</t>
  </si>
  <si>
    <t>KTKT29-Ngọk Bay</t>
  </si>
  <si>
    <t>14.37494</t>
  </si>
  <si>
    <t>107.9586</t>
  </si>
  <si>
    <t>FO DT#MBF#KTKT29-KTKT39</t>
  </si>
  <si>
    <t>1449.39</t>
  </si>
  <si>
    <t>231.40</t>
  </si>
  <si>
    <t>14.377012</t>
  </si>
  <si>
    <t>107.958400</t>
  </si>
  <si>
    <t>1217.98</t>
  </si>
  <si>
    <t>14.359938</t>
  </si>
  <si>
    <t>107.990465</t>
  </si>
  <si>
    <t>VNPOST Kon Tum-PA05/PC10/PX05/PX06</t>
  </si>
  <si>
    <t>14.34967</t>
  </si>
  <si>
    <t>108.0075</t>
  </si>
  <si>
    <t>FO DT#MBF#VNPOST Kon Tum-KTKT48</t>
  </si>
  <si>
    <t>111.73</t>
  </si>
  <si>
    <t>103.97</t>
  </si>
  <si>
    <t>14.354256</t>
  </si>
  <si>
    <t>108.002816</t>
  </si>
  <si>
    <t>7.76</t>
  </si>
  <si>
    <t>14.349694</t>
  </si>
  <si>
    <t>108.007432</t>
  </si>
  <si>
    <t>KTKT60-TT2 Kon Tum</t>
  </si>
  <si>
    <t>14.35019</t>
  </si>
  <si>
    <t>108.02217</t>
  </si>
  <si>
    <t>FO DT#MBF#KTKT60-KTKT19</t>
  </si>
  <si>
    <t>Đăk Rơ Wa - Kon Tum</t>
  </si>
  <si>
    <t>420.80</t>
  </si>
  <si>
    <t>353.62</t>
  </si>
  <si>
    <t>14.352606</t>
  </si>
  <si>
    <t>108.020035</t>
  </si>
  <si>
    <t>67.18</t>
  </si>
  <si>
    <t>14.352398</t>
  </si>
  <si>
    <t>108.007853</t>
  </si>
  <si>
    <t>full_h04/KonTum/Mạng Cấp IV Kon Tum/Kon Tum - Cấp 4 - Ring 1.kmz/Kon Tum - Ring 1/Đăk Rơ Wa - Kon Tum/Trung thế EVN 3</t>
  </si>
  <si>
    <t>KTKT66-PH10</t>
  </si>
  <si>
    <t>14.33481</t>
  </si>
  <si>
    <t>107.9959</t>
  </si>
  <si>
    <t>FO DT#MBF#KTKT66-KTKT57</t>
  </si>
  <si>
    <t>1588.27</t>
  </si>
  <si>
    <t>14.334608</t>
  </si>
  <si>
    <t>107.996469</t>
  </si>
  <si>
    <t>1523.00</t>
  </si>
  <si>
    <t>14.343186</t>
  </si>
  <si>
    <t>108.000281</t>
  </si>
  <si>
    <t>PH10-TT2 Kon Tum</t>
  </si>
  <si>
    <t>FO DT#MBF#KTKT57-KTKT19</t>
  </si>
  <si>
    <t>142.76</t>
  </si>
  <si>
    <t>75.58</t>
  </si>
  <si>
    <t>14.352362</t>
  </si>
  <si>
    <t>108.010153</t>
  </si>
  <si>
    <t>KTKT35-Ia Chim</t>
  </si>
  <si>
    <t>14.33936</t>
  </si>
  <si>
    <t>107.98691</t>
  </si>
  <si>
    <t>FO DT#MBF#KTKT35-KTKT11</t>
  </si>
  <si>
    <t>663.49</t>
  </si>
  <si>
    <t>582.83</t>
  </si>
  <si>
    <t>14.342360</t>
  </si>
  <si>
    <t>107.982474</t>
  </si>
  <si>
    <t>80.65</t>
  </si>
  <si>
    <t>14.313443</t>
  </si>
  <si>
    <t>107.925479</t>
  </si>
  <si>
    <t>Ia Chim-Đăk BLa</t>
  </si>
  <si>
    <t>FO DT#MBF#KTKT11-KTKT05</t>
  </si>
  <si>
    <t>2670.38</t>
  </si>
  <si>
    <t>2047.52</t>
  </si>
  <si>
    <t>14.296118</t>
  </si>
  <si>
    <t>107.975981</t>
  </si>
  <si>
    <t>KTKT37-TT2 Kon Tum</t>
  </si>
  <si>
    <t>14.34399</t>
  </si>
  <si>
    <t>108.03759</t>
  </si>
  <si>
    <t>FO DT#MBF#KTKT37-KTKT19</t>
  </si>
  <si>
    <t>TT2 Kon Tum - Kon Rẫy</t>
  </si>
  <si>
    <t>2136.34</t>
  </si>
  <si>
    <t>2061.18</t>
  </si>
  <si>
    <t>14.356558</t>
  </si>
  <si>
    <t>108.023526</t>
  </si>
  <si>
    <t>75.15</t>
  </si>
  <si>
    <t>14.352325</t>
  </si>
  <si>
    <t>108.007865</t>
  </si>
  <si>
    <t>full_h04/KonTum/Mạng cấp III Kon Tum/Ring 4/TT2 Kon Tum - Kon Rẫy.kmz/TT2 Kon Tum - Kon Rẫy/TT2 Kon Tum - Kon Rẫy_Trung thế</t>
  </si>
  <si>
    <t>KTKT45-TT2 Kon Tum</t>
  </si>
  <si>
    <t>14.32868</t>
  </si>
  <si>
    <t>107.99419</t>
  </si>
  <si>
    <t>FO DT#MBF#KTKT45-KTKT19</t>
  </si>
  <si>
    <t>1576.93</t>
  </si>
  <si>
    <t>211.43</t>
  </si>
  <si>
    <t>14.329800</t>
  </si>
  <si>
    <t>107.992604</t>
  </si>
  <si>
    <t>1365.50</t>
  </si>
  <si>
    <t>KTDH25-Đăk Mar</t>
  </si>
  <si>
    <t>14.5609769</t>
  </si>
  <si>
    <t>107.9221856</t>
  </si>
  <si>
    <t>FO DT#MBF#KTDH25-KTDH06</t>
  </si>
  <si>
    <t>256.69</t>
  </si>
  <si>
    <t>177.82</t>
  </si>
  <si>
    <t>14.561059</t>
  </si>
  <si>
    <t>107.920536</t>
  </si>
  <si>
    <t>78.87</t>
  </si>
  <si>
    <t>14.545739</t>
  </si>
  <si>
    <t>107.920722</t>
  </si>
  <si>
    <t>full_h04/KonTum/Mạng Cấp IV Kon Tum/Kon Tum - Cấp 4 - Ring 6.kmz/Đăk Pxi - CAT Kon Tum/Trung thế 1 |  EVN</t>
  </si>
  <si>
    <t>KTDH23-Đăk Mar</t>
  </si>
  <si>
    <t>14.5383</t>
  </si>
  <si>
    <t>107.89056</t>
  </si>
  <si>
    <t>FO DT#MBF#KTDH23-KTDH06</t>
  </si>
  <si>
    <t>3270.38</t>
  </si>
  <si>
    <t>3268.72</t>
  </si>
  <si>
    <t>14.545508</t>
  </si>
  <si>
    <t>107.920002</t>
  </si>
  <si>
    <t>1.66</t>
  </si>
  <si>
    <t>14.545607</t>
  </si>
  <si>
    <t>107.920008</t>
  </si>
  <si>
    <t>full_h04/KonTum/Mạng Cấp IV Kon Tum/Kon Tum - Cấp 4 - Ring 5.kmz/Đăk Ui - Đăk Mar/Trồng trụ mới 2</t>
  </si>
  <si>
    <t>KTDH41-Đăk Ui</t>
  </si>
  <si>
    <t>14.54931</t>
  </si>
  <si>
    <t>107.97935</t>
  </si>
  <si>
    <t>FO DT#MBF#KTDH41-KTDH15</t>
  </si>
  <si>
    <t>4607.21</t>
  </si>
  <si>
    <t>4557.05</t>
  </si>
  <si>
    <t>14.533442</t>
  </si>
  <si>
    <t>107.940314</t>
  </si>
  <si>
    <t>KTKT62-Ia Chim</t>
  </si>
  <si>
    <t>14.30913</t>
  </si>
  <si>
    <t>107.90777</t>
  </si>
  <si>
    <t>FO DT#MBF#KTKT62-KTKT11</t>
  </si>
  <si>
    <t>1000.26</t>
  </si>
  <si>
    <t>918.95</t>
  </si>
  <si>
    <t>14.309400</t>
  </si>
  <si>
    <t>107.916294</t>
  </si>
  <si>
    <t>81.31</t>
  </si>
  <si>
    <t>14.313441</t>
  </si>
  <si>
    <t>107.925487</t>
  </si>
  <si>
    <t>full_h04/KonTum/Mạng Cấp IV Kon Tum/Kon Tum - Cấp 4 - Ring 1.kmz/Kon Tum - Ring 1/Đăk Bla - Ia Chim/Trung thế 5 | EVN</t>
  </si>
  <si>
    <t>KTKT86-TT2 Kon Tum</t>
  </si>
  <si>
    <t>14.36532</t>
  </si>
  <si>
    <t>108.0237</t>
  </si>
  <si>
    <t>FO DT#MBF#KTKT86-KTKT19</t>
  </si>
  <si>
    <t>392.20</t>
  </si>
  <si>
    <t>317.04</t>
  </si>
  <si>
    <t>14.364977</t>
  </si>
  <si>
    <t>108.026622</t>
  </si>
  <si>
    <t>KTKT06-PA05/PC10/PX05/PX06</t>
  </si>
  <si>
    <t>14.346196</t>
  </si>
  <si>
    <t>108.002538</t>
  </si>
  <si>
    <t>FO DT#MBF#KTKT06-KTKT48</t>
  </si>
  <si>
    <t>65.04</t>
  </si>
  <si>
    <t>27.95</t>
  </si>
  <si>
    <t>14.345952</t>
  </si>
  <si>
    <t>108.002474</t>
  </si>
  <si>
    <t>37.09</t>
  </si>
  <si>
    <t>14.349981</t>
  </si>
  <si>
    <t>108.007375</t>
  </si>
  <si>
    <t>KTKT46-PH10</t>
  </si>
  <si>
    <t>14.34228</t>
  </si>
  <si>
    <t>108.01003</t>
  </si>
  <si>
    <t>FO DT#MBF#KTKT46-KTKT57</t>
  </si>
  <si>
    <t>596.60</t>
  </si>
  <si>
    <t>342.20</t>
  </si>
  <si>
    <t>14.345356</t>
  </si>
  <si>
    <t>108.009923</t>
  </si>
  <si>
    <t>KTKT98-TT2 Kon Tum</t>
  </si>
  <si>
    <t>14.35688</t>
  </si>
  <si>
    <t>108.01431</t>
  </si>
  <si>
    <t>FO DT#MBF#KTKT98-KTKT19</t>
  </si>
  <si>
    <t>CAT Kon Tum - Đăk Cấm</t>
  </si>
  <si>
    <t>228.58</t>
  </si>
  <si>
    <t>152.50</t>
  </si>
  <si>
    <t>14.356747</t>
  </si>
  <si>
    <t>108.012901</t>
  </si>
  <si>
    <t>76.08</t>
  </si>
  <si>
    <t>14.352316</t>
  </si>
  <si>
    <t>108.007886</t>
  </si>
  <si>
    <t>full_h04/KonTum/Mạng Cấp IV Kon Tum/Kon Tum - Cấp 4 - Ring 4.kmz/CAT Kon Tum - Đăk Cấm/Trung thế | evn</t>
  </si>
  <si>
    <t>KTNH14-Ngọc Hồi</t>
  </si>
  <si>
    <t>14.7142937</t>
  </si>
  <si>
    <t>107.690928</t>
  </si>
  <si>
    <t>FO DT#MBF#KTNH14-KTNH01</t>
  </si>
  <si>
    <t>126.73</t>
  </si>
  <si>
    <t>111.23</t>
  </si>
  <si>
    <t>14.714510</t>
  </si>
  <si>
    <t>107.689918</t>
  </si>
  <si>
    <t>22KT020-Khối CS (PC01, PC02, PC03, PC04)</t>
  </si>
  <si>
    <t>14.377198</t>
  </si>
  <si>
    <t>107.989602</t>
  </si>
  <si>
    <t>FO DT#MBF#22KT020-KTKT33</t>
  </si>
  <si>
    <t>Khối CS (PC01, PC02, PC03, PC04) - PC08</t>
  </si>
  <si>
    <t>445.22</t>
  </si>
  <si>
    <t>445.06</t>
  </si>
  <si>
    <t>14.380141</t>
  </si>
  <si>
    <t>107.986801</t>
  </si>
  <si>
    <t>0.16</t>
  </si>
  <si>
    <t>full_h04/KonTum/Mạng cấp III Kon Tum/Ring 5/Khối CS (PC01, PC02, PC03, PC04) - PC08.kmz/Khối CS (PC01, PC02, PC03, PC04) - PC08/Khối CS (PC01, PC02, PC03, PC04) - PC08_Hạ thế</t>
  </si>
  <si>
    <t>21KT024-PH10</t>
  </si>
  <si>
    <t>FO DT#MBF#21KT024-KTKT57</t>
  </si>
  <si>
    <t>ERROR</t>
  </si>
  <si>
    <t>Lỗi Tọa độ: Cột 'lat1' ('#N/A') không phải là số hợp lệ. | Cột 'lon1' ('#N/A') không phải là số hợp lệ.</t>
  </si>
  <si>
    <t>22KT002-PC11</t>
  </si>
  <si>
    <t>14.51086</t>
  </si>
  <si>
    <t>107.98543</t>
  </si>
  <si>
    <t>FO DT#MBF#22KT002-KTDH18</t>
  </si>
  <si>
    <t>99407.86</t>
  </si>
  <si>
    <t>95430.33</t>
  </si>
  <si>
    <t>22KT023-Kon Đào</t>
  </si>
  <si>
    <t>14.72112</t>
  </si>
  <si>
    <t>107.80965</t>
  </si>
  <si>
    <t>FO DT#MBF#22KT023-KTDT04</t>
  </si>
  <si>
    <t>100.11</t>
  </si>
  <si>
    <t>47.35</t>
  </si>
  <si>
    <t>14.721538</t>
  </si>
  <si>
    <t>107.809734</t>
  </si>
  <si>
    <t>CAT-PA05/PC10/PX05/PX06</t>
  </si>
  <si>
    <t>FO DT#MBF#CAT-KTKT48</t>
  </si>
  <si>
    <t>42.47</t>
  </si>
  <si>
    <t>4.76</t>
  </si>
  <si>
    <t>14.352999</t>
  </si>
  <si>
    <t>108.007856</t>
  </si>
  <si>
    <t>37.70</t>
  </si>
  <si>
    <t>14.349993</t>
  </si>
  <si>
    <t>108.007393</t>
  </si>
  <si>
    <t>TT1 Quảng Ngãi-Nghĩa hành</t>
  </si>
  <si>
    <t>15.121</t>
  </si>
  <si>
    <t>108.79205</t>
  </si>
  <si>
    <t>15.04397</t>
  </si>
  <si>
    <t>108.77664</t>
  </si>
  <si>
    <t>FO thuê#CMC#QNQN02-QNNH21</t>
  </si>
  <si>
    <t>TT1 Quảng Ngãi - Minh Long</t>
  </si>
  <si>
    <t>1060.35</t>
  </si>
  <si>
    <t>860.10</t>
  </si>
  <si>
    <t>15.113571</t>
  </si>
  <si>
    <t>108.789819</t>
  </si>
  <si>
    <t>200.25</t>
  </si>
  <si>
    <t>15.044577</t>
  </si>
  <si>
    <t>108.774884</t>
  </si>
  <si>
    <t>full_h04/Quảng Ngãi/Quảng Ngãi Cấp III - IV/Quảng Ngãi Cấp III/Cấp 3- Ring 2/TT1 Quảng Ngãi - Minh Long/trung thế 2</t>
  </si>
  <si>
    <t>TT1 Quảng Ngãi-Sơn Tịnh</t>
  </si>
  <si>
    <t>15.15466</t>
  </si>
  <si>
    <t>108.7366</t>
  </si>
  <si>
    <t>FO thuê#CMC#QNQN02-QNST07</t>
  </si>
  <si>
    <t>PC07 - Sơn Tịnh</t>
  </si>
  <si>
    <t>2329.72</t>
  </si>
  <si>
    <t>2213.11</t>
  </si>
  <si>
    <t>15.139444</t>
  </si>
  <si>
    <t>108.784302</t>
  </si>
  <si>
    <t>116.62</t>
  </si>
  <si>
    <t>15.155536</t>
  </si>
  <si>
    <t>108.736003</t>
  </si>
  <si>
    <t>full_h04/Quảng Ngãi/Quảng Ngãi Cấp III - IV/Quảng Ngãi Cấp III/Phòng - Ring 1/PC07 - Sơn Tịnh/PC07 - Sơn Tịnh_1</t>
  </si>
  <si>
    <t>TT1 Quảng Ngãi-Trà Giang</t>
  </si>
  <si>
    <t>15.1323</t>
  </si>
  <si>
    <t>108.71287</t>
  </si>
  <si>
    <t>FO thuê#FFC#QNQN02-QNTN06</t>
  </si>
  <si>
    <t>Sơn Tịnh - TT1 QUẢNG NGÃI</t>
  </si>
  <si>
    <t>2119.48</t>
  </si>
  <si>
    <t>38.96</t>
  </si>
  <si>
    <t>15.120827</t>
  </si>
  <si>
    <t>108.791734</t>
  </si>
  <si>
    <t>2080.52</t>
  </si>
  <si>
    <t>15.129204</t>
  </si>
  <si>
    <t>108.731985</t>
  </si>
  <si>
    <t>full_h04/Quảng Ngãi/Quảng Ngãi Cấp III - IV/Quảng Ngãi Cấp IV/Cấp 4 Ring 2/Sơn Tịnh - TT1 QUẢNG NGÃI/Trung thế</t>
  </si>
  <si>
    <t>TT1 Quảng Ngãi-QNST02</t>
  </si>
  <si>
    <t>15.20067</t>
  </si>
  <si>
    <t>108.79055</t>
  </si>
  <si>
    <t>FO thuê#CMC#QNQN02-QNST02</t>
  </si>
  <si>
    <t>E23)</t>
  </si>
  <si>
    <t>2461.24</t>
  </si>
  <si>
    <t>2350.67</t>
  </si>
  <si>
    <t>15.140404</t>
  </si>
  <si>
    <t>108.800742</t>
  </si>
  <si>
    <t>110.57</t>
  </si>
  <si>
    <t>15.201007</t>
  </si>
  <si>
    <t>108.789580</t>
  </si>
  <si>
    <t>full_h04/Quảng Ngãi/Quảng Ngãi Cấp III - IV/Quảng Ngãi Cấp III/Phòng - Ring 2/khối phòng CAT KV P.NL - K02 (D3/E23)/trung thế 2</t>
  </si>
  <si>
    <t>TT1 Quảng Ngãi-QNST19</t>
  </si>
  <si>
    <t>15.1437</t>
  </si>
  <si>
    <t>108.7682</t>
  </si>
  <si>
    <t>FO thuê#CMC#QNQN02-QNST19</t>
  </si>
  <si>
    <t>Ba Gia - TT1 QUẢNG NGÃI</t>
  </si>
  <si>
    <t>2312.32</t>
  </si>
  <si>
    <t>56.31</t>
  </si>
  <si>
    <t>15.121472</t>
  </si>
  <si>
    <t>108.791859</t>
  </si>
  <si>
    <t>2256.01</t>
  </si>
  <si>
    <t>15.126612</t>
  </si>
  <si>
    <t>108.779531</t>
  </si>
  <si>
    <t>full_h04/Quảng Ngãi/Quảng Ngãi Cấp III - IV/Quảng Ngãi Cấp IV/Cấp 4 Ring 8/Ba Gia - TT1 QUẢNG NGÃI/Trung thế</t>
  </si>
  <si>
    <t>TT1 Quảng Ngãi-QNST36</t>
  </si>
  <si>
    <t>15.13794</t>
  </si>
  <si>
    <t>108.7793</t>
  </si>
  <si>
    <t>FO thuê#CMC#QNQN02-QNST36</t>
  </si>
  <si>
    <t>1301.12</t>
  </si>
  <si>
    <t>1244.81</t>
  </si>
  <si>
    <t>15.127291</t>
  </si>
  <si>
    <t>108.782879</t>
  </si>
  <si>
    <t>TT1 Quảng Ngãi-QNST18</t>
  </si>
  <si>
    <t>15.15531</t>
  </si>
  <si>
    <t>108.70619</t>
  </si>
  <si>
    <t>FO thuê#CMC#QNQN02-QNST18</t>
  </si>
  <si>
    <t>3827.45</t>
  </si>
  <si>
    <t>3788.49</t>
  </si>
  <si>
    <t>15.132574</t>
  </si>
  <si>
    <t>108.732478</t>
  </si>
  <si>
    <t>TT1 Quảng Ngãi-QNQN15</t>
  </si>
  <si>
    <t>15.12444</t>
  </si>
  <si>
    <t>108.77788</t>
  </si>
  <si>
    <t>FO thuê#CMC#QNQN02-QNQN15</t>
  </si>
  <si>
    <t>324.62</t>
  </si>
  <si>
    <t>268.31</t>
  </si>
  <si>
    <t>15.126121</t>
  </si>
  <si>
    <t>108.779673</t>
  </si>
  <si>
    <t>TT1 Quảng Ngãi-QNQN17</t>
  </si>
  <si>
    <t>15.11357</t>
  </si>
  <si>
    <t>108.77094</t>
  </si>
  <si>
    <t>FO thuê#CMC#QNQN02-QNQN17</t>
  </si>
  <si>
    <t>154.49</t>
  </si>
  <si>
    <t>115.53</t>
  </si>
  <si>
    <t>15.114606</t>
  </si>
  <si>
    <t>108.771015</t>
  </si>
  <si>
    <t>TT1 Quảng Ngãi-QNQN61</t>
  </si>
  <si>
    <t>15.12551</t>
  </si>
  <si>
    <t>108.7708</t>
  </si>
  <si>
    <t>FO thuê#CMC#QNQN02-QNQN61</t>
  </si>
  <si>
    <t>1001.53</t>
  </si>
  <si>
    <t>945.21</t>
  </si>
  <si>
    <t>TT1 Quảng Ngãi-QNQN44</t>
  </si>
  <si>
    <t>15.10594</t>
  </si>
  <si>
    <t>108.76747</t>
  </si>
  <si>
    <t>FO thuê#FFC#QNQN02-QNQN44</t>
  </si>
  <si>
    <t>994.30</t>
  </si>
  <si>
    <t>134.20</t>
  </si>
  <si>
    <t>15.104920</t>
  </si>
  <si>
    <t>108.766801</t>
  </si>
  <si>
    <t>TT1 Quảng Ngãi-QNTN26</t>
  </si>
  <si>
    <t>15.11727</t>
  </si>
  <si>
    <t>108.75462</t>
  </si>
  <si>
    <t>FO thuê#FFC#QNQN02-QNTN26</t>
  </si>
  <si>
    <t>171.71</t>
  </si>
  <si>
    <t>132.75</t>
  </si>
  <si>
    <t>15.118464</t>
  </si>
  <si>
    <t>108.754596</t>
  </si>
  <si>
    <t>QNQN30-TT1 Quảng Ngãi</t>
  </si>
  <si>
    <t>15.11891</t>
  </si>
  <si>
    <t>108.77932</t>
  </si>
  <si>
    <t>FO thuê#FFC#QNQN30-QNQN02</t>
  </si>
  <si>
    <t>628.67</t>
  </si>
  <si>
    <t>589.72</t>
  </si>
  <si>
    <t>15.113611</t>
  </si>
  <si>
    <t>108.779097</t>
  </si>
  <si>
    <t>QNQN2J-TT1 Quảng Ngãi</t>
  </si>
  <si>
    <t>15.132932</t>
  </si>
  <si>
    <t>108.795251</t>
  </si>
  <si>
    <t>FO DT#MBF#QNQN2J-QNQN02</t>
  </si>
  <si>
    <t>Khối Cảnh sát - Khối Phòng CAT KV P.Nghĩa Lộ</t>
  </si>
  <si>
    <t>606.29</t>
  </si>
  <si>
    <t>556.46</t>
  </si>
  <si>
    <t>15.127977</t>
  </si>
  <si>
    <t>108.795976</t>
  </si>
  <si>
    <t>49.84</t>
  </si>
  <si>
    <t>15.121444</t>
  </si>
  <si>
    <t>108.792112</t>
  </si>
  <si>
    <t>full_h04/Quảng Ngãi/Quảng Ngãi Cấp III - IV/Quảng Ngãi Cấp III/Phòng - Ring 2/Khối Cảnh sát - Khối Phòng CAT KV P.Nghĩa Lộ/hạ thế 1</t>
  </si>
  <si>
    <t>TT1 Quảng Ngãi-QNQN2J</t>
  </si>
  <si>
    <t>FO DT#MBF#QNQN02-QNQN2J</t>
  </si>
  <si>
    <t>FO DT#MBF#QNQN02-QNNH21</t>
  </si>
  <si>
    <t>TT1 Quảng Ngãi-Khối Phòng PA08,PA05</t>
  </si>
  <si>
    <t>15.11382</t>
  </si>
  <si>
    <t>108.7964</t>
  </si>
  <si>
    <t>FO DT#MBF#QNQN02-QNQN09</t>
  </si>
  <si>
    <t>Khối Phòng PA08_PA05 - TT1 Quảng Ngãi</t>
  </si>
  <si>
    <t>49.18</t>
  </si>
  <si>
    <t>37.50</t>
  </si>
  <si>
    <t>15.120826</t>
  </si>
  <si>
    <t>108.791751</t>
  </si>
  <si>
    <t>11.68</t>
  </si>
  <si>
    <t>15.113891</t>
  </si>
  <si>
    <t>108.796320</t>
  </si>
  <si>
    <t>full_h04/Quảng Ngãi/Quảng Ngãi Cấp III - IV/Quảng Ngãi Cấp III/Phòng - Ring 2/Khối Phòng PA08_PA05 - TT1 Quảng Ngãi/hạ thế 1</t>
  </si>
  <si>
    <t>Mộ Đức-QNTN05</t>
  </si>
  <si>
    <t>14.94789</t>
  </si>
  <si>
    <t>108.88789</t>
  </si>
  <si>
    <t>15.05898</t>
  </si>
  <si>
    <t>108.84332</t>
  </si>
  <si>
    <t>FO thuê#CMC#QNMD25-QNTN05</t>
  </si>
  <si>
    <t>Đức Phổ - TT1 Quảng Ngãi mới</t>
  </si>
  <si>
    <t>3196.39</t>
  </si>
  <si>
    <t>757.26</t>
  </si>
  <si>
    <t>14.941793</t>
  </si>
  <si>
    <t>108.884749</t>
  </si>
  <si>
    <t>2439.13</t>
  </si>
  <si>
    <t>15.038804</t>
  </si>
  <si>
    <t>108.852233</t>
  </si>
  <si>
    <t>full_h04/Quảng Ngãi/Quảng Ngãi Cấp III - IV/Quảng Ngãi Cấp III/Cấp 3- Ring 2/Đức Phổ - TT1 Quảng Ngãi mới/trung thế 1</t>
  </si>
  <si>
    <t>Mộ Đức-QNMD05</t>
  </si>
  <si>
    <t>14.92405</t>
  </si>
  <si>
    <t>108.89965</t>
  </si>
  <si>
    <t>FO thuê#CMC#QNMD25-QNMD05</t>
  </si>
  <si>
    <t>Trà Câu - Mộ Đức</t>
  </si>
  <si>
    <t>653.54</t>
  </si>
  <si>
    <t>321.69</t>
  </si>
  <si>
    <t>14.948860</t>
  </si>
  <si>
    <t>108.885069</t>
  </si>
  <si>
    <t>331.85</t>
  </si>
  <si>
    <t>14.923200</t>
  </si>
  <si>
    <t>108.902611</t>
  </si>
  <si>
    <t>full_h04/Quảng Ngãi/Quảng Ngãi Cấp III - IV/Quảng Ngãi Cấp IV/Cấp 4 Ring 16/Trà Câu - Mộ Đức/Trụ trung thế 1</t>
  </si>
  <si>
    <t>Mộ Đức-QNNH03</t>
  </si>
  <si>
    <t>14.98693</t>
  </si>
  <si>
    <t>108.83602</t>
  </si>
  <si>
    <t>FO thuê#CMC#QNMD25-QNNH03</t>
  </si>
  <si>
    <t>Mộ Đức - Vệ Giang</t>
  </si>
  <si>
    <t>2747.46</t>
  </si>
  <si>
    <t>683.74</t>
  </si>
  <si>
    <t>14.953834</t>
  </si>
  <si>
    <t>108.886260</t>
  </si>
  <si>
    <t>2063.72</t>
  </si>
  <si>
    <t>14.996030</t>
  </si>
  <si>
    <t>108.852765</t>
  </si>
  <si>
    <t>full_h04/Quảng Ngãi/Quảng Ngãi Cấp III - IV/Quảng Ngãi Cấp IV/Cấp 4 Ring 16/Mộ Đức - Vệ Giang/Trụ trung thế 2</t>
  </si>
  <si>
    <t>Mộ Đức-QNMD10</t>
  </si>
  <si>
    <t>15.01246</t>
  </si>
  <si>
    <t>108.87124</t>
  </si>
  <si>
    <t>FO thuê#CMC#QNMD25-QNMD10</t>
  </si>
  <si>
    <t>951.83</t>
  </si>
  <si>
    <t>194.57</t>
  </si>
  <si>
    <t>15.011333</t>
  </si>
  <si>
    <t>108.869854</t>
  </si>
  <si>
    <t>Mộ Đức-Lân Phong</t>
  </si>
  <si>
    <t>14.92761</t>
  </si>
  <si>
    <t>108.91794</t>
  </si>
  <si>
    <t>FO thuê#CMC#QNMD25-QNMD24</t>
  </si>
  <si>
    <t>1972.89</t>
  </si>
  <si>
    <t>1651.20</t>
  </si>
  <si>
    <t>14.920210</t>
  </si>
  <si>
    <t>108.904616</t>
  </si>
  <si>
    <t>Mộ Đức-QNMD01</t>
  </si>
  <si>
    <t>14.95727</t>
  </si>
  <si>
    <t>108.8876</t>
  </si>
  <si>
    <t>FO thuê#CMC#QNMD25-QNMD01</t>
  </si>
  <si>
    <t>636.90</t>
  </si>
  <si>
    <t>228.52</t>
  </si>
  <si>
    <t>14.949937</t>
  </si>
  <si>
    <t>108.887698</t>
  </si>
  <si>
    <t>408.38</t>
  </si>
  <si>
    <t>108.886257</t>
  </si>
  <si>
    <t>full_h04/Quảng Ngãi/Quảng Ngãi Cấp III - IV/Quảng Ngãi Cấp IV/Cấp 4 Ring 16/Mộ Đức - Vệ Giang/Trụ hạ thế 1</t>
  </si>
  <si>
    <t>FO thuê#TPComs#QNMD25-QNNH03</t>
  </si>
  <si>
    <t>FO thuê#TPComs#QNMD25-QNTN05</t>
  </si>
  <si>
    <t>Nghĩa hành-Mộ Đức</t>
  </si>
  <si>
    <t>FO thuê#CMC#QNNH21-QNMD25</t>
  </si>
  <si>
    <t>8758.42</t>
  </si>
  <si>
    <t>8074.67</t>
  </si>
  <si>
    <t>15.008498</t>
  </si>
  <si>
    <t>108.842247</t>
  </si>
  <si>
    <t>QNMD12-Mộ Đức</t>
  </si>
  <si>
    <t>14.94605</t>
  </si>
  <si>
    <t>108.86027</t>
  </si>
  <si>
    <t>FO thuê#CMC#QNMD12-QNMD25</t>
  </si>
  <si>
    <t>2814.66</t>
  </si>
  <si>
    <t>2675.01</t>
  </si>
  <si>
    <t>14.946976</t>
  </si>
  <si>
    <t>108.885151</t>
  </si>
  <si>
    <t>139.65</t>
  </si>
  <si>
    <t>14.946636</t>
  </si>
  <si>
    <t>108.887959</t>
  </si>
  <si>
    <t>full_h04/Quảng Ngãi/Quảng Ngãi Cấp III - IV/Quảng Ngãi Cấp IV/Cấp 4 Ring 16/Trà Câu - Mộ Đức/hạ thế</t>
  </si>
  <si>
    <t>QNMD19-Mộ Đức</t>
  </si>
  <si>
    <t>14.90552</t>
  </si>
  <si>
    <t>108.91163</t>
  </si>
  <si>
    <t>FO thuê#CMC#QNMD19-QNMD25</t>
  </si>
  <si>
    <t>498.47</t>
  </si>
  <si>
    <t>176.78</t>
  </si>
  <si>
    <t>14.904020</t>
  </si>
  <si>
    <t>108.911083</t>
  </si>
  <si>
    <t>QNMD36-Mộ Đức</t>
  </si>
  <si>
    <t>14.94028</t>
  </si>
  <si>
    <t>108.89194</t>
  </si>
  <si>
    <t>FO thuê#CMC#QNMD36-QNMD25</t>
  </si>
  <si>
    <t>915.70</t>
  </si>
  <si>
    <t>913.32</t>
  </si>
  <si>
    <t>14.947109</t>
  </si>
  <si>
    <t>108.887216</t>
  </si>
  <si>
    <t>2.39</t>
  </si>
  <si>
    <t>14.947894</t>
  </si>
  <si>
    <t>108.887912</t>
  </si>
  <si>
    <t>full_h04/Quảng Ngãi/Quảng Ngãi Cấp III - IV/Quảng Ngãi Cấp IV/Cấp 4 Ring 16/Trà Câu - Mộ Đức/Trồng trụ mới 1</t>
  </si>
  <si>
    <t>QNMD34-Mộ Đức</t>
  </si>
  <si>
    <t>14.92471</t>
  </si>
  <si>
    <t>108.87507</t>
  </si>
  <si>
    <t>FO thuê#CMC#QNMD34-QNMD25</t>
  </si>
  <si>
    <t>2292.33</t>
  </si>
  <si>
    <t>1970.64</t>
  </si>
  <si>
    <t>14.934362</t>
  </si>
  <si>
    <t>108.890453</t>
  </si>
  <si>
    <t>Nghĩa hành-Phước Giang</t>
  </si>
  <si>
    <t>15.04567</t>
  </si>
  <si>
    <t>108.74218</t>
  </si>
  <si>
    <t>FO thuê#CMC#QNNH21-QNNH05</t>
  </si>
  <si>
    <t>Phước Giang - Trà Giang</t>
  </si>
  <si>
    <t>3435.33</t>
  </si>
  <si>
    <t>3098.74</t>
  </si>
  <si>
    <t>15.047854</t>
  </si>
  <si>
    <t>108.748065</t>
  </si>
  <si>
    <t>336.59</t>
  </si>
  <si>
    <t>15.045444</t>
  </si>
  <si>
    <t>108.745306</t>
  </si>
  <si>
    <t>full_h04/Quảng Ngãi/Quảng Ngãi Cấp III - IV/Quảng Ngãi Cấp IV/Cấp 4 Ring 13/Phước Giang - Trà Giang/Trụ trung thế 1</t>
  </si>
  <si>
    <t>Nghĩa hành-QNMD02</t>
  </si>
  <si>
    <t>14.885983</t>
  </si>
  <si>
    <t>108.918403</t>
  </si>
  <si>
    <t>FO thuê#CMC#QNNH21-QNMD02</t>
  </si>
  <si>
    <t>9066.16</t>
  </si>
  <si>
    <t>8137.92</t>
  </si>
  <si>
    <t>928.24</t>
  </si>
  <si>
    <t>14.889078</t>
  </si>
  <si>
    <t>108.926425</t>
  </si>
  <si>
    <t>Nghĩa hành-QNNH16</t>
  </si>
  <si>
    <t>15.04128</t>
  </si>
  <si>
    <t>108.79722</t>
  </si>
  <si>
    <t>FO thuê#CMC#QNNH21-QNNH16</t>
  </si>
  <si>
    <t>Đình Cương - Nghĩa Hành</t>
  </si>
  <si>
    <t>445.83</t>
  </si>
  <si>
    <t>224.35</t>
  </si>
  <si>
    <t>15.043967</t>
  </si>
  <si>
    <t>108.778729</t>
  </si>
  <si>
    <t>221.48</t>
  </si>
  <si>
    <t>15.040720</t>
  </si>
  <si>
    <t>108.795241</t>
  </si>
  <si>
    <t>full_h04/Quảng Ngãi/Quảng Ngãi Cấp III - IV/Quảng Ngãi Cấp IV/Cấp 4 Ring 12/Đình Cương - Nghĩa Hành/Trụ trung thế 1</t>
  </si>
  <si>
    <t>QNNH04-Nghĩa hành</t>
  </si>
  <si>
    <t>15.07944</t>
  </si>
  <si>
    <t>108.77991</t>
  </si>
  <si>
    <t>FO thuê#FFC#QNNH04-QNNH21</t>
  </si>
  <si>
    <t>Nghĩa Hành - Nghĩa Lộ</t>
  </si>
  <si>
    <t>447.13</t>
  </si>
  <si>
    <t>425.67</t>
  </si>
  <si>
    <t>15.079531</t>
  </si>
  <si>
    <t>108.783874</t>
  </si>
  <si>
    <t>21.46</t>
  </si>
  <si>
    <t>15.043846</t>
  </si>
  <si>
    <t>108.776487</t>
  </si>
  <si>
    <t>full_h04/Quảng Ngãi/Quảng Ngãi Cấp III - IV/Quảng Ngãi Cấp IV/Cấp 4 Ring 12/Nghĩa Hành - Nghĩa Lộ/Trụ trung thế 1</t>
  </si>
  <si>
    <t>QNTN10-Nghĩa hành</t>
  </si>
  <si>
    <t>15.094146</t>
  </si>
  <si>
    <t>108.75043</t>
  </si>
  <si>
    <t>FO thuê#FFC#QNTN10-QNNH21</t>
  </si>
  <si>
    <t>1836.28</t>
  </si>
  <si>
    <t>1814.82</t>
  </si>
  <si>
    <t>15.105012</t>
  </si>
  <si>
    <t>108.763044</t>
  </si>
  <si>
    <t>QNTN43-Nghĩa hành</t>
  </si>
  <si>
    <t>15.110232</t>
  </si>
  <si>
    <t>108.719926</t>
  </si>
  <si>
    <t>FO thuê#FFC#QNTN43-QNNH21</t>
  </si>
  <si>
    <t>4686.51</t>
  </si>
  <si>
    <t>4665.05</t>
  </si>
  <si>
    <t>QNNH25-Nghĩa hành</t>
  </si>
  <si>
    <t>15.057965</t>
  </si>
  <si>
    <t>108.76246</t>
  </si>
  <si>
    <t>FO thuê#FFC#QNNH25-QNNH21</t>
  </si>
  <si>
    <t>1608.16</t>
  </si>
  <si>
    <t>1586.70</t>
  </si>
  <si>
    <t>15.056607</t>
  </si>
  <si>
    <t>108.777170</t>
  </si>
  <si>
    <t>QNNH09-Nghĩa hành</t>
  </si>
  <si>
    <t>15.024073</t>
  </si>
  <si>
    <t>108.746454</t>
  </si>
  <si>
    <t>FO thuê#FFC#QNNH09-QNNH21</t>
  </si>
  <si>
    <t>3430.77</t>
  </si>
  <si>
    <t>3230.52</t>
  </si>
  <si>
    <t>15.030418</t>
  </si>
  <si>
    <t>108.775809</t>
  </si>
  <si>
    <t>Nghĩa hành-QNTN05</t>
  </si>
  <si>
    <t>FO DT#MBF#QNNH21-QNTN05</t>
  </si>
  <si>
    <t>5623.29</t>
  </si>
  <si>
    <t>5423.04</t>
  </si>
  <si>
    <t>15.023048</t>
  </si>
  <si>
    <t>108.809173</t>
  </si>
  <si>
    <t>Nghĩa hành-QNNH01</t>
  </si>
  <si>
    <t>15.043935</t>
  </si>
  <si>
    <t>108.776</t>
  </si>
  <si>
    <t>FO DT#MBF#QNNH21-QNNH01</t>
  </si>
  <si>
    <t>55.33</t>
  </si>
  <si>
    <t>1.47</t>
  </si>
  <si>
    <t>15.043957</t>
  </si>
  <si>
    <t>108.776638</t>
  </si>
  <si>
    <t>15.043850</t>
  </si>
  <si>
    <t>108.776494</t>
  </si>
  <si>
    <t>full_h04/Quảng Ngãi/Quảng Ngãi Cấp III - IV/Quảng Ngãi Cấp IV/Cấp 4 Ring 12/Đình Cương - Nghĩa Hành/trồng mới 2</t>
  </si>
  <si>
    <t>Nghĩa hành-QNNH24</t>
  </si>
  <si>
    <t>15.02602</t>
  </si>
  <si>
    <t>108.78711</t>
  </si>
  <si>
    <t>FO DT#MBF#QNNH21-QNNH24</t>
  </si>
  <si>
    <t>1302.25</t>
  </si>
  <si>
    <t>1101.99</t>
  </si>
  <si>
    <t>15.023507</t>
  </si>
  <si>
    <t>108.777184</t>
  </si>
  <si>
    <t>Nghĩa hành-QNNH14</t>
  </si>
  <si>
    <t>15.056707</t>
  </si>
  <si>
    <t>108.779292</t>
  </si>
  <si>
    <t>FO DT#MBF#QNNH21-QNNH14</t>
  </si>
  <si>
    <t>239.17</t>
  </si>
  <si>
    <t>217.71</t>
  </si>
  <si>
    <t>15.057552</t>
  </si>
  <si>
    <t>108.777463</t>
  </si>
  <si>
    <t>Nghĩa hành-QNNH36</t>
  </si>
  <si>
    <t>15.04484</t>
  </si>
  <si>
    <t>108.76303</t>
  </si>
  <si>
    <t>FO DT#MBF#QNNH21-QNNH36</t>
  </si>
  <si>
    <t>1301.59</t>
  </si>
  <si>
    <t>1280.13</t>
  </si>
  <si>
    <t>15.044572</t>
  </si>
  <si>
    <t>108.774948</t>
  </si>
  <si>
    <t>TTCMKV Bình Sơn-QNBS26</t>
  </si>
  <si>
    <t>15.29712</t>
  </si>
  <si>
    <t>108.7621</t>
  </si>
  <si>
    <t>15.30152</t>
  </si>
  <si>
    <t>108.82293</t>
  </si>
  <si>
    <t>FO thuê#CMC#QNBS23-QNBS26</t>
  </si>
  <si>
    <t>Quảng Ngãi - Ring 1_CAH Bình Sơn - Vạn Tường</t>
  </si>
  <si>
    <t>2839.20</t>
  </si>
  <si>
    <t>47.26</t>
  </si>
  <si>
    <t>15.297487</t>
  </si>
  <si>
    <t>108.761878</t>
  </si>
  <si>
    <t>2791.94</t>
  </si>
  <si>
    <t>15.324786</t>
  </si>
  <si>
    <t>108.813141</t>
  </si>
  <si>
    <t>full_h04/Quảng Ngãi/Quảng Ngãi Cấp III - IV/Quảng Ngãi Cấp IV/Cấp 4 Ring 1/Quảng Ngãi - Ring 1_CAH Bình Sơn - Vạn Tường.kmz/Quảng Ngãi - Ring 1_CAH Bình Sơn - Vạn Tường/ĐL TT_1</t>
  </si>
  <si>
    <t>TTCMKV Bình Sơn-QNBS07</t>
  </si>
  <si>
    <t>15.32259</t>
  </si>
  <si>
    <t>108.76814</t>
  </si>
  <si>
    <t>FO thuê#CMC#QNBS23-QNBS07</t>
  </si>
  <si>
    <t>2217.81</t>
  </si>
  <si>
    <t>2170.55</t>
  </si>
  <si>
    <t>15.306986</t>
  </si>
  <si>
    <t>108.780300</t>
  </si>
  <si>
    <t>TTCMKV Bình Sơn-QNBS16</t>
  </si>
  <si>
    <t>15.29159</t>
  </si>
  <si>
    <t>108.79627</t>
  </si>
  <si>
    <t>FO thuê#CMC#QNBS23-QNBS16</t>
  </si>
  <si>
    <t>2344.83</t>
  </si>
  <si>
    <t>2297.57</t>
  </si>
  <si>
    <t>15.309248</t>
  </si>
  <si>
    <t>108.785146</t>
  </si>
  <si>
    <t>TTCMKV Bình Sơn-QNBS54</t>
  </si>
  <si>
    <t>15.31067</t>
  </si>
  <si>
    <t>108.75268</t>
  </si>
  <si>
    <t>FO thuê#CMC#QNBS23-QNBS54</t>
  </si>
  <si>
    <t>TTCMKV Bình Sơn - Bình Sơn</t>
  </si>
  <si>
    <t>1201.71</t>
  </si>
  <si>
    <t>61.38</t>
  </si>
  <si>
    <t>15.297667</t>
  </si>
  <si>
    <t>108.762175</t>
  </si>
  <si>
    <t>1140.34</t>
  </si>
  <si>
    <t>15.301571</t>
  </si>
  <si>
    <t>108.757585</t>
  </si>
  <si>
    <t>full_h04/Quảng Ngãi/Quảng Ngãi Cấp III - IV/Quảng Ngãi Cấp IV/Cấp 4 Ring 3/TTCMKV Bình Sơn - Bình Sơn/ĐL HT_1</t>
  </si>
  <si>
    <t>TTCMKV Bình Sơn-QNBS52</t>
  </si>
  <si>
    <t>15.299702</t>
  </si>
  <si>
    <t>108.752375</t>
  </si>
  <si>
    <t>FO thuê#CMC#QNBS23-QNBS52</t>
  </si>
  <si>
    <t>657.54</t>
  </si>
  <si>
    <t>596.16</t>
  </si>
  <si>
    <t>TTCMKV Bình Sơn-Vạn Tường</t>
  </si>
  <si>
    <t>15.33626</t>
  </si>
  <si>
    <t>108.84145</t>
  </si>
  <si>
    <t>FO thuê#CMC#QNBS23-QNBS03</t>
  </si>
  <si>
    <t>62.36</t>
  </si>
  <si>
    <t>15.336200</t>
  </si>
  <si>
    <t>108.841576</t>
  </si>
  <si>
    <t>FO thuê#TPComs#QNBS23-QNBS26</t>
  </si>
  <si>
    <t>QNST02-TTCMKV Bình Sơn</t>
  </si>
  <si>
    <t>FO thuê#CMC#QNST02-QNBS23</t>
  </si>
  <si>
    <t>Bình Sơn - TT1 Quảng Ngãi</t>
  </si>
  <si>
    <t>2455.37</t>
  </si>
  <si>
    <t>2075.35</t>
  </si>
  <si>
    <t>15.219080</t>
  </si>
  <si>
    <t>108.787367</t>
  </si>
  <si>
    <t>380.02</t>
  </si>
  <si>
    <t>15.294290</t>
  </si>
  <si>
    <t>108.764086</t>
  </si>
  <si>
    <t>full_h04/Quảng Ngãi/Quảng Ngãi Cấp III - IV/Quảng Ngãi Cấp III/Cấp 3 - Ring 1/Bình Sơn - TT1 Quảng Ngãi/trung thế 2</t>
  </si>
  <si>
    <t>Bình Chương-TTCMKV Bình Sơn</t>
  </si>
  <si>
    <t>15.272988</t>
  </si>
  <si>
    <t>108.721409</t>
  </si>
  <si>
    <t>FO thuê#CMC#QNBS28-QNBS23</t>
  </si>
  <si>
    <t>Trà Bồng - Bình Sơn</t>
  </si>
  <si>
    <t>259.84</t>
  </si>
  <si>
    <t>216.30</t>
  </si>
  <si>
    <t>15.274777</t>
  </si>
  <si>
    <t>108.720617</t>
  </si>
  <si>
    <t>43.54</t>
  </si>
  <si>
    <t>15.297448</t>
  </si>
  <si>
    <t>108.761879</t>
  </si>
  <si>
    <t>full_h04/Quảng Ngãi/Quảng Ngãi Cấp III - IV/Quảng Ngãi Cấp III/Cấp 3 - Ring 1/Trà Bồng - Bình Sơn/trung thế 1</t>
  </si>
  <si>
    <t>QNBS15-TTCMKV Bình Sơn</t>
  </si>
  <si>
    <t>15.28448</t>
  </si>
  <si>
    <t>108.74049</t>
  </si>
  <si>
    <t>FO thuê#CMC#QNBS15-QNBS23</t>
  </si>
  <si>
    <t>419.88</t>
  </si>
  <si>
    <t>376.34</t>
  </si>
  <si>
    <t>15.281186</t>
  </si>
  <si>
    <t>108.739684</t>
  </si>
  <si>
    <t>QNBS25-TTCMKV Bình Sơn</t>
  </si>
  <si>
    <t>15.274461</t>
  </si>
  <si>
    <t>108.770897</t>
  </si>
  <si>
    <t>FO thuê#CMC#QNBS25-QNBS23</t>
  </si>
  <si>
    <t>Bình Sơn - Thọ Phong</t>
  </si>
  <si>
    <t>676.53</t>
  </si>
  <si>
    <t>337.48</t>
  </si>
  <si>
    <t>15.275721</t>
  </si>
  <si>
    <t>108.773759</t>
  </si>
  <si>
    <t>339.06</t>
  </si>
  <si>
    <t>15.294823</t>
  </si>
  <si>
    <t>108.760021</t>
  </si>
  <si>
    <t>full_h04/Quảng Ngãi/Quảng Ngãi Cấp III - IV/Quảng Ngãi Cấp IV/Cấp 4 Ring 3/Bình Sơn - Thọ Phong/ĐL TT_1</t>
  </si>
  <si>
    <t>QNBS58-TTCMKV Bình Sơn</t>
  </si>
  <si>
    <t>15.303476</t>
  </si>
  <si>
    <t>108.762572</t>
  </si>
  <si>
    <t>FO thuê#CMC#QNBS58-QNBS23</t>
  </si>
  <si>
    <t>565.66</t>
  </si>
  <si>
    <t>522.11</t>
  </si>
  <si>
    <t>15.298811</t>
  </si>
  <si>
    <t>108.763128</t>
  </si>
  <si>
    <t>QNBS1D-TTCMKV Bình Sơn</t>
  </si>
  <si>
    <t>15.290408</t>
  </si>
  <si>
    <t>108.75877</t>
  </si>
  <si>
    <t>FO DT#MBF#QNBS1D-QNBS23</t>
  </si>
  <si>
    <t>214.98</t>
  </si>
  <si>
    <t>171.44</t>
  </si>
  <si>
    <t>15.291643</t>
  </si>
  <si>
    <t>108.757813</t>
  </si>
  <si>
    <t>QNQN26-TTCMKV Tư Nghĩa</t>
  </si>
  <si>
    <t>15.11033</t>
  </si>
  <si>
    <t>108.84444</t>
  </si>
  <si>
    <t>15.08352</t>
  </si>
  <si>
    <t>108.8265</t>
  </si>
  <si>
    <t>FO thuê#FFC#QNQN26-QNTN_newsite1</t>
  </si>
  <si>
    <t>2588.46</t>
  </si>
  <si>
    <t>2242.49</t>
  </si>
  <si>
    <t>15.117129</t>
  </si>
  <si>
    <t>108.824773</t>
  </si>
  <si>
    <t>345.97</t>
  </si>
  <si>
    <t>15.084956</t>
  </si>
  <si>
    <t>108.829359</t>
  </si>
  <si>
    <t>full_h04/Quảng Ngãi/Quảng Ngãi Cấp III - IV/Quảng Ngãi Cấp III/Cấp 3- Ring 2/Đức Phổ - TT1 Quảng Ngãi mới/trung thế 2</t>
  </si>
  <si>
    <t>QNTN13-TTCMKV Tư Nghĩa</t>
  </si>
  <si>
    <t>15.07724</t>
  </si>
  <si>
    <t>108.83239</t>
  </si>
  <si>
    <t>FO thuê#FFC#QNTN13-QNTN_newsite1</t>
  </si>
  <si>
    <t>Vệ Giang - Cẩm Thành</t>
  </si>
  <si>
    <t>537.49</t>
  </si>
  <si>
    <t>192.46</t>
  </si>
  <si>
    <t>15.078923</t>
  </si>
  <si>
    <t>108.832810</t>
  </si>
  <si>
    <t>345.03</t>
  </si>
  <si>
    <t>15.085029</t>
  </si>
  <si>
    <t>108.829308</t>
  </si>
  <si>
    <t>full_h04/Quảng Ngãi/Quảng Ngãi Cấp III - IV/Quảng Ngãi Cấp IV/Cấp 4 Ring 16/Vệ Giang - Cẩm Thành/Trụ trung thế 2</t>
  </si>
  <si>
    <t>Tư Nghĩa-TTCMKV Tư Nghĩa</t>
  </si>
  <si>
    <t>15.09092</t>
  </si>
  <si>
    <t>108.82178</t>
  </si>
  <si>
    <t>FO thuê#FFC#QNTN39-QNTN_newsite1</t>
  </si>
  <si>
    <t>Cơ sở cai nghiện (X. Nghĩa Kỳ, H. Tư Nghĩa) - TTCMKV Tư Nghĩa</t>
  </si>
  <si>
    <t>369.01</t>
  </si>
  <si>
    <t>321.62</t>
  </si>
  <si>
    <t>15.088100</t>
  </si>
  <si>
    <t>108.821113</t>
  </si>
  <si>
    <t>47.39</t>
  </si>
  <si>
    <t>15.083940</t>
  </si>
  <si>
    <t>108.826428</t>
  </si>
  <si>
    <t>full_h04/Quảng Ngãi/Quảng Ngãi Cấp III - IV/Quảng Ngãi Cấp III/Phòng - Ring 4/Cơ sở cai nghiện (X. Nghĩa Kỳ, H. Tư Nghĩa) - TTCMKV Tư Nghĩa/trung thế 1</t>
  </si>
  <si>
    <t>QNTN05-TTCMKV Tư Nghĩa</t>
  </si>
  <si>
    <t>FO DT#MBF#QNTN05-QNTN_newsite1</t>
  </si>
  <si>
    <t>Long Phụng - Tư Nghĩa</t>
  </si>
  <si>
    <t>380.61</t>
  </si>
  <si>
    <t>104.88</t>
  </si>
  <si>
    <t>15.058428</t>
  </si>
  <si>
    <t>108.842528</t>
  </si>
  <si>
    <t>275.73</t>
  </si>
  <si>
    <t>15.081044</t>
  </si>
  <si>
    <t>108.826357</t>
  </si>
  <si>
    <t>full_h04/Quảng Ngãi/Quảng Ngãi Cấp III - IV/Quảng Ngãi Cấp IV/Cấp 4 Ring17/Long Phụng - Tư Nghĩa/Trụ trung thế 2</t>
  </si>
  <si>
    <t>TTCMKV Tư Nghĩa-QNQN2J</t>
  </si>
  <si>
    <t>FO DT#MBF#QNTN_newsite1-QNQN2J</t>
  </si>
  <si>
    <t>2770.12</t>
  </si>
  <si>
    <t>2722.73</t>
  </si>
  <si>
    <t>15.109165</t>
  </si>
  <si>
    <t>108.789150</t>
  </si>
  <si>
    <t>Vạn Tường-QNBS50</t>
  </si>
  <si>
    <t>15.32723</t>
  </si>
  <si>
    <t>108.85823</t>
  </si>
  <si>
    <t>FO thuê#CMC#QNBS03-QNBS50</t>
  </si>
  <si>
    <t>Quảng Ngãi - Ring 1_Vạn Tường - Đông Sơn</t>
  </si>
  <si>
    <t>312.98</t>
  </si>
  <si>
    <t>78.48</t>
  </si>
  <si>
    <t>15.336315</t>
  </si>
  <si>
    <t>108.842180</t>
  </si>
  <si>
    <t>234.50</t>
  </si>
  <si>
    <t>15.325720</t>
  </si>
  <si>
    <t>108.859756</t>
  </si>
  <si>
    <t>full_h04/Quảng Ngãi/Quảng Ngãi Cấp III - IV/Quảng Ngãi Cấp IV/Cấp 4 Ring 1/Quảng Ngãi - Ring 1_Vạn Tường - Đông Sơn.kmz/Quảng Ngãi - Ring 1_Vạn Tường - Đông Sơn/ĐL TT_1</t>
  </si>
  <si>
    <t>QNBS45-Vạn Tường</t>
  </si>
  <si>
    <t>15.33596</t>
  </si>
  <si>
    <t>108.84093</t>
  </si>
  <si>
    <t>FO thuê#CMC#QNBS45-QNBS03</t>
  </si>
  <si>
    <t>K02 (D3</t>
  </si>
  <si>
    <t>66.65</t>
  </si>
  <si>
    <t>41.49</t>
  </si>
  <si>
    <t>15.336204</t>
  </si>
  <si>
    <t>108.841223</t>
  </si>
  <si>
    <t>25.16</t>
  </si>
  <si>
    <t>full_h04/Quảng Ngãi/Quảng Ngãi Cấp III - IV/Quảng Ngãi Cấp III/Phòng - Ring 2/K02 (D3/E23) - Đội CSGT Đường Thuỷ/K02 (D3/E23) - Đội CSGT Đường Thuỷ</t>
  </si>
  <si>
    <t>QNBS59-Vạn Tường</t>
  </si>
  <si>
    <t>15.34418</t>
  </si>
  <si>
    <t>108.84667</t>
  </si>
  <si>
    <t>FO thuê#CMC#QNBS59-QNBS03</t>
  </si>
  <si>
    <t>950.54</t>
  </si>
  <si>
    <t>925.38</t>
  </si>
  <si>
    <t>15.336482</t>
  </si>
  <si>
    <t>108.843392</t>
  </si>
  <si>
    <t>QNBS36-Vạn Tường</t>
  </si>
  <si>
    <t>15.34005</t>
  </si>
  <si>
    <t>108.86195</t>
  </si>
  <si>
    <t>FO thuê#CMC#QNBS36-QNBS03</t>
  </si>
  <si>
    <t>747.00</t>
  </si>
  <si>
    <t>668.52</t>
  </si>
  <si>
    <t>15.334077</t>
  </si>
  <si>
    <t>108.862662</t>
  </si>
  <si>
    <t>Đông Sơn-QNQN85</t>
  </si>
  <si>
    <t>15.22855</t>
  </si>
  <si>
    <t>108.84648</t>
  </si>
  <si>
    <t>15.214391</t>
  </si>
  <si>
    <t>108.884787</t>
  </si>
  <si>
    <t>FO thuê#CMC#QNBS21-QNQN85</t>
  </si>
  <si>
    <t>4050.85</t>
  </si>
  <si>
    <t>127.84</t>
  </si>
  <si>
    <t>15.228390</t>
  </si>
  <si>
    <t>108.847660</t>
  </si>
  <si>
    <t>3923.01</t>
  </si>
  <si>
    <t>15.243731</t>
  </si>
  <si>
    <t>108.864482</t>
  </si>
  <si>
    <t>QNST02-Đông Sơn</t>
  </si>
  <si>
    <t>FO thuê#CMC#QNST02-QNBS21</t>
  </si>
  <si>
    <t>Quảng Ngãi - Ring 1_Đông Sơn - Tịnh Khê</t>
  </si>
  <si>
    <t>4855.92</t>
  </si>
  <si>
    <t>4770.16</t>
  </si>
  <si>
    <t>15.197280</t>
  </si>
  <si>
    <t>108.834865</t>
  </si>
  <si>
    <t>85.76</t>
  </si>
  <si>
    <t>15.227816</t>
  </si>
  <si>
    <t>108.846234</t>
  </si>
  <si>
    <t>full_h04/Quảng Ngãi/Quảng Ngãi Cấp III - IV/Quảng Ngãi Cấp IV/Cấp 4 Ring 1/Quảng Ngãi - Ring 1_Đông Sơn - Tịnh Khê.kmz/Quảng Ngãi - Ring 1_Đông Sơn - Tịnh Khê/ĐL TT_1</t>
  </si>
  <si>
    <t>QNBS79-Đông Sơn</t>
  </si>
  <si>
    <t>15.24803</t>
  </si>
  <si>
    <t>108.85221</t>
  </si>
  <si>
    <t>FO thuê#CMC#QNBS79-QNBS21</t>
  </si>
  <si>
    <t>1218.79</t>
  </si>
  <si>
    <t>1090.95</t>
  </si>
  <si>
    <t>15.239502</t>
  </si>
  <si>
    <t>108.857239</t>
  </si>
  <si>
    <t>QNQN1A-Đông Sơn</t>
  </si>
  <si>
    <t>15.22556</t>
  </si>
  <si>
    <t>108.8676267</t>
  </si>
  <si>
    <t>FO thuê#CMC#QNQN1A-QNBS21</t>
  </si>
  <si>
    <t>2025.51</t>
  </si>
  <si>
    <t>1897.68</t>
  </si>
  <si>
    <t>15.239879</t>
  </si>
  <si>
    <t>108.858002</t>
  </si>
  <si>
    <t>QNBS10-Đội csgt đường thủy, PC08</t>
  </si>
  <si>
    <t>15.258455</t>
  </si>
  <si>
    <t>108.874644</t>
  </si>
  <si>
    <t>15.22061</t>
  </si>
  <si>
    <t>108.9128</t>
  </si>
  <si>
    <t>FO thuê#CMC#QNBS10-QNBS05</t>
  </si>
  <si>
    <t>104.25</t>
  </si>
  <si>
    <t>91.23</t>
  </si>
  <si>
    <t>15.259275</t>
  </si>
  <si>
    <t>108.874608</t>
  </si>
  <si>
    <t>13.03</t>
  </si>
  <si>
    <t>15.220718</t>
  </si>
  <si>
    <t>108.912846</t>
  </si>
  <si>
    <t>Đội csgt đường thủy, PC08-QNQN78</t>
  </si>
  <si>
    <t>15.187291</t>
  </si>
  <si>
    <t>108.885475</t>
  </si>
  <si>
    <t>FO thuê#CMC#QNBS05-QNQN78</t>
  </si>
  <si>
    <t>Đội CSGT Đường Thuỷ - PC08</t>
  </si>
  <si>
    <t>1734.08</t>
  </si>
  <si>
    <t>12.87</t>
  </si>
  <si>
    <t>15.220719</t>
  </si>
  <si>
    <t>108.912841</t>
  </si>
  <si>
    <t>1721.22</t>
  </si>
  <si>
    <t>15.189964</t>
  </si>
  <si>
    <t>108.869676</t>
  </si>
  <si>
    <t>full_h04/Quảng Ngãi/Quảng Ngãi Cấp III - IV/Quảng Ngãi Cấp III/Phòng - Ring 2/Đội CSGT Đường Thuỷ - PC08/trung thế 1</t>
  </si>
  <si>
    <t>QNBS41-Đội csgt đường thủy, PC08</t>
  </si>
  <si>
    <t>15.23925</t>
  </si>
  <si>
    <t>108.898275</t>
  </si>
  <si>
    <t>FO thuê#CMC#QNBS41-QNBS05</t>
  </si>
  <si>
    <t>333.34</t>
  </si>
  <si>
    <t>320.32</t>
  </si>
  <si>
    <t>15.241512</t>
  </si>
  <si>
    <t>108.900124</t>
  </si>
  <si>
    <t>QNQN72-Đội csgt đường thủy, PC08</t>
  </si>
  <si>
    <t>15.21923</t>
  </si>
  <si>
    <t>108.8989</t>
  </si>
  <si>
    <t>FO thuê#CMC#QNQN72-QNBS05</t>
  </si>
  <si>
    <t>70.31</t>
  </si>
  <si>
    <t>57.44</t>
  </si>
  <si>
    <t>15.219685</t>
  </si>
  <si>
    <t>108.899153</t>
  </si>
  <si>
    <t>QNBS24-Đội csgt đường thủy, PC08</t>
  </si>
  <si>
    <t>15.24197</t>
  </si>
  <si>
    <t>108.92384</t>
  </si>
  <si>
    <t>FO thuê#CMC#QNBS24-QNBS05</t>
  </si>
  <si>
    <t>1132.93</t>
  </si>
  <si>
    <t>1119.91</t>
  </si>
  <si>
    <t>15.232543</t>
  </si>
  <si>
    <t>108.920166</t>
  </si>
  <si>
    <t>QNBS57-Đội csgt đường thủy, PC08</t>
  </si>
  <si>
    <t>15.230562</t>
  </si>
  <si>
    <t>108.93366</t>
  </si>
  <si>
    <t>FO thuê#CMC#QNBS57-QNBS05</t>
  </si>
  <si>
    <t>1028.31</t>
  </si>
  <si>
    <t>1015.28</t>
  </si>
  <si>
    <t>15.230960</t>
  </si>
  <si>
    <t>108.924206</t>
  </si>
  <si>
    <t>Đội csgt đường thủy, PC08-QNBS1M</t>
  </si>
  <si>
    <t>15.21754</t>
  </si>
  <si>
    <t>108.9158</t>
  </si>
  <si>
    <t>FO DT#MBF#QNBS05-QNBS1M</t>
  </si>
  <si>
    <t>235.23</t>
  </si>
  <si>
    <t>222.20</t>
  </si>
  <si>
    <t>15.219538</t>
  </si>
  <si>
    <t>108.915858</t>
  </si>
  <si>
    <t>QNBS09-Bình Chương</t>
  </si>
  <si>
    <t>15.262502</t>
  </si>
  <si>
    <t>108.676315</t>
  </si>
  <si>
    <t>FO thuê#CMC#QNBS09-QNBS28</t>
  </si>
  <si>
    <t>TTCMKV Bình Sơn - Đông Trà Bồng</t>
  </si>
  <si>
    <t>480.51</t>
  </si>
  <si>
    <t>274.22</t>
  </si>
  <si>
    <t>15.260039</t>
  </si>
  <si>
    <t>108.676447</t>
  </si>
  <si>
    <t>206.29</t>
  </si>
  <si>
    <t>15.274650</t>
  </si>
  <si>
    <t>108.720556</t>
  </si>
  <si>
    <t>full_h04/Quảng Ngãi/Quảng Ngãi Cấp III - IV/Quảng Ngãi Cấp IV/Cấp 4 Ring4/TTCMKV Bình Sơn - Đông Trà Bồng/trung thế 2</t>
  </si>
  <si>
    <t>QNBS66-Bình Chương</t>
  </si>
  <si>
    <t>15.27585</t>
  </si>
  <si>
    <t>108.7234</t>
  </si>
  <si>
    <t>FO thuê#CMC#QNBS66-QNBS28</t>
  </si>
  <si>
    <t>Bình Minh - Bình Chương</t>
  </si>
  <si>
    <t>264.32</t>
  </si>
  <si>
    <t>256.81</t>
  </si>
  <si>
    <t>15.273688</t>
  </si>
  <si>
    <t>108.724241</t>
  </si>
  <si>
    <t>7.51</t>
  </si>
  <si>
    <t>15.272958</t>
  </si>
  <si>
    <t>108.721472</t>
  </si>
  <si>
    <t>full_h04/Quảng Ngãi/Quảng Ngãi Cấp III - IV/Quảng Ngãi Cấp IV/Cấp 4 Ring 2/Bình Minh - Bình Chương/trồng mới 2</t>
  </si>
  <si>
    <t>QNST70-Bình Chương</t>
  </si>
  <si>
    <t>15.25154</t>
  </si>
  <si>
    <t>108.70158</t>
  </si>
  <si>
    <t>FO thuê#CMC#QNST70-QNBS28</t>
  </si>
  <si>
    <t>Bình Chương - Sơn Tịnh</t>
  </si>
  <si>
    <t>406.43</t>
  </si>
  <si>
    <t>373.56</t>
  </si>
  <si>
    <t>15.254826</t>
  </si>
  <si>
    <t>108.700857</t>
  </si>
  <si>
    <t>32.87</t>
  </si>
  <si>
    <t>15.273280</t>
  </si>
  <si>
    <t>108.721460</t>
  </si>
  <si>
    <t>full_h04/Quảng Ngãi/Quảng Ngãi Cấp III - IV/Quảng Ngãi Cấp IV/Cấp 4 Ring 2/Bình Chương - Sơn Tịnh/Hạ thế</t>
  </si>
  <si>
    <t>QNDP39-Đức Phổ</t>
  </si>
  <si>
    <t>14.818233</t>
  </si>
  <si>
    <t>108.957663</t>
  </si>
  <si>
    <t>14.80887</t>
  </si>
  <si>
    <t>108.95685</t>
  </si>
  <si>
    <t>FO thuê#CMC#QNDP39-QNDP04</t>
  </si>
  <si>
    <t>Đức Phổ - Trà Câu</t>
  </si>
  <si>
    <t>390.45</t>
  </si>
  <si>
    <t>368.97</t>
  </si>
  <si>
    <t>14.815465</t>
  </si>
  <si>
    <t>108.959556</t>
  </si>
  <si>
    <t>21.47</t>
  </si>
  <si>
    <t>14.808831</t>
  </si>
  <si>
    <t>108.957046</t>
  </si>
  <si>
    <t>full_h04/Quảng Ngãi/Quảng Ngãi Cấp III - IV/Quảng Ngãi Cấp IV/Cấp 4 Ring 16/Đức Phổ - Trà Câu/Trụ hạ thế 1</t>
  </si>
  <si>
    <t>QNDP03-Đức Phổ</t>
  </si>
  <si>
    <t>14.789145</t>
  </si>
  <si>
    <t>108.966788</t>
  </si>
  <si>
    <t>FO thuê#CMC#QNDP03-QNDP04</t>
  </si>
  <si>
    <t>Trạm csgt Đức Phổ, PC08 - TTCMKV TX Đức Phổ</t>
  </si>
  <si>
    <t>482.60</t>
  </si>
  <si>
    <t>136.83</t>
  </si>
  <si>
    <t>14.789779</t>
  </si>
  <si>
    <t>108.967879</t>
  </si>
  <si>
    <t>14.808942</t>
  </si>
  <si>
    <t>108.960066</t>
  </si>
  <si>
    <t>full_h04/Quảng Ngãi/Quảng Ngãi Cấp III - IV/Quảng Ngãi Cấp IV/Cấp 4 Ring 15/Trạm csgt Đức Phổ, PC08 - TTCMKV TX Đức Phổ/DL TT_2</t>
  </si>
  <si>
    <t>Đức Phổ-QNDP33</t>
  </si>
  <si>
    <t>14.82395</t>
  </si>
  <si>
    <t>108.94853</t>
  </si>
  <si>
    <t>FO thuê#CMC#QNDP04-QNDP33</t>
  </si>
  <si>
    <t>603.61</t>
  </si>
  <si>
    <t>387.32</t>
  </si>
  <si>
    <t>14.811941</t>
  </si>
  <si>
    <t>108.958550</t>
  </si>
  <si>
    <t>14.824784</t>
  </si>
  <si>
    <t>108.950348</t>
  </si>
  <si>
    <t>QNDP32-Đức Phổ</t>
  </si>
  <si>
    <t>14.808235</t>
  </si>
  <si>
    <t>108.962656</t>
  </si>
  <si>
    <t>FO thuê#CMC#QNDP32-QNDP04</t>
  </si>
  <si>
    <t>TTCMKV TX Đức Phổ - Đức Phổ</t>
  </si>
  <si>
    <t>349.87</t>
  </si>
  <si>
    <t>244.04</t>
  </si>
  <si>
    <t>14.808242</t>
  </si>
  <si>
    <t>108.960386</t>
  </si>
  <si>
    <t>105.84</t>
  </si>
  <si>
    <t>14.808667</t>
  </si>
  <si>
    <t>108.957812</t>
  </si>
  <si>
    <t>full_h04/Quảng Ngãi/Quảng Ngãi Cấp III - IV/Quảng Ngãi Cấp IV/Cấp 4 Ring 16/TTCMKV TX Đức Phổ - Đức Phổ/Trụ trung thế 1</t>
  </si>
  <si>
    <t>Đức Phổ-QNDP24</t>
  </si>
  <si>
    <t>14.82219</t>
  </si>
  <si>
    <t>108.96378</t>
  </si>
  <si>
    <t>FO thuê#TPComs#QNDP04-QNDP24</t>
  </si>
  <si>
    <t>TTCMKV TX Đức Phổ - Lân Phong</t>
  </si>
  <si>
    <t>891.13</t>
  </si>
  <si>
    <t>787.13</t>
  </si>
  <si>
    <t>14.815448</t>
  </si>
  <si>
    <t>108.959555</t>
  </si>
  <si>
    <t>104.00</t>
  </si>
  <si>
    <t>14.822528</t>
  </si>
  <si>
    <t>108.962878</t>
  </si>
  <si>
    <t>full_h04/Quảng Ngãi/Quảng Ngãi Cấp III - IV/Quảng Ngãi Cấp IV/Cấp 4 Ring17/TTCMKV TX Đức Phổ - Lân Phong/Trụ trung thế 1</t>
  </si>
  <si>
    <t>QNDP60-Đức Phổ</t>
  </si>
  <si>
    <t>14.8145</t>
  </si>
  <si>
    <t>108.9451</t>
  </si>
  <si>
    <t>FO DT#MBF#QNDP60-QNDP04</t>
  </si>
  <si>
    <t>Ba Tơ - Đức Phổ</t>
  </si>
  <si>
    <t>651.57</t>
  </si>
  <si>
    <t>333.13</t>
  </si>
  <si>
    <t>14.811826</t>
  </si>
  <si>
    <t>108.943702</t>
  </si>
  <si>
    <t>318.45</t>
  </si>
  <si>
    <t>14.811582</t>
  </si>
  <si>
    <t>108.955898</t>
  </si>
  <si>
    <t>full_h04/Quảng Ngãi/Quảng Ngãi Cấp III - IV/Quảng Ngãi Cấp III/Cấp 3- Ring 2/Ba Tơ - Đức Phổ/trung thế 2</t>
  </si>
  <si>
    <t>Lân Phong-Mỏ Cày</t>
  </si>
  <si>
    <t>14.98548</t>
  </si>
  <si>
    <t>108.91271</t>
  </si>
  <si>
    <t>FO thuê#CMC#QNMD24-QNMD11</t>
  </si>
  <si>
    <t>3599.60</t>
  </si>
  <si>
    <t>3594.73</t>
  </si>
  <si>
    <t>14.959303</t>
  </si>
  <si>
    <t>108.924539</t>
  </si>
  <si>
    <t>4.87</t>
  </si>
  <si>
    <t>14.985490</t>
  </si>
  <si>
    <t>108.912754</t>
  </si>
  <si>
    <t>full_h04/Quảng Ngãi/Quảng Ngãi Cấp III - IV/Quảng Ngãi Cấp IV/Cấp 4 Ring17/Lân Phong-Mỏ Cày/Trụ trung thế 2</t>
  </si>
  <si>
    <t>Mỏ Cày-QNMD06</t>
  </si>
  <si>
    <t>15.02182</t>
  </si>
  <si>
    <t>108.90242</t>
  </si>
  <si>
    <t>FO thuê#CMC#QNMD11-QNMD06</t>
  </si>
  <si>
    <t>Mỏ Cày - Long Phụng</t>
  </si>
  <si>
    <t>2417.92</t>
  </si>
  <si>
    <t>4.86</t>
  </si>
  <si>
    <t>14.985491</t>
  </si>
  <si>
    <t>2413.06</t>
  </si>
  <si>
    <t>15.001199</t>
  </si>
  <si>
    <t>108.909421</t>
  </si>
  <si>
    <t>full_h04/Quảng Ngãi/Quảng Ngãi Cấp III - IV/Quảng Ngãi Cấp IV/Cấp 4 Ring17/Mỏ Cày - Long Phụng/Trụ trung thế 1</t>
  </si>
  <si>
    <t>QNMD45-Mỏ Cày</t>
  </si>
  <si>
    <t>14.98421</t>
  </si>
  <si>
    <t>108.89432</t>
  </si>
  <si>
    <t>FO thuê#CMC#QNMD45-QNMD11</t>
  </si>
  <si>
    <t>1920.32</t>
  </si>
  <si>
    <t>1915.46</t>
  </si>
  <si>
    <t>14.989230</t>
  </si>
  <si>
    <t>108.911379</t>
  </si>
  <si>
    <t>QNMD31-Mỏ Cày</t>
  </si>
  <si>
    <t>14.96919</t>
  </si>
  <si>
    <t>108.90408</t>
  </si>
  <si>
    <t>FO thuê#CMC#QNMD31-QNMD11</t>
  </si>
  <si>
    <t>1540.45</t>
  </si>
  <si>
    <t>1535.58</t>
  </si>
  <si>
    <t>14.973222</t>
  </si>
  <si>
    <t>108.917752</t>
  </si>
  <si>
    <t>QNMD06-Long Phụng</t>
  </si>
  <si>
    <t>15.04167</t>
  </si>
  <si>
    <t>108.8642</t>
  </si>
  <si>
    <t>FO thuê#CMC#QNMD06-QNMD27</t>
  </si>
  <si>
    <t>351.61</t>
  </si>
  <si>
    <t>75.63</t>
  </si>
  <si>
    <t>15.021850</t>
  </si>
  <si>
    <t>108.903124</t>
  </si>
  <si>
    <t>275.98</t>
  </si>
  <si>
    <t>15.040078</t>
  </si>
  <si>
    <t>108.866172</t>
  </si>
  <si>
    <t>full_h04/Quảng Ngãi/Quảng Ngãi Cấp III - IV/Quảng Ngãi Cấp IV/Cấp 4 Ring17/Mỏ Cày - Long Phụng/Trụ trung thế 2</t>
  </si>
  <si>
    <t>Long Phụng-QNTN05</t>
  </si>
  <si>
    <t>FO thuê#CMC#QNMD27-QNTN05</t>
  </si>
  <si>
    <t>1673.65</t>
  </si>
  <si>
    <t>1568.77</t>
  </si>
  <si>
    <t>15.043934</t>
  </si>
  <si>
    <t>108.849780</t>
  </si>
  <si>
    <t>QNMD16-Long Phụng</t>
  </si>
  <si>
    <t>15.03913</t>
  </si>
  <si>
    <t>108.87859</t>
  </si>
  <si>
    <t>FO thuê#FFC#QNMD16-QNMD27</t>
  </si>
  <si>
    <t>649.64</t>
  </si>
  <si>
    <t>373.66</t>
  </si>
  <si>
    <t>15.035770</t>
  </si>
  <si>
    <t>108.878610</t>
  </si>
  <si>
    <t>Long Phụng-QNMD20</t>
  </si>
  <si>
    <t>15.02875</t>
  </si>
  <si>
    <t>108.858955</t>
  </si>
  <si>
    <t>FO DT#MBF#QNMD27-QNMD20</t>
  </si>
  <si>
    <t>581.88</t>
  </si>
  <si>
    <t>216.52</t>
  </si>
  <si>
    <t>15.040836</t>
  </si>
  <si>
    <t>108.862378</t>
  </si>
  <si>
    <t>365.36</t>
  </si>
  <si>
    <t>15.030893</t>
  </si>
  <si>
    <t>108.861534</t>
  </si>
  <si>
    <t>full_h04/Quảng Ngãi/Quảng Ngãi Cấp III - IV/Quảng Ngãi Cấp IV/Cấp 4 Ring17/Long Phụng - Tư Nghĩa/Trụ trung thế 1</t>
  </si>
  <si>
    <t>Phước Giang-Sơn Mai</t>
  </si>
  <si>
    <t>15.00387</t>
  </si>
  <si>
    <t>108.71807</t>
  </si>
  <si>
    <t>FO thuê#CMC#QNNH05-QNNH15</t>
  </si>
  <si>
    <t>Sơn Mai - Phước Giang</t>
  </si>
  <si>
    <t>630.80</t>
  </si>
  <si>
    <t>347.80</t>
  </si>
  <si>
    <t>15.042566</t>
  </si>
  <si>
    <t>108.742581</t>
  </si>
  <si>
    <t>283.00</t>
  </si>
  <si>
    <t>15.006115</t>
  </si>
  <si>
    <t>108.719311</t>
  </si>
  <si>
    <t>full_h04/Quảng Ngãi/Quảng Ngãi Cấp III - IV/Quảng Ngãi Cấp IV/Cấp 4 Ring 13/Sơn Mai - Phước Giang/Trụ trung thế 1</t>
  </si>
  <si>
    <t>QNNH26-Phước Giang</t>
  </si>
  <si>
    <t>15.03821</t>
  </si>
  <si>
    <t>108.73287</t>
  </si>
  <si>
    <t>FO thuê#FFC#QNNH26-QNNH05</t>
  </si>
  <si>
    <t>1084.01</t>
  </si>
  <si>
    <t>736.21</t>
  </si>
  <si>
    <t>15.031617</t>
  </si>
  <si>
    <t>108.733498</t>
  </si>
  <si>
    <t>QNNH36-Phước Giang</t>
  </si>
  <si>
    <t>FO DT#MBF#QNNH36-QNNH05</t>
  </si>
  <si>
    <t>1977.81</t>
  </si>
  <si>
    <t>1641.22</t>
  </si>
  <si>
    <t>15.047104</t>
  </si>
  <si>
    <t>108.747927</t>
  </si>
  <si>
    <t>Phước Giang-QNNH10</t>
  </si>
  <si>
    <t>15.066842</t>
  </si>
  <si>
    <t>108.75176</t>
  </si>
  <si>
    <t>FO DT#MBF#QNNH05-QNNH10</t>
  </si>
  <si>
    <t>480.75</t>
  </si>
  <si>
    <t>144.16</t>
  </si>
  <si>
    <t>15.066254</t>
  </si>
  <si>
    <t>108.750563</t>
  </si>
  <si>
    <t>QNNH07-Thiện Tín</t>
  </si>
  <si>
    <t>15.00982</t>
  </si>
  <si>
    <t>108.78337</t>
  </si>
  <si>
    <t>14.95658</t>
  </si>
  <si>
    <t>108.775098</t>
  </si>
  <si>
    <t>FO thuê#CMC#QNNH07-QNNH06</t>
  </si>
  <si>
    <t>3533.33</t>
  </si>
  <si>
    <t>3228.48</t>
  </si>
  <si>
    <t>15.007661</t>
  </si>
  <si>
    <t>108.813347</t>
  </si>
  <si>
    <t>304.84</t>
  </si>
  <si>
    <t>14.956894</t>
  </si>
  <si>
    <t>108.777917</t>
  </si>
  <si>
    <t>full_h04/Quảng Ngãi/Quảng Ngãi Cấp III - IV/Quảng Ngãi Cấp III/Cấp 3- Ring 2/TT1 Quảng Ngãi - Minh Long/trung thế 3</t>
  </si>
  <si>
    <t>Thiện Tín-QNMD28</t>
  </si>
  <si>
    <t>14.956813</t>
  </si>
  <si>
    <t>108.847593</t>
  </si>
  <si>
    <t>FO thuê#CMC#QNNH06-QNMD28</t>
  </si>
  <si>
    <t>TTCMKV Minh Long - Đình Cương</t>
  </si>
  <si>
    <t>5553.40</t>
  </si>
  <si>
    <t>248.44</t>
  </si>
  <si>
    <t>14.958562</t>
  </si>
  <si>
    <t>108.776166</t>
  </si>
  <si>
    <t>5304.96</t>
  </si>
  <si>
    <t>14.982705</t>
  </si>
  <si>
    <t>108.806114</t>
  </si>
  <si>
    <t>full_h04/Quảng Ngãi/Quảng Ngãi Cấp III - IV/Quảng Ngãi Cấp IV/Cấp 4 Ring 12/TTCMKV Minh Long - Đình Cương/Trụ trung thế 1</t>
  </si>
  <si>
    <t>QNNH02-Thiện Tín</t>
  </si>
  <si>
    <t>14.92046</t>
  </si>
  <si>
    <t>108.77181</t>
  </si>
  <si>
    <t>FO thuê#CMC#QNNH02-QNNH06</t>
  </si>
  <si>
    <t>Ba Động - Thiện Tín</t>
  </si>
  <si>
    <t>268.15</t>
  </si>
  <si>
    <t>157.23</t>
  </si>
  <si>
    <t>14.919520</t>
  </si>
  <si>
    <t>108.772904</t>
  </si>
  <si>
    <t>110.92</t>
  </si>
  <si>
    <t>14.955847</t>
  </si>
  <si>
    <t>108.774397</t>
  </si>
  <si>
    <t>full_h04/Quảng Ngãi/Quảng Ngãi Cấp III - IV/Quảng Ngãi Cấp IV/Cấp 4 Ring 11/Ba Động - Thiện Tín/Trung thế</t>
  </si>
  <si>
    <t>QNML02-Thiện Tín</t>
  </si>
  <si>
    <t>14.96255</t>
  </si>
  <si>
    <t>108.7386202</t>
  </si>
  <si>
    <t>FO DT#MBF#QNML02-QNNH06</t>
  </si>
  <si>
    <t>Thiện Tín - TTCMKV Minh Long</t>
  </si>
  <si>
    <t>154.85</t>
  </si>
  <si>
    <t>25.27</t>
  </si>
  <si>
    <t>14.962543</t>
  </si>
  <si>
    <t>108.738855</t>
  </si>
  <si>
    <t>129.58</t>
  </si>
  <si>
    <t>14.957691</t>
  </si>
  <si>
    <t>108.774734</t>
  </si>
  <si>
    <t>full_h04/Quảng Ngãi/Quảng Ngãi Cấp III - IV/Quảng Ngãi Cấp IV/Cấp 4 Ring 11/Thiện Tín - TTCMKV Minh Long/Trung thế</t>
  </si>
  <si>
    <t>QNNH16-Đình Cương</t>
  </si>
  <si>
    <t>15.01525</t>
  </si>
  <si>
    <t>108.82158</t>
  </si>
  <si>
    <t>FO thuê#CMC#QNNH16-QNNH17</t>
  </si>
  <si>
    <t>1809.87</t>
  </si>
  <si>
    <t>1588.40</t>
  </si>
  <si>
    <t>108.809188</t>
  </si>
  <si>
    <t>Đình Cương-QNNH08</t>
  </si>
  <si>
    <t>15.03804</t>
  </si>
  <si>
    <t>108.82046</t>
  </si>
  <si>
    <t>FO thuê#CMC#QNNH17-QNNH08</t>
  </si>
  <si>
    <t>2000.25</t>
  </si>
  <si>
    <t>25.40</t>
  </si>
  <si>
    <t>15.015248</t>
  </si>
  <si>
    <t>108.821816</t>
  </si>
  <si>
    <t>1974.86</t>
  </si>
  <si>
    <t>15.021352</t>
  </si>
  <si>
    <t>108.814167</t>
  </si>
  <si>
    <t>full_h04/Quảng Ngãi/Quảng Ngãi Cấp III - IV/Quảng Ngãi Cấp IV/Cấp 4 Ring 12/Đình Cương - Nghĩa Hành/Trụ hạ thế 1</t>
  </si>
  <si>
    <t>QNNH11-Đình Cương</t>
  </si>
  <si>
    <t>15.011313</t>
  </si>
  <si>
    <t>108.818012</t>
  </si>
  <si>
    <t>FO thuê#FFC#QNNH11-QNNH17</t>
  </si>
  <si>
    <t>492.08</t>
  </si>
  <si>
    <t>466.45</t>
  </si>
  <si>
    <t>15.013532</t>
  </si>
  <si>
    <t>108.821697</t>
  </si>
  <si>
    <t>25.63</t>
  </si>
  <si>
    <t>15.015243</t>
  </si>
  <si>
    <t>108.821819</t>
  </si>
  <si>
    <t>QNNH38-Đình Cương</t>
  </si>
  <si>
    <t>15.0179</t>
  </si>
  <si>
    <t>108.7974</t>
  </si>
  <si>
    <t>FO thuê#FFC#QNNH38-QNNH17</t>
  </si>
  <si>
    <t>1414.49</t>
  </si>
  <si>
    <t>1389.10</t>
  </si>
  <si>
    <t>15.023050</t>
  </si>
  <si>
    <t>108.809184</t>
  </si>
  <si>
    <t>QNNH24-Đình Cương</t>
  </si>
  <si>
    <t>FO DT#MBF#QNNH24-QNNH17</t>
  </si>
  <si>
    <t>2418.92</t>
  </si>
  <si>
    <t>2393.52</t>
  </si>
  <si>
    <t>Đình Cương-QNNH27</t>
  </si>
  <si>
    <t>15.01828</t>
  </si>
  <si>
    <t>108.83235</t>
  </si>
  <si>
    <t>FO DT#MBF#QNNH17-QNNH27</t>
  </si>
  <si>
    <t>1179.57</t>
  </si>
  <si>
    <t>0.38</t>
  </si>
  <si>
    <t>15.015252</t>
  </si>
  <si>
    <t>108.821583</t>
  </si>
  <si>
    <t>1179.19</t>
  </si>
  <si>
    <t>15.015311</t>
  </si>
  <si>
    <t>108.821809</t>
  </si>
  <si>
    <t>full_h04/Quảng Ngãi/Quảng Ngãi Cấp III - IV/Quảng Ngãi Cấp IV/Cấp 4 Ring 12/TTCMKV Minh Long - Đình Cương/trồng mới 2</t>
  </si>
  <si>
    <t>Sơn Mai-QNNH07</t>
  </si>
  <si>
    <t>FO thuê#CMC#QNNH15-QNNH07</t>
  </si>
  <si>
    <t>5538.80</t>
  </si>
  <si>
    <t>5255.80</t>
  </si>
  <si>
    <t>15.041462</t>
  </si>
  <si>
    <t>108.747014</t>
  </si>
  <si>
    <t>QNML03-Sơn Mai</t>
  </si>
  <si>
    <t>15.00338</t>
  </si>
  <si>
    <t>108.72064</t>
  </si>
  <si>
    <t>FO thuê#CMC#QNML03-QNNH15</t>
  </si>
  <si>
    <t>TTCMKV Minh Long - Sơn Mai</t>
  </si>
  <si>
    <t>256.44</t>
  </si>
  <si>
    <t>235.36</t>
  </si>
  <si>
    <t>15.003126</t>
  </si>
  <si>
    <t>108.718464</t>
  </si>
  <si>
    <t>21.07</t>
  </si>
  <si>
    <t>15.003926</t>
  </si>
  <si>
    <t>108.718257</t>
  </si>
  <si>
    <t>full_h04/Quảng Ngãi/Quảng Ngãi Cấp III - IV/Quảng Ngãi Cấp IV/Cấp 4 Ring 13/TTCMKV Minh Long - Sơn Mai/Trụ trung thế 2</t>
  </si>
  <si>
    <t>QNNH19-Sơn Mai</t>
  </si>
  <si>
    <t>15.03353</t>
  </si>
  <si>
    <t>108.74694</t>
  </si>
  <si>
    <t>FO DT#MBF#QNNH19-QNNH15</t>
  </si>
  <si>
    <t>929.87</t>
  </si>
  <si>
    <t>646.87</t>
  </si>
  <si>
    <t>15.038031</t>
  </si>
  <si>
    <t>108.743124</t>
  </si>
  <si>
    <t>CS113-QNQN47</t>
  </si>
  <si>
    <t>15.1186</t>
  </si>
  <si>
    <t>108.8064</t>
  </si>
  <si>
    <t>15.124493</t>
  </si>
  <si>
    <t>108.80507</t>
  </si>
  <si>
    <t>FO thuê#CMC#QNQN16-QNQN47</t>
  </si>
  <si>
    <t>PC01 - CS113_TRỤ HT_TRỤ III</t>
  </si>
  <si>
    <t>634.07</t>
  </si>
  <si>
    <t>28.63</t>
  </si>
  <si>
    <t>15.118627</t>
  </si>
  <si>
    <t>108.806135</t>
  </si>
  <si>
    <t>605.44</t>
  </si>
  <si>
    <t>15.119050</t>
  </si>
  <si>
    <t>108.804942</t>
  </si>
  <si>
    <t>full_h04/Quảng Ngãi/Quảng Ngãi Cấp III - IV/Quảng Ngãi Cấp III/Phòng - Ring 2/PC01 - CS113/PC01 - CS113_TRỤ HT_TRỤ III/6</t>
  </si>
  <si>
    <t>QNQN27-CS113</t>
  </si>
  <si>
    <t>15.11186</t>
  </si>
  <si>
    <t>108.80451</t>
  </si>
  <si>
    <t>FO thuê#FFC#QNQN27-QNQN16</t>
  </si>
  <si>
    <t>Cẩm Thành - TT1 QUẢNG NGÃI</t>
  </si>
  <si>
    <t>631.58</t>
  </si>
  <si>
    <t>201.22</t>
  </si>
  <si>
    <t>15.113094</t>
  </si>
  <si>
    <t>108.803139</t>
  </si>
  <si>
    <t>430.36</t>
  </si>
  <si>
    <t>15.118891</t>
  </si>
  <si>
    <t>108.802402</t>
  </si>
  <si>
    <t>full_h04/Quảng Ngãi/Quảng Ngãi Cấp III - IV/Quảng Ngãi Cấp IV/Cấp 4 Ring 16/Cẩm Thành - TT1 QUẢNG NGÃI/Trụ hạ thế 1</t>
  </si>
  <si>
    <t>QNQN33-CS113</t>
  </si>
  <si>
    <t>15.11729</t>
  </si>
  <si>
    <t>108.80927</t>
  </si>
  <si>
    <t>FO thuê#FFC#QNQN33-QNQN16</t>
  </si>
  <si>
    <t>CS113 - PK02</t>
  </si>
  <si>
    <t>81.26</t>
  </si>
  <si>
    <t>56.81</t>
  </si>
  <si>
    <t>15.117743</t>
  </si>
  <si>
    <t>108.809515</t>
  </si>
  <si>
    <t>24.45</t>
  </si>
  <si>
    <t>15.118425</t>
  </si>
  <si>
    <t>108.806263</t>
  </si>
  <si>
    <t>full_h04/Quảng Ngãi/Quảng Ngãi Cấp III - IV/Quảng Ngãi Cấp III/Phòng - Ring 2/CS113 - PK02/hạ thế 1</t>
  </si>
  <si>
    <t>QNQN03-CS113</t>
  </si>
  <si>
    <t>15.11312</t>
  </si>
  <si>
    <t>108.8081</t>
  </si>
  <si>
    <t>FO DT#MBF#QNQN03-QNQN16</t>
  </si>
  <si>
    <t>461.53</t>
  </si>
  <si>
    <t>31.17</t>
  </si>
  <si>
    <t>15.113121</t>
  </si>
  <si>
    <t>108.808390</t>
  </si>
  <si>
    <t>CS113-QNQN2J</t>
  </si>
  <si>
    <t>FO DT#MBF#QNQN16-QNQN2J</t>
  </si>
  <si>
    <t>Trương Quang Trọng - TT1 QUẢNG NGÃI</t>
  </si>
  <si>
    <t>1647.78</t>
  </si>
  <si>
    <t>971.41</t>
  </si>
  <si>
    <t>15.126534</t>
  </si>
  <si>
    <t>108.802613</t>
  </si>
  <si>
    <t>676.37</t>
  </si>
  <si>
    <t>15.132671</t>
  </si>
  <si>
    <t>108.801546</t>
  </si>
  <si>
    <t>full_h04/Quảng Ngãi/Quảng Ngãi Cấp III - IV/Quảng Ngãi Cấp IV/Cấp 4 Ring 3/Trương Quang Trọng - TT1 QUẢNG NGÃI/DL TT_2</t>
  </si>
  <si>
    <t>QNQN58-PC03</t>
  </si>
  <si>
    <t>15.10897</t>
  </si>
  <si>
    <t>108.82925</t>
  </si>
  <si>
    <t>15.12274</t>
  </si>
  <si>
    <t>108.8181</t>
  </si>
  <si>
    <t>FO thuê#FFC#QNQN58-QNQN22</t>
  </si>
  <si>
    <t>1570.23</t>
  </si>
  <si>
    <t>1216.32</t>
  </si>
  <si>
    <t>15.108153</t>
  </si>
  <si>
    <t>108.817951</t>
  </si>
  <si>
    <t>353.92</t>
  </si>
  <si>
    <t>15.122006</t>
  </si>
  <si>
    <t>108.814892</t>
  </si>
  <si>
    <t>full_h04/Quảng Ngãi/Quảng Ngãi Cấp III - IV/Quảng Ngãi Cấp III/Phòng - Ring 2/Đội CSGT Đường Thuỷ - PC08/K02 (D3/E23) - Đội CSGT Đường Thuỷ - PC08</t>
  </si>
  <si>
    <t>TT Quảng Ngãi (mới)-PC03</t>
  </si>
  <si>
    <t>15.12304</t>
  </si>
  <si>
    <t>108.82559</t>
  </si>
  <si>
    <t>FO DT#MBF#QNQN41-QNQN22</t>
  </si>
  <si>
    <t>TT1 Quảng Ngãi mới - TT1 Quảng Ngãi</t>
  </si>
  <si>
    <t>514.13</t>
  </si>
  <si>
    <t>135.80</t>
  </si>
  <si>
    <t>15.122529</t>
  </si>
  <si>
    <t>108.824441</t>
  </si>
  <si>
    <t>378.33</t>
  </si>
  <si>
    <t>15.120935</t>
  </si>
  <si>
    <t>108.821087</t>
  </si>
  <si>
    <t>full_h04/Quảng Ngãi/Quảng Ngãi Cấp III - IV/Quảng Ngãi Cấp III/Cấp 3- Ring 2/TT1 Quảng Ngãi mới - TT1 Quảng Ngãi/Hạ thé 1</t>
  </si>
  <si>
    <t>PC03-QNQN2J</t>
  </si>
  <si>
    <t>FO DT#MBF#QNQN22-QNQN2J</t>
  </si>
  <si>
    <t>PC03 - PC10</t>
  </si>
  <si>
    <t>1061.82</t>
  </si>
  <si>
    <t>383.51</t>
  </si>
  <si>
    <t>15.124038</t>
  </si>
  <si>
    <t>108.814790</t>
  </si>
  <si>
    <t>678.32</t>
  </si>
  <si>
    <t>15.132805</t>
  </si>
  <si>
    <t>108.801569</t>
  </si>
  <si>
    <t>full_h04/Quảng Ngãi/Quảng Ngãi Cấp III - IV/Quảng Ngãi Cấp III/Phòng - Ring 3/PC03 - PC10/trung thế 1</t>
  </si>
  <si>
    <t>Nghĩa Lộ-PC07</t>
  </si>
  <si>
    <t>15.12072</t>
  </si>
  <si>
    <t>108.78696</t>
  </si>
  <si>
    <t>15.12796</t>
  </si>
  <si>
    <t>108.7873</t>
  </si>
  <si>
    <t>FO thuê#CMC#QNQN12-QNQN08</t>
  </si>
  <si>
    <t>TT1 Quảng Ngãi - PC07</t>
  </si>
  <si>
    <t>52.84</t>
  </si>
  <si>
    <t>7.72</t>
  </si>
  <si>
    <t>15.120788</t>
  </si>
  <si>
    <t>108.786946</t>
  </si>
  <si>
    <t>45.11</t>
  </si>
  <si>
    <t>15.128276</t>
  </si>
  <si>
    <t>108.787037</t>
  </si>
  <si>
    <t>full_h04/Quảng Ngãi/Quảng Ngãi Cấp III - IV/Quảng Ngãi Cấp III/Phòng - Ring 1/TT1 Quảng Ngãi - PC07/TT1 Quảng Ngãi - PC07</t>
  </si>
  <si>
    <t>PC07-khối phòng CAT KV P.NL</t>
  </si>
  <si>
    <t>15.12811</t>
  </si>
  <si>
    <t>108.79552</t>
  </si>
  <si>
    <t>FO thuê#CMC#QNQN08-QNQN31</t>
  </si>
  <si>
    <t>631.68</t>
  </si>
  <si>
    <t>46.45</t>
  </si>
  <si>
    <t>15.128370</t>
  </si>
  <si>
    <t>108.787385</t>
  </si>
  <si>
    <t>585.24</t>
  </si>
  <si>
    <t>15.129201</t>
  </si>
  <si>
    <t>108.790186</t>
  </si>
  <si>
    <t>full_h04/Quảng Ngãi/Quảng Ngãi Cấp III - IV/Quảng Ngãi Cấp III/Phòng - Ring 1/PC07 - Sơn Tịnh/PC07 - Sơn Tịnh</t>
  </si>
  <si>
    <t>PC07-QNQN63</t>
  </si>
  <si>
    <t>15.14384</t>
  </si>
  <si>
    <t>108.78564</t>
  </si>
  <si>
    <t>FO thuê#CMC#QNQN08-QNQN63</t>
  </si>
  <si>
    <t>TT1 Quảng Ngãi - Sơn hà</t>
  </si>
  <si>
    <t>954.07</t>
  </si>
  <si>
    <t>443.79</t>
  </si>
  <si>
    <t>15.131817</t>
  </si>
  <si>
    <t>108.788362</t>
  </si>
  <si>
    <t>510.28</t>
  </si>
  <si>
    <t>15.139509</t>
  </si>
  <si>
    <t>108.784069</t>
  </si>
  <si>
    <t>full_h04/Quảng Ngãi/Quảng Ngãi Cấp III - IV/Quảng Ngãi Cấp III/Cấp 3 - Ring 1/TT1 Quảng Ngãi - Sơn hà/hào kỹ thuật</t>
  </si>
  <si>
    <t>QNQN51-Nghĩa Giang</t>
  </si>
  <si>
    <t>15.12125</t>
  </si>
  <si>
    <t>108.78855</t>
  </si>
  <si>
    <t>15.09571</t>
  </si>
  <si>
    <t>108.78259</t>
  </si>
  <si>
    <t>FO thuê#FFC#QNQN51-QNQN10</t>
  </si>
  <si>
    <t>999.69</t>
  </si>
  <si>
    <t>864.68</t>
  </si>
  <si>
    <t>135.01</t>
  </si>
  <si>
    <t>15.094535</t>
  </si>
  <si>
    <t>108.782274</t>
  </si>
  <si>
    <t>QNTN23-Nghĩa Giang</t>
  </si>
  <si>
    <t>15.09048</t>
  </si>
  <si>
    <t>FO DT#MBF#QNTN23-QNQN10</t>
  </si>
  <si>
    <t>1247.84</t>
  </si>
  <si>
    <t>1115.89</t>
  </si>
  <si>
    <t>15.089324</t>
  </si>
  <si>
    <t>108.785945</t>
  </si>
  <si>
    <t>131.95</t>
  </si>
  <si>
    <t>15.094568</t>
  </si>
  <si>
    <t>108.782255</t>
  </si>
  <si>
    <t>Nghĩa Giang-QNQN2J</t>
  </si>
  <si>
    <t>FO DT#MBF#QNQN10-QNQN2J</t>
  </si>
  <si>
    <t>Nghĩa Giang - TT1 QUẢNG NGÃI</t>
  </si>
  <si>
    <t>2066.14</t>
  </si>
  <si>
    <t>693.13</t>
  </si>
  <si>
    <t>15.098264</t>
  </si>
  <si>
    <t>108.788479</t>
  </si>
  <si>
    <t>1373.01</t>
  </si>
  <si>
    <t>15.120973</t>
  </si>
  <si>
    <t>108.792068</t>
  </si>
  <si>
    <t>full_h04/Quảng Ngãi/Quảng Ngãi Cấp III - IV/Quảng Ngãi Cấp IV/Cấp 4 Ring 13/Nghĩa Giang - TT1 QUẢNG NGÃI/Trụ hạ thế 1</t>
  </si>
  <si>
    <t>QNQN15-Nghĩa Lộ</t>
  </si>
  <si>
    <t>FO thuê#CMC#QNQN15-QNQN12</t>
  </si>
  <si>
    <t>285.20</t>
  </si>
  <si>
    <t>16.89</t>
  </si>
  <si>
    <t>15.120800</t>
  </si>
  <si>
    <t>108.786826</t>
  </si>
  <si>
    <t>Nghĩa Lộ-QNQN50</t>
  </si>
  <si>
    <t>15.12592</t>
  </si>
  <si>
    <t>108.78827</t>
  </si>
  <si>
    <t>FO thuê#CMC#QNQN12-QNQN50</t>
  </si>
  <si>
    <t>212.76</t>
  </si>
  <si>
    <t>195.87</t>
  </si>
  <si>
    <t>15.125795</t>
  </si>
  <si>
    <t>108.786450</t>
  </si>
  <si>
    <t>Khối Phòng PA08,PA05-QNQN45</t>
  </si>
  <si>
    <t>15.11456</t>
  </si>
  <si>
    <t>108.7962</t>
  </si>
  <si>
    <t>FO thuê#CMC#QNQN09-QNQN45</t>
  </si>
  <si>
    <t>16.58</t>
  </si>
  <si>
    <t>4.90</t>
  </si>
  <si>
    <t>15.114583</t>
  </si>
  <si>
    <t>108.796239</t>
  </si>
  <si>
    <t>Khối Phòng PA08,PA05-QNQN46</t>
  </si>
  <si>
    <t>15.12132</t>
  </si>
  <si>
    <t>108.79524</t>
  </si>
  <si>
    <t>FO thuê#CMC#QNQN09-QNQN46</t>
  </si>
  <si>
    <t>311.37</t>
  </si>
  <si>
    <t>299.69</t>
  </si>
  <si>
    <t>15.118803</t>
  </si>
  <si>
    <t>Khối Phòng PA08,PA05-QNQN55</t>
  </si>
  <si>
    <t>15.10853</t>
  </si>
  <si>
    <t>108.79265</t>
  </si>
  <si>
    <t>FO thuê#CMC#QNQN09-QNQN55</t>
  </si>
  <si>
    <t>Tư Nghĩa - TT1 QUẢNG NGÃI</t>
  </si>
  <si>
    <t>600.64</t>
  </si>
  <si>
    <t>309.87</t>
  </si>
  <si>
    <t>15.112746</t>
  </si>
  <si>
    <t>108.793737</t>
  </si>
  <si>
    <t>290.77</t>
  </si>
  <si>
    <t>15.107789</t>
  </si>
  <si>
    <t>108.790053</t>
  </si>
  <si>
    <t>full_h04/Quảng Ngãi/Quảng Ngãi Cấp III - IV/Quảng Ngãi Cấp IV/Cấp 4 Ring17/Tư Nghĩa - TT1 QUẢNG NGÃI/Trụ hạ thế 3</t>
  </si>
  <si>
    <t>QNQN18-Khối Phòng PA08,PA05</t>
  </si>
  <si>
    <t>15.11905</t>
  </si>
  <si>
    <t>108.79941</t>
  </si>
  <si>
    <t>FO thuê#FFC#QNQN18-QNQN09</t>
  </si>
  <si>
    <t>121.29</t>
  </si>
  <si>
    <t>109.61</t>
  </si>
  <si>
    <t>15.118825</t>
  </si>
  <si>
    <t>108.798416</t>
  </si>
  <si>
    <t>Khối Phòng PA08,PA05-PA03</t>
  </si>
  <si>
    <t>15.12074</t>
  </si>
  <si>
    <t>108.7989</t>
  </si>
  <si>
    <t>FO DT#MBF#QNQN09-QNQN37</t>
  </si>
  <si>
    <t>229.16</t>
  </si>
  <si>
    <t>217.48</t>
  </si>
  <si>
    <t>15.118927</t>
  </si>
  <si>
    <t>108.798140</t>
  </si>
  <si>
    <t>Trung tâm HLBD NV- PX01-Cẩm Thành</t>
  </si>
  <si>
    <t>15.12194</t>
  </si>
  <si>
    <t>108.817</t>
  </si>
  <si>
    <t>15.11488</t>
  </si>
  <si>
    <t>108.81338</t>
  </si>
  <si>
    <t>FO DT#MBF#QNQN43-QNQN19</t>
  </si>
  <si>
    <t>560.87</t>
  </si>
  <si>
    <t>226.41</t>
  </si>
  <si>
    <t>334.46</t>
  </si>
  <si>
    <t>15.115344</t>
  </si>
  <si>
    <t>108.816458</t>
  </si>
  <si>
    <t>Cẩm Thành-QNQN35</t>
  </si>
  <si>
    <t>15.13094</t>
  </si>
  <si>
    <t>108.80621</t>
  </si>
  <si>
    <t>FO DT#MBF#QNQN19-QNQN35</t>
  </si>
  <si>
    <t>351.74</t>
  </si>
  <si>
    <t>17.29</t>
  </si>
  <si>
    <t>15.131022</t>
  </si>
  <si>
    <t>108.806347</t>
  </si>
  <si>
    <t>QNTN04-An Phú</t>
  </si>
  <si>
    <t>15.09575</t>
  </si>
  <si>
    <t>108.87724</t>
  </si>
  <si>
    <t>15.12683</t>
  </si>
  <si>
    <t>108.88441</t>
  </si>
  <si>
    <t>FO thuê#FFC#QNTN04-QNQN2D</t>
  </si>
  <si>
    <t>Quảng Ngãi - Ring 1_An Phú-CAT Quảng Ngãi</t>
  </si>
  <si>
    <t>3533.57</t>
  </si>
  <si>
    <t>3521.99</t>
  </si>
  <si>
    <t>15.126675</t>
  </si>
  <si>
    <t>108.884335</t>
  </si>
  <si>
    <t>11.58</t>
  </si>
  <si>
    <t>15.126736</t>
  </si>
  <si>
    <t>108.884363</t>
  </si>
  <si>
    <t>full_h04/Quảng Ngãi/Quảng Ngãi Cấp III - IV/Quảng Ngãi Cấp IV/Cấp 4 Ring 1/Quảng Ngãi - Ring 1_An Phú-CAT Quảng Ngãi/DL TT_1</t>
  </si>
  <si>
    <t>An Phú-QNQN26</t>
  </si>
  <si>
    <t>FO thuê#FFC#QNQN2D-QNQN26</t>
  </si>
  <si>
    <t>1642.30</t>
  </si>
  <si>
    <t>1630.72</t>
  </si>
  <si>
    <t>15.124923</t>
  </si>
  <si>
    <t>108.845949</t>
  </si>
  <si>
    <t>QNQN66-An Phú</t>
  </si>
  <si>
    <t>15.134818</t>
  </si>
  <si>
    <t>108.880393</t>
  </si>
  <si>
    <t>FO thuê#FFC#QNQN66-QNQN2D</t>
  </si>
  <si>
    <t>Quảng Ngãi - Ring 1_Tịnh Khê - An Phú</t>
  </si>
  <si>
    <t>504.66</t>
  </si>
  <si>
    <t>469.96</t>
  </si>
  <si>
    <t>15.132929</t>
  </si>
  <si>
    <t>108.876476</t>
  </si>
  <si>
    <t>34.70</t>
  </si>
  <si>
    <t>15.127030</t>
  </si>
  <si>
    <t>108.884162</t>
  </si>
  <si>
    <t>full_h04/Quảng Ngãi/Quảng Ngãi Cấp III - IV/Quảng Ngãi Cấp IV/Cấp 4 Ring 1/Quảng Ngãi - Ring 1_Tịnh Khê - An Phú.kmz/Quảng Ngãi - Ring 1_Tịnh Khê - An Phú/ĐL_TT</t>
  </si>
  <si>
    <t>QNQN2G-An Phú</t>
  </si>
  <si>
    <t>15.12609</t>
  </si>
  <si>
    <t>108.87932</t>
  </si>
  <si>
    <t>FO thuê#FFC#QNQN2G-QNQN2D</t>
  </si>
  <si>
    <t>293.08</t>
  </si>
  <si>
    <t>281.50</t>
  </si>
  <si>
    <t>15.128410</t>
  </si>
  <si>
    <t>108.880370</t>
  </si>
  <si>
    <t>QNQN2H-An Phú</t>
  </si>
  <si>
    <t>15.12614</t>
  </si>
  <si>
    <t>108.85972</t>
  </si>
  <si>
    <t>FO thuê#FFC#QNQN2H-QNQN2D</t>
  </si>
  <si>
    <t>197.17</t>
  </si>
  <si>
    <t>185.59</t>
  </si>
  <si>
    <t>15.124615</t>
  </si>
  <si>
    <t>108.860423</t>
  </si>
  <si>
    <t>QNQN67-An Phú</t>
  </si>
  <si>
    <t>15.12467</t>
  </si>
  <si>
    <t>108.86877</t>
  </si>
  <si>
    <t>FO thuê#FFC#QNQN67-QNQN2D</t>
  </si>
  <si>
    <t>338.94</t>
  </si>
  <si>
    <t>327.36</t>
  </si>
  <si>
    <t>15.127604</t>
  </si>
  <si>
    <t>108.869018</t>
  </si>
  <si>
    <t>QNQN38-PC08</t>
  </si>
  <si>
    <t>15.1052</t>
  </si>
  <si>
    <t>108.8112</t>
  </si>
  <si>
    <t>15.10006</t>
  </si>
  <si>
    <t>108.8068</t>
  </si>
  <si>
    <t>FO thuê#FFC#QNQN38-QNQN25</t>
  </si>
  <si>
    <t>483.19</t>
  </si>
  <si>
    <t>443.89</t>
  </si>
  <si>
    <t>15.104867</t>
  </si>
  <si>
    <t>108.815320</t>
  </si>
  <si>
    <t>39.30</t>
  </si>
  <si>
    <t>15.099724</t>
  </si>
  <si>
    <t>108.806913</t>
  </si>
  <si>
    <t>TTCMKV Tư Nghĩa-PC08</t>
  </si>
  <si>
    <t>FO DT#MBF#QNTN_Newsite1-QNQN25</t>
  </si>
  <si>
    <t>515.21</t>
  </si>
  <si>
    <t>467.82</t>
  </si>
  <si>
    <t>15.104257</t>
  </si>
  <si>
    <t>108.807107</t>
  </si>
  <si>
    <t>PC08-QNQN03</t>
  </si>
  <si>
    <t>FO DT#MBF#QNQN25-QNQN03</t>
  </si>
  <si>
    <t>PC08 - Khối Phòng PA08_PA05</t>
  </si>
  <si>
    <t>581.97</t>
  </si>
  <si>
    <t>49.13</t>
  </si>
  <si>
    <t>15.100458</t>
  </si>
  <si>
    <t>108.806602</t>
  </si>
  <si>
    <t>532.84</t>
  </si>
  <si>
    <t>15.113075</t>
  </si>
  <si>
    <t>108.803137</t>
  </si>
  <si>
    <t>full_h04/Quảng Ngãi/Quảng Ngãi Cấp III - IV/Quảng Ngãi Cấp III/Phòng - Ring 2/PC08 - Khối Phòng PA08_PA05/PC08 - Khối Phòng PA08_PA05</t>
  </si>
  <si>
    <t>PC08-QNQN2L</t>
  </si>
  <si>
    <t>15.107173</t>
  </si>
  <si>
    <t>108.802827</t>
  </si>
  <si>
    <t>FO DT#MBF#QNQN25-QNQN2L</t>
  </si>
  <si>
    <t>90.92</t>
  </si>
  <si>
    <t>41.79</t>
  </si>
  <si>
    <t>15.107366</t>
  </si>
  <si>
    <t>108.803161</t>
  </si>
  <si>
    <t>TT Quảng Ngãi (mới)-QNQN59</t>
  </si>
  <si>
    <t>15.11917</t>
  </si>
  <si>
    <t>108.8368</t>
  </si>
  <si>
    <t>FO thuê#CMC#QNQN41-QNQN59</t>
  </si>
  <si>
    <t>799.29</t>
  </si>
  <si>
    <t>443.88</t>
  </si>
  <si>
    <t>15.119071</t>
  </si>
  <si>
    <t>108.825151</t>
  </si>
  <si>
    <t>355.41</t>
  </si>
  <si>
    <t>15.121620</t>
  </si>
  <si>
    <t>108.834674</t>
  </si>
  <si>
    <t>full_h04/Quảng Ngãi/Quảng Ngãi Cấp III - IV/Quảng Ngãi Cấp IV/Cấp 4 Ring 1/Quảng Ngãi - Ring 1_Tịnh Khê - An Phú.kmz/Quảng Ngãi - Ring 1_Tịnh Khê - An Phú/ĐL_HT</t>
  </si>
  <si>
    <t>QNQN07-TT Quảng Ngãi (mới)</t>
  </si>
  <si>
    <t>15.13104</t>
  </si>
  <si>
    <t>108.84247</t>
  </si>
  <si>
    <t>FO DT#MBF#QNQN07-QNQN41</t>
  </si>
  <si>
    <t>589.25</t>
  </si>
  <si>
    <t>145.37</t>
  </si>
  <si>
    <t>15.132324</t>
  </si>
  <si>
    <t>108.842215</t>
  </si>
  <si>
    <t>QNQN05-PA03</t>
  </si>
  <si>
    <t>15.12261</t>
  </si>
  <si>
    <t>108.80157</t>
  </si>
  <si>
    <t>FO thuê#FFC#QNQN05-QNQN37</t>
  </si>
  <si>
    <t>PA03 - PC03</t>
  </si>
  <si>
    <t>78.84</t>
  </si>
  <si>
    <t>65.99</t>
  </si>
  <si>
    <t>15.122650</t>
  </si>
  <si>
    <t>108.800957</t>
  </si>
  <si>
    <t>12.86</t>
  </si>
  <si>
    <t>15.120733</t>
  </si>
  <si>
    <t>108.798780</t>
  </si>
  <si>
    <t>full_h04/Quảng Ngãi/Quảng Ngãi Cấp III - IV/Quảng Ngãi Cấp III/Phòng - Ring 3/PA03 - PC03/Hạ thế 1</t>
  </si>
  <si>
    <t>PA03-QNQN2J</t>
  </si>
  <si>
    <t>FO DT#MBF#QNQN37-QNQN2J</t>
  </si>
  <si>
    <t>1026.17</t>
  </si>
  <si>
    <t>926.76</t>
  </si>
  <si>
    <t>15.128491</t>
  </si>
  <si>
    <t>108.795727</t>
  </si>
  <si>
    <t>99.41</t>
  </si>
  <si>
    <t>15.132609</t>
  </si>
  <si>
    <t>108.796115</t>
  </si>
  <si>
    <t>full_h04/Quảng Ngãi/Quảng Ngãi Cấp III - IV/Quảng Ngãi Cấp III/Phòng - Ring 2/khối phòng CAT KV P.NL - K02 (D3/E23)/trung thế 1</t>
  </si>
  <si>
    <t>QNQN53-Trung tâm HLBD NV- PX01</t>
  </si>
  <si>
    <t>108.82013</t>
  </si>
  <si>
    <t>FO thuê#FFC#QNQN53-QNQN43</t>
  </si>
  <si>
    <t>587.94</t>
  </si>
  <si>
    <t>361.53</t>
  </si>
  <si>
    <t>15.112512</t>
  </si>
  <si>
    <t>108.817047</t>
  </si>
  <si>
    <t>TTCMKV Tư Nghĩa-Trung tâm HLBD NV- PX01</t>
  </si>
  <si>
    <t>FO DT#MBF#QNTN_Newsite1-QNQN43</t>
  </si>
  <si>
    <t>971.37</t>
  </si>
  <si>
    <t>626.34</t>
  </si>
  <si>
    <t>15.116374</t>
  </si>
  <si>
    <t>108.816103</t>
  </si>
  <si>
    <t>khối phòng CAT KV P.NL-QNQN2J</t>
  </si>
  <si>
    <t>FO thuê#CMC#QNQN31-QNQN2J</t>
  </si>
  <si>
    <t>147.31</t>
  </si>
  <si>
    <t>47.91</t>
  </si>
  <si>
    <t>QNQN90-Tịnh Khê</t>
  </si>
  <si>
    <t>15.20055</t>
  </si>
  <si>
    <t>108.83577</t>
  </si>
  <si>
    <t>15.18297</t>
  </si>
  <si>
    <t>108.85261</t>
  </si>
  <si>
    <t>FO thuê#CMC#QNQN90-QNQN81</t>
  </si>
  <si>
    <t>127.32</t>
  </si>
  <si>
    <t>52.80</t>
  </si>
  <si>
    <t>15.200166</t>
  </si>
  <si>
    <t>108.836060</t>
  </si>
  <si>
    <t>74.52</t>
  </si>
  <si>
    <t>15.182303</t>
  </si>
  <si>
    <t>108.852679</t>
  </si>
  <si>
    <t>Tịnh Khê-QNQN78</t>
  </si>
  <si>
    <t>FO thuê#CMC#QNQN81-QNQN78</t>
  </si>
  <si>
    <t>1869.73</t>
  </si>
  <si>
    <t>148.51</t>
  </si>
  <si>
    <t>15.181643</t>
  </si>
  <si>
    <t>108.852451</t>
  </si>
  <si>
    <t>QNQN2N-Tịnh Khê</t>
  </si>
  <si>
    <t>15.1844</t>
  </si>
  <si>
    <t>108.8397</t>
  </si>
  <si>
    <t>FO DT#MBF#QNQN2N-QNQN81</t>
  </si>
  <si>
    <t>918.81</t>
  </si>
  <si>
    <t>844.29</t>
  </si>
  <si>
    <t>15.191810</t>
  </si>
  <si>
    <t>108.841418</t>
  </si>
  <si>
    <t>QNQN80-Trương Quang Trọng</t>
  </si>
  <si>
    <t>15.15256</t>
  </si>
  <si>
    <t>108.78601</t>
  </si>
  <si>
    <t>15.15547</t>
  </si>
  <si>
    <t>108.79689</t>
  </si>
  <si>
    <t>FO thuê#CMC#QNQN80-QNQN94</t>
  </si>
  <si>
    <t>PC10-PA06</t>
  </si>
  <si>
    <t>721.72</t>
  </si>
  <si>
    <t>192.61</t>
  </si>
  <si>
    <t>15.151139</t>
  </si>
  <si>
    <t>108.787036</t>
  </si>
  <si>
    <t>529.11</t>
  </si>
  <si>
    <t>15.150714</t>
  </si>
  <si>
    <t>108.796720</t>
  </si>
  <si>
    <t>full_h04/Quảng Ngãi/Quảng Ngãi Cấp III - IV/Quảng Ngãi Cấp III/Phòng - Ring 3/PC10-PA06/trung thế 1</t>
  </si>
  <si>
    <t>Trương Quang Trọng-QNST02</t>
  </si>
  <si>
    <t>FO thuê#CMC#QNQN94-QNST02</t>
  </si>
  <si>
    <t>209.25</t>
  </si>
  <si>
    <t>98.68</t>
  </si>
  <si>
    <t>15.156208</t>
  </si>
  <si>
    <t>108.797400</t>
  </si>
  <si>
    <t>full_h04/Quảng Ngãi/Quảng Ngãi Cấp III - IV/Quảng Ngãi Cấp III/Cấp 3 - Ring 1/Bình Sơn - TT1 Quảng Ngãi/trung thế 3</t>
  </si>
  <si>
    <t>QNST36-PC10</t>
  </si>
  <si>
    <t>15.14859</t>
  </si>
  <si>
    <t>108.7971</t>
  </si>
  <si>
    <t>FO thuê#CMC#QNST36-QNQN82</t>
  </si>
  <si>
    <t>1549.89</t>
  </si>
  <si>
    <t>1518.70</t>
  </si>
  <si>
    <t>15.151586</t>
  </si>
  <si>
    <t>108.778709</t>
  </si>
  <si>
    <t>31.19</t>
  </si>
  <si>
    <t>15.148739</t>
  </si>
  <si>
    <t>108.797346</t>
  </si>
  <si>
    <t>PC10-QNST10</t>
  </si>
  <si>
    <t>15.1764373</t>
  </si>
  <si>
    <t>108.7914256</t>
  </si>
  <si>
    <t>FO thuê#CMC#QNQN82-QNST10</t>
  </si>
  <si>
    <t>871.29</t>
  </si>
  <si>
    <t>244.90</t>
  </si>
  <si>
    <t>15.146458</t>
  </si>
  <si>
    <t>108.797673</t>
  </si>
  <si>
    <t>626.39</t>
  </si>
  <si>
    <t>15.177980</t>
  </si>
  <si>
    <t>108.797039</t>
  </si>
  <si>
    <t>QNST02-Thọ Phong</t>
  </si>
  <si>
    <t>15.2163</t>
  </si>
  <si>
    <t>108.76149</t>
  </si>
  <si>
    <t>FO thuê#CMC#QNST02-QNST08</t>
  </si>
  <si>
    <t>Thọ Phong - Trương Quang Trọng</t>
  </si>
  <si>
    <t>427.25</t>
  </si>
  <si>
    <t>365.07</t>
  </si>
  <si>
    <t>15.197609</t>
  </si>
  <si>
    <t>108.789320</t>
  </si>
  <si>
    <t>62.18</t>
  </si>
  <si>
    <t>15.216231</t>
  </si>
  <si>
    <t>108.762065</t>
  </si>
  <si>
    <t>full_h04/Quảng Ngãi/Quảng Ngãi Cấp III - IV/Quảng Ngãi Cấp IV/Cấp 4 Ring 3/Thọ Phong - Trương Quang Trọng/ĐL TT_1</t>
  </si>
  <si>
    <t>Thọ Phong-QNST46</t>
  </si>
  <si>
    <t>15.24031</t>
  </si>
  <si>
    <t>108.74738</t>
  </si>
  <si>
    <t>FO thuê#CMC#QNST08-QNST46</t>
  </si>
  <si>
    <t>1405.98</t>
  </si>
  <si>
    <t>61.70</t>
  </si>
  <si>
    <t>15.216234</t>
  </si>
  <si>
    <t>108.762061</t>
  </si>
  <si>
    <t>1344.28</t>
  </si>
  <si>
    <t>15.239759</t>
  </si>
  <si>
    <t>108.759897</t>
  </si>
  <si>
    <t>full_h04/Quảng Ngãi/Quảng Ngãi Cấp III - IV/Quảng Ngãi Cấp IV/Cấp 4 Ring 3/Bình Sơn - Thọ Phong/ĐL TT_2</t>
  </si>
  <si>
    <t>QNST64-Thọ Phong</t>
  </si>
  <si>
    <t>15.24004</t>
  </si>
  <si>
    <t>108.76299</t>
  </si>
  <si>
    <t>FO thuê#CMC#QNST64-QNST08</t>
  </si>
  <si>
    <t>117.83</t>
  </si>
  <si>
    <t>56.14</t>
  </si>
  <si>
    <t>15.240517</t>
  </si>
  <si>
    <t>108.763161</t>
  </si>
  <si>
    <t>QNST46-Thọ Phong</t>
  </si>
  <si>
    <t>FO thuê#TPComs#QNST46-QNST08</t>
  </si>
  <si>
    <t>Sơn Tịnh-QNST25</t>
  </si>
  <si>
    <t>15.19974</t>
  </si>
  <si>
    <t>108.76285</t>
  </si>
  <si>
    <t>FO thuê#CMC#QNST07-QNST25</t>
  </si>
  <si>
    <t>4295.74</t>
  </si>
  <si>
    <t>78.06</t>
  </si>
  <si>
    <t>15.155013</t>
  </si>
  <si>
    <t>108.735971</t>
  </si>
  <si>
    <t>4217.68</t>
  </si>
  <si>
    <t>15.190061</t>
  </si>
  <si>
    <t>108.724847</t>
  </si>
  <si>
    <t>full_h04/Quảng Ngãi/Quảng Ngãi Cấp III - IV/Quảng Ngãi Cấp IV/Cấp 4 Ring 2/Bình Chương - Sơn Tịnh/Trung thế</t>
  </si>
  <si>
    <t>QNST47-Sơn Tịnh</t>
  </si>
  <si>
    <t>15.15761</t>
  </si>
  <si>
    <t>108.76909</t>
  </si>
  <si>
    <t>FO thuê#CMC#QNST47-QNST07</t>
  </si>
  <si>
    <t>907.42</t>
  </si>
  <si>
    <t>790.80</t>
  </si>
  <si>
    <t>15.151778</t>
  </si>
  <si>
    <t>108.773307</t>
  </si>
  <si>
    <t>Trà Giang-QNTN09</t>
  </si>
  <si>
    <t>15.137501</t>
  </si>
  <si>
    <t>108.691212</t>
  </si>
  <si>
    <t>FO thuê#FFC#QNTN06-QNTN09</t>
  </si>
  <si>
    <t>Trà Giang - Nghĩa Giang</t>
  </si>
  <si>
    <t>2326.13</t>
  </si>
  <si>
    <t>1.62</t>
  </si>
  <si>
    <t>15.132306</t>
  </si>
  <si>
    <t>108.712856</t>
  </si>
  <si>
    <t>2324.52</t>
  </si>
  <si>
    <t>15.132866</t>
  </si>
  <si>
    <t>108.712329</t>
  </si>
  <si>
    <t>full_h04/Quảng Ngãi/Quảng Ngãi Cấp III - IV/Quảng Ngãi Cấp IV/Cấp 4 Ring 13/Trà Giang - Nghĩa Giang/Trồng trụ mới 1</t>
  </si>
  <si>
    <t>QNTN36-Trà Giang</t>
  </si>
  <si>
    <t>15.12321</t>
  </si>
  <si>
    <t>108.70959</t>
  </si>
  <si>
    <t>FO thuê#FFC#QNTN36-QNTN06</t>
  </si>
  <si>
    <t>749.14</t>
  </si>
  <si>
    <t>682.80</t>
  </si>
  <si>
    <t>15.129135</t>
  </si>
  <si>
    <t>108.711259</t>
  </si>
  <si>
    <t>66.34</t>
  </si>
  <si>
    <t>15.132634</t>
  </si>
  <si>
    <t>108.712358</t>
  </si>
  <si>
    <t>full_h04/Quảng Ngãi/Quảng Ngãi Cấp III - IV/Quảng Ngãi Cấp IV/Cấp 4 Ring 13/Phước Giang - Trà Giang/Trụ trung thế 2</t>
  </si>
  <si>
    <t>QNTN20-Trà Giang</t>
  </si>
  <si>
    <t>15.144255</t>
  </si>
  <si>
    <t>108.728825</t>
  </si>
  <si>
    <t>FO thuê#FFC#QNTN20-QNTN06</t>
  </si>
  <si>
    <t>1664.54</t>
  </si>
  <si>
    <t>1579.29</t>
  </si>
  <si>
    <t>15.132004</t>
  </si>
  <si>
    <t>108.721380</t>
  </si>
  <si>
    <t>85.26</t>
  </si>
  <si>
    <t>15.132867</t>
  </si>
  <si>
    <t>108.712336</t>
  </si>
  <si>
    <t>full_h04/Quảng Ngãi/Quảng Ngãi Cấp III - IV/Quảng Ngãi Cấp IV/Cấp 4 Ring 13/Trà Giang - Nghĩa Giang/Trụ trung thế 1</t>
  </si>
  <si>
    <t>PC11 (X. Nghĩa Kỳ, H. Tư Nghĩa)-Trà Giang</t>
  </si>
  <si>
    <t>15.11711</t>
  </si>
  <si>
    <t>108.7462</t>
  </si>
  <si>
    <t>FO DT#MBF#QNTN66-QNTN06</t>
  </si>
  <si>
    <t>376.76</t>
  </si>
  <si>
    <t>291.51</t>
  </si>
  <si>
    <t>15.119568</t>
  </si>
  <si>
    <t>108.747144</t>
  </si>
  <si>
    <t>QNTN38-Vệ Giang</t>
  </si>
  <si>
    <t>15.030881</t>
  </si>
  <si>
    <t>108.839769</t>
  </si>
  <si>
    <t>15.04918</t>
  </si>
  <si>
    <t>108.8491</t>
  </si>
  <si>
    <t>FO DT#MBF#QNTN38-QNTN12</t>
  </si>
  <si>
    <t>358.00</t>
  </si>
  <si>
    <t>62.50</t>
  </si>
  <si>
    <t>15.030848</t>
  </si>
  <si>
    <t>108.839188</t>
  </si>
  <si>
    <t>295.50</t>
  </si>
  <si>
    <t>15.047159</t>
  </si>
  <si>
    <t>108.847313</t>
  </si>
  <si>
    <t>full_h04/Quảng Ngãi/Quảng Ngãi Cấp III - IV/Quảng Ngãi Cấp IV/Cấp 4 Ring 16/Mộ Đức - Vệ Giang/Trụ trung thế 3</t>
  </si>
  <si>
    <t>Vệ Giang-QNTN_NEWSITE2</t>
  </si>
  <si>
    <t>FO DT#MBF#QNTN12-QNTN_NEWSITE2</t>
  </si>
  <si>
    <t>220.25</t>
  </si>
  <si>
    <t>115.37</t>
  </si>
  <si>
    <t>15.048644</t>
  </si>
  <si>
    <t>108.848180</t>
  </si>
  <si>
    <t>QNMD20-Vệ Giang</t>
  </si>
  <si>
    <t>FO DT#MBF#QNMD20-QNTN12</t>
  </si>
  <si>
    <t>1566.80</t>
  </si>
  <si>
    <t>1201.45</t>
  </si>
  <si>
    <t>15.038814</t>
  </si>
  <si>
    <t>108.852256</t>
  </si>
  <si>
    <t>QNTN40-PC11 (X. Nghĩa Kỳ, H. Tư Nghĩa)</t>
  </si>
  <si>
    <t>15.11258</t>
  </si>
  <si>
    <t>108.73561</t>
  </si>
  <si>
    <t>FO thuê#FFC#QNTN40-QNTN66</t>
  </si>
  <si>
    <t>598.44</t>
  </si>
  <si>
    <t>100.68</t>
  </si>
  <si>
    <t>15.111948</t>
  </si>
  <si>
    <t>108.734939</t>
  </si>
  <si>
    <t>497.76</t>
  </si>
  <si>
    <t>15.112887</t>
  </si>
  <si>
    <t>108.744661</t>
  </si>
  <si>
    <t>QNTN26-PC11 (X. Nghĩa Kỳ, H. Tư Nghĩa)</t>
  </si>
  <si>
    <t>FO thuê#FFC#QNTN26-QNTN66</t>
  </si>
  <si>
    <t>Trường Giang - TT1 QUẢNG NGÃI</t>
  </si>
  <si>
    <t>303.81</t>
  </si>
  <si>
    <t>97.22</t>
  </si>
  <si>
    <t>15.116405</t>
  </si>
  <si>
    <t>108.754485</t>
  </si>
  <si>
    <t>206.60</t>
  </si>
  <si>
    <t>15.118936</t>
  </si>
  <si>
    <t>108.746558</t>
  </si>
  <si>
    <t>full_h04/Quảng Ngãi/Quảng Ngãi Cấp III - IV/Quảng Ngãi Cấp IV/Cấp 4 Ring 7/Trường Giang - TT1 QUẢNG NGÃI/Hạ thế</t>
  </si>
  <si>
    <t>PC11 (X. Nghĩa Kỳ, H. Tư Nghĩa)-QNTN10</t>
  </si>
  <si>
    <t>FO thuê#FFC#QNTN66-QNTN10</t>
  </si>
  <si>
    <t>564.60</t>
  </si>
  <si>
    <t>66.83</t>
  </si>
  <si>
    <t>15.093600</t>
  </si>
  <si>
    <t>108.750170</t>
  </si>
  <si>
    <t>QNQN2B-Tư Nghĩa</t>
  </si>
  <si>
    <t>15.11337</t>
  </si>
  <si>
    <t>108.8636</t>
  </si>
  <si>
    <t>FO thuê#FFC#QNQN2B-QNTN39</t>
  </si>
  <si>
    <t>4454.04</t>
  </si>
  <si>
    <t>1296.06</t>
  </si>
  <si>
    <t>3157.98</t>
  </si>
  <si>
    <t>15.119130</t>
  </si>
  <si>
    <t>108.825180</t>
  </si>
  <si>
    <t>QNTN08-Tư Nghĩa</t>
  </si>
  <si>
    <t>15.093257</t>
  </si>
  <si>
    <t>108.849189</t>
  </si>
  <si>
    <t>FO thuê#FFC#QNTN08-QNTN39</t>
  </si>
  <si>
    <t>2723.56</t>
  </si>
  <si>
    <t>2001.09</t>
  </si>
  <si>
    <t>15.089960</t>
  </si>
  <si>
    <t>108.830865</t>
  </si>
  <si>
    <t>722.47</t>
  </si>
  <si>
    <t>15.093293</t>
  </si>
  <si>
    <t>108.828044</t>
  </si>
  <si>
    <t>CAT TT Huế mới-HUPV01</t>
  </si>
  <si>
    <t>16.47699</t>
  </si>
  <si>
    <t>107.6256</t>
  </si>
  <si>
    <t>16.54695</t>
  </si>
  <si>
    <t>107.63797</t>
  </si>
  <si>
    <t>FO DT#MBF#HUPV08-HUPV09</t>
  </si>
  <si>
    <t>Ring 7 Hóa Châu-Mỹ Thượng</t>
  </si>
  <si>
    <t>3507.62</t>
  </si>
  <si>
    <t>1903.66</t>
  </si>
  <si>
    <t>16.493866</t>
  </si>
  <si>
    <t>107.622596</t>
  </si>
  <si>
    <t>1603.95</t>
  </si>
  <si>
    <t>16.534875</t>
  </si>
  <si>
    <t>107.629738</t>
  </si>
  <si>
    <t>full_h04/Huế/Mang cap 4/Ring 7/Ring 7 Hóa Châu-Mỹ Thượng/Tuyến trung thế 2</t>
  </si>
  <si>
    <t>TTCMKV Phú Vang-HUPLMA02</t>
  </si>
  <si>
    <t>16.44</t>
  </si>
  <si>
    <t>107.7165</t>
  </si>
  <si>
    <t>16.269802</t>
  </si>
  <si>
    <t>107.8984</t>
  </si>
  <si>
    <t>FO DT#MBF#HUPV48-HUPLMA02</t>
  </si>
  <si>
    <t>TTCMKV_Ring 1_Phú Vang-Phú Lộc</t>
  </si>
  <si>
    <t>14876.49</t>
  </si>
  <si>
    <t>6451.64</t>
  </si>
  <si>
    <t>16.432221</t>
  </si>
  <si>
    <t>107.776447</t>
  </si>
  <si>
    <t>8424.86</t>
  </si>
  <si>
    <t>16.345566</t>
  </si>
  <si>
    <t>107.899031</t>
  </si>
  <si>
    <t>full_h04/Huế/Mạng cấp 3/Ring 1 TTCMKV/TTCMKV_Ring 1_Phú Vang-Phú Lộc/Trung thế</t>
  </si>
  <si>
    <t>TTCMKV Phú Lộc-HUPLMA01</t>
  </si>
  <si>
    <t>16.277</t>
  </si>
  <si>
    <t>107.8626</t>
  </si>
  <si>
    <t>16.339514</t>
  </si>
  <si>
    <t>107.743756</t>
  </si>
  <si>
    <t>FO DT#MBF#HUPLMA02-HUHTMA01</t>
  </si>
  <si>
    <t>Ring 13_Hương Phú-TTCMKV Phú Lộc</t>
  </si>
  <si>
    <t>4467.69</t>
  </si>
  <si>
    <t>710.67</t>
  </si>
  <si>
    <t>16.282230</t>
  </si>
  <si>
    <t>107.858773</t>
  </si>
  <si>
    <t>3757.02</t>
  </si>
  <si>
    <t>16.321273</t>
  </si>
  <si>
    <t>107.773392</t>
  </si>
  <si>
    <t>full_h04/Huế/Mang cap 4/Ring 13/Ring 13_Hương Phú-TTCMKV Phú Lộc/Trung thế</t>
  </si>
  <si>
    <t>TTCMKV Hương Thủy-HUPV08</t>
  </si>
  <si>
    <t>16.4092</t>
  </si>
  <si>
    <t>107.6814</t>
  </si>
  <si>
    <t>16.49516</t>
  </si>
  <si>
    <t>107.62916</t>
  </si>
  <si>
    <t>FO DT#MBF#HUHT01-HUTH2N</t>
  </si>
  <si>
    <t>TTCMKV_Ring 1_Hương Thủy-CAT Huế mới</t>
  </si>
  <si>
    <t>5362.34</t>
  </si>
  <si>
    <t>281.25</t>
  </si>
  <si>
    <t>16.410369</t>
  </si>
  <si>
    <t>107.679062</t>
  </si>
  <si>
    <t>5081.09</t>
  </si>
  <si>
    <t>16.449481</t>
  </si>
  <si>
    <t>107.627885</t>
  </si>
  <si>
    <t>full_h04/Huế/Mạng cấp 3/Ring 1 TTCMKV/TTCMKV_Ring 1_Hương Thủy-CAT Huế mới/Trung thế</t>
  </si>
  <si>
    <t>TTCMKV Quảng Điền-HUHA09</t>
  </si>
  <si>
    <t>16.48623</t>
  </si>
  <si>
    <t>107.49847</t>
  </si>
  <si>
    <t>FO DT#MBF#HUHA01-HUHA08</t>
  </si>
  <si>
    <t>Ring 6 TTCMKV Quảng Điền-Kim Trà</t>
  </si>
  <si>
    <t>3050.43</t>
  </si>
  <si>
    <t>1525.21</t>
  </si>
  <si>
    <t>16.496891</t>
  </si>
  <si>
    <t>107.507471</t>
  </si>
  <si>
    <t>full_h04/Huế/Mang cap 4/Ring 6/Ring 6 TTCMKV Quảng Điền-Kim Trà/Tuyến trung thế 1</t>
  </si>
  <si>
    <t>TTCMKV Phong Điền-TTCMKV Quảng Điền</t>
  </si>
  <si>
    <t>16.5703</t>
  </si>
  <si>
    <t>107.3823</t>
  </si>
  <si>
    <t>16.56874</t>
  </si>
  <si>
    <t>107.5136</t>
  </si>
  <si>
    <t>FO DT#MBF#TTCMKV Phong Điền-TTCMKV Quảng Điền</t>
  </si>
  <si>
    <t>TTCMKV_Ring 2_Quảng Điền-Phong Điền</t>
  </si>
  <si>
    <t>1763.15</t>
  </si>
  <si>
    <t>504.24</t>
  </si>
  <si>
    <t>16.568887</t>
  </si>
  <si>
    <t>107.386796</t>
  </si>
  <si>
    <t>1258.90</t>
  </si>
  <si>
    <t>16.580060</t>
  </si>
  <si>
    <t>107.513435</t>
  </si>
  <si>
    <t>full_h04/Huế/Mạng cấp 3/Ring 2 TTCMKV/TTCMKV_Ring 2_Quảng Điền-Phong Điền/Trung thế</t>
  </si>
  <si>
    <t>PK02-HUHU1K</t>
  </si>
  <si>
    <t>16.46507</t>
  </si>
  <si>
    <t>107.5959</t>
  </si>
  <si>
    <t>16.462433</t>
  </si>
  <si>
    <t>107.59441</t>
  </si>
  <si>
    <t>FO thuê#PITC#HUTH89-HUHU1K</t>
  </si>
  <si>
    <t>Ring 1 CA TP Huế-PK02</t>
  </si>
  <si>
    <t>116.41</t>
  </si>
  <si>
    <t>24.59</t>
  </si>
  <si>
    <t>16.465113</t>
  </si>
  <si>
    <t>107.595674</t>
  </si>
  <si>
    <t>91.82</t>
  </si>
  <si>
    <t>16.463172</t>
  </si>
  <si>
    <t>107.594795</t>
  </si>
  <si>
    <t>full_h04/Huế/Mạng cấp 3/Ring phòng 1/Ring 1 CA TP Huế-PK02/Tuyến cống bể ngầm có sẵn 1</t>
  </si>
  <si>
    <t>Phú Xuân-HUHU21</t>
  </si>
  <si>
    <t>16.4873</t>
  </si>
  <si>
    <t>107.5877</t>
  </si>
  <si>
    <t>16.48302</t>
  </si>
  <si>
    <t>107.5866</t>
  </si>
  <si>
    <t>FO thuê#PITC#HUPX23-HUHU21</t>
  </si>
  <si>
    <t>Ring 1 Nguyễn Thái Học- Phú Xuân</t>
  </si>
  <si>
    <t>40.65</t>
  </si>
  <si>
    <t>23.03</t>
  </si>
  <si>
    <t>16.487349</t>
  </si>
  <si>
    <t>107.587490</t>
  </si>
  <si>
    <t>17.61</t>
  </si>
  <si>
    <t>16.482998</t>
  </si>
  <si>
    <t>107.586436</t>
  </si>
  <si>
    <t>full_h04/Huế/Mạng cấp 3/Ring phòng 1/Ring 1 Nguyễn Thái Học- Phú Xuân/Tuyến trung thế 1</t>
  </si>
  <si>
    <t>PA07-HUPV08</t>
  </si>
  <si>
    <t>16.49574</t>
  </si>
  <si>
    <t>107.5986</t>
  </si>
  <si>
    <t>FO thuê#PITC#HUTH2N-HUPV08</t>
  </si>
  <si>
    <t>Ring 3 CAT TT Huế - PA07</t>
  </si>
  <si>
    <t>772.53</t>
  </si>
  <si>
    <t>18.86</t>
  </si>
  <si>
    <t>16.495902</t>
  </si>
  <si>
    <t>107.598653</t>
  </si>
  <si>
    <t>753.68</t>
  </si>
  <si>
    <t>16.493954</t>
  </si>
  <si>
    <t>107.622204</t>
  </si>
  <si>
    <t>full_h04/Huế/Mạng cấp 3/Ring phòng 3/Ring 3 CAT TT Huế - PA07/Tuyến trung thế 1</t>
  </si>
  <si>
    <t>PC01-HUHT25</t>
  </si>
  <si>
    <t>16.47548</t>
  </si>
  <si>
    <t>107.6031</t>
  </si>
  <si>
    <t>16.476389</t>
  </si>
  <si>
    <t>107.60625</t>
  </si>
  <si>
    <t>FO thuê#PITC#HUTH1M-HUHT25</t>
  </si>
  <si>
    <t>Ring 3 PA07 - PC01</t>
  </si>
  <si>
    <t>346.19</t>
  </si>
  <si>
    <t>13.97</t>
  </si>
  <si>
    <t>16.475571</t>
  </si>
  <si>
    <t>107.603190</t>
  </si>
  <si>
    <t>332.22</t>
  </si>
  <si>
    <t>16.475852</t>
  </si>
  <si>
    <t>107.603185</t>
  </si>
  <si>
    <t>full_h04/Huế/Mạng cấp 3/Ring phòng 3/Ring 3 PA07 - PC01/Tuyến hạ thế EVN 1</t>
  </si>
  <si>
    <t>PC08 (CS1)-HUHU92</t>
  </si>
  <si>
    <t>16.45136</t>
  </si>
  <si>
    <t>107.6125</t>
  </si>
  <si>
    <t>16.45792</t>
  </si>
  <si>
    <t>107.59661</t>
  </si>
  <si>
    <t>FO thuê#PITC#HUTH05-HUHU92</t>
  </si>
  <si>
    <t>TTCMKV_Ring 2_Phong Điền-CAT Huế mới</t>
  </si>
  <si>
    <t>493.30</t>
  </si>
  <si>
    <t>111.91</t>
  </si>
  <si>
    <t>16.452243</t>
  </si>
  <si>
    <t>107.613004</t>
  </si>
  <si>
    <t>381.39</t>
  </si>
  <si>
    <t>16.457075</t>
  </si>
  <si>
    <t>107.600076</t>
  </si>
  <si>
    <t>full_h04/Huế/Mạng cấp 3/Ring 2 TTCMKV/TTCMKV_Ring 2_Phong Điền-CAT Huế mới/Hạ thế</t>
  </si>
  <si>
    <t>PC06 (54 Hùng Vương)-HUHU02</t>
  </si>
  <si>
    <t>16.46196</t>
  </si>
  <si>
    <t>107.5961</t>
  </si>
  <si>
    <t>16.464639</t>
  </si>
  <si>
    <t>107.589694</t>
  </si>
  <si>
    <t>FO thuê#PITC#HUTH01-HUHU02</t>
  </si>
  <si>
    <t>684.71</t>
  </si>
  <si>
    <t>143.93</t>
  </si>
  <si>
    <t>16.463032</t>
  </si>
  <si>
    <t>107.595343</t>
  </si>
  <si>
    <t>540.78</t>
  </si>
  <si>
    <t>16.464183</t>
  </si>
  <si>
    <t>107.594743</t>
  </si>
  <si>
    <t>Trung tâm SHLX PC08-HUHA33</t>
  </si>
  <si>
    <t>16.40444</t>
  </si>
  <si>
    <t>107.6318</t>
  </si>
  <si>
    <t>16.37601</t>
  </si>
  <si>
    <t>107.56237</t>
  </si>
  <si>
    <t>FO thuê#PITC#HUHT27-HUHA33</t>
  </si>
  <si>
    <t>Ring 12_Bình Điền-TTCMKV Hương Thủy</t>
  </si>
  <si>
    <t>6284.57</t>
  </si>
  <si>
    <t>3752.34</t>
  </si>
  <si>
    <t>16.397697</t>
  </si>
  <si>
    <t>107.597332</t>
  </si>
  <si>
    <t>2532.23</t>
  </si>
  <si>
    <t>16.393180</t>
  </si>
  <si>
    <t>107.577963</t>
  </si>
  <si>
    <t>full_h04/Huế/Mang cap 4/Ring 12/Ring 12_Bình Điền-TTCMKV Hương Thủy/Trung thế</t>
  </si>
  <si>
    <t>PC04 (trung tâm cái nghiện)-HUHA01</t>
  </si>
  <si>
    <t>16.42841</t>
  </si>
  <si>
    <t>107.5107</t>
  </si>
  <si>
    <t>16.5252</t>
  </si>
  <si>
    <t>107.47588</t>
  </si>
  <si>
    <t>FO thuê#PITC#HUHA09-HUHA01</t>
  </si>
  <si>
    <t>7974.80</t>
  </si>
  <si>
    <t>7414.04</t>
  </si>
  <si>
    <t>16.483526</t>
  </si>
  <si>
    <t>107.549825</t>
  </si>
  <si>
    <t>16.523812</t>
  </si>
  <si>
    <t>107.480937</t>
  </si>
  <si>
    <t>full_h04/Huế/Mạng cấp 3/Ring 2 TTCMKV/TTCMKV_Ring 2_Phong Điền-CAT Huế mới/Trung thế</t>
  </si>
  <si>
    <t>PC07 (52 Hùng Vương)-HUHU1K</t>
  </si>
  <si>
    <t>16.4625</t>
  </si>
  <si>
    <t>107.5951</t>
  </si>
  <si>
    <t>FO thuê#PITC#HUTH48-HUHU1K</t>
  </si>
  <si>
    <t>PC07 (52 Hùng Vương) - TT Huế</t>
  </si>
  <si>
    <t>16.462487</t>
  </si>
  <si>
    <t>107.594978</t>
  </si>
  <si>
    <t>60.87</t>
  </si>
  <si>
    <t>full_h04/Huế/Mạng cấp 3/Các đơn vị vị CA TP - Đơn nhánh/PC07 (52 Hùng Vương) - TT Huế/Tuyến cống bể xây mới 2</t>
  </si>
  <si>
    <t>Nhà Ga Sân bay Phú Bài-HUHT28</t>
  </si>
  <si>
    <t>16.39632</t>
  </si>
  <si>
    <t>107.7031</t>
  </si>
  <si>
    <t>16.39312</t>
  </si>
  <si>
    <t>107.60934</t>
  </si>
  <si>
    <t>FO thuê#PITC#HUHT24-HUHT28</t>
  </si>
  <si>
    <t>4055.05</t>
  </si>
  <si>
    <t>3002.96</t>
  </si>
  <si>
    <t>16.410386</t>
  </si>
  <si>
    <t>107.679068</t>
  </si>
  <si>
    <t>1052.09</t>
  </si>
  <si>
    <t>16.398535</t>
  </si>
  <si>
    <t>107.617428</t>
  </si>
  <si>
    <t>Nguyễn Thái Học-HUHU1K</t>
  </si>
  <si>
    <t>16.46768</t>
  </si>
  <si>
    <t>107.595</t>
  </si>
  <si>
    <t>FO thuê#PITC#HUTH49-HUHU1K</t>
  </si>
  <si>
    <t>Ring 1 PK02 - Nguyễn Thái Học</t>
  </si>
  <si>
    <t>338.80</t>
  </si>
  <si>
    <t>21.06</t>
  </si>
  <si>
    <t>16.467756</t>
  </si>
  <si>
    <t>107.595181</t>
  </si>
  <si>
    <t>317.75</t>
  </si>
  <si>
    <t>16.465074</t>
  </si>
  <si>
    <t>107.595547</t>
  </si>
  <si>
    <t>full_h04/Huế/Mạng cấp 3/Ring phòng 1/Ring 1 PK02 - Nguyễn Thái Học/Tuyến cống bể có sẵn</t>
  </si>
  <si>
    <t>Phong Quảng-HUHA27</t>
  </si>
  <si>
    <t>16.66898</t>
  </si>
  <si>
    <t>107.4792</t>
  </si>
  <si>
    <t>16.59592</t>
  </si>
  <si>
    <t>107.57578</t>
  </si>
  <si>
    <t>FO thuê#PITC#HUQD06-HUHA27</t>
  </si>
  <si>
    <t>Ring 4 Phong Quảng-TTCMKV Quảng
Điền</t>
  </si>
  <si>
    <t>146.69</t>
  </si>
  <si>
    <t>81.43</t>
  </si>
  <si>
    <t>16.668636</t>
  </si>
  <si>
    <t>107.478525</t>
  </si>
  <si>
    <t>65.26</t>
  </si>
  <si>
    <t>16.595823</t>
  </si>
  <si>
    <t>107.575176</t>
  </si>
  <si>
    <t>full_h04/Huế/Mang cap 4/Ring 4/Ring 4 Phong Quảng-TTCMKV Quảng
Điền/Tuyến trung thế 1</t>
  </si>
  <si>
    <t>Hương Trà-HUHA21</t>
  </si>
  <si>
    <t>16.5235</t>
  </si>
  <si>
    <t>107.4753</t>
  </si>
  <si>
    <t>16.49953</t>
  </si>
  <si>
    <t>107.44453</t>
  </si>
  <si>
    <t>FO thuê#PITC#HUHA01-HUHA21</t>
  </si>
  <si>
    <t>Ring 5 Phong Thái-Hương Trà</t>
  </si>
  <si>
    <t>3949.23</t>
  </si>
  <si>
    <t>75.87</t>
  </si>
  <si>
    <t>16.523371</t>
  </si>
  <si>
    <t>107.474601</t>
  </si>
  <si>
    <t>3873.36</t>
  </si>
  <si>
    <t>16.525274</t>
  </si>
  <si>
    <t>107.469005</t>
  </si>
  <si>
    <t>full_h04/Huế/Mang cap 4/Ring 5/Ring 5 Phong Thái-Hương Trà/Tuyến trung thế 1</t>
  </si>
  <si>
    <t>Đan Điền-HUHA01</t>
  </si>
  <si>
    <t>16.53095</t>
  </si>
  <si>
    <t>107.4919</t>
  </si>
  <si>
    <t>FO thuê#PITC#HUQD08-HUHA01</t>
  </si>
  <si>
    <t>Ring 5 Hương Trà-Đan Điền</t>
  </si>
  <si>
    <t>926.13</t>
  </si>
  <si>
    <t>362.13</t>
  </si>
  <si>
    <t>16.528243</t>
  </si>
  <si>
    <t>107.493789</t>
  </si>
  <si>
    <t>564.00</t>
  </si>
  <si>
    <t>16.523380</t>
  </si>
  <si>
    <t>107.480818</t>
  </si>
  <si>
    <t>full_h04/Huế/Mang cap 4/Ring 5/Ring 5 Hương Trà-Đan Điền/Tuyến trung thế 1</t>
  </si>
  <si>
    <t>Kim Trà-HUHA08</t>
  </si>
  <si>
    <t>16.4913</t>
  </si>
  <si>
    <t>107.5208</t>
  </si>
  <si>
    <t>16.50409</t>
  </si>
  <si>
    <t>107.51433</t>
  </si>
  <si>
    <t>FO thuê#PITC#HUHA35-HUHA08</t>
  </si>
  <si>
    <t>115.09</t>
  </si>
  <si>
    <t>32.30</t>
  </si>
  <si>
    <t>16.491366</t>
  </si>
  <si>
    <t>107.521095</t>
  </si>
  <si>
    <t>82.79</t>
  </si>
  <si>
    <t>16.503764</t>
  </si>
  <si>
    <t>107.513632</t>
  </si>
  <si>
    <t>Hương An-HUHA35</t>
  </si>
  <si>
    <t>16.4687</t>
  </si>
  <si>
    <t>107.5243</t>
  </si>
  <si>
    <t>16.48894</t>
  </si>
  <si>
    <t>107.52013</t>
  </si>
  <si>
    <t>FO thuê#PITC#HUPX18-HUHA35</t>
  </si>
  <si>
    <t>Ring 6 Kim Trà-Hương An</t>
  </si>
  <si>
    <t>190.84</t>
  </si>
  <si>
    <t>59.18</t>
  </si>
  <si>
    <t>16.468193</t>
  </si>
  <si>
    <t>107.524468</t>
  </si>
  <si>
    <t>131.65</t>
  </si>
  <si>
    <t>16.487960</t>
  </si>
  <si>
    <t>107.520823</t>
  </si>
  <si>
    <t>full_h04/Huế/Mang cap 4/Ring 6/Ring 6 Kim Trà-Hương An/Tuyến trung thế 1</t>
  </si>
  <si>
    <t>Kim Long-HUHA05</t>
  </si>
  <si>
    <t>16.4395</t>
  </si>
  <si>
    <t>107.5244</t>
  </si>
  <si>
    <t>16.45876</t>
  </si>
  <si>
    <t>107.52106</t>
  </si>
  <si>
    <t>FO thuê#PITC#HUPX73-HUHA05</t>
  </si>
  <si>
    <t>Ring 6 Hương An-Kim Long</t>
  </si>
  <si>
    <t>129.84</t>
  </si>
  <si>
    <t>66.18</t>
  </si>
  <si>
    <t>16.439848</t>
  </si>
  <si>
    <t>107.523897</t>
  </si>
  <si>
    <t>63.66</t>
  </si>
  <si>
    <t>16.458561</t>
  </si>
  <si>
    <t>107.520500</t>
  </si>
  <si>
    <t>full_h04/Huế/Mang cap 4/Ring 6/Ring 6 Hương An-Kim Long/Tuyến trung thế 1</t>
  </si>
  <si>
    <t>Hóa Châu-HUPV01</t>
  </si>
  <si>
    <t>16.5544</t>
  </si>
  <si>
    <t>107.5804</t>
  </si>
  <si>
    <t>FO thuê#PITC#HUTH98-HUPV01</t>
  </si>
  <si>
    <t>2241.22</t>
  </si>
  <si>
    <t>36.64</t>
  </si>
  <si>
    <t>16.554606</t>
  </si>
  <si>
    <t>107.580668</t>
  </si>
  <si>
    <t>2204.58</t>
  </si>
  <si>
    <t>16.549902</t>
  </si>
  <si>
    <t>107.617518</t>
  </si>
  <si>
    <t>full_h04/Huế/Mang cap 4/Ring 7/Ring 7 Hóa Châu-Mỹ Thượng/Tuyến trung thế 1</t>
  </si>
  <si>
    <t>Mỹ Thượng-HUPV09</t>
  </si>
  <si>
    <t>16.5046</t>
  </si>
  <si>
    <t>107.6264</t>
  </si>
  <si>
    <t>16.48118</t>
  </si>
  <si>
    <t>107.68446</t>
  </si>
  <si>
    <t>FO thuê#PITC#HUPV08-HUPV09</t>
  </si>
  <si>
    <t>TTCMKV_Ring 1_CAT Huế mới-Phú Vang</t>
  </si>
  <si>
    <t>2918.39</t>
  </si>
  <si>
    <t>2714.13</t>
  </si>
  <si>
    <t>16.487858</t>
  </si>
  <si>
    <t>107.644924</t>
  </si>
  <si>
    <t>204.26</t>
  </si>
  <si>
    <t>16.480133</t>
  </si>
  <si>
    <t>107.682886</t>
  </si>
  <si>
    <t>full_h04/Huế/Mạng cấp 3/Ring 1 TTCMKV/TTCMKV_Ring 1_CAT Huế mới-Phú Vang/Trung thế</t>
  </si>
  <si>
    <t>Dương Nỗ-HUPV19</t>
  </si>
  <si>
    <t>16.5127</t>
  </si>
  <si>
    <t>107.5997</t>
  </si>
  <si>
    <t>16.5376</t>
  </si>
  <si>
    <t>107.59998</t>
  </si>
  <si>
    <t>FO thuê#PITC#HUTH1F-HUPV19</t>
  </si>
  <si>
    <t>Ring 8 Dương Nỗ-Thuận An</t>
  </si>
  <si>
    <t>2010.03</t>
  </si>
  <si>
    <t>14.74</t>
  </si>
  <si>
    <t>16.512826</t>
  </si>
  <si>
    <t>107.599742</t>
  </si>
  <si>
    <t>1995.28</t>
  </si>
  <si>
    <t>16.529237</t>
  </si>
  <si>
    <t>107.616541</t>
  </si>
  <si>
    <t>full_h04/Huế/Mang cap 4/Ring 8/Ring 8 Dương Nỗ-Thuận An/Tuyến trung thế 1</t>
  </si>
  <si>
    <t>Thuận An-HUPV16</t>
  </si>
  <si>
    <t>16.54379</t>
  </si>
  <si>
    <t>107.6362</t>
  </si>
  <si>
    <t>16.53545</t>
  </si>
  <si>
    <t>107.6181</t>
  </si>
  <si>
    <t>FO thuê#PITC#HUTH1E-HUPV16</t>
  </si>
  <si>
    <t>521.73</t>
  </si>
  <si>
    <t>16.543879</t>
  </si>
  <si>
    <t>107.636127</t>
  </si>
  <si>
    <t>509.17</t>
  </si>
  <si>
    <t>16.530933</t>
  </si>
  <si>
    <t>107.618884</t>
  </si>
  <si>
    <t>An Cựu-HUHU79</t>
  </si>
  <si>
    <t>16.4588</t>
  </si>
  <si>
    <t>107.6088</t>
  </si>
  <si>
    <t>16.46218</t>
  </si>
  <si>
    <t>107.60086</t>
  </si>
  <si>
    <t>FO thuê#PITC#HUTH53-HUHU79</t>
  </si>
  <si>
    <t>150.99</t>
  </si>
  <si>
    <t>144.19</t>
  </si>
  <si>
    <t>16.459177</t>
  </si>
  <si>
    <t>107.607506</t>
  </si>
  <si>
    <t>6.80</t>
  </si>
  <si>
    <t>16.462241</t>
  </si>
  <si>
    <t>107.600860</t>
  </si>
  <si>
    <t>full_h04/Huế/Mạng cấp 3/Ring phòng 1/Ring 1 CA TP Huế-PK02/Tuyến trung thế 1</t>
  </si>
  <si>
    <t>Phú Hồ-HUHT19</t>
  </si>
  <si>
    <t>16.45432</t>
  </si>
  <si>
    <t>107.6804</t>
  </si>
  <si>
    <t>16.44568</t>
  </si>
  <si>
    <t>107.64968</t>
  </si>
  <si>
    <t>FO thuê#PITC#HUPV27-HUHT19</t>
  </si>
  <si>
    <t>Ring 9 An Cựu-Phú Hồ</t>
  </si>
  <si>
    <t>1947.88</t>
  </si>
  <si>
    <t>16.07</t>
  </si>
  <si>
    <t>16.454187</t>
  </si>
  <si>
    <t>107.680341</t>
  </si>
  <si>
    <t>1931.81</t>
  </si>
  <si>
    <t>16.443624</t>
  </si>
  <si>
    <t>107.667667</t>
  </si>
  <si>
    <t>full_h04/Huế/Mang cap 4/Ring 9/Ring 9 An Cựu-Phú Hồ/Tuyến trung thế 2</t>
  </si>
  <si>
    <t>Vỹ Dạ-HUHU94</t>
  </si>
  <si>
    <t>16.4783</t>
  </si>
  <si>
    <t>107.5993</t>
  </si>
  <si>
    <t>16.47032</t>
  </si>
  <si>
    <t>107.59989</t>
  </si>
  <si>
    <t>FO thuê#PITC#HUTH30-HUHU94</t>
  </si>
  <si>
    <t>491.00</t>
  </si>
  <si>
    <t>314.15</t>
  </si>
  <si>
    <t>16.479895</t>
  </si>
  <si>
    <t>107.601732</t>
  </si>
  <si>
    <t>176.85</t>
  </si>
  <si>
    <t>16.471789</t>
  </si>
  <si>
    <t>107.600525</t>
  </si>
  <si>
    <t>full_h04/Huế/Mạng cấp 3/Các đơn vị vị CA TP - Đơn nhánh/PC07 (52 Hùng Vương) - TT Huế/Tuyến trung thế 1</t>
  </si>
  <si>
    <t>Thanh Thủy (CS1)-HUHT18</t>
  </si>
  <si>
    <t>16.4431</t>
  </si>
  <si>
    <t>107.6164</t>
  </si>
  <si>
    <t>16.46042</t>
  </si>
  <si>
    <t>107.61993</t>
  </si>
  <si>
    <t>FO thuê#PITC#HUHT32-HUHT18</t>
  </si>
  <si>
    <t>1256.68</t>
  </si>
  <si>
    <t>814.52</t>
  </si>
  <si>
    <t>16.450233</t>
  </si>
  <si>
    <t>107.618140</t>
  </si>
  <si>
    <t>442.16</t>
  </si>
  <si>
    <t>16.460461</t>
  </si>
  <si>
    <t>107.624076</t>
  </si>
  <si>
    <t>Hương Thủy-HUHT32</t>
  </si>
  <si>
    <t>16.43964</t>
  </si>
  <si>
    <t>107.614</t>
  </si>
  <si>
    <t>FO thuê#PITC#HUHT15-HUHT32</t>
  </si>
  <si>
    <t>Ring 11 "Thủy Xuân-TTCMKV TX Hương
Thủy"</t>
  </si>
  <si>
    <t>669.52</t>
  </si>
  <si>
    <t>68.68</t>
  </si>
  <si>
    <t>16.408671</t>
  </si>
  <si>
    <t>107.681068</t>
  </si>
  <si>
    <t>600.84</t>
  </si>
  <si>
    <t>16.434963</t>
  </si>
  <si>
    <t>107.611178</t>
  </si>
  <si>
    <t>full_h04/Huế/Mang cap 4/Ring 11/Ring 11 "Thủy Xuân-TTCMKV TX Hương
Thủy"/Tuyến trung thế 1</t>
  </si>
  <si>
    <t>Thủy Xuân-HUHU1K</t>
  </si>
  <si>
    <t>16.4447</t>
  </si>
  <si>
    <t>107.5441</t>
  </si>
  <si>
    <t>FO thuê#PITC#HUTH35-HUHU1K</t>
  </si>
  <si>
    <t>Ring 11 CAT Thừa Thiên Huế-Thủy Xuân</t>
  </si>
  <si>
    <t>3150.34</t>
  </si>
  <si>
    <t>459.56</t>
  </si>
  <si>
    <t>16.442993</t>
  </si>
  <si>
    <t>107.540175</t>
  </si>
  <si>
    <t>2690.77</t>
  </si>
  <si>
    <t>16.439700</t>
  </si>
  <si>
    <t>107.585761</t>
  </si>
  <si>
    <t>full_h04/Huế/Mang cap 4/Ring 11/Ring 11 CAT Thừa Thiên Huế-Thủy Xuân/Tuyến trung thế 1</t>
  </si>
  <si>
    <t>Bình Điền-HUHU86</t>
  </si>
  <si>
    <t>16.34926</t>
  </si>
  <si>
    <t>107.5051</t>
  </si>
  <si>
    <t>16.43848</t>
  </si>
  <si>
    <t>107.59922</t>
  </si>
  <si>
    <t>FO thuê#PITC#HUPX72-HUHU86</t>
  </si>
  <si>
    <t>Ring 12_CAT Huế mới-Bình Điền</t>
  </si>
  <si>
    <t>6002.95</t>
  </si>
  <si>
    <t>53.04</t>
  </si>
  <si>
    <t>16.349127</t>
  </si>
  <si>
    <t>107.504623</t>
  </si>
  <si>
    <t>5949.91</t>
  </si>
  <si>
    <t>16.396788</t>
  </si>
  <si>
    <t>107.564254</t>
  </si>
  <si>
    <t>full_h04/Huế/Mang cap 4/Ring 12/Ring 12_CAT Huế mới-Bình Điền/Trung thế</t>
  </si>
  <si>
    <t>Thanh Thủy (CS2)-HUHU08</t>
  </si>
  <si>
    <t>16.4432</t>
  </si>
  <si>
    <t>107.6205</t>
  </si>
  <si>
    <t>16.44969</t>
  </si>
  <si>
    <t>107.60714</t>
  </si>
  <si>
    <t>FO thuê#PITC#HUHT12-HUHU08</t>
  </si>
  <si>
    <t>Ring 2 Phú Xuân - Hương Thủy</t>
  </si>
  <si>
    <t>172.60</t>
  </si>
  <si>
    <t>117.37</t>
  </si>
  <si>
    <t>16.444256</t>
  </si>
  <si>
    <t>107.620498</t>
  </si>
  <si>
    <t>55.23</t>
  </si>
  <si>
    <t>16.449211</t>
  </si>
  <si>
    <t>107.607276</t>
  </si>
  <si>
    <t>full_h04/Huế/Mạng cấp 3/Ring phòng 2/Ring 2 Phú Xuân - Hương Thủy/Tuyến hạ thế EVN 2</t>
  </si>
  <si>
    <t>HUHU60-CAT Huế mới</t>
  </si>
  <si>
    <t>16.48497</t>
  </si>
  <si>
    <t>107.56901</t>
  </si>
  <si>
    <t>FO thuê#PITC#HUHU60-HUHU88</t>
  </si>
  <si>
    <t>Ring 1 Phú Xuân - CAT TT Huế</t>
  </si>
  <si>
    <t>3057.31</t>
  </si>
  <si>
    <t>2854.68</t>
  </si>
  <si>
    <t>16.493091</t>
  </si>
  <si>
    <t>107.594409</t>
  </si>
  <si>
    <t>202.64</t>
  </si>
  <si>
    <t>16.478172</t>
  </si>
  <si>
    <t>107.624154</t>
  </si>
  <si>
    <t>full_h04/Huế/Mạng cấp 3/Ring phòng 1/Ring 1 Phú Xuân - CAT TT Huế/Tuyến trung thế 2</t>
  </si>
  <si>
    <t>Hóa Châu-Hóa Châu</t>
  </si>
  <si>
    <t>16.47512</t>
  </si>
  <si>
    <t>107.56109</t>
  </si>
  <si>
    <t>FO thuê#PITC#HUHA06-HUQD10</t>
  </si>
  <si>
    <t>Ring 7 TTCMKV Quảng Điền-Hóa Châu</t>
  </si>
  <si>
    <t>6923.49</t>
  </si>
  <si>
    <t>6905.29</t>
  </si>
  <si>
    <t>16.537220</t>
  </si>
  <si>
    <t>107.561479</t>
  </si>
  <si>
    <t>18.20</t>
  </si>
  <si>
    <t>16.554478</t>
  </si>
  <si>
    <t>107.580550</t>
  </si>
  <si>
    <t>full_h04/Huế/Mang cap 4/Ring 7/Ring 7 TTCMKV Quảng Điền-Hóa Châu/Tuyến trung thế 1</t>
  </si>
  <si>
    <t>HUHT25-PC01</t>
  </si>
  <si>
    <t>FO thuê#PITC#HUPV34-HUHT25</t>
  </si>
  <si>
    <t>FO thuê#PITC#HUHT25-HUHU58</t>
  </si>
  <si>
    <t>HUHU86-Thủy Xuân</t>
  </si>
  <si>
    <t>FO thuê#PITC#HUHU86-HUHT32</t>
  </si>
  <si>
    <t>827.83</t>
  </si>
  <si>
    <t>368.27</t>
  </si>
  <si>
    <t>16.435271</t>
  </si>
  <si>
    <t>107.600075</t>
  </si>
  <si>
    <t>HUHU99-CAT Huế mới</t>
  </si>
  <si>
    <t>16.45983</t>
  </si>
  <si>
    <t>107.60544</t>
  </si>
  <si>
    <t>FO thuê#PITC#HUHU99-HUHU79</t>
  </si>
  <si>
    <t>2170.08</t>
  </si>
  <si>
    <t>345.85</t>
  </si>
  <si>
    <t>16.456905</t>
  </si>
  <si>
    <t>107.606543</t>
  </si>
  <si>
    <t>1824.23</t>
  </si>
  <si>
    <t>16.460649</t>
  </si>
  <si>
    <t>107.624078</t>
  </si>
  <si>
    <t>PC11-PC11</t>
  </si>
  <si>
    <t>16.42334</t>
  </si>
  <si>
    <t>107.5887</t>
  </si>
  <si>
    <t>FO thuê#PITC#HUHU27-HUHU35</t>
  </si>
  <si>
    <t>Ring 3 PC10 - PC11</t>
  </si>
  <si>
    <t>39.70</t>
  </si>
  <si>
    <t>16.423394</t>
  </si>
  <si>
    <t>107.588523</t>
  </si>
  <si>
    <t>full_h04/Huế/Mạng cấp 3/Ring phòng 3/Ring 3 PC10 - PC11/Tuyến ngầm đầu tư mới 2</t>
  </si>
  <si>
    <t>Quảng Điền-HUHA27</t>
  </si>
  <si>
    <t>2328.67</t>
  </si>
  <si>
    <t>126.69</t>
  </si>
  <si>
    <t>16.569879</t>
  </si>
  <si>
    <t>107.513603</t>
  </si>
  <si>
    <t>2201.98</t>
  </si>
  <si>
    <t>16.579503</t>
  </si>
  <si>
    <t>107.587335</t>
  </si>
  <si>
    <t>full_h04/Huế/Mang cap 4/Ring 4/Ring 4 Phong Quảng-TTCMKV Quảng
Điền/Tuyến trung thế 2</t>
  </si>
  <si>
    <t>Thủy Xuân-HUHU49</t>
  </si>
  <si>
    <t>16.435611</t>
  </si>
  <si>
    <t>107.565278</t>
  </si>
  <si>
    <t>FO thuê#PITC#HUHT32-HUHU49</t>
  </si>
  <si>
    <t>560.18</t>
  </si>
  <si>
    <t>100.62</t>
  </si>
  <si>
    <t>16.434708</t>
  </si>
  <si>
    <t>107.565218</t>
  </si>
  <si>
    <t>CAT Huế mới-HUHU03</t>
  </si>
  <si>
    <t>16.46536</t>
  </si>
  <si>
    <t>107.56277</t>
  </si>
  <si>
    <t>FO thuê#PITC#HUHU88-HUHU03</t>
  </si>
  <si>
    <t>PC04 (trung tâm cái nghiện) - Phú Xuân</t>
  </si>
  <si>
    <t>4689.78</t>
  </si>
  <si>
    <t>3828.14</t>
  </si>
  <si>
    <t>16.478937</t>
  </si>
  <si>
    <t>107.589756</t>
  </si>
  <si>
    <t>861.64</t>
  </si>
  <si>
    <t>16.460555</t>
  </si>
  <si>
    <t>107.569109</t>
  </si>
  <si>
    <t>full_h04/Huế/Mạng cấp 3/Các đơn vị vị CA TP - Đơn nhánh/PC04 (trung tâm cái nghiện) - Phú Xuân/Tuyến cống bể ngầm có sẵn 2</t>
  </si>
  <si>
    <t>CAT Huế mới-HUHU1D</t>
  </si>
  <si>
    <t>16.47696</t>
  </si>
  <si>
    <t>107.56467</t>
  </si>
  <si>
    <t>FO thuê#PITC#HUHU60-HUHU1D</t>
  </si>
  <si>
    <t>3845.70</t>
  </si>
  <si>
    <t>3643.07</t>
  </si>
  <si>
    <t>Phú Xuân-HUHU1N</t>
  </si>
  <si>
    <t>16.475679</t>
  </si>
  <si>
    <t>107.579793</t>
  </si>
  <si>
    <t>FO thuê#PITC#HUHU74-HUHU1N</t>
  </si>
  <si>
    <t>812.40</t>
  </si>
  <si>
    <t>21.39</t>
  </si>
  <si>
    <t>16.487358</t>
  </si>
  <si>
    <t>107.587509</t>
  </si>
  <si>
    <t>791.01</t>
  </si>
  <si>
    <t>16.479980</t>
  </si>
  <si>
    <t>107.585702</t>
  </si>
  <si>
    <t>full_h04/Huế/Mạng cấp 3/Các đơn vị vị CA TP - Đơn nhánh/PC04 (trung tâm cái nghiện) - Phú Xuân/Tuyến trung thế 3</t>
  </si>
  <si>
    <t>HUQD15-Quảng Điền</t>
  </si>
  <si>
    <t>16.61121</t>
  </si>
  <si>
    <t>107.54668</t>
  </si>
  <si>
    <t>FO thuê#PITC#HUQD15-HUQD02</t>
  </si>
  <si>
    <t>Ring 3_Phong Dinh-TTCMKV Quảng Điền</t>
  </si>
  <si>
    <t>5064.17</t>
  </si>
  <si>
    <t>5010.44</t>
  </si>
  <si>
    <t>16.579531</t>
  </si>
  <si>
    <t>107.513243</t>
  </si>
  <si>
    <t>53.73</t>
  </si>
  <si>
    <t>16.569083</t>
  </si>
  <si>
    <t>107.513955</t>
  </si>
  <si>
    <t>full_h04/Huế/Mang cap 4/Ring 3/Ring 3_Phong Dinh-TTCMKV Quảng Điền/Trung thế</t>
  </si>
  <si>
    <t>HUHU82-Thuận Hóa</t>
  </si>
  <si>
    <t>16.45435</t>
  </si>
  <si>
    <t>107.59201</t>
  </si>
  <si>
    <t>16.4514</t>
  </si>
  <si>
    <t>107.5892</t>
  </si>
  <si>
    <t>FO thuê#PITC#HUHU82-HUHU38</t>
  </si>
  <si>
    <t>Ring 9 CAT Thừa Thiên Huế-Thuận Hóa</t>
  </si>
  <si>
    <t>190.52</t>
  </si>
  <si>
    <t>157.80</t>
  </si>
  <si>
    <t>16.452961</t>
  </si>
  <si>
    <t>107.592315</t>
  </si>
  <si>
    <t>32.72</t>
  </si>
  <si>
    <t>16.451110</t>
  </si>
  <si>
    <t>107.589151</t>
  </si>
  <si>
    <t>full_h04/Huế/Mang cap 4/Ring 9/Ring 9 CAT Thừa Thiên Huế-Thuận Hóa/Tuyến trung thế 1</t>
  </si>
  <si>
    <t>FO thuê#PITC#HUHU86-HUHU47</t>
  </si>
  <si>
    <t>HUHU17-PC11</t>
  </si>
  <si>
    <t>16.460556</t>
  </si>
  <si>
    <t>107.588222</t>
  </si>
  <si>
    <t>FO thuê#PITC#HUHU17-HUHU51</t>
  </si>
  <si>
    <t>2596.10</t>
  </si>
  <si>
    <t>1787.78</t>
  </si>
  <si>
    <t>16.451485</t>
  </si>
  <si>
    <t>107.574380</t>
  </si>
  <si>
    <t>808.32</t>
  </si>
  <si>
    <t>16.430464</t>
  </si>
  <si>
    <t>107.587190</t>
  </si>
  <si>
    <t>full_h04/Huế/Mạng cấp 3/Ring phòng 3/Ring 3 PC10 - PC11/Tuyến trung thế 1</t>
  </si>
  <si>
    <t>HUHU49-Thủy Xuân</t>
  </si>
  <si>
    <t>FO thuê#PITC#HUHU49-HUHU57</t>
  </si>
  <si>
    <t>FO thuê#PITC#HUHU60-HUHU59</t>
  </si>
  <si>
    <t>4278.71</t>
  </si>
  <si>
    <t>4076.07</t>
  </si>
  <si>
    <t>HUHU89-PC11</t>
  </si>
  <si>
    <t>16.45382</t>
  </si>
  <si>
    <t>107.57707</t>
  </si>
  <si>
    <t>FO thuê#PITC#HUHU89-HUHU63</t>
  </si>
  <si>
    <t>1195.21</t>
  </si>
  <si>
    <t>386.89</t>
  </si>
  <si>
    <t>HUHU88-CAT Huế mới</t>
  </si>
  <si>
    <t>16.46525</t>
  </si>
  <si>
    <t>FO thuê#PITC#HUHU88-HUHU3U</t>
  </si>
  <si>
    <t>4315.85</t>
  </si>
  <si>
    <t>4113.21</t>
  </si>
  <si>
    <t>HUHU12-Quảng Điền</t>
  </si>
  <si>
    <t>FO thuê#PITC#HUHU12-HUHU2D</t>
  </si>
  <si>
    <t>5227.70</t>
  </si>
  <si>
    <t>5158.09</t>
  </si>
  <si>
    <t>69.61</t>
  </si>
  <si>
    <t>16.568550</t>
  </si>
  <si>
    <t>107.514222</t>
  </si>
  <si>
    <t>FO thuê#PITC#HUHU60-HUHU93</t>
  </si>
  <si>
    <t>Quảng Điền-HUHU33</t>
  </si>
  <si>
    <t>16.4975</t>
  </si>
  <si>
    <t>107.563</t>
  </si>
  <si>
    <t>FO thuê#PITC#HUHU67-HUHU33</t>
  </si>
  <si>
    <t>4485.49</t>
  </si>
  <si>
    <t>65.89</t>
  </si>
  <si>
    <t>16.568568</t>
  </si>
  <si>
    <t>107.514192</t>
  </si>
  <si>
    <t>4419.60</t>
  </si>
  <si>
    <t>Phong Quảng-HUPD59</t>
  </si>
  <si>
    <t>16.68336</t>
  </si>
  <si>
    <t>107.41351</t>
  </si>
  <si>
    <t>FO thuê#PITC#HUPD05-HUPD59</t>
  </si>
  <si>
    <t>Ring 4 Phong Phú-Phong Quảng</t>
  </si>
  <si>
    <t>253.75</t>
  </si>
  <si>
    <t>67.10</t>
  </si>
  <si>
    <t>16.668463</t>
  </si>
  <si>
    <t>107.478875</t>
  </si>
  <si>
    <t>186.65</t>
  </si>
  <si>
    <t>16.684887</t>
  </si>
  <si>
    <t>107.412782</t>
  </si>
  <si>
    <t>full_h04/Huế/Mang cap 4/Ring 4/Ring 4 Phong Phú-Phong Quảng/Tuyến trung thế 1</t>
  </si>
  <si>
    <t>Quảng Điền-HUQD26</t>
  </si>
  <si>
    <t>16.5486</t>
  </si>
  <si>
    <t>107.50362</t>
  </si>
  <si>
    <t>FO thuê#PITC#HUQD08-HUQD26</t>
  </si>
  <si>
    <t>Ring 5 Đan Điền-Quảng Điền</t>
  </si>
  <si>
    <t>1022.75</t>
  </si>
  <si>
    <t>93.33</t>
  </si>
  <si>
    <t>16.569546</t>
  </si>
  <si>
    <t>107.513842</t>
  </si>
  <si>
    <t>929.42</t>
  </si>
  <si>
    <t>16.544544</t>
  </si>
  <si>
    <t>107.495996</t>
  </si>
  <si>
    <t>full_h04/Huế/Mang cap 4/Ring 5/Ring 5 Đan Điền-Quảng Điền/Tuyến trung thế 1</t>
  </si>
  <si>
    <t>Quảng Điền-HUQD11</t>
  </si>
  <si>
    <t>16.53978</t>
  </si>
  <si>
    <t>107.49397</t>
  </si>
  <si>
    <t>FO thuê#PITC#HUQD08-HUQD11</t>
  </si>
  <si>
    <t>566.15</t>
  </si>
  <si>
    <t>472.82</t>
  </si>
  <si>
    <t>16.542022</t>
  </si>
  <si>
    <t>107.497739</t>
  </si>
  <si>
    <t>Hương Thủy-HUHT48</t>
  </si>
  <si>
    <t>16.39594</t>
  </si>
  <si>
    <t>107.62514</t>
  </si>
  <si>
    <t>FO thuê#PITC#HUHT27-HUHT48</t>
  </si>
  <si>
    <t>967.32</t>
  </si>
  <si>
    <t>281.56</t>
  </si>
  <si>
    <t>685.77</t>
  </si>
  <si>
    <t>16.400524</t>
  </si>
  <si>
    <t>107.620839</t>
  </si>
  <si>
    <t>HUHU70-Phú Xuân</t>
  </si>
  <si>
    <t>16.46085</t>
  </si>
  <si>
    <t>107.55659</t>
  </si>
  <si>
    <t>FO thuê#PITC#HUHU70-HUHU2X</t>
  </si>
  <si>
    <t>2290.84</t>
  </si>
  <si>
    <t>1335.43</t>
  </si>
  <si>
    <t>955.41</t>
  </si>
  <si>
    <t>CAT Huế mới-HUHU41</t>
  </si>
  <si>
    <t>16.469694</t>
  </si>
  <si>
    <t>107.569556</t>
  </si>
  <si>
    <t>FO thuê#PITC#HUHU88-HUHU41</t>
  </si>
  <si>
    <t>3916.26</t>
  </si>
  <si>
    <t>3713.62</t>
  </si>
  <si>
    <t>CAT Huế mới-HUHU3T</t>
  </si>
  <si>
    <t>16.4713509</t>
  </si>
  <si>
    <t>107.57297</t>
  </si>
  <si>
    <t>FO thuê#PITC#HUHU41-HUHU3T</t>
  </si>
  <si>
    <t>3529.71</t>
  </si>
  <si>
    <t>3327.08</t>
  </si>
  <si>
    <t>CAT Huế mới-HUHU09</t>
  </si>
  <si>
    <t>16.47542</t>
  </si>
  <si>
    <t>107.56889</t>
  </si>
  <si>
    <t>FO thuê#PITC#HUHU3T-HUHU09</t>
  </si>
  <si>
    <t>3558.91</t>
  </si>
  <si>
    <t>3356.28</t>
  </si>
  <si>
    <t>HUHU09-CAT Huế mới</t>
  </si>
  <si>
    <t>FO thuê#PITC#HUHU09-HUHU1V</t>
  </si>
  <si>
    <t>HUHU1V-CAT Huế mới</t>
  </si>
  <si>
    <t>16.473798</t>
  </si>
  <si>
    <t>107.56476</t>
  </si>
  <si>
    <t>FO thuê#PITC#HUHU1V-HUHU60</t>
  </si>
  <si>
    <t>4023.15</t>
  </si>
  <si>
    <t>3820.51</t>
  </si>
  <si>
    <t>HUQD30-Phú Xuân</t>
  </si>
  <si>
    <t>16.5567</t>
  </si>
  <si>
    <t>107.539</t>
  </si>
  <si>
    <t>FO thuê#PITC#HUHU2R-HUHU70</t>
  </si>
  <si>
    <t>TTCMKV_Ring 2_CAT Huế mới-Quảng Điền</t>
  </si>
  <si>
    <t>6264.39</t>
  </si>
  <si>
    <t>4904.61</t>
  </si>
  <si>
    <t>16.512765</t>
  </si>
  <si>
    <t>107.534930</t>
  </si>
  <si>
    <t>1359.78</t>
  </si>
  <si>
    <t>16.494384</t>
  </si>
  <si>
    <t>107.577304</t>
  </si>
  <si>
    <t>full_h04/Huế/Mạng cấp 3/Ring 2 TTCMKV/TTCMKV_Ring 2_CAT Huế mới-Quảng Điền/Trung thế</t>
  </si>
  <si>
    <t>HUPL76-Hóa Châu</t>
  </si>
  <si>
    <t>16.37535</t>
  </si>
  <si>
    <t>107.86373</t>
  </si>
  <si>
    <t>FO thuê#PITC#HUQD30-HUQD10</t>
  </si>
  <si>
    <t>Ring 8 Thuận An-TTCMKV Phú Vang</t>
  </si>
  <si>
    <t>18685.63</t>
  </si>
  <si>
    <t>11240.10</t>
  </si>
  <si>
    <t>16.432163</t>
  </si>
  <si>
    <t>107.776574</t>
  </si>
  <si>
    <t>7445.52</t>
  </si>
  <si>
    <t>16.556288</t>
  </si>
  <si>
    <t>107.650227</t>
  </si>
  <si>
    <t>full_h04/Huế/Mang cap 4/Ring 8/Ring 8 Thuận An-TTCMKV Phú Vang/Tuyến trung thế 2</t>
  </si>
  <si>
    <t>HUPL85-Phú Lộc</t>
  </si>
  <si>
    <t>16.35537</t>
  </si>
  <si>
    <t>107.89708</t>
  </si>
  <si>
    <t>FO thuê#PITC#HUPL76-HUPL23</t>
  </si>
  <si>
    <t>5426.63</t>
  </si>
  <si>
    <t>2372.01</t>
  </si>
  <si>
    <t>16.349120</t>
  </si>
  <si>
    <t>107.918336</t>
  </si>
  <si>
    <t>3054.62</t>
  </si>
  <si>
    <t>16.264000</t>
  </si>
  <si>
    <t>107.887810</t>
  </si>
  <si>
    <t>HUHA03-Phú Lộc</t>
  </si>
  <si>
    <t>16.505</t>
  </si>
  <si>
    <t>107.574222</t>
  </si>
  <si>
    <t>FO thuê#PITC#HUPL85-HUPL06</t>
  </si>
  <si>
    <t>29450.85</t>
  </si>
  <si>
    <t>9907.93</t>
  </si>
  <si>
    <t>19542.92</t>
  </si>
  <si>
    <t>Quảng Điền-Quảng Điền</t>
  </si>
  <si>
    <t>FO thuê#PITC#HUHA03-HUHU67</t>
  </si>
  <si>
    <t>67.46</t>
  </si>
  <si>
    <t>33.73</t>
  </si>
  <si>
    <t>16.568541</t>
  </si>
  <si>
    <t>107.513361</t>
  </si>
  <si>
    <t>full_h04/Huế/Mang cap 4/Ring 5/Ring 5 Đan Điền-Quảng Điền/Tuyến ngầm đầu tư mới 1</t>
  </si>
  <si>
    <t>Kim Trà-HUHA09</t>
  </si>
  <si>
    <t>FO thuê#PITC#HUHA55-HUHA09</t>
  </si>
  <si>
    <t>1557.52</t>
  </si>
  <si>
    <t>Quảng Điền-HUHU12</t>
  </si>
  <si>
    <t>FO thuê#PITC#HUHA56-HUHU12</t>
  </si>
  <si>
    <t>887.99</t>
  </si>
  <si>
    <t>444.00</t>
  </si>
  <si>
    <t>16.488940</t>
  </si>
  <si>
    <t>107.569457</t>
  </si>
  <si>
    <t>PC11-HUHU35</t>
  </si>
  <si>
    <t>16.44311</t>
  </si>
  <si>
    <t>107.58189</t>
  </si>
  <si>
    <t>FO thuê#PITC#HUHU20-HUHU35</t>
  </si>
  <si>
    <t>439.21</t>
  </si>
  <si>
    <t>219.61</t>
  </si>
  <si>
    <t>16.443131</t>
  </si>
  <si>
    <t>107.579831</t>
  </si>
  <si>
    <t>PC01-HUHU58</t>
  </si>
  <si>
    <t>16.476861</t>
  </si>
  <si>
    <t>107.597694</t>
  </si>
  <si>
    <t>FO thuê#PITC#HUHU2Y-HUHU58</t>
  </si>
  <si>
    <t>412.51</t>
  </si>
  <si>
    <t>206.26</t>
  </si>
  <si>
    <t>16.478684</t>
  </si>
  <si>
    <t>107.598051</t>
  </si>
  <si>
    <t>CAT Huế mới-HUHUMA01</t>
  </si>
  <si>
    <t>16.481683</t>
  </si>
  <si>
    <t>107.555913</t>
  </si>
  <si>
    <t>FO thuê#PITC#HUHU3G-HUHUMA01</t>
  </si>
  <si>
    <t>22.42</t>
  </si>
  <si>
    <t>11.21</t>
  </si>
  <si>
    <t>16.481582</t>
  </si>
  <si>
    <t>107.555908</t>
  </si>
  <si>
    <t>PC11-HUHU17</t>
  </si>
  <si>
    <t>FO thuê#PITC#HUHU3J-HUHU17</t>
  </si>
  <si>
    <t>816.87</t>
  </si>
  <si>
    <t>408.43</t>
  </si>
  <si>
    <t>16.463817</t>
  </si>
  <si>
    <t>107.586459</t>
  </si>
  <si>
    <t>full_h04/Huế/Mạng cấp 3/Ring phòng 3/Ring 3 PC10 - PC11/Tuyến cống bể có sẵn  1</t>
  </si>
  <si>
    <t>CAT Huế mới-HUHU99</t>
  </si>
  <si>
    <t>FO thuê#PITC#HUHU3M-HUHU99</t>
  </si>
  <si>
    <t>PC06 (54 Hùng Vương) - TT Huế</t>
  </si>
  <si>
    <t>35.35</t>
  </si>
  <si>
    <t>17.67</t>
  </si>
  <si>
    <t>16.459884</t>
  </si>
  <si>
    <t>107.605284</t>
  </si>
  <si>
    <t>full_h04/Huế/Mạng cấp 3/Các đơn vị vị CA TP - Đơn nhánh/PC06 (54 Hùng Vương) - TT Huế/Tuyến trung thế 1</t>
  </si>
  <si>
    <t>HUHU42-Phú Xuân</t>
  </si>
  <si>
    <t>16.47144</t>
  </si>
  <si>
    <t>107.587</t>
  </si>
  <si>
    <t>FO thuê#PITC#HUHU42-HUHU64</t>
  </si>
  <si>
    <t>743.01</t>
  </si>
  <si>
    <t>92.14</t>
  </si>
  <si>
    <t>16.470612</t>
  </si>
  <si>
    <t>107.587018</t>
  </si>
  <si>
    <t>650.87</t>
  </si>
  <si>
    <t>16.481928</t>
  </si>
  <si>
    <t>107.590125</t>
  </si>
  <si>
    <t>full_h04/Huế/Mạng cấp 3/Ring phòng 1/Ring 1 Nguyễn Thái Học- Phú Xuân/Tuyến cống bể có sẵn</t>
  </si>
  <si>
    <t>HUPL75-Chân Mây_Lăng Cô</t>
  </si>
  <si>
    <t>16.28224</t>
  </si>
  <si>
    <t>107.97319</t>
  </si>
  <si>
    <t>16.2408</t>
  </si>
  <si>
    <t>108.0784</t>
  </si>
  <si>
    <t>FO thuê#PITC#HUPL75-HUPL03</t>
  </si>
  <si>
    <t>Ring 1 Vinh Lộc-Chân Mây_Lăng Cô</t>
  </si>
  <si>
    <t>1322.43</t>
  </si>
  <si>
    <t>1095.65</t>
  </si>
  <si>
    <t>16.272388</t>
  </si>
  <si>
    <t>107.972993</t>
  </si>
  <si>
    <t>226.78</t>
  </si>
  <si>
    <t>108.077697</t>
  </si>
  <si>
    <t>full_h04/Huế/Mang cap 4/Ring 1/Ring 1 Vinh Lộc-Chân Mây_Lăng Cô/Tuyến trung thế 2</t>
  </si>
  <si>
    <t>HUPV49-Thuận An</t>
  </si>
  <si>
    <t>16.51874</t>
  </si>
  <si>
    <t>107.59314</t>
  </si>
  <si>
    <t>FO thuê#PITC#HUPV49-HUPV04</t>
  </si>
  <si>
    <t>975.75</t>
  </si>
  <si>
    <t>963.19</t>
  </si>
  <si>
    <t>HUPV55-Phú Vang</t>
  </si>
  <si>
    <t>16.48612</t>
  </si>
  <si>
    <t>107.63836</t>
  </si>
  <si>
    <t>FO thuê#PITC#HUPV55-HUPV08</t>
  </si>
  <si>
    <t>783.80</t>
  </si>
  <si>
    <t>726.09</t>
  </si>
  <si>
    <t>57.71</t>
  </si>
  <si>
    <t>16.439834</t>
  </si>
  <si>
    <t>107.715987</t>
  </si>
  <si>
    <t>HUQD18-Quảng Điền</t>
  </si>
  <si>
    <t>16.56605</t>
  </si>
  <si>
    <t>107.50242</t>
  </si>
  <si>
    <t>FO thuê#PITC#HUQD18-HUQD08</t>
  </si>
  <si>
    <t>478.44</t>
  </si>
  <si>
    <t>385.11</t>
  </si>
  <si>
    <t>16.566453</t>
  </si>
  <si>
    <t>107.498831</t>
  </si>
  <si>
    <t>HUQD21-Quảng Điền</t>
  </si>
  <si>
    <t>16.63416</t>
  </si>
  <si>
    <t>107.5269</t>
  </si>
  <si>
    <t>FO thuê#PITC#HUQD21-HUQD06</t>
  </si>
  <si>
    <t>6198.63</t>
  </si>
  <si>
    <t>4938.23</t>
  </si>
  <si>
    <t>16.596873</t>
  </si>
  <si>
    <t>107.501725</t>
  </si>
  <si>
    <t>1260.40</t>
  </si>
  <si>
    <t>16.580074</t>
  </si>
  <si>
    <t>107.513431</t>
  </si>
  <si>
    <t>HUHU3L-Phú Xuân</t>
  </si>
  <si>
    <t>16.45988</t>
  </si>
  <si>
    <t>107.56071</t>
  </si>
  <si>
    <t>FO thuê#PITC#HUHU3L-HUHU70</t>
  </si>
  <si>
    <t>1854.24</t>
  </si>
  <si>
    <t>898.82</t>
  </si>
  <si>
    <t>HUHU98-PC11</t>
  </si>
  <si>
    <t>16.462061</t>
  </si>
  <si>
    <t>107.586992</t>
  </si>
  <si>
    <t>FO thuê#PITC#HUHU98-HUHU17</t>
  </si>
  <si>
    <t>2594.86</t>
  </si>
  <si>
    <t>1786.54</t>
  </si>
  <si>
    <t>FO thuê#PITC#HUQD15-HUHA27</t>
  </si>
  <si>
    <t>HUHT42-Hương Thủy</t>
  </si>
  <si>
    <t>16.378465</t>
  </si>
  <si>
    <t>107.590175</t>
  </si>
  <si>
    <t>FO thuê#PITC#HUHT42-HUHT28</t>
  </si>
  <si>
    <t>3946.60</t>
  </si>
  <si>
    <t>3665.05</t>
  </si>
  <si>
    <t>HUHU32-Phú Xuân</t>
  </si>
  <si>
    <t>16.47476</t>
  </si>
  <si>
    <t>107.57679</t>
  </si>
  <si>
    <t>FO thuê#PITC#HUHU32-HUHU74</t>
  </si>
  <si>
    <t>1134.90</t>
  </si>
  <si>
    <t>1113.51</t>
  </si>
  <si>
    <t>HUQD19-Quảng Điền</t>
  </si>
  <si>
    <t>16.61322</t>
  </si>
  <si>
    <t>107.46735</t>
  </si>
  <si>
    <t>FO thuê#PITC#HUQD19-HUQD25</t>
  </si>
  <si>
    <t>1446.38</t>
  </si>
  <si>
    <t>185.98</t>
  </si>
  <si>
    <t>16.612981</t>
  </si>
  <si>
    <t>107.465622</t>
  </si>
  <si>
    <t>HUHA50-Hương Trà</t>
  </si>
  <si>
    <t>16.51332</t>
  </si>
  <si>
    <t>107.45016</t>
  </si>
  <si>
    <t>FO thuê#PITC#HUHA50-HUHA21</t>
  </si>
  <si>
    <t>2398.43</t>
  </si>
  <si>
    <t>2322.56</t>
  </si>
  <si>
    <t>16.527670</t>
  </si>
  <si>
    <t>107.465991</t>
  </si>
  <si>
    <t>HUHT36-Thủy Xuân</t>
  </si>
  <si>
    <t>16.42364</t>
  </si>
  <si>
    <t>107.56673</t>
  </si>
  <si>
    <t>FO thuê#PITC#HUHT36-HUHU49</t>
  </si>
  <si>
    <t>1649.43</t>
  </si>
  <si>
    <t>1189.87</t>
  </si>
  <si>
    <t>16.433597</t>
  </si>
  <si>
    <t>107.570817</t>
  </si>
  <si>
    <t>HUHU23-Quảng Điền</t>
  </si>
  <si>
    <t>16.48042</t>
  </si>
  <si>
    <t>107.57292</t>
  </si>
  <si>
    <t>FO thuê#PITC#HUHU23-HUHU56</t>
  </si>
  <si>
    <t>5727.86</t>
  </si>
  <si>
    <t>5658.25</t>
  </si>
  <si>
    <t>HUHU2B-Hương Thủy</t>
  </si>
  <si>
    <t>16.451587</t>
  </si>
  <si>
    <t>107.603839</t>
  </si>
  <si>
    <t>FO thuê#PITC#HUHU2B-HUHU08</t>
  </si>
  <si>
    <t>1843.49</t>
  </si>
  <si>
    <t>1774.82</t>
  </si>
  <si>
    <t>16.436325</t>
  </si>
  <si>
    <t>107.608712</t>
  </si>
  <si>
    <t>HUHU2D-Quảng Điền</t>
  </si>
  <si>
    <t>16.48087</t>
  </si>
  <si>
    <t>107.56986</t>
  </si>
  <si>
    <t>FO thuê#PITC#HUHU2D-HUHU12</t>
  </si>
  <si>
    <t>5398.50</t>
  </si>
  <si>
    <t>5328.89</t>
  </si>
  <si>
    <t>HUHU31-PC01</t>
  </si>
  <si>
    <t>16.48113</t>
  </si>
  <si>
    <t>107.597</t>
  </si>
  <si>
    <t>FO thuê#PITC#HUHU31-HUPV34</t>
  </si>
  <si>
    <t>146.82</t>
  </si>
  <si>
    <t>132.85</t>
  </si>
  <si>
    <t>16.481053</t>
  </si>
  <si>
    <t>107.598243</t>
  </si>
  <si>
    <t>HUHU54-CAT Huế mới</t>
  </si>
  <si>
    <t>16.460306</t>
  </si>
  <si>
    <t>107.593472</t>
  </si>
  <si>
    <t>FO thuê#PITC#HUHU54-HUHU1K</t>
  </si>
  <si>
    <t>2614.82</t>
  </si>
  <si>
    <t>790.60</t>
  </si>
  <si>
    <t>HUHU84-PC01</t>
  </si>
  <si>
    <t>16.47566</t>
  </si>
  <si>
    <t>107.59565</t>
  </si>
  <si>
    <t>FO thuê#PITC#HUHU84-HUPV34</t>
  </si>
  <si>
    <t>436.60</t>
  </si>
  <si>
    <t>422.63</t>
  </si>
  <si>
    <t>HUPL69-Hương Thủy</t>
  </si>
  <si>
    <t>16.32873</t>
  </si>
  <si>
    <t>107.78561</t>
  </si>
  <si>
    <t>FO thuê#PITC#HUPL69-HUPL10</t>
  </si>
  <si>
    <t>E28)</t>
  </si>
  <si>
    <t>5061.25</t>
  </si>
  <si>
    <t>5002.00</t>
  </si>
  <si>
    <t>16.335578</t>
  </si>
  <si>
    <t>107.739281</t>
  </si>
  <si>
    <t>59.25</t>
  </si>
  <si>
    <t>16.408867</t>
  </si>
  <si>
    <t>107.680966</t>
  </si>
  <si>
    <t>full_h04/Huế/Mạng cấp 3/Ring phòng 2/Ring 2 Hương Thủy - K02 (D2/E28)/Tuyến trung thế 1</t>
  </si>
  <si>
    <t>HUPL71-Phú Lộc</t>
  </si>
  <si>
    <t>16.39692</t>
  </si>
  <si>
    <t>107.84841</t>
  </si>
  <si>
    <t>FO thuê#PITC#HUPL71-HUPL23</t>
  </si>
  <si>
    <t>10224.05</t>
  </si>
  <si>
    <t>1722.27</t>
  </si>
  <si>
    <t>16.387333</t>
  </si>
  <si>
    <t>107.835729</t>
  </si>
  <si>
    <t>8501.78</t>
  </si>
  <si>
    <t>16.346129</t>
  </si>
  <si>
    <t>107.896635</t>
  </si>
  <si>
    <t>HUPV40-Phú Vang</t>
  </si>
  <si>
    <t>16.48409</t>
  </si>
  <si>
    <t>107.66801</t>
  </si>
  <si>
    <t>FO thuê#PITC#HUPV40-HUPV09</t>
  </si>
  <si>
    <t>80.32</t>
  </si>
  <si>
    <t>22.61</t>
  </si>
  <si>
    <t>16.484102</t>
  </si>
  <si>
    <t>107.668222</t>
  </si>
  <si>
    <t>HUQD22-Quảng Điền</t>
  </si>
  <si>
    <t>16.61971</t>
  </si>
  <si>
    <t>107.53406</t>
  </si>
  <si>
    <t>FO thuê#PITC#HUQD22-HUQD06</t>
  </si>
  <si>
    <t>5041.82</t>
  </si>
  <si>
    <t>4988.09</t>
  </si>
  <si>
    <t>HUQD23-Quảng Điền</t>
  </si>
  <si>
    <t>16.63571</t>
  </si>
  <si>
    <t>107.50407</t>
  </si>
  <si>
    <t>FO thuê#PITC#HUQD23-HUQD06</t>
  </si>
  <si>
    <t>5586.14</t>
  </si>
  <si>
    <t>4325.74</t>
  </si>
  <si>
    <t>HUPD69-Phong Dinh</t>
  </si>
  <si>
    <t>16.57362</t>
  </si>
  <si>
    <t>107.35367</t>
  </si>
  <si>
    <t>16.66089</t>
  </si>
  <si>
    <t>107.3833</t>
  </si>
  <si>
    <t>FO thuê#PITC#HUPD69-HUPD02</t>
  </si>
  <si>
    <t>Ring 4 TTCMKV Phong Điền-Phong Phú</t>
  </si>
  <si>
    <t>2697.99</t>
  </si>
  <si>
    <t>2498.12</t>
  </si>
  <si>
    <t>16.595790</t>
  </si>
  <si>
    <t>107.357463</t>
  </si>
  <si>
    <t>199.86</t>
  </si>
  <si>
    <t>16.661760</t>
  </si>
  <si>
    <t>107.381658</t>
  </si>
  <si>
    <t>full_h04/Huế/Mang cap 4/Ring 4/Ring 4 TTCMKV Phong Điền-Phong Phú/Tuyến trung thế 2</t>
  </si>
  <si>
    <t>HUPX83-Quảng Điền</t>
  </si>
  <si>
    <t>16.49626</t>
  </si>
  <si>
    <t>107.5751</t>
  </si>
  <si>
    <t>FO thuê#PITC#HUPX83-HUPX24</t>
  </si>
  <si>
    <t>4815.21</t>
  </si>
  <si>
    <t>4749.32</t>
  </si>
  <si>
    <t>16.537596</t>
  </si>
  <si>
    <t>107.563883</t>
  </si>
  <si>
    <t>HUPL92-Phú Lộc</t>
  </si>
  <si>
    <t>16.3816</t>
  </si>
  <si>
    <t>107.8501</t>
  </si>
  <si>
    <t>FO thuê#PITC#HUPL92-HUPL23</t>
  </si>
  <si>
    <t>8845.82</t>
  </si>
  <si>
    <t>344.04</t>
  </si>
  <si>
    <t>16.378901</t>
  </si>
  <si>
    <t>107.851676</t>
  </si>
  <si>
    <t>HUPD70-Phong Dinh</t>
  </si>
  <si>
    <t>16.57375</t>
  </si>
  <si>
    <t>107.38503</t>
  </si>
  <si>
    <t>FO thuê#PITC#22HU002-HUPD19</t>
  </si>
  <si>
    <t>3937.89</t>
  </si>
  <si>
    <t>3738.03</t>
  </si>
  <si>
    <t>16.597567</t>
  </si>
  <si>
    <t>107.360275</t>
  </si>
  <si>
    <t>HUPX43-CAT Huế mới</t>
  </si>
  <si>
    <t>16.47857</t>
  </si>
  <si>
    <t>107.56806</t>
  </si>
  <si>
    <t>FO thuê#PITC#HUHU2K-HUHU1D</t>
  </si>
  <si>
    <t>3443.02</t>
  </si>
  <si>
    <t>3240.38</t>
  </si>
  <si>
    <t>HUHA01-CAT Huế mới</t>
  </si>
  <si>
    <t>FO thuê#PITC#HUHA01-HUHA20</t>
  </si>
  <si>
    <t>7950.65</t>
  </si>
  <si>
    <t>7389.89</t>
  </si>
  <si>
    <t>16.479613</t>
  </si>
  <si>
    <t>107.556349</t>
  </si>
  <si>
    <t>HUHA34-Kim Long</t>
  </si>
  <si>
    <t>16.45156</t>
  </si>
  <si>
    <t>107.5304</t>
  </si>
  <si>
    <t>FO thuê#PITC#HUHA34-HUHA05</t>
  </si>
  <si>
    <t>248.10</t>
  </si>
  <si>
    <t>181.92</t>
  </si>
  <si>
    <t>107.529519</t>
  </si>
  <si>
    <t>HUHT15-CAT Huế mới</t>
  </si>
  <si>
    <t>16.42381</t>
  </si>
  <si>
    <t>107.6514</t>
  </si>
  <si>
    <t>FO thuê#PITC#HUHT15-HUHT05</t>
  </si>
  <si>
    <t>3373.19</t>
  </si>
  <si>
    <t>304.64</t>
  </si>
  <si>
    <t>16.426506</t>
  </si>
  <si>
    <t>107.651908</t>
  </si>
  <si>
    <t>3068.55</t>
  </si>
  <si>
    <t>HUHTMA01-Hương Thủy</t>
  </si>
  <si>
    <t>16.4112</t>
  </si>
  <si>
    <t>107.674</t>
  </si>
  <si>
    <t>FO thuê#PITC#HUHTMA01-HUHT16</t>
  </si>
  <si>
    <t>207.23</t>
  </si>
  <si>
    <t>132.15</t>
  </si>
  <si>
    <t>16.412330</t>
  </si>
  <si>
    <t>107.673615</t>
  </si>
  <si>
    <t>75.08</t>
  </si>
  <si>
    <t>16.408631</t>
  </si>
  <si>
    <t>107.681020</t>
  </si>
  <si>
    <t>full_h04/Huế/Mạng cấp 3/Ring phòng 2/Ring 2 Phú Xuân - Hương Thủy/Tuyến trung thế 3</t>
  </si>
  <si>
    <t>HUPV20-Phú Vang</t>
  </si>
  <si>
    <t>16.52614</t>
  </si>
  <si>
    <t>107.70167</t>
  </si>
  <si>
    <t>FO thuê#PITC#HUPV20-HUPV05</t>
  </si>
  <si>
    <t>5198.95</t>
  </si>
  <si>
    <t>53.01</t>
  </si>
  <si>
    <t>16.526154</t>
  </si>
  <si>
    <t>107.702167</t>
  </si>
  <si>
    <t>5145.94</t>
  </si>
  <si>
    <t>16.471926</t>
  </si>
  <si>
    <t>107.751434</t>
  </si>
  <si>
    <t>HUPV18-Dương Nỗ</t>
  </si>
  <si>
    <t>16.49246</t>
  </si>
  <si>
    <t>107.60472</t>
  </si>
  <si>
    <t>FO thuê#PITC#HUPV18-HUPV30</t>
  </si>
  <si>
    <t>Ring 8 CAT Thừa Thiên Huế-Dương Nỗ</t>
  </si>
  <si>
    <t>108.71</t>
  </si>
  <si>
    <t>94.82</t>
  </si>
  <si>
    <t>16.492583</t>
  </si>
  <si>
    <t>107.605600</t>
  </si>
  <si>
    <t>13.89</t>
  </si>
  <si>
    <t>16.512819</t>
  </si>
  <si>
    <t>107.599738</t>
  </si>
  <si>
    <t>full_h04/Huế/Mang cap 4/Ring 8/Ring 8 CAT Thừa Thiên Huế-Dương Nỗ/Tuyến trung thế 1</t>
  </si>
  <si>
    <t>HUQD10-Hóa Châu</t>
  </si>
  <si>
    <t>16.55901</t>
  </si>
  <si>
    <t>107.52924</t>
  </si>
  <si>
    <t>FO thuê#PITC#HUQD10-HUQD17</t>
  </si>
  <si>
    <t>97.13</t>
  </si>
  <si>
    <t>78.92</t>
  </si>
  <si>
    <t>16.558936</t>
  </si>
  <si>
    <t>107.529976</t>
  </si>
  <si>
    <t>PYDH09-Sơn Thành</t>
  </si>
  <si>
    <t>13.034347</t>
  </si>
  <si>
    <t>109.297636</t>
  </si>
  <si>
    <t>12.984385</t>
  </si>
  <si>
    <t>109.095316</t>
  </si>
  <si>
    <t>FO thuê#VNPT#PYDH09-PYTH01</t>
  </si>
  <si>
    <t>ILA Sơn Thành - TT2 Đăk Lăk (Tuy Hòa)</t>
  </si>
  <si>
    <t>2472.34</t>
  </si>
  <si>
    <t>2321.14</t>
  </si>
  <si>
    <t>13.021641</t>
  </si>
  <si>
    <t>109.280637</t>
  </si>
  <si>
    <t>151.21</t>
  </si>
  <si>
    <t>12.983107</t>
  </si>
  <si>
    <t>109.095792</t>
  </si>
  <si>
    <t>full_h04/Đắk Lắk/Mạng cấp II Đắk Lắk.kmz/Link 2/ILA Sơn Thành - TT2 Đăk Lăk (Tuy Hòa)/trung thế</t>
  </si>
  <si>
    <t>Sơn Thành-TT2 Tuy Hòa</t>
  </si>
  <si>
    <t>13.09474</t>
  </si>
  <si>
    <t>109.293</t>
  </si>
  <si>
    <t>FO thuê#VNPT#PYTH01-PYPY01</t>
  </si>
  <si>
    <t>8389.08</t>
  </si>
  <si>
    <t>8237.87</t>
  </si>
  <si>
    <t>PYSA10-Phú Hòa</t>
  </si>
  <si>
    <t>13.06365</t>
  </si>
  <si>
    <t>109.02528</t>
  </si>
  <si>
    <t>13.0231</t>
  </si>
  <si>
    <t>109.207</t>
  </si>
  <si>
    <t>FO thuê#VNPT#PYSA10-PYPH04</t>
  </si>
  <si>
    <t>ILA Sông Hinh - TT2 Đăk Lăk (Tuy Hòa)</t>
  </si>
  <si>
    <t>1023.35</t>
  </si>
  <si>
    <t>196.77</t>
  </si>
  <si>
    <t>13.064997</t>
  </si>
  <si>
    <t>109.026458</t>
  </si>
  <si>
    <t>826.58</t>
  </si>
  <si>
    <t>13.017183</t>
  </si>
  <si>
    <t>109.202381</t>
  </si>
  <si>
    <t>full_h04/Đắk Lắk/Mạng cấp II Đắk Lắk.kmz/Link 1/ILA Sông Hinh - TT2 Đăk Lăk (Tuy Hòa)/Trung thế</t>
  </si>
  <si>
    <t>Phú Hòa-TT2 Tuy Hòa</t>
  </si>
  <si>
    <t>FO thuê#VNPT#PYPH04-PYPY01</t>
  </si>
  <si>
    <t>Tuy Hòa - Sơn Hòa</t>
  </si>
  <si>
    <t>5411.44</t>
  </si>
  <si>
    <t>533.28</t>
  </si>
  <si>
    <t>13.018408</t>
  </si>
  <si>
    <t>109.208019</t>
  </si>
  <si>
    <t>4878.16</t>
  </si>
  <si>
    <t>13.063355</t>
  </si>
  <si>
    <t>109.261531</t>
  </si>
  <si>
    <t>full_h04/Đắk Lắk/Mạng cấp III Đắk Lắk.kmz/Mạng cấp III Phú Yên/Ring 5/Tuy Hòa - Sơn Hòa/Tuy Hòa - Sơn Hòa-TT02</t>
  </si>
  <si>
    <t>VNPOST Hòa Đa-Tuy An Bắc</t>
  </si>
  <si>
    <t>13.20203</t>
  </si>
  <si>
    <t>109.27016</t>
  </si>
  <si>
    <t>13.308276</t>
  </si>
  <si>
    <t>109.215649</t>
  </si>
  <si>
    <t>FO thuê#VNPT#VNPOST Hòa Đa-PYTA14</t>
  </si>
  <si>
    <t>Sông Cầu - TT2 Tuy Hòa</t>
  </si>
  <si>
    <t>367.94</t>
  </si>
  <si>
    <t>234.35</t>
  </si>
  <si>
    <t>13.203866</t>
  </si>
  <si>
    <t>109.269097</t>
  </si>
  <si>
    <t>133.60</t>
  </si>
  <si>
    <t>13.308895</t>
  </si>
  <si>
    <t>109.214591</t>
  </si>
  <si>
    <t>full_h04/Đắk Lắk/Mạng cấp III Đắk Lắk.kmz/Mạng cấp III Phú Yên/Ring 5/Sông Cầu - TT2 Tuy Hòa/Trung thế</t>
  </si>
  <si>
    <t>Tuy An Bắc-Đồng Xuân</t>
  </si>
  <si>
    <t>13.3773</t>
  </si>
  <si>
    <t>109.1081</t>
  </si>
  <si>
    <t>FO thuê#VNPT#PYTA14-PYDX01</t>
  </si>
  <si>
    <t>Xuân Đài - Tuy An Bắc</t>
  </si>
  <si>
    <t>3838.71</t>
  </si>
  <si>
    <t>61.31</t>
  </si>
  <si>
    <t>13.307845</t>
  </si>
  <si>
    <t>109.215296</t>
  </si>
  <si>
    <t>3777.40</t>
  </si>
  <si>
    <t>13.366142</t>
  </si>
  <si>
    <t>109.141080</t>
  </si>
  <si>
    <t>full_h04/Đắk Lắk/Mạng cấp IV Đắk Lắk.kmz/Mạng cấp IV Phú Yên/Phú Yên_Ring 5/Xuân Đài - Tuy An Bắc/Trung thế</t>
  </si>
  <si>
    <t>Đồng Xuân-PYSA09</t>
  </si>
  <si>
    <t>13.2048</t>
  </si>
  <si>
    <t>109.0634</t>
  </si>
  <si>
    <t>FO thuê#VNPT#PYDX01-PYSA09</t>
  </si>
  <si>
    <t>CAX Sơn Định (Sơn Hòa) - Đồng Xuân</t>
  </si>
  <si>
    <t>12956.23</t>
  </si>
  <si>
    <t>2136.63</t>
  </si>
  <si>
    <t>13.361313</t>
  </si>
  <si>
    <t>109.097143</t>
  </si>
  <si>
    <t>10819.60</t>
  </si>
  <si>
    <t>13.301635</t>
  </si>
  <si>
    <t>109.073190</t>
  </si>
  <si>
    <t>full_h04/Đắk Lắk/Mạng cấp III Đắk Lắk.kmz/Mạng cấp III Phú Yên/Ring 5/CAX Sơn Định (Sơn Hòa) - Đồng Xuân/Trung thế</t>
  </si>
  <si>
    <t>PYSA09-TT2 Tuy Hòa</t>
  </si>
  <si>
    <t>FO thuê#VNPT#PYSA09-PYPY01</t>
  </si>
  <si>
    <t>Xuân Phước - Vân Hòa</t>
  </si>
  <si>
    <t>19263.05</t>
  </si>
  <si>
    <t>98.50</t>
  </si>
  <si>
    <t>13.205010</t>
  </si>
  <si>
    <t>109.064284</t>
  </si>
  <si>
    <t>19164.55</t>
  </si>
  <si>
    <t>13.163214</t>
  </si>
  <si>
    <t>109.130590</t>
  </si>
  <si>
    <t>full_h04/Đắk Lắk/Mạng cấp IV Đắk Lắk.kmz/Mạng cấp IV Phú Yên/Phú Yên_Ring 6/Xuân Phước - Vân Hòa/Trung thế</t>
  </si>
  <si>
    <t>DLKB04-Pơng Drang</t>
  </si>
  <si>
    <t>12.975388</t>
  </si>
  <si>
    <t>108.239222</t>
  </si>
  <si>
    <t>12.97057</t>
  </si>
  <si>
    <t>108.2454</t>
  </si>
  <si>
    <t>FO thuê#VNPT#DLKB04-DLKB36</t>
  </si>
  <si>
    <t>Buôn Hồ - Ea H'Leo</t>
  </si>
  <si>
    <t>322.97</t>
  </si>
  <si>
    <t>220.97</t>
  </si>
  <si>
    <t>12.976204</t>
  </si>
  <si>
    <t>108.241081</t>
  </si>
  <si>
    <t>102.00</t>
  </si>
  <si>
    <t>12.970822</t>
  </si>
  <si>
    <t>108.244495</t>
  </si>
  <si>
    <t>full_h04/Đắk Lắk/Mạng cấp III Đắk Lắk.kmz/Mạng cấp III Đắk Lắk/Ring 1/Buôn Hồ - Ea H'Leo/Trung Thế</t>
  </si>
  <si>
    <t>DLBT13-Tân Lập</t>
  </si>
  <si>
    <t>12.64495</t>
  </si>
  <si>
    <t>108.079933</t>
  </si>
  <si>
    <t>12.65451</t>
  </si>
  <si>
    <t>108.1073</t>
  </si>
  <si>
    <t>FO thuê#VNPT#DLBT13-DLBT05</t>
  </si>
  <si>
    <t>CAT Đắk Lắk - Tân Lập</t>
  </si>
  <si>
    <t>2602.67</t>
  </si>
  <si>
    <t>2478.59</t>
  </si>
  <si>
    <t>12.651996</t>
  </si>
  <si>
    <t>108.101606</t>
  </si>
  <si>
    <t>124.09</t>
  </si>
  <si>
    <t>12.653543</t>
  </si>
  <si>
    <t>108.107871</t>
  </si>
  <si>
    <t>full_h04/Đắk Lắk/Mạng cấp IV Đắk Lắk.kmz/Mạng cấp IV Đắk Lắk/Đắk Lắk Ring 1.kmz/Đắk Lắk Ring 1/CAT Đắk Lắk - Tân Lập/Trung thế 472BMT</t>
  </si>
  <si>
    <t>DLBT2V-Tân An</t>
  </si>
  <si>
    <t>12.697356</t>
  </si>
  <si>
    <t>108.072389</t>
  </si>
  <si>
    <t>12.69684</t>
  </si>
  <si>
    <t>108.0724</t>
  </si>
  <si>
    <t>FO thuê#VNPT#DLBT2V-DLBT24</t>
  </si>
  <si>
    <t>Tân An - Cuôr Đăng</t>
  </si>
  <si>
    <t>41.73</t>
  </si>
  <si>
    <t>20.57</t>
  </si>
  <si>
    <t>12.697199</t>
  </si>
  <si>
    <t>108.072289</t>
  </si>
  <si>
    <t>21.17</t>
  </si>
  <si>
    <t>12.696991</t>
  </si>
  <si>
    <t>108.072281</t>
  </si>
  <si>
    <t>full_h04/Đắk Lắk/Mạng cấp IV Đắk Lắk.kmz/Mạng cấp IV Đắk Lắk/Đắk Lắk Ring 13.kmz/ring 13/Tân An - Cuôr Đăng/Hạ Thê Băng Đường</t>
  </si>
  <si>
    <t>DLBT97-Tân Lập</t>
  </si>
  <si>
    <t>12.67132</t>
  </si>
  <si>
    <t>108.09959</t>
  </si>
  <si>
    <t>FO thuê#VNPT#DLBT97-DLBT05</t>
  </si>
  <si>
    <t>Tân Lập - Ea Knuec</t>
  </si>
  <si>
    <t>446.98</t>
  </si>
  <si>
    <t>328.00</t>
  </si>
  <si>
    <t>12.668918</t>
  </si>
  <si>
    <t>108.097835</t>
  </si>
  <si>
    <t>118.99</t>
  </si>
  <si>
    <t>12.655568</t>
  </si>
  <si>
    <t>108.107465</t>
  </si>
  <si>
    <t>full_h04/Đắk Lắk/Mạng cấp IV Đắk Lắk.kmz/Mạng cấp IV Đắk Lắk/Đắk Lắk Ring 1.kmz/Đắk Lắk Ring 1/Tân Lập - Ea Knuec/Trung thế 472BMT</t>
  </si>
  <si>
    <t>DLEH35-Dliê Ya</t>
  </si>
  <si>
    <t>13.13788</t>
  </si>
  <si>
    <t>108.30443</t>
  </si>
  <si>
    <t>13.11643</t>
  </si>
  <si>
    <t>108.3293</t>
  </si>
  <si>
    <t>FO thuê#VNPT#DLEH35-DLKN15</t>
  </si>
  <si>
    <t>11(472KRN)__127</t>
  </si>
  <si>
    <t>2604.93</t>
  </si>
  <si>
    <t>2332.11</t>
  </si>
  <si>
    <t>13.132066</t>
  </si>
  <si>
    <t>108.325123</t>
  </si>
  <si>
    <t>272.81</t>
  </si>
  <si>
    <t>13.118877</t>
  </si>
  <si>
    <t>108.329477</t>
  </si>
  <si>
    <t>full_h04/Đắk Lắk/Mạng cấp IV Đắk Lắk.kmz/Mạng cấp IV Đắk Lắk/Đắk Lắk Ring 19.kmz/Dliê Ya - Ea Hiao/Trung thế 172/10/11(472KRN)__127/41(472KRN)</t>
  </si>
  <si>
    <t>DLKB21-Krông Búk</t>
  </si>
  <si>
    <t>13.04281</t>
  </si>
  <si>
    <t>108.19348</t>
  </si>
  <si>
    <t>13.03864</t>
  </si>
  <si>
    <t>108.2186</t>
  </si>
  <si>
    <t>FO thuê#VNPT#DLKB21-DLKB31</t>
  </si>
  <si>
    <t>Trung thế 170</t>
  </si>
  <si>
    <t>865.89</t>
  </si>
  <si>
    <t>39.79</t>
  </si>
  <si>
    <t>13.043096</t>
  </si>
  <si>
    <t>108.193259</t>
  </si>
  <si>
    <t>826.10</t>
  </si>
  <si>
    <t>13.043447</t>
  </si>
  <si>
    <t>108.212785</t>
  </si>
  <si>
    <t>full_h04/Đắk Lắk/Mạng cấp IV Đắk Lắk.kmz/Mạng cấp IV Đắk Lắk/Đắk Lắk Ring 17.kmz/Cư Pơng - Krông Búk/Trung thế 170/17(476T2KBU)</t>
  </si>
  <si>
    <t>DLBT2X-Tân Lập</t>
  </si>
  <si>
    <t>12.656512</t>
  </si>
  <si>
    <t>108.122707</t>
  </si>
  <si>
    <t>FO thuê#VNPT#DLBT2X-DLBT05</t>
  </si>
  <si>
    <t>1653.43</t>
  </si>
  <si>
    <t>1644.17</t>
  </si>
  <si>
    <t>12.654529</t>
  </si>
  <si>
    <t>108.107689</t>
  </si>
  <si>
    <t>9.25</t>
  </si>
  <si>
    <t>12.654433</t>
  </si>
  <si>
    <t>108.107332</t>
  </si>
  <si>
    <t>full_h04/Đắk Lắk/Mạng cấp IV Đắk Lắk.kmz/Mạng cấp IV Đắk Lắk/Đắk Lắk Ring 1.kmz/Đắk Lắk Ring 1/CAT Đắk Lắk - Tân Lập/Trồng mới</t>
  </si>
  <si>
    <t>DLKN01-KRông Năng</t>
  </si>
  <si>
    <t>12.95247</t>
  </si>
  <si>
    <t>108.34291</t>
  </si>
  <si>
    <t>12.951746</t>
  </si>
  <si>
    <t>108.34468</t>
  </si>
  <si>
    <t>FO thuê#VNPT#DLKN01-DLKN27</t>
  </si>
  <si>
    <t>22</t>
  </si>
  <si>
    <t>118.57</t>
  </si>
  <si>
    <t>82.58</t>
  </si>
  <si>
    <t>12.951738</t>
  </si>
  <si>
    <t>108.342784</t>
  </si>
  <si>
    <t>35.99</t>
  </si>
  <si>
    <t>12.951675</t>
  </si>
  <si>
    <t>108.344356</t>
  </si>
  <si>
    <t>full_h04/Đắk Lắk/Mạng cấp IV Đắk Lắk.kmz/Mạng cấp IV Đắk Lắk/Đắk Lắk Ring 20.kmz/Tam Giang - TTCMKV Krông Năng/Trung thế 55/22/5(474KRN)__KrongNang</t>
  </si>
  <si>
    <t>DLCG28-Ea M’Droh</t>
  </si>
  <si>
    <t>12.83875</t>
  </si>
  <si>
    <t>107.94651</t>
  </si>
  <si>
    <t>12.86058</t>
  </si>
  <si>
    <t>107.9652</t>
  </si>
  <si>
    <t>FO thuê#VNPT#DLCG28-DLCG33</t>
  </si>
  <si>
    <t>Quảng Phú - Ea M’Droh</t>
  </si>
  <si>
    <t>3053.22</t>
  </si>
  <si>
    <t>2975.67</t>
  </si>
  <si>
    <t>12.858968</t>
  </si>
  <si>
    <t>107.964492</t>
  </si>
  <si>
    <t>77.55</t>
  </si>
  <si>
    <t>12.860792</t>
  </si>
  <si>
    <t>107.964518</t>
  </si>
  <si>
    <t>full_h04/Đắk Lắk/Mạng cấp IV Đắk Lắk.kmz/Mạng cấp IV Đắk Lắk/Đắk Lắk Ring 15.kmz/Ring Đắk Lắk 15/Quảng Phú - Ea M’Droh/Trung Thế 474</t>
  </si>
  <si>
    <t>DLCG45-Cư M’gar</t>
  </si>
  <si>
    <t>12.8589</t>
  </si>
  <si>
    <t>108.12099</t>
  </si>
  <si>
    <t>12.85251</t>
  </si>
  <si>
    <t>108.1049</t>
  </si>
  <si>
    <t>FO thuê#VNPT#DLCG45-DLCG06</t>
  </si>
  <si>
    <t>Cư M'ga - Buôn Hồ</t>
  </si>
  <si>
    <t>1733.38</t>
  </si>
  <si>
    <t>1616.38</t>
  </si>
  <si>
    <t>12.861892</t>
  </si>
  <si>
    <t>108.106399</t>
  </si>
  <si>
    <t>117.01</t>
  </si>
  <si>
    <t>12.853419</t>
  </si>
  <si>
    <t>108.104357</t>
  </si>
  <si>
    <t>full_h04/Đắk Lắk/Mạng cấp III Đắk Lắk.kmz/Mạng cấp III Đắk Lắk/Ring 1/Cư M'ga - Buôn Hồ/Trung thế</t>
  </si>
  <si>
    <t>DLEH55-Ea Hiao</t>
  </si>
  <si>
    <t>13.237291</t>
  </si>
  <si>
    <t>108.296399</t>
  </si>
  <si>
    <t>13.26653</t>
  </si>
  <si>
    <t>108.2872</t>
  </si>
  <si>
    <t>FO thuê#VNPT#DLEH55-DLEH07</t>
  </si>
  <si>
    <t>Trung thế __200</t>
  </si>
  <si>
    <t>1016.45</t>
  </si>
  <si>
    <t>965.45</t>
  </si>
  <si>
    <t>13.245973</t>
  </si>
  <si>
    <t>108.296445</t>
  </si>
  <si>
    <t>51.00</t>
  </si>
  <si>
    <t>13.266173</t>
  </si>
  <si>
    <t>108.287495</t>
  </si>
  <si>
    <t>full_h04/Đắk Lắk/Mạng cấp IV Đắk Lắk.kmz/Mạng cấp IV Đắk Lắk/Đắk Lắk Ring 19.kmz/Dliê Ya - Ea Hiao/Trung thế __200/137(475EHL)</t>
  </si>
  <si>
    <t>DLCG16-Ea M’Droh</t>
  </si>
  <si>
    <t>12.896765</t>
  </si>
  <si>
    <t>107.94482</t>
  </si>
  <si>
    <t>FO thuê#VNPT#DLCG16-DLCG33</t>
  </si>
  <si>
    <t>4539.86</t>
  </si>
  <si>
    <t>4491.00</t>
  </si>
  <si>
    <t>12.861238</t>
  </si>
  <si>
    <t>107.964528</t>
  </si>
  <si>
    <t>48.86</t>
  </si>
  <si>
    <t>12.861019</t>
  </si>
  <si>
    <t>107.965223</t>
  </si>
  <si>
    <t>full_h04/Đắk Lắk/Mạng cấp IV Đắk Lắk.kmz/Mạng cấp IV Đắk Lắk/Đắk Lắk Ring 15.kmz/Ring Đắk Lắk 15/Quảng Phú - Ea M’Droh/Hạ thế</t>
  </si>
  <si>
    <t>DLBH27-Buôn Hồ</t>
  </si>
  <si>
    <t>12.9099</t>
  </si>
  <si>
    <t>108.26515</t>
  </si>
  <si>
    <t>12.916187</t>
  </si>
  <si>
    <t>108.26651</t>
  </si>
  <si>
    <t>FO thuê#VNPT#DLBH27-DLBH15</t>
  </si>
  <si>
    <t>Trung thế 477T2KBU__R56</t>
  </si>
  <si>
    <t>211.52</t>
  </si>
  <si>
    <t>153.57</t>
  </si>
  <si>
    <t>12.909005</t>
  </si>
  <si>
    <t>108.266229</t>
  </si>
  <si>
    <t>57.95</t>
  </si>
  <si>
    <t>12.916483</t>
  </si>
  <si>
    <t>108.266070</t>
  </si>
  <si>
    <t>full_h04/Đắk Lắk/Mạng cấp III Đắk Lắk.kmz/Mạng cấp III Đắk Lắk/Ring 2/KRông Năng - TT1 Đăk Lăk/Trung thế 477T2KBU__R56/13__164__475BHO</t>
  </si>
  <si>
    <t>DLBT1F-PC08</t>
  </si>
  <si>
    <t>12.693274</t>
  </si>
  <si>
    <t>108.055156</t>
  </si>
  <si>
    <t>13.071469</t>
  </si>
  <si>
    <t>109.275869</t>
  </si>
  <si>
    <t>FO thuê#VNPT#DLBT1F-DLBT80</t>
  </si>
  <si>
    <t>TT1 Đăk Lăk - ILA Ea Kar</t>
  </si>
  <si>
    <t>91981.11</t>
  </si>
  <si>
    <t>1359.62</t>
  </si>
  <si>
    <t>12.690893</t>
  </si>
  <si>
    <t>108.067450</t>
  </si>
  <si>
    <t>90621.49</t>
  </si>
  <si>
    <t>12.811566</t>
  </si>
  <si>
    <t>108.483311</t>
  </si>
  <si>
    <t>full_h04/Đắk Lắk/Mạng cấp II Đắk Lắk.kmz/Link 1/TT1 Đăk Lăk - ILA Ea Kar/Trung thế</t>
  </si>
  <si>
    <t>DLBT43-Thành Nhất</t>
  </si>
  <si>
    <t>12.68948</t>
  </si>
  <si>
    <t>108.01239</t>
  </si>
  <si>
    <t>12.68287</t>
  </si>
  <si>
    <t>108.0158</t>
  </si>
  <si>
    <t>FO thuê#VNPT#DLBT43-DLBT89</t>
  </si>
  <si>
    <t>Thành Nhất - Ea Nuôl</t>
  </si>
  <si>
    <t>844.35</t>
  </si>
  <si>
    <t>775.90</t>
  </si>
  <si>
    <t>12.682521</t>
  </si>
  <si>
    <t>108.011870</t>
  </si>
  <si>
    <t>68.45</t>
  </si>
  <si>
    <t>12.682445</t>
  </si>
  <si>
    <t>108.016256</t>
  </si>
  <si>
    <t>full_h04/Đắk Lắk/Mạng cấp IV Đắk Lắk.kmz/Mạng cấp IV Đắk Lắk/Đắk Lắk Ring 12.kmz/Đắk Lắk Ring 12/Thành Nhất - Ea Nuôl/Hạ Thế Nguyễn Thị Định Thành Nhất</t>
  </si>
  <si>
    <t>DLBT2F-PK02</t>
  </si>
  <si>
    <t>12.70708</t>
  </si>
  <si>
    <t>108.04527</t>
  </si>
  <si>
    <t>13.14724</t>
  </si>
  <si>
    <t>109.2846</t>
  </si>
  <si>
    <t>FO thuê#VNPT#DLBT2F-DLBT53</t>
  </si>
  <si>
    <t>97510.54</t>
  </si>
  <si>
    <t>3004.72</t>
  </si>
  <si>
    <t>94505.82</t>
  </si>
  <si>
    <t>DLBT2J-Tân An</t>
  </si>
  <si>
    <t>12.70474</t>
  </si>
  <si>
    <t>108.08224</t>
  </si>
  <si>
    <t>FO thuê#VNPT#DLBT2J-DLBT24</t>
  </si>
  <si>
    <t>277.89</t>
  </si>
  <si>
    <t>244.30</t>
  </si>
  <si>
    <t>12.706446</t>
  </si>
  <si>
    <t>108.080821</t>
  </si>
  <si>
    <t>33.59</t>
  </si>
  <si>
    <t>12.697137</t>
  </si>
  <si>
    <t>108.072342</t>
  </si>
  <si>
    <t>DLCG49-Cư M’gar</t>
  </si>
  <si>
    <t>12.83685</t>
  </si>
  <si>
    <t>108.08927</t>
  </si>
  <si>
    <t>FO thuê#VNPT#DLCG49-DLCG06</t>
  </si>
  <si>
    <t>176.16</t>
  </si>
  <si>
    <t>58.60</t>
  </si>
  <si>
    <t>12.836508</t>
  </si>
  <si>
    <t>108.089682</t>
  </si>
  <si>
    <t>117.56</t>
  </si>
  <si>
    <t>12.853426</t>
  </si>
  <si>
    <t>108.104358</t>
  </si>
  <si>
    <t>full_h04/Đắk Lắk/Mạng cấp III Đắk Lắk.kmz/Mạng cấp III Đắk Lắk/Ring 1/Cư M'ga - Buôn Hồ/Trung Thế</t>
  </si>
  <si>
    <t>DLEH22-Ea Hiao</t>
  </si>
  <si>
    <t>13.26235</t>
  </si>
  <si>
    <t>108.27593</t>
  </si>
  <si>
    <t>FO thuê#VNPT#DLEH22-DLEH07</t>
  </si>
  <si>
    <t>Trung thế 200</t>
  </si>
  <si>
    <t>105.32</t>
  </si>
  <si>
    <t>61.08</t>
  </si>
  <si>
    <t>13.262590</t>
  </si>
  <si>
    <t>108.276438</t>
  </si>
  <si>
    <t>44.24</t>
  </si>
  <si>
    <t>13.266167</t>
  </si>
  <si>
    <t>108.287032</t>
  </si>
  <si>
    <t>full_h04/Đắk Lắk/Mạng cấp IV Đắk Lắk.kmz/Mạng cấp IV Đắk Lắk/Đắk Lắk Ring 19.kmz/Ea Hiao - TTCMKV Ea H'leo/Trung thế 200/136(475EHL)__EaDrang</t>
  </si>
  <si>
    <t>DLCG04-Ea M’Droh</t>
  </si>
  <si>
    <t>12.874635</t>
  </si>
  <si>
    <t>107.987798</t>
  </si>
  <si>
    <t>FO thuê#VNPT#DLCG04-DLCG33</t>
  </si>
  <si>
    <t>Ea M’Droh - Ea Kiết</t>
  </si>
  <si>
    <t>404.88</t>
  </si>
  <si>
    <t>76.32</t>
  </si>
  <si>
    <t>12.874235</t>
  </si>
  <si>
    <t>107.988370</t>
  </si>
  <si>
    <t>328.56</t>
  </si>
  <si>
    <t>12.861001</t>
  </si>
  <si>
    <t>107.968200</t>
  </si>
  <si>
    <t>full_h04/Đắk Lắk/Mạng cấp IV Đắk Lắk.kmz/Mạng cấp IV Đắk Lắk/Đắk Lắk Ring 15.kmz/Ring Đắk Lắk 15/Ea M’Droh - Ea Kiết/Trung thế 474_471</t>
  </si>
  <si>
    <t>DLCG27-Ea M’Droh</t>
  </si>
  <si>
    <t>12.8385734</t>
  </si>
  <si>
    <t>107.9832697</t>
  </si>
  <si>
    <t>FO thuê#VNPT#DLCG27-DLCG33</t>
  </si>
  <si>
    <t>343.09</t>
  </si>
  <si>
    <t>265.54</t>
  </si>
  <si>
    <t>12.840204</t>
  </si>
  <si>
    <t>107.985059</t>
  </si>
  <si>
    <t>DLCK02-Cư Kuin</t>
  </si>
  <si>
    <t>108.175533</t>
  </si>
  <si>
    <t>12.55998</t>
  </si>
  <si>
    <t>108.1639</t>
  </si>
  <si>
    <t>FO thuê#VNPT#DLCK02-DLCK11</t>
  </si>
  <si>
    <t>TTCMKV Cư Kuin - Dang Kang</t>
  </si>
  <si>
    <t>1086.22</t>
  </si>
  <si>
    <t>528.90</t>
  </si>
  <si>
    <t>12.553849</t>
  </si>
  <si>
    <t>108.180274</t>
  </si>
  <si>
    <t>557.32</t>
  </si>
  <si>
    <t>12.561992</t>
  </si>
  <si>
    <t>108.168603</t>
  </si>
  <si>
    <t>full_h04/Đắk Lắk/Mạng cấp IV Đắk Lắk.kmz/Mạng cấp IV Đắk Lắk/Đắk Lắk Ring 4.kmz/Đắk Lắk Ring 4/TTCMKV Cư Kuin - Dang Kang/Trung thế 473KNA</t>
  </si>
  <si>
    <t>DLCK30-Cư Kuin</t>
  </si>
  <si>
    <t>12.57712</t>
  </si>
  <si>
    <t>108.16603</t>
  </si>
  <si>
    <t>FO thuê#VNPT#DLCK30-DLCK11</t>
  </si>
  <si>
    <t>Ea Ning - TTCMKV Cư Kuin</t>
  </si>
  <si>
    <t>1010.67</t>
  </si>
  <si>
    <t>452.05</t>
  </si>
  <si>
    <t>12.573183</t>
  </si>
  <si>
    <t>108.164991</t>
  </si>
  <si>
    <t>558.62</t>
  </si>
  <si>
    <t>12.561987</t>
  </si>
  <si>
    <t>108.168619</t>
  </si>
  <si>
    <t>full_h04/Đắk Lắk/Mạng cấp IV Đắk Lắk.kmz/Mạng cấp IV Đắk Lắk/Đắk Lắk Ring 2.kmz/Đắk Lắk Ring 2/Ea Ning - TTCMKV Cư Kuin/Trung thế 474KNA-473KNA</t>
  </si>
  <si>
    <t>DLEK50-Ea Kar</t>
  </si>
  <si>
    <t>12.80792</t>
  </si>
  <si>
    <t>108.43335</t>
  </si>
  <si>
    <t>12.81206</t>
  </si>
  <si>
    <t>108.4837</t>
  </si>
  <si>
    <t>FO thuê#VNPT#DLEK50-DLEK01</t>
  </si>
  <si>
    <t>161.05</t>
  </si>
  <si>
    <t>91.81</t>
  </si>
  <si>
    <t>12.807167</t>
  </si>
  <si>
    <t>108.433002</t>
  </si>
  <si>
    <t>69.25</t>
  </si>
  <si>
    <t>DLKN18-KRông Năng</t>
  </si>
  <si>
    <t>12.9566265</t>
  </si>
  <si>
    <t>108.3327644</t>
  </si>
  <si>
    <t>FO thuê#VNPT#DLKN18-DLKN27</t>
  </si>
  <si>
    <t>315.25</t>
  </si>
  <si>
    <t>279.26</t>
  </si>
  <si>
    <t>12.954125</t>
  </si>
  <si>
    <t>108.332991</t>
  </si>
  <si>
    <t>DLKN42-Dliê Ya</t>
  </si>
  <si>
    <t>13.13766</t>
  </si>
  <si>
    <t>108.3298</t>
  </si>
  <si>
    <t>FO thuê#VNPT#DLKN42-DLKN15</t>
  </si>
  <si>
    <t>565.14</t>
  </si>
  <si>
    <t>292.32</t>
  </si>
  <si>
    <t>13.136281</t>
  </si>
  <si>
    <t>108.327502</t>
  </si>
  <si>
    <t>DLKN47-Dliê Ya</t>
  </si>
  <si>
    <t>13.09118</t>
  </si>
  <si>
    <t>108.34029</t>
  </si>
  <si>
    <t>FO thuê#VNPT#DLKN47-DLKN15</t>
  </si>
  <si>
    <t>TTCMKV Buôn Hồ - Dliê Ya</t>
  </si>
  <si>
    <t>315.45</t>
  </si>
  <si>
    <t>132.01</t>
  </si>
  <si>
    <t>13.092209</t>
  </si>
  <si>
    <t>108.340898</t>
  </si>
  <si>
    <t>183.44</t>
  </si>
  <si>
    <t>13.114953</t>
  </si>
  <si>
    <t>108.330055</t>
  </si>
  <si>
    <t>full_h04/Đắk Lắk/Mạng cấp IV Đắk Lắk.kmz/Mạng cấp IV Đắk Lắk/Đắk Lắk Ring 19.kmz/TTCMKV Buôn Hồ - Dliê Ya/Trung thế BuonHo_116(472KRN)</t>
  </si>
  <si>
    <t>DLKP64-Cơ sở cai nghiện (X. Tân Tiến, H. Kron Pắc)</t>
  </si>
  <si>
    <t>12.6752961</t>
  </si>
  <si>
    <t>108.3412936</t>
  </si>
  <si>
    <t>12.65602</t>
  </si>
  <si>
    <t>108.3431</t>
  </si>
  <si>
    <t>FO thuê#VNPT#DLKP64-DLKP17</t>
  </si>
  <si>
    <t>Cơ sở cai nghiện (X. Tân Tiến, H. Kron Pắc) - TTCMKV Krong Pắc</t>
  </si>
  <si>
    <t>159.73</t>
  </si>
  <si>
    <t>90.58</t>
  </si>
  <si>
    <t>12.674484</t>
  </si>
  <si>
    <t>108.341233</t>
  </si>
  <si>
    <t>69.15</t>
  </si>
  <si>
    <t>12.655667</t>
  </si>
  <si>
    <t>108.343625</t>
  </si>
  <si>
    <t>full_h04/Đắk Lắk/Mạng cấp III Đắk Lắk.kmz/Mạng cấp III Đắk Lắk/Cơ sở cai nghiện (X. Tân Tiến, H. Kron Pắc) - TTCMKV Krong Pắc/Trung thế</t>
  </si>
  <si>
    <t>DLCG26-Cư M’gar</t>
  </si>
  <si>
    <t>12.886938</t>
  </si>
  <si>
    <t>108.108867</t>
  </si>
  <si>
    <t>FO thuê#VNPT#DLCG26-DLCG06</t>
  </si>
  <si>
    <t>324.75</t>
  </si>
  <si>
    <t>207.75</t>
  </si>
  <si>
    <t>12.887229</t>
  </si>
  <si>
    <t>108.110760</t>
  </si>
  <si>
    <t>DLKB38-Krông Búk</t>
  </si>
  <si>
    <t>13.06275</t>
  </si>
  <si>
    <t>108.22011</t>
  </si>
  <si>
    <t>FO thuê#VNPT#DLKB38-DLKB31</t>
  </si>
  <si>
    <t>Krông Búk - Ea Khăl</t>
  </si>
  <si>
    <t>1073.34</t>
  </si>
  <si>
    <t>847.69</t>
  </si>
  <si>
    <t>13.059899</t>
  </si>
  <si>
    <t>108.227368</t>
  </si>
  <si>
    <t>225.65</t>
  </si>
  <si>
    <t>13.038637</t>
  </si>
  <si>
    <t>108.220683</t>
  </si>
  <si>
    <t>full_h04/Đắk Lắk/Mạng cấp IV Đắk Lắk.kmz/Mạng cấp IV Đắk Lắk/Đắk Lắk Ring 17.kmz/Krông Búk - Ea Khăl/Trung thế</t>
  </si>
  <si>
    <t>DLBH11-Buôn Hồ</t>
  </si>
  <si>
    <t>12.903898</t>
  </si>
  <si>
    <t>108.262718</t>
  </si>
  <si>
    <t>FO thuê#VNPT#DLBH11-DLBH15</t>
  </si>
  <si>
    <t>381.06</t>
  </si>
  <si>
    <t>323.11</t>
  </si>
  <si>
    <t>12.904659</t>
  </si>
  <si>
    <t>108.265595</t>
  </si>
  <si>
    <t>DLBT82-TT1 Đăk Lăk</t>
  </si>
  <si>
    <t>12.67953</t>
  </si>
  <si>
    <t>108.04331</t>
  </si>
  <si>
    <t>12.6843</t>
  </si>
  <si>
    <t>108.0528</t>
  </si>
  <si>
    <t>FO thuê#CMC#DLBT82-DLBT09</t>
  </si>
  <si>
    <t>TT1 Đăk Lăk - KRông Ana</t>
  </si>
  <si>
    <t>531.51</t>
  </si>
  <si>
    <t>458.29</t>
  </si>
  <si>
    <t>12.681184</t>
  </si>
  <si>
    <t>108.047180</t>
  </si>
  <si>
    <t>73.21</t>
  </si>
  <si>
    <t>12.684740</t>
  </si>
  <si>
    <t>108.052298</t>
  </si>
  <si>
    <t>full_h04/Đắk Lắk/Mạng cấp III Đắk Lắk.kmz/Mạng cấp III Đắk Lắk/Ring 3/TT1 Đăk Lăk - KRông Ana/Cống bể Ban QLDA</t>
  </si>
  <si>
    <t>DLBT54-Trại tạm giam Buôn Mê Thuột</t>
  </si>
  <si>
    <t>12.6884</t>
  </si>
  <si>
    <t>108.035</t>
  </si>
  <si>
    <t>12.71203</t>
  </si>
  <si>
    <t>108.0661</t>
  </si>
  <si>
    <t>FO thuê#CMC#DLBT54-DLBT84</t>
  </si>
  <si>
    <t>CAT Đắk Lắk - Buôn Ma Thuột</t>
  </si>
  <si>
    <t>1548.06</t>
  </si>
  <si>
    <t>1247.22</t>
  </si>
  <si>
    <t>12.685477</t>
  </si>
  <si>
    <t>108.046100</t>
  </si>
  <si>
    <t>300.84</t>
  </si>
  <si>
    <t>12.710325</t>
  </si>
  <si>
    <t>108.068253</t>
  </si>
  <si>
    <t>full_h04/Đắk Lắk/Mạng cấp IV Đắk Lắk.kmz/Mạng cấp IV Đắk Lắk/Đắk Lắk Ring 23.kmz/Đắk Lắk Ring 23/CAT Đắk Lắk - Buôn Ma Thuột/trung Thế</t>
  </si>
  <si>
    <t>Trại tạm giam Buôn Mê Thuột-PC08</t>
  </si>
  <si>
    <t>FO thuê#CMC#DLBT84-DLBT80</t>
  </si>
  <si>
    <t>92205.65</t>
  </si>
  <si>
    <t>1584.15</t>
  </si>
  <si>
    <t>12.701527</t>
  </si>
  <si>
    <t>108.075967</t>
  </si>
  <si>
    <t>PC08-TT1 Đăk Lăk</t>
  </si>
  <si>
    <t>FO thuê#CMC#DLBT80-DLBT09</t>
  </si>
  <si>
    <t>92371.60</t>
  </si>
  <si>
    <t>1750.11</t>
  </si>
  <si>
    <t>TT1 Đăk Lăk-DLBT30</t>
  </si>
  <si>
    <t>12.65778</t>
  </si>
  <si>
    <t>108.04707</t>
  </si>
  <si>
    <t>FO thuê#CMC#DLBT09-DLBT30</t>
  </si>
  <si>
    <t>1974.77</t>
  </si>
  <si>
    <t>699.16</t>
  </si>
  <si>
    <t>12.681206</t>
  </si>
  <si>
    <t>108.047189</t>
  </si>
  <si>
    <t>1275.61</t>
  </si>
  <si>
    <t>12.668707</t>
  </si>
  <si>
    <t>108.043490</t>
  </si>
  <si>
    <t>full_h04/Đắk Lắk/Mạng cấp III Đắk Lắk.kmz/Mạng cấp III Đắk Lắk/Ring 3/TT1 Đăk Lăk - KRông Ana/Trung thế 478BMT</t>
  </si>
  <si>
    <t>TT1 Đăk Lăk-DLBT26</t>
  </si>
  <si>
    <t>12.6321944</t>
  </si>
  <si>
    <t>108.0273379</t>
  </si>
  <si>
    <t>FO thuê#CMC#DLBT09-DLBT26</t>
  </si>
  <si>
    <t>Ea Kao - Ea Ktur</t>
  </si>
  <si>
    <t>4391.47</t>
  </si>
  <si>
    <t>4070.81</t>
  </si>
  <si>
    <t>12.656804</t>
  </si>
  <si>
    <t>108.028026</t>
  </si>
  <si>
    <t>320.66</t>
  </si>
  <si>
    <t>12.632830</t>
  </si>
  <si>
    <t>108.030221</t>
  </si>
  <si>
    <t>full_h04/Đắk Lắk/Mạng cấp IV Đắk Lắk.kmz/Mạng cấp IV Đắk Lắk/Đắk Lắk Ring 2.kmz/Đắk Lắk Ring 2/Ea Kao - Ea Ktur/Trung thế</t>
  </si>
  <si>
    <t>DLBT07-TT1 Đăk Lăk</t>
  </si>
  <si>
    <t>12.690778</t>
  </si>
  <si>
    <t>108.06661</t>
  </si>
  <si>
    <t>FO thuê#CMC#DLBT07-DLBT09</t>
  </si>
  <si>
    <t>CAT Đắk Lắk - Tân An</t>
  </si>
  <si>
    <t>362.98</t>
  </si>
  <si>
    <t>284.67</t>
  </si>
  <si>
    <t>12.692307</t>
  </si>
  <si>
    <t>108.064505</t>
  </si>
  <si>
    <t>78.31</t>
  </si>
  <si>
    <t>12.684724</t>
  </si>
  <si>
    <t>108.052223</t>
  </si>
  <si>
    <t>full_h04/Đắk Lắk/Mạng cấp IV Đắk Lắk.kmz/Mạng cấp IV Đắk Lắk/Đắk Lắk Ring 13.kmz/ring 13/CAT Đắk Lắk - Tân An/Bể Ngầm BQL DA</t>
  </si>
  <si>
    <t>DLKN08-KRông Năng</t>
  </si>
  <si>
    <t>12.984655</t>
  </si>
  <si>
    <t>108.434933</t>
  </si>
  <si>
    <t>FO thuê#CMC#DLKN08-DLKN27</t>
  </si>
  <si>
    <t>TTCMKV Krông Năng - Tam Giang</t>
  </si>
  <si>
    <t>813.21</t>
  </si>
  <si>
    <t>784.60</t>
  </si>
  <si>
    <t>12.984244</t>
  </si>
  <si>
    <t>108.427704</t>
  </si>
  <si>
    <t>28.61</t>
  </si>
  <si>
    <t>12.951984</t>
  </si>
  <si>
    <t>108.344781</t>
  </si>
  <si>
    <t>full_h04/Đắk Lắk/Mạng cấp IV Đắk Lắk.kmz/Mạng cấp IV Đắk Lắk/Đắk Lắk Ring 20.kmz/TTCMKV Krông Năng - Tam Giang/Trung thế TamGiang__126</t>
  </si>
  <si>
    <t>Ea Tul-DLEH27</t>
  </si>
  <si>
    <t>12.9107</t>
  </si>
  <si>
    <t>108.1902</t>
  </si>
  <si>
    <t>13.147942</t>
  </si>
  <si>
    <t>108.128962</t>
  </si>
  <si>
    <t>FO thuê#CMC#DLCG03-DLEH27</t>
  </si>
  <si>
    <t>17290.89</t>
  </si>
  <si>
    <t>7793.81</t>
  </si>
  <si>
    <t>12.951309</t>
  </si>
  <si>
    <t>108.248815</t>
  </si>
  <si>
    <t>9497.08</t>
  </si>
  <si>
    <t>13.192185</t>
  </si>
  <si>
    <t>108.203992</t>
  </si>
  <si>
    <t>Buôn Hồ-DLBH10</t>
  </si>
  <si>
    <t>12.9208963</t>
  </si>
  <si>
    <t>108.2648507</t>
  </si>
  <si>
    <t>FO thuê#CMC#DLBH15-DLBH10</t>
  </si>
  <si>
    <t>Trung thế 318(477T2KBU)__15</t>
  </si>
  <si>
    <t>93.35</t>
  </si>
  <si>
    <t>56.69</t>
  </si>
  <si>
    <t>12.916477</t>
  </si>
  <si>
    <t>108.266079</t>
  </si>
  <si>
    <t>36.66</t>
  </si>
  <si>
    <t>12.920687</t>
  </si>
  <si>
    <t>108.264589</t>
  </si>
  <si>
    <t>full_h04/Đắk Lắk/Mạng cấp IV Đắk Lắk.kmz/Mạng cấp IV Đắk Lắk/Đắk Lắk Ring 17.kmz/"TTCMKV Thị xã Buôn Hồ - Pơng
Drang"/Trung thế 318(477T2KBU)__15/32(477T2KBU)</t>
  </si>
  <si>
    <t>PC08-DLBT2K</t>
  </si>
  <si>
    <t>12.6993</t>
  </si>
  <si>
    <t>108.0517</t>
  </si>
  <si>
    <t>FO thuê#CMC#DLBT80-DLBT2K</t>
  </si>
  <si>
    <t>92569.00</t>
  </si>
  <si>
    <t>1947.51</t>
  </si>
  <si>
    <t>Buôn Ma Thuột-DLBT96</t>
  </si>
  <si>
    <t>12.712313</t>
  </si>
  <si>
    <t>108.06892</t>
  </si>
  <si>
    <t>12.73505</t>
  </si>
  <si>
    <t>108.078</t>
  </si>
  <si>
    <t>FO thuê#CMC#DLBT11-DLBT96</t>
  </si>
  <si>
    <t>"Buôn Ma Thuột - TTCMKV Cư
M'gar"</t>
  </si>
  <si>
    <t>260.27</t>
  </si>
  <si>
    <t>75.59</t>
  </si>
  <si>
    <t>12.712070</t>
  </si>
  <si>
    <t>108.069571</t>
  </si>
  <si>
    <t>184.68</t>
  </si>
  <si>
    <t>12.733822</t>
  </si>
  <si>
    <t>108.079147</t>
  </si>
  <si>
    <t>full_h04/Đắk Lắk/Mạng cấp IV Đắk Lắk.kmz/Mạng cấp IV Đắk Lắk/Đắk Lắk Ring 23.kmz/Đắk Lắk Ring 23/"Buôn Ma Thuột - TTCMKV Cư
M'gar"/Trung Thế</t>
  </si>
  <si>
    <t>Krông Búk-DLKB30</t>
  </si>
  <si>
    <t>13.05126</t>
  </si>
  <si>
    <t>108.2152</t>
  </si>
  <si>
    <t>FO thuê#CMC#DLKB31-DLKB30</t>
  </si>
  <si>
    <t>Cư Pơng - Krông Búk</t>
  </si>
  <si>
    <t>1015.69</t>
  </si>
  <si>
    <t>115.74</t>
  </si>
  <si>
    <t>13.038184</t>
  </si>
  <si>
    <t>108.217640</t>
  </si>
  <si>
    <t>899.95</t>
  </si>
  <si>
    <t>13.043448</t>
  </si>
  <si>
    <t>108.213028</t>
  </si>
  <si>
    <t>full_h04/Đắk Lắk/Mạng cấp IV Đắk Lắk.kmz/Mạng cấp IV Đắk Lắk/Đắk Lắk Ring 17.kmz/Cư Pơng - Krông Búk/Hạ thế</t>
  </si>
  <si>
    <t>Pơng Drang-DLKB19</t>
  </si>
  <si>
    <t>12.9482705</t>
  </si>
  <si>
    <t>108.2535349</t>
  </si>
  <si>
    <t>FO thuê#CMC#DLKB36-DLKB19</t>
  </si>
  <si>
    <t>288.27</t>
  </si>
  <si>
    <t>186.28</t>
  </si>
  <si>
    <t>12.947990</t>
  </si>
  <si>
    <t>108.251840</t>
  </si>
  <si>
    <t>Krông Búk-Cư Pơng</t>
  </si>
  <si>
    <t>13.00979</t>
  </si>
  <si>
    <t>108.1509</t>
  </si>
  <si>
    <t>FO thuê#CMC#DLKB31-DLKB22</t>
  </si>
  <si>
    <t>938.27</t>
  </si>
  <si>
    <t>112.17</t>
  </si>
  <si>
    <t>13.008883</t>
  </si>
  <si>
    <t>108.150448</t>
  </si>
  <si>
    <t>Pơng Drang-Krông Búk</t>
  </si>
  <si>
    <t>FO thuê#CMC#DLKB36-DLKB31</t>
  </si>
  <si>
    <t>821.95</t>
  </si>
  <si>
    <t>719.96</t>
  </si>
  <si>
    <t>13.039525</t>
  </si>
  <si>
    <t>108.225184</t>
  </si>
  <si>
    <t>DLKB14-Pơng Drang</t>
  </si>
  <si>
    <t>12.940084</t>
  </si>
  <si>
    <t>108.23028</t>
  </si>
  <si>
    <t>FO thuê#CMC#DLKB14-DLKB36</t>
  </si>
  <si>
    <t>Ea Tul - Buôn Hồ</t>
  </si>
  <si>
    <t>1917.70</t>
  </si>
  <si>
    <t>126.75</t>
  </si>
  <si>
    <t>12.939247</t>
  </si>
  <si>
    <t>108.231073</t>
  </si>
  <si>
    <t>1790.95</t>
  </si>
  <si>
    <t>12.954533</t>
  </si>
  <si>
    <t>108.246934</t>
  </si>
  <si>
    <t>full_h04/Đắk Lắk/Mạng cấp IV Đắk Lắk.kmz/Mạng cấp IV Đắk Lắk/Đắk Lắk Ring 16.kmz/Đắk Lắk ring 16/Ea Tul - Buôn Hồ/Trung Thế</t>
  </si>
  <si>
    <t>DLKN03-KRông Năng</t>
  </si>
  <si>
    <t>13.04259</t>
  </si>
  <si>
    <t>108.3324</t>
  </si>
  <si>
    <t>FO thuê#CMC#DLKN03-DLKN27</t>
  </si>
  <si>
    <t>121.03</t>
  </si>
  <si>
    <t>85.03</t>
  </si>
  <si>
    <t>13.041829</t>
  </si>
  <si>
    <t>108.332318</t>
  </si>
  <si>
    <t>Buôn Hồ-DLEH08</t>
  </si>
  <si>
    <t>13.174432</t>
  </si>
  <si>
    <t>108.218662</t>
  </si>
  <si>
    <t>FO thuê#CMC#DLBH15-DLEH08</t>
  </si>
  <si>
    <t>150.20</t>
  </si>
  <si>
    <t>58.27</t>
  </si>
  <si>
    <t>12.916486</t>
  </si>
  <si>
    <t>108.266068</t>
  </si>
  <si>
    <t>91.93</t>
  </si>
  <si>
    <t>13.175211</t>
  </si>
  <si>
    <t>108.218376</t>
  </si>
  <si>
    <t>DLKN14-KRông Năng</t>
  </si>
  <si>
    <t>12.950532</t>
  </si>
  <si>
    <t>108.306427</t>
  </si>
  <si>
    <t>FO thuê#CMC#DLKN14-DLKN27</t>
  </si>
  <si>
    <t>Trung thế 474T2KBU__126__R56</t>
  </si>
  <si>
    <t>196.50</t>
  </si>
  <si>
    <t>165.63</t>
  </si>
  <si>
    <t>12.951854</t>
  </si>
  <si>
    <t>108.305722</t>
  </si>
  <si>
    <t>30.87</t>
  </si>
  <si>
    <t>12.951996</t>
  </si>
  <si>
    <t>108.344803</t>
  </si>
  <si>
    <t>full_h04/Đắk Lắk/Mạng cấp III Đắk Lắk.kmz/Mạng cấp III Đắk Lắk/Ring 2/KRông Năng - TT1 Đăk Lăk/Trung thế 474T2KBU__126__R56/13__477T2KBU</t>
  </si>
  <si>
    <t>Buôn Hồ-DLKN14</t>
  </si>
  <si>
    <t>FO thuê#CMC#DLBH15-DLKN14</t>
  </si>
  <si>
    <t>223.08</t>
  </si>
  <si>
    <t>58.00</t>
  </si>
  <si>
    <t>12.916521</t>
  </si>
  <si>
    <t>108.266099</t>
  </si>
  <si>
    <t>165.08</t>
  </si>
  <si>
    <t>12.951842</t>
  </si>
  <si>
    <t>108.305711</t>
  </si>
  <si>
    <t>Dliê Ya-KRông Năng</t>
  </si>
  <si>
    <t>FO thuê#CMC#DLKN15-DLKN27</t>
  </si>
  <si>
    <t>4309.11</t>
  </si>
  <si>
    <t>4125.67</t>
  </si>
  <si>
    <t>12.959835</t>
  </si>
  <si>
    <t>108.307524</t>
  </si>
  <si>
    <t>Ea Hiao-Dliê Ya</t>
  </si>
  <si>
    <t>FO thuê#CMC#DLEH07-DLKN15</t>
  </si>
  <si>
    <t>Trung thế __235</t>
  </si>
  <si>
    <t>8933.98</t>
  </si>
  <si>
    <t>4630.83</t>
  </si>
  <si>
    <t>13.225431</t>
  </si>
  <si>
    <t>108.294114</t>
  </si>
  <si>
    <t>4303.16</t>
  </si>
  <si>
    <t>13.154978</t>
  </si>
  <si>
    <t>108.325789</t>
  </si>
  <si>
    <t>full_h04/Đắk Lắk/Mạng cấp IV Đắk Lắk.kmz/Mạng cấp IV Đắk Lắk/Đắk Lắk Ring 19.kmz/Dliê Ya - Ea Hiao/Trung thế __235/27(475EHL)</t>
  </si>
  <si>
    <t>DLEH18-Ea Hiao</t>
  </si>
  <si>
    <t>13.20129</t>
  </si>
  <si>
    <t>108.21557</t>
  </si>
  <si>
    <t>FO thuê#CMC#DLEH18-DLEH07</t>
  </si>
  <si>
    <t>153.88</t>
  </si>
  <si>
    <t>109.64</t>
  </si>
  <si>
    <t>13.201871</t>
  </si>
  <si>
    <t>108.214752</t>
  </si>
  <si>
    <t>Buôn Hồ-DLEH18</t>
  </si>
  <si>
    <t>FO thuê#CMC#DLBH15-DLEH18</t>
  </si>
  <si>
    <t>1026.28</t>
  </si>
  <si>
    <t>968.01</t>
  </si>
  <si>
    <t>13.204206</t>
  </si>
  <si>
    <t>108.207145</t>
  </si>
  <si>
    <t>Buôn Hồ-DLKN02</t>
  </si>
  <si>
    <t>12.8819829</t>
  </si>
  <si>
    <t>108.3861617</t>
  </si>
  <si>
    <t>FO thuê#CMC#DLBH15-DLKN02</t>
  </si>
  <si>
    <t>Ea Kar - KRông Năng</t>
  </si>
  <si>
    <t>9422.79</t>
  </si>
  <si>
    <t>9287.61</t>
  </si>
  <si>
    <t>12.924610</t>
  </si>
  <si>
    <t>108.351768</t>
  </si>
  <si>
    <t>135.18</t>
  </si>
  <si>
    <t>12.880810</t>
  </si>
  <si>
    <t>108.386491</t>
  </si>
  <si>
    <t>full_h04/Đắk Lắk/Mạng cấp III Đắk Lắk.kmz/Mạng cấp III Đắk Lắk/Ring 2/Ea Kar - KRông Năng/Trung thế 475EKA__103__386__475EKA</t>
  </si>
  <si>
    <t>Buôn Ma Thuột-DLBT22</t>
  </si>
  <si>
    <t>12.6978</t>
  </si>
  <si>
    <t>108.02938</t>
  </si>
  <si>
    <t>FO thuê#CMC#DLBT11-DLBT22</t>
  </si>
  <si>
    <t>2274.60</t>
  </si>
  <si>
    <t>76.38</t>
  </si>
  <si>
    <t>12.711752</t>
  </si>
  <si>
    <t>108.069326</t>
  </si>
  <si>
    <t>2198.21</t>
  </si>
  <si>
    <t>12.687672</t>
  </si>
  <si>
    <t>108.046783</t>
  </si>
  <si>
    <t>DLBT52-Buôn Ma Thuột</t>
  </si>
  <si>
    <t>12.68915</t>
  </si>
  <si>
    <t>108.04834</t>
  </si>
  <si>
    <t>FO thuê#CMC#DLBT52-DLBT11</t>
  </si>
  <si>
    <t>137.86</t>
  </si>
  <si>
    <t>61.48</t>
  </si>
  <si>
    <t>12.688961</t>
  </si>
  <si>
    <t>108.047808</t>
  </si>
  <si>
    <t>TT1 Đăk Lăk-DLBT45</t>
  </si>
  <si>
    <t>12.722173</t>
  </si>
  <si>
    <t>108.091853</t>
  </si>
  <si>
    <t>FO thuê#CMC#DLBT09-DLBT45</t>
  </si>
  <si>
    <t>1899.34</t>
  </si>
  <si>
    <t>149.24</t>
  </si>
  <si>
    <t>12.721553</t>
  </si>
  <si>
    <t>108.093073</t>
  </si>
  <si>
    <t>DLCG32-Ea Tul</t>
  </si>
  <si>
    <t>12.9595</t>
  </si>
  <si>
    <t>108.08953</t>
  </si>
  <si>
    <t>FO thuê#CMC#DLCG32-DLCG03</t>
  </si>
  <si>
    <t>7353.97</t>
  </si>
  <si>
    <t>7309.52</t>
  </si>
  <si>
    <t>12.899435</t>
  </si>
  <si>
    <t>108.116934</t>
  </si>
  <si>
    <t>44.45</t>
  </si>
  <si>
    <t>12.910539</t>
  </si>
  <si>
    <t>108.190575</t>
  </si>
  <si>
    <t>Cư Pơng-DLCG32</t>
  </si>
  <si>
    <t>FO thuê#CMC#DLKB22-DLCG32</t>
  </si>
  <si>
    <t>8547.33</t>
  </si>
  <si>
    <t>8435.16</t>
  </si>
  <si>
    <t>13.010324</t>
  </si>
  <si>
    <t>108.147325</t>
  </si>
  <si>
    <t>Buôn Hồ-DLBH02</t>
  </si>
  <si>
    <t>12.931363</t>
  </si>
  <si>
    <t>108.264228</t>
  </si>
  <si>
    <t>FO thuê#CMC#DLBH15-DLBH02</t>
  </si>
  <si>
    <t>259.18</t>
  </si>
  <si>
    <t>55.16</t>
  </si>
  <si>
    <t>12.916409</t>
  </si>
  <si>
    <t>108.266055</t>
  </si>
  <si>
    <t>204.02</t>
  </si>
  <si>
    <t>12.930183</t>
  </si>
  <si>
    <t>108.262786</t>
  </si>
  <si>
    <t>Cư M’gar-DLCG30</t>
  </si>
  <si>
    <t>12.8166</t>
  </si>
  <si>
    <t>108.071</t>
  </si>
  <si>
    <t>FO thuê#CMC#DLCG06-DLCG30</t>
  </si>
  <si>
    <t>1172.31</t>
  </si>
  <si>
    <t>1054.75</t>
  </si>
  <si>
    <t>12.823486</t>
  </si>
  <si>
    <t>DLCG41-Cư M’gar</t>
  </si>
  <si>
    <t>12.89177</t>
  </si>
  <si>
    <t>108.17996</t>
  </si>
  <si>
    <t>FO thuê#CMC#DLCG41-DLCG06</t>
  </si>
  <si>
    <t>235.06</t>
  </si>
  <si>
    <t>118.05</t>
  </si>
  <si>
    <t>12.892032</t>
  </si>
  <si>
    <t>108.181015</t>
  </si>
  <si>
    <t>Ea M’Droh-DLCG14</t>
  </si>
  <si>
    <t>12.830697</t>
  </si>
  <si>
    <t>108.033728</t>
  </si>
  <si>
    <t>FO thuê#CMC#DLCG33-DLCG14</t>
  </si>
  <si>
    <t>141.74</t>
  </si>
  <si>
    <t>64.19</t>
  </si>
  <si>
    <t>12.831251</t>
  </si>
  <si>
    <t>108.033561</t>
  </si>
  <si>
    <t>DLCG08-Ea M’Droh</t>
  </si>
  <si>
    <t>12.89577</t>
  </si>
  <si>
    <t>108.06609</t>
  </si>
  <si>
    <t>FO thuê#CMC#DLCG08-DLCG33</t>
  </si>
  <si>
    <t>7409.13</t>
  </si>
  <si>
    <t>7331.58</t>
  </si>
  <si>
    <t>12.831722</t>
  </si>
  <si>
    <t>108.050026</t>
  </si>
  <si>
    <t>Ea Tul-DLCG08</t>
  </si>
  <si>
    <t>FO thuê#CMC#DLCG03-DLCG08</t>
  </si>
  <si>
    <t>4978.63</t>
  </si>
  <si>
    <t>4934.18</t>
  </si>
  <si>
    <t>DLBH31-Ea Tul</t>
  </si>
  <si>
    <t>12.86139</t>
  </si>
  <si>
    <t>108.25827</t>
  </si>
  <si>
    <t>FO thuê#CMC#DLBH31-DLCG03</t>
  </si>
  <si>
    <t>6231.31</t>
  </si>
  <si>
    <t>6175.76</t>
  </si>
  <si>
    <t>55.55</t>
  </si>
  <si>
    <t>12.910633</t>
  </si>
  <si>
    <t>108.190708</t>
  </si>
  <si>
    <t>PYPY07-TT2 Tuy Hòa</t>
  </si>
  <si>
    <t>13.09204</t>
  </si>
  <si>
    <t>109.29591</t>
  </si>
  <si>
    <t>FO thuê#CMC#PYPY07-PYPY01</t>
  </si>
  <si>
    <t>TT2 Đăk Lăk (Tuy Hòa) - Cơ quan điều tra
 Tuy Hòa</t>
  </si>
  <si>
    <t>108.78</t>
  </si>
  <si>
    <t>102.57</t>
  </si>
  <si>
    <t>13.091844</t>
  </si>
  <si>
    <t>109.294985</t>
  </si>
  <si>
    <t>6.20</t>
  </si>
  <si>
    <t>13.094789</t>
  </si>
  <si>
    <t>109.292973</t>
  </si>
  <si>
    <t>full_h04/Đắk Lắk/Mạng cấp III Đắk Lắk.kmz/Mạng cấp III Phú Yên/Phú Yên_Ring phòng 2/TT2 Đăk Lăk (Tuy Hòa) - Cơ quan điều tra
 Tuy Hòa/Hạ thế</t>
  </si>
  <si>
    <t>Phú Yên-PYTH21</t>
  </si>
  <si>
    <t>13.0529675</t>
  </si>
  <si>
    <t>109.3105219</t>
  </si>
  <si>
    <t>13.0316</t>
  </si>
  <si>
    <t>109.2852</t>
  </si>
  <si>
    <t>FO thuê#CMC#PYPY33-PYTH21</t>
  </si>
  <si>
    <t>Phú Hòa 2 - Phú Yên</t>
  </si>
  <si>
    <t>2358.93</t>
  </si>
  <si>
    <t>13.052982</t>
  </si>
  <si>
    <t>109.310524</t>
  </si>
  <si>
    <t>2357.26</t>
  </si>
  <si>
    <t>13.045337</t>
  </si>
  <si>
    <t>109.301774</t>
  </si>
  <si>
    <t>full_h04/Đắk Lắk/Mạng cấp IV Đắk Lắk.kmz/Mạng cấp IV Phú Yên/Phú Yên_Ring 10/Phú Hòa 2 - Phú Yên/Hạ thế</t>
  </si>
  <si>
    <t>DLBHMA01-Buôn Hồ</t>
  </si>
  <si>
    <t>12.788935</t>
  </si>
  <si>
    <t>108.217171</t>
  </si>
  <si>
    <t>FO thuê#CMC#DLBHMA01-DLBH15</t>
  </si>
  <si>
    <t>Cư Bao - Ea Drông</t>
  </si>
  <si>
    <t>7373.48</t>
  </si>
  <si>
    <t>6845.67</t>
  </si>
  <si>
    <t>12.841982</t>
  </si>
  <si>
    <t>108.249215</t>
  </si>
  <si>
    <t>527.81</t>
  </si>
  <si>
    <t>12.911440</t>
  </si>
  <si>
    <t>108.266550</t>
  </si>
  <si>
    <t>full_h04/Đắk Lắk/Mạng cấp IV Đắk Lắk.kmz/Mạng cấp IV Đắk Lắk/Đắk Lắk Ring 13.kmz/ring 13/Cư Bao - Ea Drông/Trung thế</t>
  </si>
  <si>
    <t>TT1 Đăk Lăk-DLBHMA01</t>
  </si>
  <si>
    <t>FO thuê#CMC#DLBT09-DLBHMA01</t>
  </si>
  <si>
    <t>1807.41</t>
  </si>
  <si>
    <t>57.30</t>
  </si>
  <si>
    <t>12.789365</t>
  </si>
  <si>
    <t>108.217463</t>
  </si>
  <si>
    <t>Buôn Hồ-Ea Tul</t>
  </si>
  <si>
    <t>FO thuê#CMC#DLBH15-DLCG03</t>
  </si>
  <si>
    <t>110.70</t>
  </si>
  <si>
    <t>KRông Năng-Buôn Hồ</t>
  </si>
  <si>
    <t>FO thuê#CMC#DLKN27-DLBH15</t>
  </si>
  <si>
    <t>3821.65</t>
  </si>
  <si>
    <t>3790.77</t>
  </si>
  <si>
    <t>12.941436</t>
  </si>
  <si>
    <t>108.290012</t>
  </si>
  <si>
    <t>DLBT39-Hòa Phú</t>
  </si>
  <si>
    <t>12.614217</t>
  </si>
  <si>
    <t>107.946967</t>
  </si>
  <si>
    <t>12.61763</t>
  </si>
  <si>
    <t>107.9401</t>
  </si>
  <si>
    <t>FO thuê#CMC#DLBT39-DLBT1T</t>
  </si>
  <si>
    <t>Hòa Phú - Ea Na</t>
  </si>
  <si>
    <t>557.95</t>
  </si>
  <si>
    <t>527.65</t>
  </si>
  <si>
    <t>12.618945</t>
  </si>
  <si>
    <t>107.946550</t>
  </si>
  <si>
    <t>30.30</t>
  </si>
  <si>
    <t>12.617361</t>
  </si>
  <si>
    <t>107.940058</t>
  </si>
  <si>
    <t>full_h04/Đắk Lắk/Mạng cấp IV Đắk Lắk.kmz/Mạng cấp IV Đắk Lắk/Đắk Lắk Ring 11.kmz/Đắk Lắk Ring 11/Hòa Phú - Ea Na/hạ thế</t>
  </si>
  <si>
    <t>TT1 Đăk Lăk-DLBT1E</t>
  </si>
  <si>
    <t>12.68783</t>
  </si>
  <si>
    <t>108.06131</t>
  </si>
  <si>
    <t>FO thuê#CMC#DLBT09-DLBT1E</t>
  </si>
  <si>
    <t>TT1 Đak Lak - Krong Pak</t>
  </si>
  <si>
    <t>355.97</t>
  </si>
  <si>
    <t>72.49</t>
  </si>
  <si>
    <t>12.684662</t>
  </si>
  <si>
    <t>108.052244</t>
  </si>
  <si>
    <t>283.47</t>
  </si>
  <si>
    <t>12.689913</t>
  </si>
  <si>
    <t>108.059804</t>
  </si>
  <si>
    <t>full_h04/Đắk Lắk/Mạng cấp III Đắk Lắk.kmz/Mạng cấp III Đắk Lắk/Ring 2/TT1 Đak Lak - Krong Pak/CAT</t>
  </si>
  <si>
    <t>DLBT07-Tân An</t>
  </si>
  <si>
    <t>FO thuê#CMC#DLBT07-DLBT24</t>
  </si>
  <si>
    <t>125.55</t>
  </si>
  <si>
    <t>91.96</t>
  </si>
  <si>
    <t>PC08-PK02</t>
  </si>
  <si>
    <t>FO thuê#CMC#DLBT80-DLBT53</t>
  </si>
  <si>
    <t>3136.08</t>
  </si>
  <si>
    <t>2642.09</t>
  </si>
  <si>
    <t>13.091364</t>
  </si>
  <si>
    <t>109.289206</t>
  </si>
  <si>
    <t>493.99</t>
  </si>
  <si>
    <t>13.147905</t>
  </si>
  <si>
    <t>109.280089</t>
  </si>
  <si>
    <t>DLBT26-PC11</t>
  </si>
  <si>
    <t>13.09377</t>
  </si>
  <si>
    <t>109.2912</t>
  </si>
  <si>
    <t>FO thuê#CMC#DLBT26-DLBT60</t>
  </si>
  <si>
    <t>100845.75</t>
  </si>
  <si>
    <t>7844.66</t>
  </si>
  <si>
    <t>93001.10</t>
  </si>
  <si>
    <t>DLBT10-Trung tâm huấn luyện PX01</t>
  </si>
  <si>
    <t>12.66579</t>
  </si>
  <si>
    <t>108.03123</t>
  </si>
  <si>
    <t>12.67325</t>
  </si>
  <si>
    <t>108.0336</t>
  </si>
  <si>
    <t>FO thuê#CMC#DLBT10-DLBT72</t>
  </si>
  <si>
    <t>Trung tâm huấn luyện PX01 - TT1 Đăk Lăk</t>
  </si>
  <si>
    <t>870.47</t>
  </si>
  <si>
    <t>867.07</t>
  </si>
  <si>
    <t>12.673182</t>
  </si>
  <si>
    <t>108.033775</t>
  </si>
  <si>
    <t>3.41</t>
  </si>
  <si>
    <t>12.673265</t>
  </si>
  <si>
    <t>108.033628</t>
  </si>
  <si>
    <t>full_h04/Đắk Lắk/Mạng cấp III Đắk Lắk.kmz/Mạng cấp III Đắk Lắk/Trung tâm huấn luyện PX01 - TT1 Đăk Lăk/Nhập trạm</t>
  </si>
  <si>
    <t>TT1 Đăk Lăk-DLBT75</t>
  </si>
  <si>
    <t>12.68365</t>
  </si>
  <si>
    <t>108.0597</t>
  </si>
  <si>
    <t>FO thuê#CMC#DLBT09-DLBT75</t>
  </si>
  <si>
    <t>TT1 Đăk Lăk - ILA Ea Pal</t>
  </si>
  <si>
    <t>278.42</t>
  </si>
  <si>
    <t>225.88</t>
  </si>
  <si>
    <t>12.683053</t>
  </si>
  <si>
    <t>108.051156</t>
  </si>
  <si>
    <t>52.55</t>
  </si>
  <si>
    <t>12.683981</t>
  </si>
  <si>
    <t>108.059354</t>
  </si>
  <si>
    <t>full_h04/Đắk Lắk/Mạng cấp II Đắk Lắk.kmz/Link 2/TT1 Đăk Lăk - ILA Ea Pal/Trung thế</t>
  </si>
  <si>
    <t>DLBT10-Ea Kao</t>
  </si>
  <si>
    <t>12.66006</t>
  </si>
  <si>
    <t>108.0303</t>
  </si>
  <si>
    <t>FO thuê#CMC#DLBT10-DLBT88</t>
  </si>
  <si>
    <t>CAT Đắk Lắk - Ea Kao</t>
  </si>
  <si>
    <t>560.96</t>
  </si>
  <si>
    <t>471.01</t>
  </si>
  <si>
    <t>12.662886</t>
  </si>
  <si>
    <t>108.034390</t>
  </si>
  <si>
    <t>89.95</t>
  </si>
  <si>
    <t>12.660361</t>
  </si>
  <si>
    <t>108.031069</t>
  </si>
  <si>
    <t>full_h04/Đắk Lắk/Mạng cấp IV Đắk Lắk.kmz/Mạng cấp IV Đắk Lắk/Đắk Lắk Ring 2.kmz/Đắk Lắk Ring 2/CAT Đắk Lắk - Ea Kao/Trung thế -477BMT</t>
  </si>
  <si>
    <t>DLBT29-Tân Lập</t>
  </si>
  <si>
    <t>12.68652</t>
  </si>
  <si>
    <t>108.09521</t>
  </si>
  <si>
    <t>FO thuê#CMC#DLBT29-DLBT05</t>
  </si>
  <si>
    <t>1300.24</t>
  </si>
  <si>
    <t>1181.25</t>
  </si>
  <si>
    <t>12.679326</t>
  </si>
  <si>
    <t>108.087198</t>
  </si>
  <si>
    <t>DLBT20-Thành Nhất</t>
  </si>
  <si>
    <t>12.67664</t>
  </si>
  <si>
    <t>107.99387</t>
  </si>
  <si>
    <t>FO thuê#CMC#DLBT20-DLBT89</t>
  </si>
  <si>
    <t>434.70</t>
  </si>
  <si>
    <t>22.72</t>
  </si>
  <si>
    <t>12.676813</t>
  </si>
  <si>
    <t>107.993981</t>
  </si>
  <si>
    <t>411.98</t>
  </si>
  <si>
    <t>12.682619</t>
  </si>
  <si>
    <t>108.012011</t>
  </si>
  <si>
    <t>full_h04/Đắk Lắk/Mạng cấp IV Đắk Lắk.kmz/Mạng cấp IV Đắk Lắk/Đắk Lắk Ring 12.kmz/Đắk Lắk Ring 12/Thành Nhất - Ea Nuôl/Trung thế Buôn Đôn Ea Nuôil</t>
  </si>
  <si>
    <t>Trại tạm giam Buôn Mê Thuột-DLBT44</t>
  </si>
  <si>
    <t>12.7249</t>
  </si>
  <si>
    <t>108.0505</t>
  </si>
  <si>
    <t>FO thuê#CMC#DLBT84-DLBT44</t>
  </si>
  <si>
    <t>Trại tạm giam Buôn Mê Thuột  - TT1 Đăk Lăk</t>
  </si>
  <si>
    <t>2288.04</t>
  </si>
  <si>
    <t>37.88</t>
  </si>
  <si>
    <t>12.711841</t>
  </si>
  <si>
    <t>108.066391</t>
  </si>
  <si>
    <t>2250.16</t>
  </si>
  <si>
    <t>12.712285</t>
  </si>
  <si>
    <t>108.066721</t>
  </si>
  <si>
    <t>full_h04/Đắk Lắk/Mạng cấp III Đắk Lắk.kmz/Mạng cấp III Đắk Lắk/Trại tạm giam Buôn Mê Thuột  - TT1 Đăk Lăk/Trụ nhập trạm</t>
  </si>
  <si>
    <t>DLBT36-Cuôr Đăng</t>
  </si>
  <si>
    <t>12.73621</t>
  </si>
  <si>
    <t>108.14301</t>
  </si>
  <si>
    <t>12.75332</t>
  </si>
  <si>
    <t>108.1683</t>
  </si>
  <si>
    <t>FO thuê#CMC#DLBT36-DLBT25</t>
  </si>
  <si>
    <t>190.27</t>
  </si>
  <si>
    <t>88.89</t>
  </si>
  <si>
    <t>12.736509</t>
  </si>
  <si>
    <t>108.142250</t>
  </si>
  <si>
    <t>101.38</t>
  </si>
  <si>
    <t>12.753319</t>
  </si>
  <si>
    <t>108.169235</t>
  </si>
  <si>
    <t>Buôn Hồ-DLBH07</t>
  </si>
  <si>
    <t>12.909897</t>
  </si>
  <si>
    <t>108.270875</t>
  </si>
  <si>
    <t>FO thuê#CMC#DLBH15-DLBH07</t>
  </si>
  <si>
    <t>547.86</t>
  </si>
  <si>
    <t>489.91</t>
  </si>
  <si>
    <t>12.911094</t>
  </si>
  <si>
    <t>108.266525</t>
  </si>
  <si>
    <t>PYDH36-Phú Yên</t>
  </si>
  <si>
    <t>13.0395</t>
  </si>
  <si>
    <t>109.3046</t>
  </si>
  <si>
    <t>FO thuê#VNPT#PYDH36-PYPY33</t>
  </si>
  <si>
    <t>602.63</t>
  </si>
  <si>
    <t>600.95</t>
  </si>
  <si>
    <t>13.044897</t>
  </si>
  <si>
    <t>109.304889</t>
  </si>
  <si>
    <t>PYDH09-Phú Yên</t>
  </si>
  <si>
    <t>FO thuê#VNPT#PYDH09-PYPY33</t>
  </si>
  <si>
    <t>1303.29</t>
  </si>
  <si>
    <t>1301.62</t>
  </si>
  <si>
    <t>Phú Yên-PYDH05</t>
  </si>
  <si>
    <t>13.01722</t>
  </si>
  <si>
    <t>109.33051</t>
  </si>
  <si>
    <t>FO thuê#VNPT#PYPY33-PYDH05</t>
  </si>
  <si>
    <t>CAT PHÚ YÊN - Cảng hàng không Tuy Hòa</t>
  </si>
  <si>
    <t>3368.71</t>
  </si>
  <si>
    <t>1421.45</t>
  </si>
  <si>
    <t>13.052278</t>
  </si>
  <si>
    <t>109.323625</t>
  </si>
  <si>
    <t>1947.25</t>
  </si>
  <si>
    <t>13.033217</t>
  </si>
  <si>
    <t>109.323196</t>
  </si>
  <si>
    <t>full_h04/Đắk Lắk/Mạng cấp III Đắk Lắk.kmz/Mạng cấp III Phú Yên/Phú Yên_Ring phòng 4/CAT PHÚ YÊN - Cảng hàng không Tuy Hòa/Trung thế</t>
  </si>
  <si>
    <t>PYDH19-Hòa Xuân</t>
  </si>
  <si>
    <t>12.97522</t>
  </si>
  <si>
    <t>109.32653</t>
  </si>
  <si>
    <t>12.908726</t>
  </si>
  <si>
    <t>109.36974</t>
  </si>
  <si>
    <t>FO thuê#VNPT#PYDH19-PYDH11</t>
  </si>
  <si>
    <t>Đông Hòa - Hòa Xuân</t>
  </si>
  <si>
    <t>3778.71</t>
  </si>
  <si>
    <t>3773.93</t>
  </si>
  <si>
    <t>12.953796</t>
  </si>
  <si>
    <t>109.353542</t>
  </si>
  <si>
    <t>4.77</t>
  </si>
  <si>
    <t>12.908752</t>
  </si>
  <si>
    <t>109.369775</t>
  </si>
  <si>
    <t>full_h04/Đắk Lắk/Mạng cấp IV Đắk Lắk.kmz/Mạng cấp IV Phú Yên/Phú Yên_Ring 11/Đông Hòa - Hòa Xuân/Trung thế</t>
  </si>
  <si>
    <t>Hòa Xuân-PYDH17</t>
  </si>
  <si>
    <t>12.95934</t>
  </si>
  <si>
    <t>109.40238</t>
  </si>
  <si>
    <t>FO thuê#VNPT#PYDH11-PYDH17</t>
  </si>
  <si>
    <t>4854.89</t>
  </si>
  <si>
    <t>4850.12</t>
  </si>
  <si>
    <t>12.948195</t>
  </si>
  <si>
    <t>109.359108</t>
  </si>
  <si>
    <t>PYDH09-TTCMKV Đông Hòa</t>
  </si>
  <si>
    <t>12.990696</t>
  </si>
  <si>
    <t>109.33169</t>
  </si>
  <si>
    <t>FO thuê#VNPT#PYDH09-PYDH20</t>
  </si>
  <si>
    <t>TTCMKV Tây Hòa - Đông Hòa</t>
  </si>
  <si>
    <t>4456.05</t>
  </si>
  <si>
    <t>4090.97</t>
  </si>
  <si>
    <t>12.998060</t>
  </si>
  <si>
    <t>109.303864</t>
  </si>
  <si>
    <t>12.993864</t>
  </si>
  <si>
    <t>109.330805</t>
  </si>
  <si>
    <t>full_h04/Đắk Lắk/Mạng cấp IV Đắk Lắk.kmz/Mạng cấp IV Phú Yên/Phú Yên_Ring 11/TTCMKV Tây Hòa - Đông Hòa/Trung thế</t>
  </si>
  <si>
    <t>TTCMKV Đông Hòa-PYDH12</t>
  </si>
  <si>
    <t>12.94611</t>
  </si>
  <si>
    <t>109.33923</t>
  </si>
  <si>
    <t>FO thuê#VNPT#PYDH20-PYDH12</t>
  </si>
  <si>
    <t>3130.16</t>
  </si>
  <si>
    <t>34.04</t>
  </si>
  <si>
    <t>12.990998</t>
  </si>
  <si>
    <t>109.331638</t>
  </si>
  <si>
    <t>3096.11</t>
  </si>
  <si>
    <t>12.973879</t>
  </si>
  <si>
    <t>109.337135</t>
  </si>
  <si>
    <t>PYDH30-Hòa Hiệp (CS2)</t>
  </si>
  <si>
    <t>12.99888</t>
  </si>
  <si>
    <t>109.36395</t>
  </si>
  <si>
    <t>12.99784</t>
  </si>
  <si>
    <t>109.3701</t>
  </si>
  <si>
    <t>FO thuê#VNPT#PYDH30-PYDH24</t>
  </si>
  <si>
    <t>Hòa Hiệp - Hòa Hiệp CS2</t>
  </si>
  <si>
    <t>172.82</t>
  </si>
  <si>
    <t>142.46</t>
  </si>
  <si>
    <t>12.997872</t>
  </si>
  <si>
    <t>109.363138</t>
  </si>
  <si>
    <t>12.997567</t>
  </si>
  <si>
    <t>109.370097</t>
  </si>
  <si>
    <t>full_h04/Đắk Lắk/Mạng cấp IV Đắk Lắk.kmz/Mạng cấp IV Phú Yên/Phú Yên_Ring 11/Hòa Hiệp - Hòa Hiệp CS2/Trung thế</t>
  </si>
  <si>
    <t>Hòa Hiệp (CS2)-PYPY09</t>
  </si>
  <si>
    <t>13.06397</t>
  </si>
  <si>
    <t>109.32752</t>
  </si>
  <si>
    <t>FO thuê#VNPT#PYDH24-PYPY09</t>
  </si>
  <si>
    <t>Cảng hàng không Tuy Hòa - TTCMKV Đông
 Hòa</t>
  </si>
  <si>
    <t>3338.19</t>
  </si>
  <si>
    <t>769.43</t>
  </si>
  <si>
    <t>12.998116</t>
  </si>
  <si>
    <t>109.363004</t>
  </si>
  <si>
    <t>2568.76</t>
  </si>
  <si>
    <t>13.050817</t>
  </si>
  <si>
    <t>109.347016</t>
  </si>
  <si>
    <t>full_h04/Đắk Lắk/Mạng cấp III Đắk Lắk.kmz/Mạng cấp III Phú Yên/Phú Yên_Ring phòng 4/Cảng hàng không Tuy Hòa - TTCMKV Đông
 Hòa/Trung thế</t>
  </si>
  <si>
    <t>PYPY35-TT2 Tuy Hòa</t>
  </si>
  <si>
    <t>13.066879</t>
  </si>
  <si>
    <t>109.335538</t>
  </si>
  <si>
    <t>FO thuê#VNPT#PYPY35-PYPY01</t>
  </si>
  <si>
    <t>2396.39</t>
  </si>
  <si>
    <t>475.78</t>
  </si>
  <si>
    <t>13.065352</t>
  </si>
  <si>
    <t>109.331435</t>
  </si>
  <si>
    <t>1920.62</t>
  </si>
  <si>
    <t>13.087067</t>
  </si>
  <si>
    <t>109.308887</t>
  </si>
  <si>
    <t>full_h04/Đắk Lắk/Mạng cấp III Đắk Lắk.kmz/Mạng cấp III Phú Yên/Phú Yên_Ring phòng 4/CAT PHÚ YÊN - Cảng hàng không Tuy Hòa/CAT PHÚ YÊN - Cảng hàng không Tuy Hòa-Ngầm vnpt</t>
  </si>
  <si>
    <t>PYTH17-Sơn Thành</t>
  </si>
  <si>
    <t>12.99271</t>
  </si>
  <si>
    <t>109.13042</t>
  </si>
  <si>
    <t>FO thuê#VNPT#PYTH17-PYTH01</t>
  </si>
  <si>
    <t>Sơn Thành - Hòa Mỹ</t>
  </si>
  <si>
    <t>387.99</t>
  </si>
  <si>
    <t>235.18</t>
  </si>
  <si>
    <t>12.990932</t>
  </si>
  <si>
    <t>109.129245</t>
  </si>
  <si>
    <t>152.82</t>
  </si>
  <si>
    <t>12.983090</t>
  </si>
  <si>
    <t>109.095788</t>
  </si>
  <si>
    <t>full_h04/Đắk Lắk/Mạng cấp IV Đắk Lắk.kmz/Mạng cấp IV Phú Yên/Phú Yên_Ring 8/Sơn Thành - Hòa Mỹ/Trung thế</t>
  </si>
  <si>
    <t>PYDH10-Đức Bình</t>
  </si>
  <si>
    <t>12.98791</t>
  </si>
  <si>
    <t>109.27635</t>
  </si>
  <si>
    <t>12.932763</t>
  </si>
  <si>
    <t>109.239138</t>
  </si>
  <si>
    <t>FO thuê#VNPT#PYDH10-PYTH03</t>
  </si>
  <si>
    <t>Hòa Thịnh - TTCMKV Tây Hòa</t>
  </si>
  <si>
    <t>5803.89</t>
  </si>
  <si>
    <t>2824.82</t>
  </si>
  <si>
    <t>12.997174</t>
  </si>
  <si>
    <t>109.252074</t>
  </si>
  <si>
    <t>2979.08</t>
  </si>
  <si>
    <t>12.957408</t>
  </si>
  <si>
    <t>109.228356</t>
  </si>
  <si>
    <t>full_h04/Đắk Lắk/Mạng cấp IV Đắk Lắk.kmz/Mạng cấp IV Phú Yên/Phú Yên_Ring 8/Hòa Thịnh - TTCMKV Tây Hòa/Trung thế</t>
  </si>
  <si>
    <t>Đức Bình-Hòa Mỹ</t>
  </si>
  <si>
    <t>12.96442</t>
  </si>
  <si>
    <t>109.18387</t>
  </si>
  <si>
    <t>FO thuê#VNPT#PYTH03-PYTH06</t>
  </si>
  <si>
    <t>Hòa Mỹ - Hòa Thịnh</t>
  </si>
  <si>
    <t>1229.79</t>
  </si>
  <si>
    <t>1217.93</t>
  </si>
  <si>
    <t>12.936411</t>
  </si>
  <si>
    <t>109.228541</t>
  </si>
  <si>
    <t>11.86</t>
  </si>
  <si>
    <t>12.964506</t>
  </si>
  <si>
    <t>109.183935</t>
  </si>
  <si>
    <t>full_h04/Đắk Lắk/Mạng cấp IV Đắk Lắk.kmz/Mạng cấp IV Phú Yên/Phú Yên_Ring 8/Hòa Mỹ - Hòa Thịnh/Trung thế</t>
  </si>
  <si>
    <t>Hòa Mỹ-Sơn Thành</t>
  </si>
  <si>
    <t>FO thuê#VNPT#PYTH06-PYTH01</t>
  </si>
  <si>
    <t>2614.81</t>
  </si>
  <si>
    <t>2463.61</t>
  </si>
  <si>
    <t>12.979671</t>
  </si>
  <si>
    <t>109.167378</t>
  </si>
  <si>
    <t>PYTH12-Sơn Thành</t>
  </si>
  <si>
    <t>12.93258</t>
  </si>
  <si>
    <t>109.15484</t>
  </si>
  <si>
    <t>FO thuê#VNPT#PYTH12-PYTH01</t>
  </si>
  <si>
    <t>4957.51</t>
  </si>
  <si>
    <t>4806.30</t>
  </si>
  <si>
    <t>12.975726</t>
  </si>
  <si>
    <t>109.157507</t>
  </si>
  <si>
    <t>Sơn Thành-PYTH10</t>
  </si>
  <si>
    <t>12.9638</t>
  </si>
  <si>
    <t>109.0539</t>
  </si>
  <si>
    <t>FO thuê#VNPT#PYTH01-PYTH10</t>
  </si>
  <si>
    <t>Đức Bình - Sơn Thành</t>
  </si>
  <si>
    <t>155.02</t>
  </si>
  <si>
    <t>109.65</t>
  </si>
  <si>
    <t>12.984125</t>
  </si>
  <si>
    <t>109.094340</t>
  </si>
  <si>
    <t>45.37</t>
  </si>
  <si>
    <t>12.963513</t>
  </si>
  <si>
    <t>109.054197</t>
  </si>
  <si>
    <t>full_h04/Đắk Lắk/Mạng cấp IV Đắk Lắk.kmz/Mạng cấp IV Phú Yên/Phú Yên_Ring 8/Đức Bình - Sơn Thành/Trung thế</t>
  </si>
  <si>
    <t>PYTH10-Sơn Thành</t>
  </si>
  <si>
    <t>FO thuê#VNPT#PYTH10-PYTH01</t>
  </si>
  <si>
    <t>PYSA14-Vân Hòa</t>
  </si>
  <si>
    <t>13.085069</t>
  </si>
  <si>
    <t>108.954368</t>
  </si>
  <si>
    <t>13.0497487</t>
  </si>
  <si>
    <t>108.9789</t>
  </si>
  <si>
    <t>FO thuê#VNPT#PYSA14-PYSA16</t>
  </si>
  <si>
    <t>Suối Trai - Sơn Hòa</t>
  </si>
  <si>
    <t>131.52</t>
  </si>
  <si>
    <t>104.16</t>
  </si>
  <si>
    <t>13.085635</t>
  </si>
  <si>
    <t>108.955135</t>
  </si>
  <si>
    <t>27.36</t>
  </si>
  <si>
    <t>13.049846</t>
  </si>
  <si>
    <t>108.978668</t>
  </si>
  <si>
    <t>full_h04/Đắk Lắk/Mạng cấp IV Đắk Lắk.kmz/Mạng cấp IV Phú Yên/Phú Yên_Ring 6/Suối Trai - Sơn Hòa/Trung thế</t>
  </si>
  <si>
    <t>Vân Hòa-PYSA10</t>
  </si>
  <si>
    <t>FO thuê#VNPT#PYSA16-PYSA10</t>
  </si>
  <si>
    <t>Sơn Hòa - CAX Sơn Định (Sơn Hòa)</t>
  </si>
  <si>
    <t>244.22</t>
  </si>
  <si>
    <t>26.55</t>
  </si>
  <si>
    <t>13.049869</t>
  </si>
  <si>
    <t>108.978688</t>
  </si>
  <si>
    <t>217.67</t>
  </si>
  <si>
    <t>13.065547</t>
  </si>
  <si>
    <t>109.024782</t>
  </si>
  <si>
    <t>full_h04/Đắk Lắk/Mạng cấp III Đắk Lắk.kmz/Mạng cấp III Phú Yên/Ring 5/Sơn Hòa - CAX Sơn Định (Sơn Hòa)/Sơn Hòa - CAX Sơn Định (Sơn Hòa)-TT-01</t>
  </si>
  <si>
    <t>PYPH26-Phú Hòa</t>
  </si>
  <si>
    <t>13.010007</t>
  </si>
  <si>
    <t>109.161929</t>
  </si>
  <si>
    <t>FO thuê#VNPT#PYPH26-PYPH04</t>
  </si>
  <si>
    <t>677.65</t>
  </si>
  <si>
    <t>144.37</t>
  </si>
  <si>
    <t>13.011045</t>
  </si>
  <si>
    <t>109.162729</t>
  </si>
  <si>
    <t>Phú Hòa-PYPH09</t>
  </si>
  <si>
    <t>13.05668</t>
  </si>
  <si>
    <t>109.19698</t>
  </si>
  <si>
    <t>FO thuê#VNPT#PYPH04-PYPH09</t>
  </si>
  <si>
    <t>TTCMKV Phú Hòa - Phú Hòa 2</t>
  </si>
  <si>
    <t>3389.35</t>
  </si>
  <si>
    <t>147.21</t>
  </si>
  <si>
    <t>13.023841</t>
  </si>
  <si>
    <t>109.205874</t>
  </si>
  <si>
    <t>3242.14</t>
  </si>
  <si>
    <t>13.028377</t>
  </si>
  <si>
    <t>109.204170</t>
  </si>
  <si>
    <t>full_h04/Đắk Lắk/Mạng cấp IV Đắk Lắk.kmz/Mạng cấp IV Phú Yên/Phú Yên_Ring 10/TTCMKV Phú Hòa - Phú Hòa 2/Hạ thế</t>
  </si>
  <si>
    <t>PYPH13-TT2 Tuy Hòa</t>
  </si>
  <si>
    <t>13.08552</t>
  </si>
  <si>
    <t>109.27605</t>
  </si>
  <si>
    <t>FO thuê#VNPT#PYPH13-PYPY01</t>
  </si>
  <si>
    <t>862.52</t>
  </si>
  <si>
    <t>857.20</t>
  </si>
  <si>
    <t>13.081012</t>
  </si>
  <si>
    <t>109.282470</t>
  </si>
  <si>
    <t>13.094755</t>
  </si>
  <si>
    <t>109.292953</t>
  </si>
  <si>
    <t>PYPH06-Phú Hòa</t>
  </si>
  <si>
    <t>13.0148</t>
  </si>
  <si>
    <t>FO thuê#VNPT#PYPH06-PYPH04</t>
  </si>
  <si>
    <t>584.06</t>
  </si>
  <si>
    <t>50.78</t>
  </si>
  <si>
    <t>13.014644</t>
  </si>
  <si>
    <t>109.194960</t>
  </si>
  <si>
    <t>Phú Hòa 2-PYPH18</t>
  </si>
  <si>
    <t>13.082015</t>
  </si>
  <si>
    <t>109.216297</t>
  </si>
  <si>
    <t>13.079425</t>
  </si>
  <si>
    <t>109.259634</t>
  </si>
  <si>
    <t>FO thuê#VNPT#PYPH03-PYPH18</t>
  </si>
  <si>
    <t>3413.53</t>
  </si>
  <si>
    <t>2620.96</t>
  </si>
  <si>
    <t>13.078117</t>
  </si>
  <si>
    <t>109.240162</t>
  </si>
  <si>
    <t>792.57</t>
  </si>
  <si>
    <t>13.075572</t>
  </si>
  <si>
    <t>109.253478</t>
  </si>
  <si>
    <t>full_h04/Đắk Lắk/Mạng cấp IV Đắk Lắk.kmz/Mạng cấp IV Phú Yên/Phú Yên_Ring 10/Phú Hòa 2 - Phú Yên/Trung thế</t>
  </si>
  <si>
    <t>PYPY05-TT2 Tuy Hòa</t>
  </si>
  <si>
    <t>13.07887</t>
  </si>
  <si>
    <t>109.29451</t>
  </si>
  <si>
    <t>FO thuê#VNPT#PYPY05-PYPY01</t>
  </si>
  <si>
    <t>Tây Hòa - TT2 Tuy Hòa</t>
  </si>
  <si>
    <t>379.27</t>
  </si>
  <si>
    <t>373.33</t>
  </si>
  <si>
    <t>13.081463</t>
  </si>
  <si>
    <t>109.292321</t>
  </si>
  <si>
    <t>5.94</t>
  </si>
  <si>
    <t>13.094739</t>
  </si>
  <si>
    <t>109.292945</t>
  </si>
  <si>
    <t>full_h04/Đắk Lắk/Mạng cấp III Đắk Lắk.kmz/Mạng cấp III Phú Yên/Ring 4/Tây Hòa - TT2 Tuy Hòa/Trung thế</t>
  </si>
  <si>
    <t>Phú Hòa-Phú Hòa 2</t>
  </si>
  <si>
    <t>FO thuê#VNPT#PYPH04-PYPH03</t>
  </si>
  <si>
    <t>TT2 Tuy Hòa - Phú Hòa</t>
  </si>
  <si>
    <t>5360.61</t>
  </si>
  <si>
    <t>11.26</t>
  </si>
  <si>
    <t>13.023193</t>
  </si>
  <si>
    <t>109.206958</t>
  </si>
  <si>
    <t>5349.35</t>
  </si>
  <si>
    <t>13.045888</t>
  </si>
  <si>
    <t>109.248909</t>
  </si>
  <si>
    <t>full_h04/Đắk Lắk/Mạng cấp III Đắk Lắk.kmz/Mạng cấp III Phú Yên/Ring 4/TT2 Tuy Hòa - Phú Hòa/Trung thế</t>
  </si>
  <si>
    <t>Phú Hòa-PYPH02</t>
  </si>
  <si>
    <t>13.056406</t>
  </si>
  <si>
    <t>109.245334</t>
  </si>
  <si>
    <t>FO thuê#VNPT#PYPH04-PYPH02</t>
  </si>
  <si>
    <t>1203.59</t>
  </si>
  <si>
    <t>1192.33</t>
  </si>
  <si>
    <t>13.046706</t>
  </si>
  <si>
    <t>109.250027</t>
  </si>
  <si>
    <t>PYPH19-TT2 Tuy Hòa</t>
  </si>
  <si>
    <t>13.05061</t>
  </si>
  <si>
    <t>109.27054</t>
  </si>
  <si>
    <t>FO thuê#VNPT#PYPH19-PYPY01</t>
  </si>
  <si>
    <t>556.29</t>
  </si>
  <si>
    <t>13.055089</t>
  </si>
  <si>
    <t>109.268252</t>
  </si>
  <si>
    <t>12.26</t>
  </si>
  <si>
    <t>13.094693</t>
  </si>
  <si>
    <t>109.292897</t>
  </si>
  <si>
    <t>Phú Hòa-PYPH08</t>
  </si>
  <si>
    <t>13.024902</t>
  </si>
  <si>
    <t>109.219833</t>
  </si>
  <si>
    <t>FO thuê#VNPT#PYPH04-PYPH08</t>
  </si>
  <si>
    <t>98.77</t>
  </si>
  <si>
    <t>87.51</t>
  </si>
  <si>
    <t>13.024115</t>
  </si>
  <si>
    <t>109.219852</t>
  </si>
  <si>
    <t>PYPH07-PC08</t>
  </si>
  <si>
    <t>13.03807</t>
  </si>
  <si>
    <t>109.257045</t>
  </si>
  <si>
    <t>FO thuê#VNPT#PYPH07-PYPH17</t>
  </si>
  <si>
    <t>1531.80</t>
  </si>
  <si>
    <t>1526.00</t>
  </si>
  <si>
    <t>13.051769</t>
  </si>
  <si>
    <t>109.257884</t>
  </si>
  <si>
    <t>5.80</t>
  </si>
  <si>
    <t>13.071420</t>
  </si>
  <si>
    <t>109.275852</t>
  </si>
  <si>
    <t>full_h04/Đắk Lắk/Mạng cấp III Đắk Lắk.kmz/Mạng cấp III Phú Yên/Phú Yên_Ring phòng 1/PC08-PK02/Trung thế</t>
  </si>
  <si>
    <t>PC08-TT2 Tuy Hòa</t>
  </si>
  <si>
    <t>FO thuê#VNPT#PYPH17-PYPY01</t>
  </si>
  <si>
    <t>PC11 - PC08</t>
  </si>
  <si>
    <t>97.72</t>
  </si>
  <si>
    <t>15.88</t>
  </si>
  <si>
    <t>13.071588</t>
  </si>
  <si>
    <t>109.275789</t>
  </si>
  <si>
    <t>81.84</t>
  </si>
  <si>
    <t>13.094095</t>
  </si>
  <si>
    <t>109.292637</t>
  </si>
  <si>
    <t>full_h04/Đắk Lắk/Mạng cấp III Đắk Lắk.kmz/Mạng cấp III Phú Yên/Phú Yên_Ring phòng 1/PC11 - PC08/Trung thế</t>
  </si>
  <si>
    <t>PYPY38-Tuy An Nam</t>
  </si>
  <si>
    <t>13.163281</t>
  </si>
  <si>
    <t>109.29197</t>
  </si>
  <si>
    <t>13.181704</t>
  </si>
  <si>
    <t>109.28728</t>
  </si>
  <si>
    <t>FO thuê#VNPT#PYPY38-PYTA12</t>
  </si>
  <si>
    <t>CAT Phú Yên - Tuy An Nam</t>
  </si>
  <si>
    <t>413.21</t>
  </si>
  <si>
    <t>412.87</t>
  </si>
  <si>
    <t>13.164842</t>
  </si>
  <si>
    <t>109.288510</t>
  </si>
  <si>
    <t>0.34</t>
  </si>
  <si>
    <t>109.287283</t>
  </si>
  <si>
    <t>full_h04/Đắk Lắk/Mạng cấp IV Đắk Lắk.kmz/Mạng cấp IV Phú Yên/Phú Yên_Ring 4/CAT Phú Yên - Tuy An Nam/Trung thế</t>
  </si>
  <si>
    <t>Tuy An Nam-PYTA19</t>
  </si>
  <si>
    <t>13.202164</t>
  </si>
  <si>
    <t>109.275974</t>
  </si>
  <si>
    <t>FO thuê#VNPT#PYTA12-PYTA19</t>
  </si>
  <si>
    <t>Tuy An Nam - Ô Loan</t>
  </si>
  <si>
    <t>222.54</t>
  </si>
  <si>
    <t>175.83</t>
  </si>
  <si>
    <t>13.183259</t>
  </si>
  <si>
    <t>109.286983</t>
  </si>
  <si>
    <t>46.71</t>
  </si>
  <si>
    <t>13.201929</t>
  </si>
  <si>
    <t>109.276332</t>
  </si>
  <si>
    <t>full_h04/Đắk Lắk/Mạng cấp IV Đắk Lắk.kmz/Mạng cấp IV Phú Yên/Phú Yên_Ring 4/Tuy An Nam - Ô Loan/Trung thế</t>
  </si>
  <si>
    <t>PYTA33-Tuy An Đông</t>
  </si>
  <si>
    <t>13.35202</t>
  </si>
  <si>
    <t>109.24627</t>
  </si>
  <si>
    <t>13.340476</t>
  </si>
  <si>
    <t>109.254179</t>
  </si>
  <si>
    <t>FO thuê#VNPT#PYTA33-PYTA05</t>
  </si>
  <si>
    <t>Tuy An Đông - TTCMKV TX Sông Cầu</t>
  </si>
  <si>
    <t>1135.25</t>
  </si>
  <si>
    <t>1102.79</t>
  </si>
  <si>
    <t>13.342204</t>
  </si>
  <si>
    <t>109.247726</t>
  </si>
  <si>
    <t>32.46</t>
  </si>
  <si>
    <t>13.340761</t>
  </si>
  <si>
    <t>109.254114</t>
  </si>
  <si>
    <t>full_h04/Đắk Lắk/Mạng cấp IV Đắk Lắk.kmz/Mạng cấp IV Phú Yên/Phú Yên_Ring 4/Tuy An Đông - TTCMKV TX Sông Cầu/Trung thế</t>
  </si>
  <si>
    <t>Tuy An Đông-Tuy An Bắc</t>
  </si>
  <si>
    <t>FO thuê#VNPT#PYTA05-PYTA14</t>
  </si>
  <si>
    <t>2601.32</t>
  </si>
  <si>
    <t>2568.86</t>
  </si>
  <si>
    <t>13.331121</t>
  </si>
  <si>
    <t>109.219181</t>
  </si>
  <si>
    <t>VNPOST Hòa Đa-Ô Loan</t>
  </si>
  <si>
    <t>13.240071</t>
  </si>
  <si>
    <t>109.257643</t>
  </si>
  <si>
    <t>FO thuê#VNPT#VNPOST Hòa Đa-PYTA32</t>
  </si>
  <si>
    <t>491.83</t>
  </si>
  <si>
    <t>257.48</t>
  </si>
  <si>
    <t>13.240807</t>
  </si>
  <si>
    <t>109.255388</t>
  </si>
  <si>
    <t>Ô Loan-PYTA07</t>
  </si>
  <si>
    <t>13.262696</t>
  </si>
  <si>
    <t>109.252363</t>
  </si>
  <si>
    <t>FO thuê#VNPT#PYTA32-PYTA07</t>
  </si>
  <si>
    <t>472.31</t>
  </si>
  <si>
    <t>214.83</t>
  </si>
  <si>
    <t>13.262246</t>
  </si>
  <si>
    <t>109.250433</t>
  </si>
  <si>
    <t>PYTA01-Tuy An Bắc</t>
  </si>
  <si>
    <t>13.295067</t>
  </si>
  <si>
    <t>109.233463</t>
  </si>
  <si>
    <t>FO thuê#VNPT#PYTA01-PYTA14</t>
  </si>
  <si>
    <t>248.97</t>
  </si>
  <si>
    <t>13.295128</t>
  </si>
  <si>
    <t>109.234527</t>
  </si>
  <si>
    <t>PYTA06-Tuy An Bắc</t>
  </si>
  <si>
    <t>13.31995</t>
  </si>
  <si>
    <t>109.21291</t>
  </si>
  <si>
    <t>FO thuê#VNPT#PYTA06-PYTA14</t>
  </si>
  <si>
    <t>376.04</t>
  </si>
  <si>
    <t>242.45</t>
  </si>
  <si>
    <t>13.322130</t>
  </si>
  <si>
    <t>109.212871</t>
  </si>
  <si>
    <t>Tuy An Bắc-PYDX08</t>
  </si>
  <si>
    <t>13.33919171</t>
  </si>
  <si>
    <t>109.1711022</t>
  </si>
  <si>
    <t>FO thuê#VNPT#PYTA14-PYDX08</t>
  </si>
  <si>
    <t>776.74</t>
  </si>
  <si>
    <t>715.43</t>
  </si>
  <si>
    <t>13.335480</t>
  </si>
  <si>
    <t>109.165701</t>
  </si>
  <si>
    <t>PYDX04-Đồng Xuân</t>
  </si>
  <si>
    <t>13.39901</t>
  </si>
  <si>
    <t>109.1053</t>
  </si>
  <si>
    <t>FO thuê#VNPT#PYDX04-PYDX01</t>
  </si>
  <si>
    <t>Xuân Lãnh - Đồng Xuân</t>
  </si>
  <si>
    <t>120.95</t>
  </si>
  <si>
    <t>106.03</t>
  </si>
  <si>
    <t>13.398467</t>
  </si>
  <si>
    <t>109.104494</t>
  </si>
  <si>
    <t>14.92</t>
  </si>
  <si>
    <t>13.377415</t>
  </si>
  <si>
    <t>109.108029</t>
  </si>
  <si>
    <t>full_h04/Đắk Lắk/Mạng cấp IV Đắk Lắk.kmz/Mạng cấp IV Phú Yên/Phú Yên_Ring 3/Xuân Lãnh - Đồng Xuân/Hạ thế</t>
  </si>
  <si>
    <t>Tuy An Bắc-PYTA09</t>
  </si>
  <si>
    <t>13.31682</t>
  </si>
  <si>
    <t>109.18458</t>
  </si>
  <si>
    <t>FO thuê#VNPT#PYTA14-PYTA09</t>
  </si>
  <si>
    <t>227.93</t>
  </si>
  <si>
    <t>166.62</t>
  </si>
  <si>
    <t>13.318313</t>
  </si>
  <si>
    <t>109.184711</t>
  </si>
  <si>
    <t>PYDX25-Đồng Xuân</t>
  </si>
  <si>
    <t>13.364473</t>
  </si>
  <si>
    <t>109.125588</t>
  </si>
  <si>
    <t>FO thuê#VNPT#PYDX25-PYDX01</t>
  </si>
  <si>
    <t>Tuy An Tây - TTCMKV Đồng
 Xuân</t>
  </si>
  <si>
    <t>1147.72</t>
  </si>
  <si>
    <t>57.21</t>
  </si>
  <si>
    <t>13.364935</t>
  </si>
  <si>
    <t>109.125821</t>
  </si>
  <si>
    <t>1090.51</t>
  </si>
  <si>
    <t>13.369785</t>
  </si>
  <si>
    <t>109.114576</t>
  </si>
  <si>
    <t>full_h04/Đắk Lắk/Mạng cấp IV Đắk Lắk.kmz/Mạng cấp IV Phú Yên/Phú Yên_Ring 5/Tuy An Tây - TTCMKV Đồng
 Xuân/Trung thế</t>
  </si>
  <si>
    <t>Tuy An Bắc-PYTA16</t>
  </si>
  <si>
    <t>13.294215</t>
  </si>
  <si>
    <t>109.14735</t>
  </si>
  <si>
    <t>FO thuê#VNPT#PYTA14-PYTA16</t>
  </si>
  <si>
    <t>4426.98</t>
  </si>
  <si>
    <t>4365.67</t>
  </si>
  <si>
    <t>13.322787</t>
  </si>
  <si>
    <t>109.175021</t>
  </si>
  <si>
    <t>PYTA11-Đồng Xuân</t>
  </si>
  <si>
    <t>13.250362</t>
  </si>
  <si>
    <t>109.118627</t>
  </si>
  <si>
    <t>FO thuê#VNPT#PYTA11-PYDX01</t>
  </si>
  <si>
    <t>6852.70</t>
  </si>
  <si>
    <t>5762.19</t>
  </si>
  <si>
    <t>13.256083</t>
  </si>
  <si>
    <t>109.171540</t>
  </si>
  <si>
    <t>Đồng Xuân-PYDX20</t>
  </si>
  <si>
    <t>13.3725216</t>
  </si>
  <si>
    <t>109.0860598</t>
  </si>
  <si>
    <t>FO thuê#VNPT#PYDX01-PYDX20</t>
  </si>
  <si>
    <t>Trại giam Xuân Phước (C10) - TTCMKV Đồng Xuân</t>
  </si>
  <si>
    <t>1483.39</t>
  </si>
  <si>
    <t>276.61</t>
  </si>
  <si>
    <t>13.378349</t>
  </si>
  <si>
    <t>109.110418</t>
  </si>
  <si>
    <t>1206.78</t>
  </si>
  <si>
    <t>13.363510</t>
  </si>
  <si>
    <t>109.092275</t>
  </si>
  <si>
    <t>full_h04/Đắk Lắk/Mạng cấp III Đắk Lắk.kmz/Mạng cấp III Phú Yên/Trại giam Xuân Phước (C10) - TTCMKV Đồng Xuân/Trung thế</t>
  </si>
  <si>
    <t>PYDX23-Xuân Phước</t>
  </si>
  <si>
    <t>13.32346431</t>
  </si>
  <si>
    <t>109.0784358</t>
  </si>
  <si>
    <t>13.298438</t>
  </si>
  <si>
    <t>109.066</t>
  </si>
  <si>
    <t>FO thuê#VNPT#PYDX23-PYDX03</t>
  </si>
  <si>
    <t>944.40</t>
  </si>
  <si>
    <t>98.12</t>
  </si>
  <si>
    <t>13.322913</t>
  </si>
  <si>
    <t>109.079144</t>
  </si>
  <si>
    <t>846.29</t>
  </si>
  <si>
    <t>13.301697</t>
  </si>
  <si>
    <t>109.073067</t>
  </si>
  <si>
    <t>Xuân Phước-PYSA09</t>
  </si>
  <si>
    <t>FO thuê#VNPT#PYDX03-PYSA09</t>
  </si>
  <si>
    <t>7155.68</t>
  </si>
  <si>
    <t>125.14</t>
  </si>
  <si>
    <t>13.298520</t>
  </si>
  <si>
    <t>109.064847</t>
  </si>
  <si>
    <t>7030.55</t>
  </si>
  <si>
    <t>13.266185</t>
  </si>
  <si>
    <t>109.047833</t>
  </si>
  <si>
    <t>PYDH27-Hòa Xuân</t>
  </si>
  <si>
    <t>12.88348</t>
  </si>
  <si>
    <t>109.37289</t>
  </si>
  <si>
    <t>FO thuê#VNPT#PYDH27-PYDH11</t>
  </si>
  <si>
    <t>Hòa Xuân - Hòa Hiệp</t>
  </si>
  <si>
    <t>2829.47</t>
  </si>
  <si>
    <t>2821.78</t>
  </si>
  <si>
    <t>12.908676</t>
  </si>
  <si>
    <t>109.369789</t>
  </si>
  <si>
    <t>7.69</t>
  </si>
  <si>
    <t>full_h04/Đắk Lắk/Mạng cấp IV Đắk Lắk.kmz/Mạng cấp IV Phú Yên/Phú Yên_Ring 11/Hòa Xuân - Hòa Hiệp/Trung thế</t>
  </si>
  <si>
    <t>PYDH40-Hòa Xuân</t>
  </si>
  <si>
    <t>12.942915</t>
  </si>
  <si>
    <t>109.357607</t>
  </si>
  <si>
    <t>FO thuê#VNPT#PYDH40-PYDH11</t>
  </si>
  <si>
    <t>469.73</t>
  </si>
  <si>
    <t>464.96</t>
  </si>
  <si>
    <t>12.946677</t>
  </si>
  <si>
    <t>109.359479</t>
  </si>
  <si>
    <t>PYDH26-Hòa Hiệp (CS2)</t>
  </si>
  <si>
    <t>12.990427</t>
  </si>
  <si>
    <t>109.384613</t>
  </si>
  <si>
    <t>FO thuê#VNPT#PYDH26-PYDH24</t>
  </si>
  <si>
    <t>Hòa Hiệp CS2 - CAT Phú Yên</t>
  </si>
  <si>
    <t>1461.24</t>
  </si>
  <si>
    <t>1431.52</t>
  </si>
  <si>
    <t>12.999019</t>
  </si>
  <si>
    <t>109.374774</t>
  </si>
  <si>
    <t>29.72</t>
  </si>
  <si>
    <t>12.997832</t>
  </si>
  <si>
    <t>109.370374</t>
  </si>
  <si>
    <t>full_h04/Đắk Lắk/Mạng cấp IV Đắk Lắk.kmz/Mạng cấp IV Phú Yên/Phú Yên_Ring 11/Hòa Hiệp CS2 - CAT Phú Yên/Trung thế</t>
  </si>
  <si>
    <t>PYPY50-PC07</t>
  </si>
  <si>
    <t>13.09966</t>
  </si>
  <si>
    <t>109.2876</t>
  </si>
  <si>
    <t>13.09501</t>
  </si>
  <si>
    <t>109.2916</t>
  </si>
  <si>
    <t>FO thuê#VNPT#PYPY50-PYPY67</t>
  </si>
  <si>
    <t>PA06-TT2 Đắk Lắk (Tuy Hòa)</t>
  </si>
  <si>
    <t>263.62</t>
  </si>
  <si>
    <t>215.09</t>
  </si>
  <si>
    <t>13.099017</t>
  </si>
  <si>
    <t>109.289473</t>
  </si>
  <si>
    <t>48.53</t>
  </si>
  <si>
    <t>13.095419</t>
  </si>
  <si>
    <t>109.291755</t>
  </si>
  <si>
    <t>full_h04/Đắk Lắk/Mạng cấp III Đắk Lắk.kmz/Mạng cấp III Phú Yên/Phú Yên_Ring phòng 2/PA06-TT2 Đắk Lắk (Tuy Hòa)/Hạ thế</t>
  </si>
  <si>
    <t>PYTA26-Tuy An Đông</t>
  </si>
  <si>
    <t>13.342178</t>
  </si>
  <si>
    <t>109.255988</t>
  </si>
  <si>
    <t>FO thuê#VNPT#PYTA26-PYTA05</t>
  </si>
  <si>
    <t>Ô Loan - Tuy An Đông</t>
  </si>
  <si>
    <t>248.59</t>
  </si>
  <si>
    <t>212.95</t>
  </si>
  <si>
    <t>13.341809</t>
  </si>
  <si>
    <t>109.254057</t>
  </si>
  <si>
    <t>35.63</t>
  </si>
  <si>
    <t>13.340781</t>
  </si>
  <si>
    <t>109.254279</t>
  </si>
  <si>
    <t>full_h04/Đắk Lắk/Mạng cấp IV Đắk Lắk.kmz/Mạng cấp IV Phú Yên/Phú Yên_Ring 4/Ô Loan - Tuy An Đông/trung thế</t>
  </si>
  <si>
    <t>PYTA50-Ô Loan</t>
  </si>
  <si>
    <t>13.256024</t>
  </si>
  <si>
    <t>109.262114</t>
  </si>
  <si>
    <t>FO thuê#VNPT#PYTA50-PYTA32</t>
  </si>
  <si>
    <t>1451.42</t>
  </si>
  <si>
    <t>1193.94</t>
  </si>
  <si>
    <t>13.251925</t>
  </si>
  <si>
    <t>109.251918</t>
  </si>
  <si>
    <t>PYTA41-Ô Loan</t>
  </si>
  <si>
    <t>13.239361</t>
  </si>
  <si>
    <t>109.233434</t>
  </si>
  <si>
    <t>FO thuê#VNPT#PYTA41-PYTA32</t>
  </si>
  <si>
    <t>2584.96</t>
  </si>
  <si>
    <t>2327.48</t>
  </si>
  <si>
    <t>13.246875</t>
  </si>
  <si>
    <t>109.253504</t>
  </si>
  <si>
    <t>PYDX30-Đồng Xuân</t>
  </si>
  <si>
    <t>13.36221165</t>
  </si>
  <si>
    <t>109.1015693</t>
  </si>
  <si>
    <t>FO thuê#VNPT#PYDX30-PYDX01</t>
  </si>
  <si>
    <t>692.49</t>
  </si>
  <si>
    <t>415.89</t>
  </si>
  <si>
    <t>13.364878</t>
  </si>
  <si>
    <t>109.098874</t>
  </si>
  <si>
    <t>PYTH23-Hòa Mỹ</t>
  </si>
  <si>
    <t>12.96368</t>
  </si>
  <si>
    <t>109.18201</t>
  </si>
  <si>
    <t>FO thuê#VNPT#PYTH23-PYTH06</t>
  </si>
  <si>
    <t>151.40</t>
  </si>
  <si>
    <t>130.26</t>
  </si>
  <si>
    <t>12.964807</t>
  </si>
  <si>
    <t>109.181684</t>
  </si>
  <si>
    <t>21.14</t>
  </si>
  <si>
    <t>12.964557</t>
  </si>
  <si>
    <t>109.183734</t>
  </si>
  <si>
    <t>PYTH26-Hòa Mỹ</t>
  </si>
  <si>
    <t>12.94095</t>
  </si>
  <si>
    <t>109.21328</t>
  </si>
  <si>
    <t>FO thuê#VNPT#PYTH26-PYTH06</t>
  </si>
  <si>
    <t>677.37</t>
  </si>
  <si>
    <t>665.51</t>
  </si>
  <si>
    <t>12.943085</t>
  </si>
  <si>
    <t>109.207543</t>
  </si>
  <si>
    <t>Đức Bình-PYTH08</t>
  </si>
  <si>
    <t>12.94556</t>
  </si>
  <si>
    <t>109.26331</t>
  </si>
  <si>
    <t>FO thuê#VNPT#PYTH03-PYTH08</t>
  </si>
  <si>
    <t>2798.35</t>
  </si>
  <si>
    <t>3.63</t>
  </si>
  <si>
    <t>12.932778</t>
  </si>
  <si>
    <t>109.239168</t>
  </si>
  <si>
    <t>2794.71</t>
  </si>
  <si>
    <t>12.939657</t>
  </si>
  <si>
    <t>109.238243</t>
  </si>
  <si>
    <t>PYSA01-Vân Hòa</t>
  </si>
  <si>
    <t>13.05001</t>
  </si>
  <si>
    <t>108.97463</t>
  </si>
  <si>
    <t>FO thuê#VNPT#PYSA01-PYSA16</t>
  </si>
  <si>
    <t>54.42</t>
  </si>
  <si>
    <t>27.87</t>
  </si>
  <si>
    <t>13.049759</t>
  </si>
  <si>
    <t>108.974624</t>
  </si>
  <si>
    <t>PYPH30-Phú Hòa 2</t>
  </si>
  <si>
    <t>13.07447</t>
  </si>
  <si>
    <t>109.22572</t>
  </si>
  <si>
    <t>FO thuê#VNPT#PYPH30-PYPH03</t>
  </si>
  <si>
    <t>796.65</t>
  </si>
  <si>
    <t>785.41</t>
  </si>
  <si>
    <t>13.078198</t>
  </si>
  <si>
    <t>109.219561</t>
  </si>
  <si>
    <t>11.24</t>
  </si>
  <si>
    <t>13.081939</t>
  </si>
  <si>
    <t>109.216229</t>
  </si>
  <si>
    <t>PYTA20-Tuy An Đông</t>
  </si>
  <si>
    <t>13.334197</t>
  </si>
  <si>
    <t>109.227122</t>
  </si>
  <si>
    <t>FO thuê#VNPT#PYTA20-PYTA05</t>
  </si>
  <si>
    <t>80.45</t>
  </si>
  <si>
    <t>47.99</t>
  </si>
  <si>
    <t>13.333803</t>
  </si>
  <si>
    <t>109.227303</t>
  </si>
  <si>
    <t>PYTA03-Ô Loan</t>
  </si>
  <si>
    <t>13.22776</t>
  </si>
  <si>
    <t>109.26069</t>
  </si>
  <si>
    <t>FO thuê#VNPT#PYTA03-PYTA32</t>
  </si>
  <si>
    <t>365.18</t>
  </si>
  <si>
    <t>363.62</t>
  </si>
  <si>
    <t>13.226704</t>
  </si>
  <si>
    <t>109.263869</t>
  </si>
  <si>
    <t>1.57</t>
  </si>
  <si>
    <t>13.240077</t>
  </si>
  <si>
    <t>109.257630</t>
  </si>
  <si>
    <t>full_h04/Đắk Lắk/Mạng cấp IV Đắk Lắk.kmz/Mạng cấp IV Phú Yên/Phú Yên_Ring 4/Ô Loan - Tuy An Đông/Trung thế</t>
  </si>
  <si>
    <t>PYPY15-Tuy An Nam</t>
  </si>
  <si>
    <t>13.175283</t>
  </si>
  <si>
    <t>109.2919</t>
  </si>
  <si>
    <t>FO thuê#VNPT#PYPY15-PYTA12</t>
  </si>
  <si>
    <t>78.67</t>
  </si>
  <si>
    <t>78.33</t>
  </si>
  <si>
    <t>13.174819</t>
  </si>
  <si>
    <t>109.291356</t>
  </si>
  <si>
    <t>PYDX26-Xuân Phước</t>
  </si>
  <si>
    <t>13.31223331</t>
  </si>
  <si>
    <t>109.0475878</t>
  </si>
  <si>
    <t>FO thuê#VNPT#PYDX26-PYDX03</t>
  </si>
  <si>
    <t>Phú Mỡ - Xuân Phước</t>
  </si>
  <si>
    <t>172.66</t>
  </si>
  <si>
    <t>118.95</t>
  </si>
  <si>
    <t>13.311693</t>
  </si>
  <si>
    <t>109.046639</t>
  </si>
  <si>
    <t>53.71</t>
  </si>
  <si>
    <t>13.298667</t>
  </si>
  <si>
    <t>109.065563</t>
  </si>
  <si>
    <t>full_h04/Đắk Lắk/Mạng cấp IV Đắk Lắk.kmz/Mạng cấp IV Phú Yên/Phú Yên_Ring 6/Phú Mỡ - Xuân Phước/Trung thế</t>
  </si>
  <si>
    <t>PYDX24-Xuân Phước</t>
  </si>
  <si>
    <t>13.27302</t>
  </si>
  <si>
    <t>109.06723</t>
  </si>
  <si>
    <t>FO thuê#VNPT#PYDX24-PYDX03</t>
  </si>
  <si>
    <t>602.78</t>
  </si>
  <si>
    <t>13.275760</t>
  </si>
  <si>
    <t>109.062424</t>
  </si>
  <si>
    <t>DLKN53-Dliê Ya</t>
  </si>
  <si>
    <t>13.12196</t>
  </si>
  <si>
    <t>108.30064</t>
  </si>
  <si>
    <t>FO thuê#VNPT#DLKN53-DLKN15</t>
  </si>
  <si>
    <t>2927.54</t>
  </si>
  <si>
    <t>2654.73</t>
  </si>
  <si>
    <t>13.128857</t>
  </si>
  <si>
    <t>108.324110</t>
  </si>
  <si>
    <t>DLCG60-Cuôr Đăng</t>
  </si>
  <si>
    <t>12.75128</t>
  </si>
  <si>
    <t>108.16562</t>
  </si>
  <si>
    <t>FO thuê#VNPT#DLCG60-DLBT25</t>
  </si>
  <si>
    <t>193.16</t>
  </si>
  <si>
    <t>91.78</t>
  </si>
  <si>
    <t>12.750474</t>
  </si>
  <si>
    <t>108.165804</t>
  </si>
  <si>
    <t>DLBH36-Buôn Hồ</t>
  </si>
  <si>
    <t>12.91687</t>
  </si>
  <si>
    <t>108.26619</t>
  </si>
  <si>
    <t>FO thuê#VNPT#DLBH36-DLBH15</t>
  </si>
  <si>
    <t>Ea Drông - TTCMKV Thị xã Buôn
Hồ"</t>
  </si>
  <si>
    <t>64.79</t>
  </si>
  <si>
    <t>53.24</t>
  </si>
  <si>
    <t>12.916411</t>
  </si>
  <si>
    <t>108.266050</t>
  </si>
  <si>
    <t>11.55</t>
  </si>
  <si>
    <t>12.916282</t>
  </si>
  <si>
    <t>108.266552</t>
  </si>
  <si>
    <t>full_h04/Đắk Lắk/Mạng cấp IV Đắk Lắk.kmz/Mạng cấp IV Đắk Lắk/Đắk Lắk Ring 13.kmz/ring 13/Ea Drông - TTCMKV Thị xã Buôn
Hồ"/Bể ngầm nhập trạm</t>
  </si>
  <si>
    <t>DLBT3F-Trại tạm giam Buôn Mê Thuột</t>
  </si>
  <si>
    <t>12.706347</t>
  </si>
  <si>
    <t>108.074345</t>
  </si>
  <si>
    <t>FO thuê#VNPT#DLBT3F-DLBT84</t>
  </si>
  <si>
    <t>433.61</t>
  </si>
  <si>
    <t>360.14</t>
  </si>
  <si>
    <t>12.703111</t>
  </si>
  <si>
    <t>108.074478</t>
  </si>
  <si>
    <t>73.47</t>
  </si>
  <si>
    <t>12.712295</t>
  </si>
  <si>
    <t>108.066720</t>
  </si>
  <si>
    <t>full_h04/Đắk Lắk/Mạng cấp III Đắk Lắk.kmz/Mạng cấp III Đắk Lắk/Trại tạm giam Buôn Mê Thuột  - TT1 Đăk Lăk/Trung thế 474HT</t>
  </si>
  <si>
    <t>PYPY60-Điểm đăng ký sát hạch lái xe (PC08)</t>
  </si>
  <si>
    <t>13.131223</t>
  </si>
  <si>
    <t>109.276418</t>
  </si>
  <si>
    <t>13.1123</t>
  </si>
  <si>
    <t>109.2845</t>
  </si>
  <si>
    <t>FO DT#MBF#PYPY60-PYPY66</t>
  </si>
  <si>
    <t>392.55</t>
  </si>
  <si>
    <t>192.47</t>
  </si>
  <si>
    <t>13.130394</t>
  </si>
  <si>
    <t>109.274858</t>
  </si>
  <si>
    <t>200.08</t>
  </si>
  <si>
    <t>13.111753</t>
  </si>
  <si>
    <t>109.282740</t>
  </si>
  <si>
    <t>Điểm đăng ký sát hạch lái xe (PC08)-PC07</t>
  </si>
  <si>
    <t>FO DT#MBF#PYPY66-PYPY67</t>
  </si>
  <si>
    <t>347.65</t>
  </si>
  <si>
    <t>147.58</t>
  </si>
  <si>
    <t>13.094139</t>
  </si>
  <si>
    <t>109.292628</t>
  </si>
  <si>
    <t>PC07-PC11</t>
  </si>
  <si>
    <t>FO DT#MBF#PYPY67-PYPY58</t>
  </si>
  <si>
    <t>PC07 - PC11</t>
  </si>
  <si>
    <t>18.81</t>
  </si>
  <si>
    <t>6.02</t>
  </si>
  <si>
    <t>13.094963</t>
  </si>
  <si>
    <t>109.291572</t>
  </si>
  <si>
    <t>12.79</t>
  </si>
  <si>
    <t>13.093813</t>
  </si>
  <si>
    <t>109.291091</t>
  </si>
  <si>
    <t>full_h04/Đắk Lắk/Mạng cấp III Đắk Lắk.kmz/Mạng cấp III Phú Yên/Phú Yên_Ring phòng 1/PC07 - PC11/Trung thế</t>
  </si>
  <si>
    <t>PC11-PC06</t>
  </si>
  <si>
    <t>13.0888</t>
  </si>
  <si>
    <t>109.2993</t>
  </si>
  <si>
    <t>FO DT#MBF#PYPY58-PYPY10</t>
  </si>
  <si>
    <t>TT2 Đăk Lăk (Tuy Hòa) - PC06</t>
  </si>
  <si>
    <t>165.06</t>
  </si>
  <si>
    <t>161.49</t>
  </si>
  <si>
    <t>13.094086</t>
  </si>
  <si>
    <t>109.292655</t>
  </si>
  <si>
    <t>13.088816</t>
  </si>
  <si>
    <t>109.299329</t>
  </si>
  <si>
    <t>full_h04/Đắk Lắk/Mạng cấp III Đắk Lắk.kmz/Mạng cấp III Phú Yên/Phú Yên_Ring phòng 3/TT2 Đăk Lăk (Tuy Hòa) - PC06/Trung thế</t>
  </si>
  <si>
    <t>PC06-PYPY49</t>
  </si>
  <si>
    <t>13.0867</t>
  </si>
  <si>
    <t>109.3027</t>
  </si>
  <si>
    <t>FO DT#MBF#PYPY10-PYPY49</t>
  </si>
  <si>
    <t>196.33</t>
  </si>
  <si>
    <t>43.30</t>
  </si>
  <si>
    <t>13.089169</t>
  </si>
  <si>
    <t>109.299428</t>
  </si>
  <si>
    <t>153.02</t>
  </si>
  <si>
    <t>13.086256</t>
  </si>
  <si>
    <t>109.301363</t>
  </si>
  <si>
    <t>PYPY46-PA05</t>
  </si>
  <si>
    <t>13.09323</t>
  </si>
  <si>
    <t>109.31645</t>
  </si>
  <si>
    <t>13.08964</t>
  </si>
  <si>
    <t>109.3095</t>
  </si>
  <si>
    <t>FO DT#MBF#PYPY46-PYPY47</t>
  </si>
  <si>
    <t>Phú Yên - CAT Phú Yên</t>
  </si>
  <si>
    <t>305.94</t>
  </si>
  <si>
    <t>289.02</t>
  </si>
  <si>
    <t>13.094658</t>
  </si>
  <si>
    <t>109.314221</t>
  </si>
  <si>
    <t>16.92</t>
  </si>
  <si>
    <t>13.089726</t>
  </si>
  <si>
    <t>109.309629</t>
  </si>
  <si>
    <t>full_h04/Đắk Lắk/Mạng cấp IV Đắk Lắk.kmz/Mạng cấp IV Phú Yên/Phú Yên_Ring 10/Phú Yên - CAT Phú Yên/Trung thế</t>
  </si>
  <si>
    <t>PA05-VNPOST Tuy Hòa</t>
  </si>
  <si>
    <t>13.08701</t>
  </si>
  <si>
    <t>109.30702</t>
  </si>
  <si>
    <t>FO DT#MBF#PYPY47-VNPOST Tuy Hòa</t>
  </si>
  <si>
    <t>225.82</t>
  </si>
  <si>
    <t>208.90</t>
  </si>
  <si>
    <t>13.088728</t>
  </si>
  <si>
    <t>109.306239</t>
  </si>
  <si>
    <t>PYPY16-PA06</t>
  </si>
  <si>
    <t>13.1428</t>
  </si>
  <si>
    <t>109.28118</t>
  </si>
  <si>
    <t>13.1166</t>
  </si>
  <si>
    <t>109.310536</t>
  </si>
  <si>
    <t>FO DT#MBF#PYPY16-PYPY40</t>
  </si>
  <si>
    <t>1502.01</t>
  </si>
  <si>
    <t>656.90</t>
  </si>
  <si>
    <t>13.141820</t>
  </si>
  <si>
    <t>109.287163</t>
  </si>
  <si>
    <t>845.11</t>
  </si>
  <si>
    <t>13.117717</t>
  </si>
  <si>
    <t>109.302817</t>
  </si>
  <si>
    <t>full_h04/Đắk Lắk/Mạng cấp IV Đắk Lắk.kmz/Mạng cấp IV Phú Yên/Phú Yên_Ring 4/CAT Phú Yên - Tuy An Nam/CAT Phú Yên - Tuy An Nam-Ngầm MBF</t>
  </si>
  <si>
    <t>PA06-PYPY68</t>
  </si>
  <si>
    <t>13.10766</t>
  </si>
  <si>
    <t>109.30158</t>
  </si>
  <si>
    <t>FO DT#MBF#PYPY40-PYPY68</t>
  </si>
  <si>
    <t>1033.82</t>
  </si>
  <si>
    <t>745.28</t>
  </si>
  <si>
    <t>13.116629</t>
  </si>
  <si>
    <t>109.303654</t>
  </si>
  <si>
    <t>288.54</t>
  </si>
  <si>
    <t>13.108523</t>
  </si>
  <si>
    <t>109.304092</t>
  </si>
  <si>
    <t>PYPY16-Cơ quan điều tra Tuy Hòa</t>
  </si>
  <si>
    <t>13.0951</t>
  </si>
  <si>
    <t>109.3202</t>
  </si>
  <si>
    <t>FO DT#MBF#PYPY16-PYPY20</t>
  </si>
  <si>
    <t>3290.52</t>
  </si>
  <si>
    <t>342.96</t>
  </si>
  <si>
    <t>13.143237</t>
  </si>
  <si>
    <t>109.278045</t>
  </si>
  <si>
    <t>2947.56</t>
  </si>
  <si>
    <t>13.093350</t>
  </si>
  <si>
    <t>109.293044</t>
  </si>
  <si>
    <t>Cơ quan điều tra Tuy Hòa-PA08</t>
  </si>
  <si>
    <t>13.08809</t>
  </si>
  <si>
    <t>109.3123</t>
  </si>
  <si>
    <t>FO DT#MBF#PYPY20-PYPY06</t>
  </si>
  <si>
    <t>74.53</t>
  </si>
  <si>
    <t>20.20</t>
  </si>
  <si>
    <t>13.094966</t>
  </si>
  <si>
    <t>109.320326</t>
  </si>
  <si>
    <t>54.33</t>
  </si>
  <si>
    <t>13.087905</t>
  </si>
  <si>
    <t>109.311836</t>
  </si>
  <si>
    <t>full_h04/Đắk Lắk/Mạng cấp III Đắk Lắk.kmz/Mạng cấp III Phú Yên/Phú Yên_Ring phòng 2/TT2 Đăk Lăk (Tuy Hòa) - Cơ quan điều tra
 Tuy Hòa/Trung thế</t>
  </si>
  <si>
    <t>PA08-PA08</t>
  </si>
  <si>
    <t>FO DT#MBF#PYPY06-PYPY32</t>
  </si>
  <si>
    <t>Cơ quan điều tra Tuy Hòa - PA08</t>
  </si>
  <si>
    <t>8.68</t>
  </si>
  <si>
    <t>4.34</t>
  </si>
  <si>
    <t>13.088093</t>
  </si>
  <si>
    <t>109.312260</t>
  </si>
  <si>
    <t>full_h04/Đắk Lắk/Mạng cấp III Đắk Lắk.kmz/Mạng cấp III Phú Yên/Phú Yên_Ring phòng 2/Cơ quan điều tra Tuy Hòa - PA08/Trung thế</t>
  </si>
  <si>
    <t>PA08-VNPOST Tuy Hòa</t>
  </si>
  <si>
    <t>FO DT#MBF#PYPY32-VNPOST Tuy Hòa</t>
  </si>
  <si>
    <t>306.38</t>
  </si>
  <si>
    <t>104.02</t>
  </si>
  <si>
    <t>13.088291</t>
  </si>
  <si>
    <t>109.313238</t>
  </si>
  <si>
    <t>202.36</t>
  </si>
  <si>
    <t>PYPH14-PC08</t>
  </si>
  <si>
    <t>13.0752</t>
  </si>
  <si>
    <t>109.2865</t>
  </si>
  <si>
    <t>FO DT#MBF#PYPH14-PYPH17</t>
  </si>
  <si>
    <t>738.12</t>
  </si>
  <si>
    <t>722.25</t>
  </si>
  <si>
    <t>13.074518</t>
  </si>
  <si>
    <t>109.279869</t>
  </si>
  <si>
    <t>PYPY02-Phú Yên</t>
  </si>
  <si>
    <t>13.048528</t>
  </si>
  <si>
    <t>109.311034</t>
  </si>
  <si>
    <t>FO DT#MBF#PYPY02-PYPY33</t>
  </si>
  <si>
    <t>83.30</t>
  </si>
  <si>
    <t>81.63</t>
  </si>
  <si>
    <t>13.049013</t>
  </si>
  <si>
    <t>109.310469</t>
  </si>
  <si>
    <t>PYPY79-TT2 Tuy Hòa</t>
  </si>
  <si>
    <t>13.08933</t>
  </si>
  <si>
    <t>109.30385</t>
  </si>
  <si>
    <t>FO DT#MBF#PYPY79-PYPY01</t>
  </si>
  <si>
    <t>482.86</t>
  </si>
  <si>
    <t>481.90</t>
  </si>
  <si>
    <t>13.088972</t>
  </si>
  <si>
    <t>109.299416</t>
  </si>
  <si>
    <t>0.95</t>
  </si>
  <si>
    <t>13.094738</t>
  </si>
  <si>
    <t>109.293009</t>
  </si>
  <si>
    <t>21PY006-Điểm đăng ký sát hạch lái xe (PC08)</t>
  </si>
  <si>
    <t>13.109544</t>
  </si>
  <si>
    <t>109.285226</t>
  </si>
  <si>
    <t>FO DT#MBF#21PY006-PYPY66</t>
  </si>
  <si>
    <t>Điểm đăng ký sát hạch lái xe (PC08) - TT2
 Đăk Lăk (Tuy Hòa)</t>
  </si>
  <si>
    <t>89.32</t>
  </si>
  <si>
    <t>83.47</t>
  </si>
  <si>
    <t>13.110292</t>
  </si>
  <si>
    <t>109.285296</t>
  </si>
  <si>
    <t>5.85</t>
  </si>
  <si>
    <t>13.112349</t>
  </si>
  <si>
    <t>109.284520</t>
  </si>
  <si>
    <t>full_h04/Đắk Lắk/Mạng cấp III Đắk Lắk.kmz/Mạng cấp III Phú Yên/Điểm đăng ký sát hạch lái xe (PC08) - TT2
 Đăk Lăk (Tuy Hòa)/Hạ thế</t>
  </si>
  <si>
    <t>PYTH33-Đức Bình</t>
  </si>
  <si>
    <t>12.922141</t>
  </si>
  <si>
    <t>109.240506</t>
  </si>
  <si>
    <t>FO DT#MBF#PYTH33-PYTH03</t>
  </si>
  <si>
    <t>857.89</t>
  </si>
  <si>
    <t>853.99</t>
  </si>
  <si>
    <t>12.929770</t>
  </si>
  <si>
    <t>109.239602</t>
  </si>
  <si>
    <t>3.90</t>
  </si>
  <si>
    <t>12.932771</t>
  </si>
  <si>
    <t>109.239173</t>
  </si>
  <si>
    <t>PC07-PYPY72</t>
  </si>
  <si>
    <t>13.093438</t>
  </si>
  <si>
    <t>109.292208</t>
  </si>
  <si>
    <t>FO DT#MBF#PYPY67-PYPY72</t>
  </si>
  <si>
    <t>84.83</t>
  </si>
  <si>
    <t>78.81</t>
  </si>
  <si>
    <t>13.093843</t>
  </si>
  <si>
    <t>109.291611</t>
  </si>
  <si>
    <t>PA06-PYPY61</t>
  </si>
  <si>
    <t>13.117866</t>
  </si>
  <si>
    <t>109.294728</t>
  </si>
  <si>
    <t>FO DT#MBF#PYPY40-PYPY61</t>
  </si>
  <si>
    <t>1319.10</t>
  </si>
  <si>
    <t>573.82</t>
  </si>
  <si>
    <t>13.115219</t>
  </si>
  <si>
    <t>109.299276</t>
  </si>
  <si>
    <t>PA06-PYPY08</t>
  </si>
  <si>
    <t>13.1169</t>
  </si>
  <si>
    <t>109.298</t>
  </si>
  <si>
    <t>FO DT#MBF#PYPY40-PYPY08</t>
  </si>
  <si>
    <t>977.79</t>
  </si>
  <si>
    <t>232.51</t>
  </si>
  <si>
    <t>PC07-PYPY11</t>
  </si>
  <si>
    <t>13.10562</t>
  </si>
  <si>
    <t>109.28768</t>
  </si>
  <si>
    <t>FO DT#MBF#PYPY67-PYPY11</t>
  </si>
  <si>
    <t>PK02 - TT2 Đăk Lăk (Tuy Hòa)</t>
  </si>
  <si>
    <t>89.51</t>
  </si>
  <si>
    <t>44.00</t>
  </si>
  <si>
    <t>13.094901</t>
  </si>
  <si>
    <t>109.291991</t>
  </si>
  <si>
    <t>45.51</t>
  </si>
  <si>
    <t>13.105965</t>
  </si>
  <si>
    <t>109.287906</t>
  </si>
  <si>
    <t>full_h04/Đắk Lắk/Mạng cấp III Đắk Lắk.kmz/Mạng cấp III Phú Yên/Phú Yên_Ring phòng 1/PK02 - TT2 Đăk Lăk (Tuy Hòa)/Trung thế</t>
  </si>
  <si>
    <t>PYTA48-Tuy An Bắc</t>
  </si>
  <si>
    <t>13.262749</t>
  </si>
  <si>
    <t>109.203296</t>
  </si>
  <si>
    <t>FO DT#MBF#PYTA48-PYTA14</t>
  </si>
  <si>
    <t>Tuy An Bắc - Tuy An Tây</t>
  </si>
  <si>
    <t>342.65</t>
  </si>
  <si>
    <t>128.98</t>
  </si>
  <si>
    <t>13.263899</t>
  </si>
  <si>
    <t>109.203452</t>
  </si>
  <si>
    <t>213.67</t>
  </si>
  <si>
    <t>13.306805</t>
  </si>
  <si>
    <t>109.214379</t>
  </si>
  <si>
    <t>full_h04/Đắk Lắk/Mạng cấp IV Đắk Lắk.kmz/Mạng cấp IV Phú Yên/Phú Yên_Ring 5/Tuy An Bắc - Tuy An Tây/Trung thế</t>
  </si>
  <si>
    <t>PYPY76-PA05</t>
  </si>
  <si>
    <t>13.090889</t>
  </si>
  <si>
    <t>109.31281</t>
  </si>
  <si>
    <t>FO DT#MBF#PYPY76-PYPY47</t>
  </si>
  <si>
    <t>197.97</t>
  </si>
  <si>
    <t>181.29</t>
  </si>
  <si>
    <t>13.090186</t>
  </si>
  <si>
    <t>109.311300</t>
  </si>
  <si>
    <t>16.68</t>
  </si>
  <si>
    <t>13.089724</t>
  </si>
  <si>
    <t>109.309628</t>
  </si>
  <si>
    <t>full_h04/Đắk Lắk/Mạng cấp III Đắk Lắk.kmz/Mạng cấp III Phú Yên/Phú Yên_Ring phòng 2/Cơ quan điều tra Tuy Hòa - PA08/Hạ thế</t>
  </si>
  <si>
    <t>Sơn Thành-PYDH09</t>
  </si>
  <si>
    <t>FO DT#MBF#PYTH01-PYDH09</t>
  </si>
  <si>
    <t>DLBTMA01-TT1 Đăk Lăk</t>
  </si>
  <si>
    <t>108.0352</t>
  </si>
  <si>
    <t>FO DT#MBF#DLBTMA01-DLBT09</t>
  </si>
  <si>
    <t>CAT Đắk Lắk - Thành Nhất</t>
  </si>
  <si>
    <t>1284.02</t>
  </si>
  <si>
    <t>581.76</t>
  </si>
  <si>
    <t>12.682363</t>
  </si>
  <si>
    <t>108.040537</t>
  </si>
  <si>
    <t>702.27</t>
  </si>
  <si>
    <t>12.681629</t>
  </si>
  <si>
    <t>108.046934</t>
  </si>
  <si>
    <t>full_h04/Đắk Lắk/Mạng cấp IV Đắk Lắk.kmz/Mạng cấp IV Đắk Lắk/Đắk Lắk Ring 12.kmz/Đắk Lắk Ring 12/CAT Đắk Lắk - Thành Nhất/Trung Thế Phan Bội Châu</t>
  </si>
  <si>
    <t>TT1 Đăk Lăk-DLBTMA01</t>
  </si>
  <si>
    <t>FO DT#MBF#DLBT09-DLBTMA01</t>
  </si>
  <si>
    <t>DLCG07-Ea Tul</t>
  </si>
  <si>
    <t>12.781192</t>
  </si>
  <si>
    <t>108.069675</t>
  </si>
  <si>
    <t>FO DT#MBF#DLCG07-DLCG03</t>
  </si>
  <si>
    <t>8912.47</t>
  </si>
  <si>
    <t>8868.01</t>
  </si>
  <si>
    <t>DLBHMA012-Ea Tul</t>
  </si>
  <si>
    <t>12.788846</t>
  </si>
  <si>
    <t>108.21658</t>
  </si>
  <si>
    <t>FO DT#MBF#DLBHMA012-DLCG03</t>
  </si>
  <si>
    <t>Cuôr Đăng - Cư Bao</t>
  </si>
  <si>
    <t>10015.73</t>
  </si>
  <si>
    <t>73.57</t>
  </si>
  <si>
    <t>12.788780</t>
  </si>
  <si>
    <t>108.217255</t>
  </si>
  <si>
    <t>9942.16</t>
  </si>
  <si>
    <t>12.840891</t>
  </si>
  <si>
    <t>108.247509</t>
  </si>
  <si>
    <t>full_h04/Đắk Lắk/Mạng cấp IV Đắk Lắk.kmz/Mạng cấp IV Đắk Lắk/Đắk Lắk Ring 13.kmz/ring 13/Cuôr Đăng - Cư Bao/Trung Thế Cư Mgar - Buôn Hồ</t>
  </si>
  <si>
    <t>TT1 Đăk Lăk-DLBHMA012</t>
  </si>
  <si>
    <t>FO DT#MBF#DLBT09-DLBHMA012</t>
  </si>
  <si>
    <t>1861.86</t>
  </si>
  <si>
    <t>111.75</t>
  </si>
  <si>
    <t>DLBTMA01-Ea Tul</t>
  </si>
  <si>
    <t>FO DT#MBF#DLBTMA01-DLCG03</t>
  </si>
  <si>
    <t>15390.47</t>
  </si>
  <si>
    <t>3610.38</t>
  </si>
  <si>
    <t>11780.09</t>
  </si>
  <si>
    <t>12.813562</t>
  </si>
  <si>
    <t>108.233570</t>
  </si>
  <si>
    <t>Ea Tul-KRông Năng</t>
  </si>
  <si>
    <t>FO DT#MBF#DLCG03-DLKN27</t>
  </si>
  <si>
    <t>9248.62</t>
  </si>
  <si>
    <t>9193.08</t>
  </si>
  <si>
    <t>KRông Năng-DLKN02</t>
  </si>
  <si>
    <t>FO DT#MBF#DLKN27-DLKN02</t>
  </si>
  <si>
    <t>3248.76</t>
  </si>
  <si>
    <t>3113.58</t>
  </si>
  <si>
    <t>DLKN02-Buôn Hồ</t>
  </si>
  <si>
    <t>FO DT#MBF#DLKN02-DLBH15</t>
  </si>
  <si>
    <t>Buôn Hồ-TT1 Đăk Lăk</t>
  </si>
  <si>
    <t>FO DT#MBF#DLBH15-DLBT09</t>
  </si>
  <si>
    <t>13265.44</t>
  </si>
  <si>
    <t>11515.33</t>
  </si>
  <si>
    <t>12.815362</t>
  </si>
  <si>
    <t>108.242258</t>
  </si>
  <si>
    <t>Ea Kar-DLKN02</t>
  </si>
  <si>
    <t>FO DT#MBF#DLEK01-DLKN02</t>
  </si>
  <si>
    <t>Trung thế 14(373(EKA)__418</t>
  </si>
  <si>
    <t>5249.55</t>
  </si>
  <si>
    <t>70.81</t>
  </si>
  <si>
    <t>12.811550</t>
  </si>
  <si>
    <t>108.483309</t>
  </si>
  <si>
    <t>5178.75</t>
  </si>
  <si>
    <t>12.852958</t>
  </si>
  <si>
    <t>108.423523</t>
  </si>
  <si>
    <t>full_h04/Đắk Lắk/Mạng cấp IV Đắk Lắk.kmz/Mạng cấp IV Đắk Lắk/Đắk Lắk Ring 18.kmz/TTCMKV Ea Kar - Phú Xuân/Trung thế 14(373(EKA)__418/35(</t>
  </si>
  <si>
    <t>DLKP01-Ea Kar</t>
  </si>
  <si>
    <t>12.715607</t>
  </si>
  <si>
    <t>108.241525</t>
  </si>
  <si>
    <t>FO DT#MBF#DLKP01-DLEK01</t>
  </si>
  <si>
    <t>8086.60</t>
  </si>
  <si>
    <t>8017.36</t>
  </si>
  <si>
    <t>12.778797</t>
  </si>
  <si>
    <t>108.205924</t>
  </si>
  <si>
    <t>TT1 Đăk Lăk-DLKP01</t>
  </si>
  <si>
    <t>FO DT#MBF#DLBT09-DLKP01</t>
  </si>
  <si>
    <t>2711.82</t>
  </si>
  <si>
    <t>2489.64</t>
  </si>
  <si>
    <t>12.684058</t>
  </si>
  <si>
    <t>108.075749</t>
  </si>
  <si>
    <t>222.19</t>
  </si>
  <si>
    <t>12.716179</t>
  </si>
  <si>
    <t>108.239562</t>
  </si>
  <si>
    <t>DLCK17-Cư Kuin</t>
  </si>
  <si>
    <t>12.6381269</t>
  </si>
  <si>
    <t>108.1201019</t>
  </si>
  <si>
    <t>FO DT#MBF#DLCK17-DLCK11</t>
  </si>
  <si>
    <t>KRông Ana - Cư Kuin</t>
  </si>
  <si>
    <t>7948.64</t>
  </si>
  <si>
    <t>7831.89</t>
  </si>
  <si>
    <t>12.567697</t>
  </si>
  <si>
    <t>108.120884</t>
  </si>
  <si>
    <t>116.75</t>
  </si>
  <si>
    <t>12.559718</t>
  </si>
  <si>
    <t>108.162858</t>
  </si>
  <si>
    <t>full_h04/Đắk Lắk/Mạng cấp III Đắk Lắk.kmz/Mạng cấp III Đắk Lắk/Ring 3/KRông Ana - Cư Kuin/Trung thế 478KNA</t>
  </si>
  <si>
    <t>Cư Kuin-Cơ sở cai nghiện (X. Tân Tiến, H. Kron Pắc)</t>
  </si>
  <si>
    <t>FO DT#MBF#DLCK11-DLKP17</t>
  </si>
  <si>
    <t>16251.38</t>
  </si>
  <si>
    <t>15501.01</t>
  </si>
  <si>
    <t>12.699287</t>
  </si>
  <si>
    <t>108.169227</t>
  </si>
  <si>
    <t>750.37</t>
  </si>
  <si>
    <t>12.661210</t>
  </si>
  <si>
    <t>108.347521</t>
  </si>
  <si>
    <t>Cơ sở cai nghiện (X. Tân Tiến, H. Kron Pắc)-DLKP01</t>
  </si>
  <si>
    <t>FO DT#MBF#DLKP17-DLKP01</t>
  </si>
  <si>
    <t>972.56</t>
  </si>
  <si>
    <t>DLEK27-Ea Knốp</t>
  </si>
  <si>
    <t>12.814122</t>
  </si>
  <si>
    <t>108.518682</t>
  </si>
  <si>
    <t>12.80333</t>
  </si>
  <si>
    <t>108.5412</t>
  </si>
  <si>
    <t>FO DT#MBF#DLEK27-DLEK03</t>
  </si>
  <si>
    <t>Ea Knốp - TTCMKV Ea Kar</t>
  </si>
  <si>
    <t>119.77</t>
  </si>
  <si>
    <t>117.93</t>
  </si>
  <si>
    <t>12.813067</t>
  </si>
  <si>
    <t>108.518796</t>
  </si>
  <si>
    <t>1.84</t>
  </si>
  <si>
    <t>12.803341</t>
  </si>
  <si>
    <t>108.541213</t>
  </si>
  <si>
    <t>full_h04/Đắk Lắk/Mạng cấp IV Đắk Lắk.kmz/Mạng cấp IV Đắk Lắk/Đắk Lắk Ring 24.kmz/Ea Knốp - TTCMKV Ea Kar/Trung thế</t>
  </si>
  <si>
    <t>Ea Knốp-DLEK29</t>
  </si>
  <si>
    <t>12.8125985</t>
  </si>
  <si>
    <t>108.4600826</t>
  </si>
  <si>
    <t>FO DT#MBF#DLEK03-DLEK29</t>
  </si>
  <si>
    <t>Trung thế 472EKA__1-2-3_C5__5</t>
  </si>
  <si>
    <t>1343.96</t>
  </si>
  <si>
    <t>226.79</t>
  </si>
  <si>
    <t>12.805264</t>
  </si>
  <si>
    <t>108.541863</t>
  </si>
  <si>
    <t>1117.17</t>
  </si>
  <si>
    <t>12.811744</t>
  </si>
  <si>
    <t>108.470349</t>
  </si>
  <si>
    <t>full_h04/Đắk Lắk/Mạng cấp III Đắk Lắk.kmz/Mạng cấp III Đắk Lắk/Ring 2/KRông Păk - Trại giam Đăk Tân (C10)/Trung thế 472EKA__1-2-3_C5__5/29__471F1</t>
  </si>
  <si>
    <t>Ea Kar-DLEK29</t>
  </si>
  <si>
    <t>FO DT#MBF#DLEK01-DLEK29</t>
  </si>
  <si>
    <t>116.89</t>
  </si>
  <si>
    <t>47.64</t>
  </si>
  <si>
    <t>12.812188</t>
  </si>
  <si>
    <t>108.459956</t>
  </si>
  <si>
    <t>Ea Kar-DLEK10</t>
  </si>
  <si>
    <t>12.84153</t>
  </si>
  <si>
    <t>108.43094</t>
  </si>
  <si>
    <t>FO DT#MBF#DLEK01-DLEK10</t>
  </si>
  <si>
    <t>175.65</t>
  </si>
  <si>
    <t>104.85</t>
  </si>
  <si>
    <t>12.841301</t>
  </si>
  <si>
    <t>108.430002</t>
  </si>
  <si>
    <t>Ea Kly-Ea Kar</t>
  </si>
  <si>
    <t>12.76228</t>
  </si>
  <si>
    <t>108.4145</t>
  </si>
  <si>
    <t>FO DT#MBF#DLKP05-DLEK01</t>
  </si>
  <si>
    <t>1380.85</t>
  </si>
  <si>
    <t>1311.61</t>
  </si>
  <si>
    <t>12.770509</t>
  </si>
  <si>
    <t>108.405835</t>
  </si>
  <si>
    <t>Ea Phê-Ea Kly</t>
  </si>
  <si>
    <t>12.72793</t>
  </si>
  <si>
    <t>108.3632</t>
  </si>
  <si>
    <t>FO DT#MBF#DLKP37-DLKP05</t>
  </si>
  <si>
    <t>KRông Păk - Trại giam Đăk Tân (C10)</t>
  </si>
  <si>
    <t>1467.87</t>
  </si>
  <si>
    <t>85.40</t>
  </si>
  <si>
    <t>12.727708</t>
  </si>
  <si>
    <t>108.363954</t>
  </si>
  <si>
    <t>1382.47</t>
  </si>
  <si>
    <t>12.769828</t>
  </si>
  <si>
    <t>108.404370</t>
  </si>
  <si>
    <t>full_h04/Đắk Lắk/Mạng cấp III Đắk Lắk.kmz/Mạng cấp III Đắk Lắk/Ring 2/KRông Păk - Trại giam Đăk Tân (C10)/Trung thế 40__258</t>
  </si>
  <si>
    <t>DLKP01-Ea Phê</t>
  </si>
  <si>
    <t>FO DT#MBF#DLKP01-DLKP37</t>
  </si>
  <si>
    <t>5159.71</t>
  </si>
  <si>
    <t>4937.53</t>
  </si>
  <si>
    <t>12.699309</t>
  </si>
  <si>
    <t>108.328397</t>
  </si>
  <si>
    <t>Ea Kar-DLKP07</t>
  </si>
  <si>
    <t>12.71014</t>
  </si>
  <si>
    <t>108.43604</t>
  </si>
  <si>
    <t>FO DT#MBF#DLEK01-DLKP07</t>
  </si>
  <si>
    <t>Ea Ô - TTCMKV Ea Kar</t>
  </si>
  <si>
    <t>5101.38</t>
  </si>
  <si>
    <t>70.50</t>
  </si>
  <si>
    <t>12.811557</t>
  </si>
  <si>
    <t>108.483304</t>
  </si>
  <si>
    <t>5030.89</t>
  </si>
  <si>
    <t>12.721521</t>
  </si>
  <si>
    <t>108.480930</t>
  </si>
  <si>
    <t>full_h04/Đắk Lắk/Mạng cấp IV Đắk Lắk.kmz/Mạng cấp IV Đắk Lắk/Đắk Lắk Ring 8.kmz/Ea Ô - TTCMKV Ea Kar/Trung thế 14__473EKA</t>
  </si>
  <si>
    <t>Vụ Bổn-DLKP38</t>
  </si>
  <si>
    <t>12.6589</t>
  </si>
  <si>
    <t>108.4328</t>
  </si>
  <si>
    <t>12.5817425</t>
  </si>
  <si>
    <t>108.4300584</t>
  </si>
  <si>
    <t>FO DT#MBF#DLKP06-DLKP38</t>
  </si>
  <si>
    <t>77</t>
  </si>
  <si>
    <t>7268.34</t>
  </si>
  <si>
    <t>127.41</t>
  </si>
  <si>
    <t>12.658647</t>
  </si>
  <si>
    <t>108.431655</t>
  </si>
  <si>
    <t>7140.93</t>
  </si>
  <si>
    <t>12.634971</t>
  </si>
  <si>
    <t>108.393240</t>
  </si>
  <si>
    <t>full_h04/Đắk Lắk/Mạng cấp IV Đắk Lắk.kmz/Mạng cấp IV Đắk Lắk/Đắk Lắk Ring 8.kmz/Tân Tiến - Vụ Bổn/Trung thế 474KRP__243/18/11__243/77/19__474KRP</t>
  </si>
  <si>
    <t>DLKP11-Vụ Bổn</t>
  </si>
  <si>
    <t>12.69252</t>
  </si>
  <si>
    <t>108.38369</t>
  </si>
  <si>
    <t>FO DT#MBF#DLKP11-DLKP06</t>
  </si>
  <si>
    <t>4715.50</t>
  </si>
  <si>
    <t>4559.54</t>
  </si>
  <si>
    <t>12.654074</t>
  </si>
  <si>
    <t>108.369075</t>
  </si>
  <si>
    <t>155.96</t>
  </si>
  <si>
    <t>12.658018</t>
  </si>
  <si>
    <t>108.431682</t>
  </si>
  <si>
    <t>Ea Kar-DLEK34</t>
  </si>
  <si>
    <t>12.75627</t>
  </si>
  <si>
    <t>108.51017</t>
  </si>
  <si>
    <t>FO DT#MBF#DLEK01-DLEK34</t>
  </si>
  <si>
    <t>Trung thế 373EKA__15__331</t>
  </si>
  <si>
    <t>3730.16</t>
  </si>
  <si>
    <t>110.23</t>
  </si>
  <si>
    <t>12.811240</t>
  </si>
  <si>
    <t>108.484271</t>
  </si>
  <si>
    <t>3619.92</t>
  </si>
  <si>
    <t>12.749832</t>
  </si>
  <si>
    <t>108.542889</t>
  </si>
  <si>
    <t>full_h04/Đắk Lắk/Mạng cấp IV Đắk Lắk.kmz/Mạng cấp IV Đắk Lắk/Đắk Lắk Ring 5.kmz/TTCMKV Ea Kar - Ea Păl/Trung thế 373EKA__15__331/2__474EKA</t>
  </si>
  <si>
    <t>DLEK34-Ea Păl</t>
  </si>
  <si>
    <t>12.7257</t>
  </si>
  <si>
    <t>108.5551</t>
  </si>
  <si>
    <t>FO DT#MBF#DLEK34-DLEK04</t>
  </si>
  <si>
    <t>3788.40</t>
  </si>
  <si>
    <t>168.48</t>
  </si>
  <si>
    <t>12.726937</t>
  </si>
  <si>
    <t>108.554203</t>
  </si>
  <si>
    <t>DLEK30-Ea Păl</t>
  </si>
  <si>
    <t>12.6403801</t>
  </si>
  <si>
    <t>108.5144039</t>
  </si>
  <si>
    <t>FO DT#MBF#DLEK30-DLEK04</t>
  </si>
  <si>
    <t>6977.86</t>
  </si>
  <si>
    <t>6805.83</t>
  </si>
  <si>
    <t>12.700711</t>
  </si>
  <si>
    <t>108.503832</t>
  </si>
  <si>
    <t>172.02</t>
  </si>
  <si>
    <t>12.726613</t>
  </si>
  <si>
    <t>108.553820</t>
  </si>
  <si>
    <t>TT1 Đăk Lăk-Ea Knuếc</t>
  </si>
  <si>
    <t>12.70389</t>
  </si>
  <si>
    <t>108.1564</t>
  </si>
  <si>
    <t>FO DT#MBF#DLBT09-DLKP03</t>
  </si>
  <si>
    <t>KRông Bông - TT1 Đăk Lăk</t>
  </si>
  <si>
    <t>1847.74</t>
  </si>
  <si>
    <t>1752.00</t>
  </si>
  <si>
    <t>12.690887</t>
  </si>
  <si>
    <t>108.067472</t>
  </si>
  <si>
    <t>12.703134</t>
  </si>
  <si>
    <t>108.156822</t>
  </si>
  <si>
    <t>full_h04/Đắk Lắk/Mạng cấp III Đắk Lắk.kmz/Mạng cấp III Đắk Lắk/Ring 3/KRông Bông - TT1 Đăk Lăk/Trung thế 474-476BMT</t>
  </si>
  <si>
    <t>Ea Knuếc-DLKP14</t>
  </si>
  <si>
    <t>12.702408</t>
  </si>
  <si>
    <t>108.197138</t>
  </si>
  <si>
    <t>FO DT#MBF#DLKP03-DLKP14</t>
  </si>
  <si>
    <t>2</t>
  </si>
  <si>
    <t>170.58</t>
  </si>
  <si>
    <t>96.45</t>
  </si>
  <si>
    <t>12.703130</t>
  </si>
  <si>
    <t>108.156829</t>
  </si>
  <si>
    <t>74.14</t>
  </si>
  <si>
    <t>12.703072</t>
  </si>
  <si>
    <t>108.197072</t>
  </si>
  <si>
    <t>full_h04/Đắk Lắk/Mạng cấp III Đắk Lắk.kmz/Mạng cấp III Đắk Lắk/Ring 2/TT1 Đak Lak - Krong Pak/Trung thế 295/2/8-C17</t>
  </si>
  <si>
    <t>DLCK03-Cư Kuin</t>
  </si>
  <si>
    <t>12.59915</t>
  </si>
  <si>
    <t>108.160133</t>
  </si>
  <si>
    <t>FO DT#MBF#DLCK03-DLCK11</t>
  </si>
  <si>
    <t>3493.74</t>
  </si>
  <si>
    <t>2935.12</t>
  </si>
  <si>
    <t>Cơ sở cai nghiện (X. Tân Tiến, H. Kron Pắc)-DLKP32</t>
  </si>
  <si>
    <t>12.70365</t>
  </si>
  <si>
    <t>108.32346</t>
  </si>
  <si>
    <t>FO DT#MBF#DLKP17-DLKP32</t>
  </si>
  <si>
    <t>273.46</t>
  </si>
  <si>
    <t>204.32</t>
  </si>
  <si>
    <t>12.703611</t>
  </si>
  <si>
    <t>108.321577</t>
  </si>
  <si>
    <t>DLBT51-PC08</t>
  </si>
  <si>
    <t>12.69374</t>
  </si>
  <si>
    <t>108.05976</t>
  </si>
  <si>
    <t>FO DT#MBF#DLBT51-DLBT80</t>
  </si>
  <si>
    <t>91513.71</t>
  </si>
  <si>
    <t>892.22</t>
  </si>
  <si>
    <t>DLBH17-Buôn Hồ</t>
  </si>
  <si>
    <t>12.91985</t>
  </si>
  <si>
    <t>108.2575</t>
  </si>
  <si>
    <t>FO DT#MBF#DLBH17-DLBH15</t>
  </si>
  <si>
    <t>830.55</t>
  </si>
  <si>
    <t>772.28</t>
  </si>
  <si>
    <t>12.920682</t>
  </si>
  <si>
    <t>108.264574</t>
  </si>
  <si>
    <t>DLKN49-Dliê Ya</t>
  </si>
  <si>
    <t>13.12455</t>
  </si>
  <si>
    <t>108.35996</t>
  </si>
  <si>
    <t>FO DT#MBF#DLKN49-DLKN15</t>
  </si>
  <si>
    <t>10</t>
  </si>
  <si>
    <t>3378.13</t>
  </si>
  <si>
    <t>3360.45</t>
  </si>
  <si>
    <t>13.118842</t>
  </si>
  <si>
    <t>108.329487</t>
  </si>
  <si>
    <t>17.68</t>
  </si>
  <si>
    <t>13.116583</t>
  </si>
  <si>
    <t>108.329257</t>
  </si>
  <si>
    <t>full_h04/Đắk Lắk/Mạng cấp IV Đắk Lắk.kmz/Mạng cấp IV Đắk Lắk/Đắk Lắk Ring 19.kmz/Dliê Ya - Ea Hiao/Hạ thế Dile Ya__127/10/11(472KRN)</t>
  </si>
  <si>
    <t>DLKN05-KRông Năng</t>
  </si>
  <si>
    <t>12.98617</t>
  </si>
  <si>
    <t>108.3397</t>
  </si>
  <si>
    <t>FO DT#MBF#DLKN05-DLKN27</t>
  </si>
  <si>
    <t>2069.59</t>
  </si>
  <si>
    <t>2033.59</t>
  </si>
  <si>
    <t>12.989837</t>
  </si>
  <si>
    <t>108.321312</t>
  </si>
  <si>
    <t>Ea Tul-DLCG41</t>
  </si>
  <si>
    <t>FO DT#MBF#DLCG03-DLCG41</t>
  </si>
  <si>
    <t>162.51</t>
  </si>
  <si>
    <t>DLCG29-Ea Tul</t>
  </si>
  <si>
    <t>12.92228</t>
  </si>
  <si>
    <t>108.15975</t>
  </si>
  <si>
    <t>FO DT#MBF#DLCG29-DLCG03</t>
  </si>
  <si>
    <t>1958.36</t>
  </si>
  <si>
    <t>1913.91</t>
  </si>
  <si>
    <t>12.906500</t>
  </si>
  <si>
    <t>108.152697</t>
  </si>
  <si>
    <t>DLKA03-Hòa Phú</t>
  </si>
  <si>
    <t>12.582007</t>
  </si>
  <si>
    <t>107.934377</t>
  </si>
  <si>
    <t>FO DT#MBF#DLKA03-DLBT1T</t>
  </si>
  <si>
    <t>3377.85</t>
  </si>
  <si>
    <t>2662.74</t>
  </si>
  <si>
    <t>12.600441</t>
  </si>
  <si>
    <t>107.950039</t>
  </si>
  <si>
    <t>715.11</t>
  </si>
  <si>
    <t>12.618955</t>
  </si>
  <si>
    <t>107.946549</t>
  </si>
  <si>
    <t>full_h04/Đắk Lắk/Mạng cấp IV Đắk Lắk.kmz/Mạng cấp IV Đắk Lắk/Đắk Lắk Ring 11.kmz/Đắk Lắk Ring 11/Hòa Phú - Ea Na/Trung thế 475CJU</t>
  </si>
  <si>
    <t>DLKB35-Pơng Drang</t>
  </si>
  <si>
    <t>12.95423</t>
  </si>
  <si>
    <t>108.22635</t>
  </si>
  <si>
    <t>FO DT#MBF#DLKB35-DLKB36</t>
  </si>
  <si>
    <t>Trung thế 5</t>
  </si>
  <si>
    <t>1286.07</t>
  </si>
  <si>
    <t>211.30</t>
  </si>
  <si>
    <t>12.955921</t>
  </si>
  <si>
    <t>108.227239</t>
  </si>
  <si>
    <t>1074.77</t>
  </si>
  <si>
    <t>12.961758</t>
  </si>
  <si>
    <t>108.241324</t>
  </si>
  <si>
    <t>full_h04/Đắk Lắk/Mạng cấp IV Đắk Lắk.kmz/Mạng cấp IV Đắk Lắk/Đắk Lắk Ring 17.kmz/Pơng Drang - Cư Pơng/Trung thế 5/4(475T2KBU)__81(475T2KBU)</t>
  </si>
  <si>
    <t>Cư Pơng-DLKB13</t>
  </si>
  <si>
    <t>12.973813</t>
  </si>
  <si>
    <t>108.16369</t>
  </si>
  <si>
    <t>FO DT#MBF#DLKB22-DLKB13</t>
  </si>
  <si>
    <t>1(475T2KBU)__126</t>
  </si>
  <si>
    <t>2462.79</t>
  </si>
  <si>
    <t>2013.20</t>
  </si>
  <si>
    <t>12.994935</t>
  </si>
  <si>
    <t>108.161522</t>
  </si>
  <si>
    <t>449.59</t>
  </si>
  <si>
    <t>12.976003</t>
  </si>
  <si>
    <t>108.167178</t>
  </si>
  <si>
    <t>full_h04/Đắk Lắk/Mạng cấp IV Đắk Lắk.kmz/Mạng cấp IV Đắk Lắk/Đắk Lắk Ring 17.kmz/Pơng Drang - Cư Pơng/Trung thế 126/1(475T2KBU)__126/52(475T2KBU)</t>
  </si>
  <si>
    <t>Ea Kar-DLEK31</t>
  </si>
  <si>
    <t>12.80491</t>
  </si>
  <si>
    <t>108.45256</t>
  </si>
  <si>
    <t>FO DT#MBF#DLEK01-DLEK31</t>
  </si>
  <si>
    <t>764.99</t>
  </si>
  <si>
    <t>695.74</t>
  </si>
  <si>
    <t>12.809038</t>
  </si>
  <si>
    <t>108.447738</t>
  </si>
  <si>
    <t>DLEK53-Ea Knốp</t>
  </si>
  <si>
    <t>12.80813</t>
  </si>
  <si>
    <t>108.56272</t>
  </si>
  <si>
    <t>FO DT#MBF#DLEK53-DLEK03</t>
  </si>
  <si>
    <t>44</t>
  </si>
  <si>
    <t>337.09</t>
  </si>
  <si>
    <t>107.36</t>
  </si>
  <si>
    <t>12.808430</t>
  </si>
  <si>
    <t>108.563661</t>
  </si>
  <si>
    <t>229.73</t>
  </si>
  <si>
    <t>12.805197</t>
  </si>
  <si>
    <t>108.542107</t>
  </si>
  <si>
    <t>full_h04/Đắk Lắk/Mạng cấp III Đắk Lắk.kmz/Mạng cấp III Đắk Lắk/Ring 2/KRông Păk - Trại giam Đăk Tân (C10)/Trung thế 471F1__5/29__25/44/147__472F18</t>
  </si>
  <si>
    <t>DLEK35-Ea Knốp</t>
  </si>
  <si>
    <t>12.78457</t>
  </si>
  <si>
    <t>108.54173</t>
  </si>
  <si>
    <t>FO DT#MBF#DLEK35-DLEK03</t>
  </si>
  <si>
    <t>411.86</t>
  </si>
  <si>
    <t>229.90</t>
  </si>
  <si>
    <t>12.785001</t>
  </si>
  <si>
    <t>108.543803</t>
  </si>
  <si>
    <t>181.96</t>
  </si>
  <si>
    <t>12.803478</t>
  </si>
  <si>
    <t>108.539529</t>
  </si>
  <si>
    <t>DLEK41-Ea Păl</t>
  </si>
  <si>
    <t>12.747125</t>
  </si>
  <si>
    <t>108.580095</t>
  </si>
  <si>
    <t>FO DT#MBF#DLEK41-DLEK04</t>
  </si>
  <si>
    <t>ILA Ea Pal - ILA Sơn Thành</t>
  </si>
  <si>
    <t>3543.63</t>
  </si>
  <si>
    <t>3525.09</t>
  </si>
  <si>
    <t>12.726099</t>
  </si>
  <si>
    <t>108.555770</t>
  </si>
  <si>
    <t>18.55</t>
  </si>
  <si>
    <t>12.725867</t>
  </si>
  <si>
    <t>108.555091</t>
  </si>
  <si>
    <t>full_h04/Đắk Lắk/Mạng cấp II Đắk Lắk.kmz/Link 2/ILA Ea Pal - ILA Sơn Thành/hạ thế</t>
  </si>
  <si>
    <t>DLEK36-Ea Păl</t>
  </si>
  <si>
    <t>12.70653</t>
  </si>
  <si>
    <t>108.58205</t>
  </si>
  <si>
    <t>FO DT#MBF#DLEK36-DLEK04</t>
  </si>
  <si>
    <t>476.08</t>
  </si>
  <si>
    <t>389.47</t>
  </si>
  <si>
    <t>12.703554</t>
  </si>
  <si>
    <t>108.583943</t>
  </si>
  <si>
    <t>86.61</t>
  </si>
  <si>
    <t>12.726106</t>
  </si>
  <si>
    <t>108.555781</t>
  </si>
  <si>
    <t>full_h04/Đắk Lắk/Mạng cấp II Đắk Lắk.kmz/Link 2/ILA Ea Pal - ILA Sơn Thành/Trung thế</t>
  </si>
  <si>
    <t>DLKP43-Ea Kly</t>
  </si>
  <si>
    <t>12.784863</t>
  </si>
  <si>
    <t>108.412868</t>
  </si>
  <si>
    <t>FO DT#MBF#DLKP43-DLKP05</t>
  </si>
  <si>
    <t>Ea Kly - Ea Kar</t>
  </si>
  <si>
    <t>306.67</t>
  </si>
  <si>
    <t>255.67</t>
  </si>
  <si>
    <t>12.785982</t>
  </si>
  <si>
    <t>108.410808</t>
  </si>
  <si>
    <t>51.01</t>
  </si>
  <si>
    <t>12.762475</t>
  </si>
  <si>
    <t>108.414926</t>
  </si>
  <si>
    <t>full_h04/Đắk Lắk/Mạng cấp IV Đắk Lắk.kmz/Mạng cấp IV Đắk Lắk/Đắk Lắk Ring 7.kmz/Đắk Lắk Ring 7/Ea Kly - Ea Kar/Trung thế 471EKA</t>
  </si>
  <si>
    <t>DLKP35-Ea Kly</t>
  </si>
  <si>
    <t>12.7712431</t>
  </si>
  <si>
    <t>108.3912947</t>
  </si>
  <si>
    <t>FO DT#MBF#DLKP35-DLKP05</t>
  </si>
  <si>
    <t>1432.09</t>
  </si>
  <si>
    <t>120.49</t>
  </si>
  <si>
    <t>12.770160</t>
  </si>
  <si>
    <t>108.391271</t>
  </si>
  <si>
    <t>DLKP40-Ea Kly</t>
  </si>
  <si>
    <t>12.75757</t>
  </si>
  <si>
    <t>108.43493</t>
  </si>
  <si>
    <t>FO DT#MBF#DLKP40-DLKP05</t>
  </si>
  <si>
    <t>Ea Phê - Ea Kly</t>
  </si>
  <si>
    <t>1811.48</t>
  </si>
  <si>
    <t>1748.06</t>
  </si>
  <si>
    <t>12.749114</t>
  </si>
  <si>
    <t>108.421342</t>
  </si>
  <si>
    <t>63.42</t>
  </si>
  <si>
    <t>12.762024</t>
  </si>
  <si>
    <t>108.415022</t>
  </si>
  <si>
    <t>full_h04/Đắk Lắk/Mạng cấp IV Đắk Lắk.kmz/Mạng cấp IV Đắk Lắk/Đắk Lắk Ring 7.kmz/Đắk Lắk Ring 7/Ea Phê - Ea Kly/Trung thế 471EKA</t>
  </si>
  <si>
    <t>DLKP20-Ea Kly</t>
  </si>
  <si>
    <t>12.74335</t>
  </si>
  <si>
    <t>108.4257</t>
  </si>
  <si>
    <t>FO DT#MBF#DLKP20-DLKP05</t>
  </si>
  <si>
    <t>818.05</t>
  </si>
  <si>
    <t>754.63</t>
  </si>
  <si>
    <t>12.748787</t>
  </si>
  <si>
    <t>108.421536</t>
  </si>
  <si>
    <t>DLKP10-Ea Phê</t>
  </si>
  <si>
    <t>12.76683</t>
  </si>
  <si>
    <t>108.36705</t>
  </si>
  <si>
    <t>FO DT#MBF#DLKP10-DLKP37</t>
  </si>
  <si>
    <t>407.09</t>
  </si>
  <si>
    <t>306.63</t>
  </si>
  <si>
    <t>12.766622</t>
  </si>
  <si>
    <t>108.369870</t>
  </si>
  <si>
    <t>100.46</t>
  </si>
  <si>
    <t>12.727857</t>
  </si>
  <si>
    <t>108.364123</t>
  </si>
  <si>
    <t>full_h04/Đắk Lắk/Mạng cấp IV Đắk Lắk.kmz/Mạng cấp IV Đắk Lắk/Đắk Lắk Ring 7.kmz/Đắk Lắk Ring 7/Ea Phê - Ea Kly/Trung thế 482KRP</t>
  </si>
  <si>
    <t>DLKP61-Ea Phê</t>
  </si>
  <si>
    <t>12.752233</t>
  </si>
  <si>
    <t>108.34403</t>
  </si>
  <si>
    <t>FO DT#MBF#DLKP61-DLKP37</t>
  </si>
  <si>
    <t>2940.95</t>
  </si>
  <si>
    <t>2855.55</t>
  </si>
  <si>
    <t>12.760440</t>
  </si>
  <si>
    <t>108.368980</t>
  </si>
  <si>
    <t>DLKP49-Vụ Bổn</t>
  </si>
  <si>
    <t>12.64308</t>
  </si>
  <si>
    <t>108.43206</t>
  </si>
  <si>
    <t>FO DT#MBF#DLKP49-DLKP06</t>
  </si>
  <si>
    <t>957.88</t>
  </si>
  <si>
    <t>830.47</t>
  </si>
  <si>
    <t>12.650548</t>
  </si>
  <si>
    <t>108.432001</t>
  </si>
  <si>
    <t>DLKP54-Cơ sở cai nghiện (X. Tân Tiến, H. Kron Pắc)</t>
  </si>
  <si>
    <t>12.65106615</t>
  </si>
  <si>
    <t>108.3756681</t>
  </si>
  <si>
    <t>FO DT#MBF#DLKP54-DLKP17</t>
  </si>
  <si>
    <t>889.08</t>
  </si>
  <si>
    <t>138.70</t>
  </si>
  <si>
    <t>12.651728</t>
  </si>
  <si>
    <t>108.374584</t>
  </si>
  <si>
    <t>DLKP50-Cơ sở cai nghiện (X. Tân Tiến, H. Kron Pắc)</t>
  </si>
  <si>
    <t>12.63735</t>
  </si>
  <si>
    <t>108.33829</t>
  </si>
  <si>
    <t>FO DT#MBF#DLKP50-DLKP17</t>
  </si>
  <si>
    <t>750.43</t>
  </si>
  <si>
    <t>328.86</t>
  </si>
  <si>
    <t>12.635908</t>
  </si>
  <si>
    <t>108.340936</t>
  </si>
  <si>
    <t>421.57</t>
  </si>
  <si>
    <t>12.652396</t>
  </si>
  <si>
    <t>108.341959</t>
  </si>
  <si>
    <t>full_h04/Đắk Lắk/Mạng cấp III Đắk Lắk.kmz/Mạng cấp III Đắk Lắk/Ring 3/KRông Bông - TT1 Đăk Lăk/Trung thế 472KRP</t>
  </si>
  <si>
    <t>DLKP15-Ea Knuếc</t>
  </si>
  <si>
    <t>12.68463</t>
  </si>
  <si>
    <t>108.14154</t>
  </si>
  <si>
    <t>FO DT#MBF#DLKP15-DLKP03</t>
  </si>
  <si>
    <t>1709.26</t>
  </si>
  <si>
    <t>1612.81</t>
  </si>
  <si>
    <t>12.698812</t>
  </si>
  <si>
    <t>108.138423</t>
  </si>
  <si>
    <t>DLKP31-Ea Knuếc</t>
  </si>
  <si>
    <t>12.695225</t>
  </si>
  <si>
    <t>108.16629</t>
  </si>
  <si>
    <t>FO DT#MBF#DLKP31-DLKP03</t>
  </si>
  <si>
    <t>580.85</t>
  </si>
  <si>
    <t>485.10</t>
  </si>
  <si>
    <t>12.699388</t>
  </si>
  <si>
    <t>108.167626</t>
  </si>
  <si>
    <t>DLKP63-Ea Knuếc</t>
  </si>
  <si>
    <t>12.6996</t>
  </si>
  <si>
    <t>108.1818</t>
  </si>
  <si>
    <t>FO DT#MBF#DLKP63-DLKP03</t>
  </si>
  <si>
    <t>264.11</t>
  </si>
  <si>
    <t>167.66</t>
  </si>
  <si>
    <t>12.701106</t>
  </si>
  <si>
    <t>108.181884</t>
  </si>
  <si>
    <t>DLCK06-Cư Kuin</t>
  </si>
  <si>
    <t>12.553652</t>
  </si>
  <si>
    <t>108.201457</t>
  </si>
  <si>
    <t>FO DT#MBF#DLCK06-DLCK11</t>
  </si>
  <si>
    <t>733.33</t>
  </si>
  <si>
    <t>176.01</t>
  </si>
  <si>
    <t>12.553972</t>
  </si>
  <si>
    <t>108.203045</t>
  </si>
  <si>
    <t>Dang Kang-DLKG26</t>
  </si>
  <si>
    <t>12.57304</t>
  </si>
  <si>
    <t>108.3352</t>
  </si>
  <si>
    <t>12.59148</t>
  </si>
  <si>
    <t>108.32722</t>
  </si>
  <si>
    <t>FO DT#MBF#DLKG16-DLKG26</t>
  </si>
  <si>
    <t>208.69</t>
  </si>
  <si>
    <t>77.94</t>
  </si>
  <si>
    <t>12.572417</t>
  </si>
  <si>
    <t>108.334871</t>
  </si>
  <si>
    <t>130.75</t>
  </si>
  <si>
    <t>12.590354</t>
  </si>
  <si>
    <t>108.327568</t>
  </si>
  <si>
    <t>full_h04/Đắk Lắk/Mạng cấp III Đắk Lắk.kmz/Mạng cấp III Đắk Lắk/Ring 3/KRông Bông - TT1 Đăk Lăk/Trung thế 475KBO</t>
  </si>
  <si>
    <t>DLKG15-Dang Kang</t>
  </si>
  <si>
    <t>12.552535</t>
  </si>
  <si>
    <t>108.335333</t>
  </si>
  <si>
    <t>FO DT#MBF#DLKG15-DLKG16</t>
  </si>
  <si>
    <t>1111.03</t>
  </si>
  <si>
    <t>1033.09</t>
  </si>
  <si>
    <t>12.554666</t>
  </si>
  <si>
    <t>108.326068</t>
  </si>
  <si>
    <t>DLBT16-PK02</t>
  </si>
  <si>
    <t>12.703804</t>
  </si>
  <si>
    <t>108.062996</t>
  </si>
  <si>
    <t>FO DT#MBF#DLBT16-DLBT53</t>
  </si>
  <si>
    <t>95655.21</t>
  </si>
  <si>
    <t>1149.39</t>
  </si>
  <si>
    <t>12.697469</t>
  </si>
  <si>
    <t>108.071369</t>
  </si>
  <si>
    <t>DLBT1X-Thành Nhất</t>
  </si>
  <si>
    <t>12.689068</t>
  </si>
  <si>
    <t>107.997459</t>
  </si>
  <si>
    <t>FO DT#MBF#DLBT1X-DLBT89</t>
  </si>
  <si>
    <t>1637.45</t>
  </si>
  <si>
    <t>1225.47</t>
  </si>
  <si>
    <t>12.682732</t>
  </si>
  <si>
    <t>108.006702</t>
  </si>
  <si>
    <t>DLEH23-Ea Hiao</t>
  </si>
  <si>
    <t>13.28094</t>
  </si>
  <si>
    <t>108.29054</t>
  </si>
  <si>
    <t>FO DT#MBF#DLEH23-DLEH07</t>
  </si>
  <si>
    <t>1584.32</t>
  </si>
  <si>
    <t>1533.33</t>
  </si>
  <si>
    <t>13.267206</t>
  </si>
  <si>
    <t>108.291806</t>
  </si>
  <si>
    <t>DLEH41-Ea Hiao</t>
  </si>
  <si>
    <t>13.2623351</t>
  </si>
  <si>
    <t>108.3022922</t>
  </si>
  <si>
    <t>FO DT#MBF#DLEH41-DLEH07</t>
  </si>
  <si>
    <t>967.46</t>
  </si>
  <si>
    <t>916.47</t>
  </si>
  <si>
    <t>13.259208</t>
  </si>
  <si>
    <t>108.294458</t>
  </si>
  <si>
    <t>DLBT19-Trung tâm huấn luyện PX01</t>
  </si>
  <si>
    <t>12.67339</t>
  </si>
  <si>
    <t>108.031887</t>
  </si>
  <si>
    <t>FO DT#MBF#DLBT19-DLBT72</t>
  </si>
  <si>
    <t>192.74</t>
  </si>
  <si>
    <t>189.33</t>
  </si>
  <si>
    <t>DLBT2P-Ea Kao</t>
  </si>
  <si>
    <t>12.66226</t>
  </si>
  <si>
    <t>108.03421</t>
  </si>
  <si>
    <t>FO DT#MBF#DLBT2P-DLBT88</t>
  </si>
  <si>
    <t>162.20</t>
  </si>
  <si>
    <t>72.25</t>
  </si>
  <si>
    <t>DLBT46-TT1 Đăk Lăk</t>
  </si>
  <si>
    <t>12.688336</t>
  </si>
  <si>
    <t>108.052178</t>
  </si>
  <si>
    <t>FO DT#MBF#DLBT46-DLBT09</t>
  </si>
  <si>
    <t>TT1 Đăk Lăk - PA07</t>
  </si>
  <si>
    <t>371.48</t>
  </si>
  <si>
    <t>77.88</t>
  </si>
  <si>
    <t>12.687636</t>
  </si>
  <si>
    <t>108.052170</t>
  </si>
  <si>
    <t>293.60</t>
  </si>
  <si>
    <t>12.686939</t>
  </si>
  <si>
    <t>108.052724</t>
  </si>
  <si>
    <t>full_h04/Đắk Lắk/Mạng cấp III Đắk Lắk.kmz/Mạng cấp III Đắk Lắk/Đơn vị Ring 6/TT1 Đăk Lăk - PA07/Trung thế 473BMT</t>
  </si>
  <si>
    <t>DLEK11-Ea Păl</t>
  </si>
  <si>
    <t>12.7359313</t>
  </si>
  <si>
    <t>108.5365641</t>
  </si>
  <si>
    <t>FO DT#MBF#DLEK11-DLEK04</t>
  </si>
  <si>
    <t>302.65</t>
  </si>
  <si>
    <t>130.63</t>
  </si>
  <si>
    <t>12.735425</t>
  </si>
  <si>
    <t>108.537651</t>
  </si>
  <si>
    <t>DLEK42-Ea Păl</t>
  </si>
  <si>
    <t>12.70297</t>
  </si>
  <si>
    <t>108.5402</t>
  </si>
  <si>
    <t>FO DT#MBF#DLEK42-DLEK04</t>
  </si>
  <si>
    <t>1558.06</t>
  </si>
  <si>
    <t>1386.04</t>
  </si>
  <si>
    <t>12.709548</t>
  </si>
  <si>
    <t>108.529346</t>
  </si>
  <si>
    <t>Hòa Sơn-DLKG33</t>
  </si>
  <si>
    <t>12.50337</t>
  </si>
  <si>
    <t>108.2297</t>
  </si>
  <si>
    <t>12.50759</t>
  </si>
  <si>
    <t>108.21877</t>
  </si>
  <si>
    <t>FO DT#MBF#DLKG05-DLKG33</t>
  </si>
  <si>
    <t>TTCMKV Cư Kuin - Hòa Sơn</t>
  </si>
  <si>
    <t>250.35</t>
  </si>
  <si>
    <t>99.57</t>
  </si>
  <si>
    <t>12.504058</t>
  </si>
  <si>
    <t>108.230287</t>
  </si>
  <si>
    <t>150.79</t>
  </si>
  <si>
    <t>12.508934</t>
  </si>
  <si>
    <t>108.218582</t>
  </si>
  <si>
    <t>full_h04/Đắk Lắk/Mạng cấp IV Đắk Lắk.kmz/Mạng cấp IV Đắk Lắk/Đắk Lắk Ring 3.kmz/Đắk Lắk Ring 3/TTCMKV Cư Kuin - Hòa Sơn/Trung thế 471KBO</t>
  </si>
  <si>
    <t>DLKG13-Hòa Sơn</t>
  </si>
  <si>
    <t>12.490573</t>
  </si>
  <si>
    <t>108.2625</t>
  </si>
  <si>
    <t>FO DT#MBF#DLKG13-DLKG05</t>
  </si>
  <si>
    <t>Hòa Sơn - Krông Bông</t>
  </si>
  <si>
    <t>252.85</t>
  </si>
  <si>
    <t>150.01</t>
  </si>
  <si>
    <t>12.491547</t>
  </si>
  <si>
    <t>108.263456</t>
  </si>
  <si>
    <t>102.84</t>
  </si>
  <si>
    <t>12.503901</t>
  </si>
  <si>
    <t>108.230475</t>
  </si>
  <si>
    <t>full_h04/Đắk Lắk/Mạng cấp IV Đắk Lắk.kmz/Mạng cấp IV Đắk Lắk/Đắk Lắk Ring 3.kmz/Đắk Lắk Ring 3/Hòa Sơn - Krông Bông/Trung thế 471KBO</t>
  </si>
  <si>
    <t>DLKG27-Hòa Sơn</t>
  </si>
  <si>
    <t>12.48956</t>
  </si>
  <si>
    <t>108.23199</t>
  </si>
  <si>
    <t>FO DT#MBF#DLKG27-DLKG05</t>
  </si>
  <si>
    <t>Lăk - KRông Bông</t>
  </si>
  <si>
    <t>1326.43</t>
  </si>
  <si>
    <t>316.24</t>
  </si>
  <si>
    <t>12.486843</t>
  </si>
  <si>
    <t>108.231129</t>
  </si>
  <si>
    <t>1010.20</t>
  </si>
  <si>
    <t>12.494372</t>
  </si>
  <si>
    <t>108.228418</t>
  </si>
  <si>
    <t>full_h04/Đắk Lắk/Mạng cấp III Đắk Lắk.kmz/Mạng cấp III Đắk Lắk/Ring 3/Lăk - KRông Bông/Trung thế 371KBO</t>
  </si>
  <si>
    <t>DLKG29-Dang Kang</t>
  </si>
  <si>
    <t>12.54975</t>
  </si>
  <si>
    <t>108.30959</t>
  </si>
  <si>
    <t>FO DT#MBF#DLKG29-DLKG16</t>
  </si>
  <si>
    <t>1680.26</t>
  </si>
  <si>
    <t>1602.32</t>
  </si>
  <si>
    <t>12.547163</t>
  </si>
  <si>
    <t>108.324113</t>
  </si>
  <si>
    <t>DLBT3U-Tân Lập</t>
  </si>
  <si>
    <t>12.66316</t>
  </si>
  <si>
    <t>108.10313</t>
  </si>
  <si>
    <t>FO DT#MBF#DLBT3U-DLBT05</t>
  </si>
  <si>
    <t>149.16</t>
  </si>
  <si>
    <t>30.17</t>
  </si>
  <si>
    <t>12.662906</t>
  </si>
  <si>
    <t>108.103032</t>
  </si>
  <si>
    <t>DLKN58-KRông Năng</t>
  </si>
  <si>
    <t>12.9761</t>
  </si>
  <si>
    <t>108.3447</t>
  </si>
  <si>
    <t>FO DT#MBF#DLKN58-DLKN27</t>
  </si>
  <si>
    <t>2466.69</t>
  </si>
  <si>
    <t>2435.82</t>
  </si>
  <si>
    <t>12.954212</t>
  </si>
  <si>
    <t>108.343787</t>
  </si>
  <si>
    <t>DLKN54-KRông Năng</t>
  </si>
  <si>
    <t>12.94232</t>
  </si>
  <si>
    <t>108.34872</t>
  </si>
  <si>
    <t>FO DT#MBF#DLKN54-DLKN27</t>
  </si>
  <si>
    <t>213.85</t>
  </si>
  <si>
    <t>172.21</t>
  </si>
  <si>
    <t>12.943000</t>
  </si>
  <si>
    <t>108.350148</t>
  </si>
  <si>
    <t>41.65</t>
  </si>
  <si>
    <t>12.951939</t>
  </si>
  <si>
    <t>108.344351</t>
  </si>
  <si>
    <t>full_h04/Đắk Lắk/Mạng cấp III Đắk Lắk.kmz/Mạng cấp III Đắk Lắk/Ring 2/Ea Kar - KRông Năng/Trung thế 475EKA__386__125A__474T2KBU</t>
  </si>
  <si>
    <t>DLKB43-Pơng Drang</t>
  </si>
  <si>
    <t>12.95499</t>
  </si>
  <si>
    <t>108.24368</t>
  </si>
  <si>
    <t>FO DT#MBF#DLKB43-DLKB36</t>
  </si>
  <si>
    <t>430.75</t>
  </si>
  <si>
    <t>328.76</t>
  </si>
  <si>
    <t>12.955263</t>
  </si>
  <si>
    <t>108.246701</t>
  </si>
  <si>
    <t>DLEK72-Ea Kar</t>
  </si>
  <si>
    <t>12.7907</t>
  </si>
  <si>
    <t>108.4663</t>
  </si>
  <si>
    <t>FO DT#MBF#DLEK72-DLEK01</t>
  </si>
  <si>
    <t>469.53</t>
  </si>
  <si>
    <t>399.03</t>
  </si>
  <si>
    <t>12.790459</t>
  </si>
  <si>
    <t>108.462628</t>
  </si>
  <si>
    <t>22DL039-Vụ Bổn</t>
  </si>
  <si>
    <t>12.65192</t>
  </si>
  <si>
    <t>108.41569</t>
  </si>
  <si>
    <t>FO DT#MBF#22DL039-DLKP06</t>
  </si>
  <si>
    <t>572.53</t>
  </si>
  <si>
    <t>445.11</t>
  </si>
  <si>
    <t>12.648235</t>
  </si>
  <si>
    <t>108.417293</t>
  </si>
  <si>
    <t>DLCK22-Cư Kuin</t>
  </si>
  <si>
    <t>12.5778</t>
  </si>
  <si>
    <t>108.148617</t>
  </si>
  <si>
    <t>FO DT#MBF#DLCK22-DLCK11</t>
  </si>
  <si>
    <t>1685.75</t>
  </si>
  <si>
    <t>1569.00</t>
  </si>
  <si>
    <t>12.563748</t>
  </si>
  <si>
    <t>108.149928</t>
  </si>
  <si>
    <t>DLCK25-Cư Kuin</t>
  </si>
  <si>
    <t>12.54218</t>
  </si>
  <si>
    <t>108.1715</t>
  </si>
  <si>
    <t>FO DT#MBF#DLCK25-DLCK11</t>
  </si>
  <si>
    <t>Cư Kuin - Lăk</t>
  </si>
  <si>
    <t>632.69</t>
  </si>
  <si>
    <t>76.46</t>
  </si>
  <si>
    <t>12.542708</t>
  </si>
  <si>
    <t>108.171049</t>
  </si>
  <si>
    <t>556.22</t>
  </si>
  <si>
    <t>12.561978</t>
  </si>
  <si>
    <t>108.168598</t>
  </si>
  <si>
    <t>full_h04/Đắk Lắk/Mạng cấp III Đắk Lắk.kmz/Mạng cấp III Đắk Lắk/Ring 3/Cư Kuin - Lăk/Trung thế 473KNA</t>
  </si>
  <si>
    <t>DLEK31-Ea Kar</t>
  </si>
  <si>
    <t>FO DT#MBF#DLEK31-DLEK01</t>
  </si>
  <si>
    <t>DLEK16-Ea Kar</t>
  </si>
  <si>
    <t>12.801062</t>
  </si>
  <si>
    <t>108.427822</t>
  </si>
  <si>
    <t>FO DT#MBF#DLEK16-DLEK01</t>
  </si>
  <si>
    <t>419.66</t>
  </si>
  <si>
    <t>350.41</t>
  </si>
  <si>
    <t>12.802802</t>
  </si>
  <si>
    <t>108.425128</t>
  </si>
  <si>
    <t>Cửa hàng MobiFone huyện Buôn Hồ-Buôn Hồ</t>
  </si>
  <si>
    <t>12.918133</t>
  </si>
  <si>
    <t>108.267549</t>
  </si>
  <si>
    <t>FO DT#MBF#Cửa hàng MobiFone huyện Buôn Hồ-DLBH15</t>
  </si>
  <si>
    <t>100.61</t>
  </si>
  <si>
    <t>12.917756</t>
  </si>
  <si>
    <t>108.267475</t>
  </si>
  <si>
    <t>DLKG36-Hòa Sơn</t>
  </si>
  <si>
    <t>12.50487</t>
  </si>
  <si>
    <t>108.25758</t>
  </si>
  <si>
    <t>FO DT#MBF#DLKG36-DLKG05</t>
  </si>
  <si>
    <t>106.77</t>
  </si>
  <si>
    <t>3.93</t>
  </si>
  <si>
    <t>12.504905</t>
  </si>
  <si>
    <t>108.257575</t>
  </si>
  <si>
    <t>DLKP76-Ea Phê</t>
  </si>
  <si>
    <t>12.74027</t>
  </si>
  <si>
    <t>108.35783</t>
  </si>
  <si>
    <t>FO DT#MBF#DLKP76-DLKP37</t>
  </si>
  <si>
    <t>1443.71</t>
  </si>
  <si>
    <t>1358.31</t>
  </si>
  <si>
    <t>12.738009</t>
  </si>
  <si>
    <t>108.370137</t>
  </si>
  <si>
    <t>DLBT3N-Tân Lập</t>
  </si>
  <si>
    <t>12.665113</t>
  </si>
  <si>
    <t>108.116556</t>
  </si>
  <si>
    <t>FO DT#MBF#DLBT3N-DLBT05</t>
  </si>
  <si>
    <t>Cảng hàng không Buôn Mê Thuột - TT1 Đăk
Lăk</t>
  </si>
  <si>
    <t>1183.43</t>
  </si>
  <si>
    <t>229.70</t>
  </si>
  <si>
    <t>12.664429</t>
  </si>
  <si>
    <t>108.114558</t>
  </si>
  <si>
    <t>953.73</t>
  </si>
  <si>
    <t>12.662739</t>
  </si>
  <si>
    <t>108.104819</t>
  </si>
  <si>
    <t>full_h04/Đắk Lắk/Mạng cấp III Đắk Lắk.kmz/Mạng cấp III Đắk Lắk/Cảng hàng không Buôn Mê Thuột - TT1 Đăk
Lăk/Trung thế 476-472BMT</t>
  </si>
  <si>
    <t>DLBT3T-Ea Kao</t>
  </si>
  <si>
    <t>12.65746</t>
  </si>
  <si>
    <t>108.0363</t>
  </si>
  <si>
    <t>FO DT#MBF#DLBT3T-DLBT88</t>
  </si>
  <si>
    <t>680.65</t>
  </si>
  <si>
    <t>654.73</t>
  </si>
  <si>
    <t>12.660381</t>
  </si>
  <si>
    <t>108.031060</t>
  </si>
  <si>
    <t>25.93</t>
  </si>
  <si>
    <t>12.659843</t>
  </si>
  <si>
    <t>108.030387</t>
  </si>
  <si>
    <t>full_h04/Đắk Lắk/Mạng cấp IV Đắk Lắk.kmz/Mạng cấp IV Đắk Lắk/Đắk Lắk Ring 2.kmz/Đắk Lắk Ring 2/CAT Đắk Lắk - Ea Kao/Cống bể MBF</t>
  </si>
  <si>
    <t>PK02-DLBT3Y</t>
  </si>
  <si>
    <t>12.710684</t>
  </si>
  <si>
    <t>108.052174</t>
  </si>
  <si>
    <t>FO DT#MBF#DLBT53-DLBT3Y</t>
  </si>
  <si>
    <t>97054.24</t>
  </si>
  <si>
    <t>2548.42</t>
  </si>
  <si>
    <t>DLBT4B-TT1 Đăk Lăk</t>
  </si>
  <si>
    <t>12.68581</t>
  </si>
  <si>
    <t>108.052</t>
  </si>
  <si>
    <t>FO DT#MBF#DLBT4B-DLBT09</t>
  </si>
  <si>
    <t>154.06</t>
  </si>
  <si>
    <t>121.17</t>
  </si>
  <si>
    <t>12.684739</t>
  </si>
  <si>
    <t>108.052206</t>
  </si>
  <si>
    <t>32.89</t>
  </si>
  <si>
    <t>12.684351</t>
  </si>
  <si>
    <t>108.052501</t>
  </si>
  <si>
    <t>full_h04/Đắk Lắk/Mạng cấp IV Đắk Lắk.kmz/Mạng cấp IV Đắk Lắk/Đắk Lắk Ring 12.kmz/Đắk Lắk Ring 12/CAT Đắk Lắk - Thành Nhất/Bể nội CAT</t>
  </si>
  <si>
    <t>DLBT5B-TT1 Đăk Lăk</t>
  </si>
  <si>
    <t>12.68038</t>
  </si>
  <si>
    <t>108.05556</t>
  </si>
  <si>
    <t>FO DT#MBF#DLBT5B-DLBT09</t>
  </si>
  <si>
    <t>520.25</t>
  </si>
  <si>
    <t>294.37</t>
  </si>
  <si>
    <t>12.682585</t>
  </si>
  <si>
    <t>108.054059</t>
  </si>
  <si>
    <t>Trung tâm huấn luyện PX01-DLBT86</t>
  </si>
  <si>
    <t>12.67646</t>
  </si>
  <si>
    <t>108.02686</t>
  </si>
  <si>
    <t>FO DT#MBF#DLBT72-DLBT86</t>
  </si>
  <si>
    <t>819.03</t>
  </si>
  <si>
    <t>815.63</t>
  </si>
  <si>
    <t>DLBT34-Ea Kao</t>
  </si>
  <si>
    <t>12.653292</t>
  </si>
  <si>
    <t>108.029603</t>
  </si>
  <si>
    <t>FO DT#MBF#DLBT34-DLBT88</t>
  </si>
  <si>
    <t>458.86</t>
  </si>
  <si>
    <t>425.30</t>
  </si>
  <si>
    <t>12.654410</t>
  </si>
  <si>
    <t>108.025854</t>
  </si>
  <si>
    <t>33.56</t>
  </si>
  <si>
    <t>12.659758</t>
  </si>
  <si>
    <t>108.030310</t>
  </si>
  <si>
    <t>full_h04/Đắk Lắk/Mạng cấp III Đắk Lắk.kmz/Mạng cấp III Đắk Lắk/Ring 3/TT1 Đăk Lăk - KRông Ana/Cống bể MBF</t>
  </si>
  <si>
    <t>DLBT52-TT1 Đăk Lăk</t>
  </si>
  <si>
    <t>FO DT#MBF#DLBT52-DLBT09</t>
  </si>
  <si>
    <t>678.26</t>
  </si>
  <si>
    <t>645.36</t>
  </si>
  <si>
    <t>PC04-DLBT52</t>
  </si>
  <si>
    <t>12.68355</t>
  </si>
  <si>
    <t>108.0445</t>
  </si>
  <si>
    <t>FO DT#MBF#DLBT17-DLBT52</t>
  </si>
  <si>
    <t>337.19</t>
  </si>
  <si>
    <t>275.71</t>
  </si>
  <si>
    <t>DLBTMA01-PC04</t>
  </si>
  <si>
    <t>FO DT#MBF#DLBTMA01-DLBT17</t>
  </si>
  <si>
    <t>494.22</t>
  </si>
  <si>
    <t>44.83</t>
  </si>
  <si>
    <t>12.682617</t>
  </si>
  <si>
    <t>108.034878</t>
  </si>
  <si>
    <t>449.38</t>
  </si>
  <si>
    <t>12.682357</t>
  </si>
  <si>
    <t>108.040542</t>
  </si>
  <si>
    <t>full_h04/Đắk Lắk/Mạng cấp IV Đắk Lắk.kmz/Mạng cấp IV Đắk Lắk/Đắk Lắk Ring 12.kmz/Đắk Lắk Ring 12/CAT Đắk Lắk - Thành Nhất/Cống bể MBF</t>
  </si>
  <si>
    <t>Đà Nẵng#TTCMKV#Cẩm Lệ-DNCL85</t>
  </si>
  <si>
    <t>16.01692</t>
  </si>
  <si>
    <t>108.2035</t>
  </si>
  <si>
    <t>16.02172</t>
  </si>
  <si>
    <t>108.19318</t>
  </si>
  <si>
    <t>FO thuê#CMC#DNCL85-DNCL28</t>
  </si>
  <si>
    <t>A06 (CS1) - H03</t>
  </si>
  <si>
    <t>659.88</t>
  </si>
  <si>
    <t>44.67</t>
  </si>
  <si>
    <t>16.016590</t>
  </si>
  <si>
    <t>108.203738</t>
  </si>
  <si>
    <t>615.21</t>
  </si>
  <si>
    <t>16.018669</t>
  </si>
  <si>
    <t>108.197982</t>
  </si>
  <si>
    <t>full_h04/TP Đà Nẵng/TP Đà Nẵng/Mạng cấp 2/Cấp 2 - Ring 2/Ring 2 - hiệu chỉnh - ok/A06 (CS1) - H03/Trung thế</t>
  </si>
  <si>
    <t>Đà Nẵng#TTCMKV#Cẩm Lệ-DNCL09</t>
  </si>
  <si>
    <t>16.03661</t>
  </si>
  <si>
    <t>108.20921</t>
  </si>
  <si>
    <t>FO thuê#PITC#DNCL28-DNCL09</t>
  </si>
  <si>
    <t>TT1 Đà Nẵng - Cẩm Lệ</t>
  </si>
  <si>
    <t>1023.05</t>
  </si>
  <si>
    <t>959.24</t>
  </si>
  <si>
    <t>16.020675</t>
  </si>
  <si>
    <t>108.211580</t>
  </si>
  <si>
    <t>63.82</t>
  </si>
  <si>
    <t>16.036673</t>
  </si>
  <si>
    <t>108.209804</t>
  </si>
  <si>
    <t>full_h04/TP Đà Nẵng/TP Đà Nẵng/Mạng cấp 3_ DN và Quảng Nam/Cấp 3 - Ring 1 - Đà Nẵng cũ/TT1 Đà Nẵng - Cẩm Lệ/Trung thế</t>
  </si>
  <si>
    <t>Đà Nẵng#TTCMKV#Cẩm Lệ-DNCL01</t>
  </si>
  <si>
    <t>16.012964</t>
  </si>
  <si>
    <t>108.19103</t>
  </si>
  <si>
    <t>FO thuê#CMC#DNCL28-DNCL01</t>
  </si>
  <si>
    <t>Hòa Xuân - TTKV Cẩm Lệ</t>
  </si>
  <si>
    <t>404.42</t>
  </si>
  <si>
    <t>2.15</t>
  </si>
  <si>
    <t>16.016921</t>
  </si>
  <si>
    <t>108.203480</t>
  </si>
  <si>
    <t>402.26</t>
  </si>
  <si>
    <t>16.010182</t>
  </si>
  <si>
    <t>108.193436</t>
  </si>
  <si>
    <t>full_h04/TP Đà Nẵng/TP Đà Nẵng/Mạng cấp 4 - ĐN cũ/Ring 3 - DN/Hòa Xuân - TTKV Cẩm Lệ/Trung thế</t>
  </si>
  <si>
    <t>Đà Nẵng#TTCMKV#Cẩm Lệ-DNCL16</t>
  </si>
  <si>
    <t>16.01738</t>
  </si>
  <si>
    <t>108.19576</t>
  </si>
  <si>
    <t>FO thuê#CMC#DNCL28-DNCL16</t>
  </si>
  <si>
    <t>318.84</t>
  </si>
  <si>
    <t>274.17</t>
  </si>
  <si>
    <t>16.018421</t>
  </si>
  <si>
    <t>108.198085</t>
  </si>
  <si>
    <t>Đà Nẵng#TTCMKV#TT1 Đà Nẵng-DNHC27</t>
  </si>
  <si>
    <t>16.07756</t>
  </si>
  <si>
    <t>108.2192</t>
  </si>
  <si>
    <t>16.067517</t>
  </si>
  <si>
    <t>108.215971</t>
  </si>
  <si>
    <t>FO thuê#CMC#DNHC17-DNHC27</t>
  </si>
  <si>
    <t>Nhánh 1</t>
  </si>
  <si>
    <t>43.62</t>
  </si>
  <si>
    <t>27.45</t>
  </si>
  <si>
    <t>16.077317</t>
  </si>
  <si>
    <t>108.219248</t>
  </si>
  <si>
    <t>16.17</t>
  </si>
  <si>
    <t>16.067586</t>
  </si>
  <si>
    <t>108.215838</t>
  </si>
  <si>
    <t>full_h04/TP Đà Nẵng/TP Đà Nẵng/Mạng cấp 3_ DN và Quảng Nam/Ring Nhánh/Đồn Công an cảng hàng không (Sân bay Đà
Nẵng) - TT1 Đà Nẵng"/Nhánh 1/Trung thế 1</t>
  </si>
  <si>
    <t>Đà Nẵng#TTCMKV#TT1 Đà Nẵng-DNHC62</t>
  </si>
  <si>
    <t>16.082465</t>
  </si>
  <si>
    <t>108.21869</t>
  </si>
  <si>
    <t>FO thuê#CMC#DNHC17-DNHC62</t>
  </si>
  <si>
    <t>Sơn Trà - TT1 Đà Nẵng</t>
  </si>
  <si>
    <t>144.82</t>
  </si>
  <si>
    <t>23.59</t>
  </si>
  <si>
    <t>16.077626</t>
  </si>
  <si>
    <t>108.219410</t>
  </si>
  <si>
    <t>121.23</t>
  </si>
  <si>
    <t>16.081697</t>
  </si>
  <si>
    <t>108.219495</t>
  </si>
  <si>
    <t>full_h04/TP Đà Nẵng/TP Đà Nẵng/Mạng cấp 3_ DN và Quảng Nam/Cấp 3 - Ring 1 - Đà Nẵng cũ/Sơn Trà - TT1 Đà Nẵng/Cống bể VNPT 4</t>
  </si>
  <si>
    <t>Đà Nẵng#TTCMKV#TT1 Đà Nẵng-DNHC73</t>
  </si>
  <si>
    <t>16.07745</t>
  </si>
  <si>
    <t>108.22386</t>
  </si>
  <si>
    <t>FO thuê#CMC#DNHC17-DNHC73</t>
  </si>
  <si>
    <t>TT1 Đà Nẵng - Hải Châu</t>
  </si>
  <si>
    <t>241.02</t>
  </si>
  <si>
    <t>7.02</t>
  </si>
  <si>
    <t>16.077608</t>
  </si>
  <si>
    <t>108.219243</t>
  </si>
  <si>
    <t>233.99</t>
  </si>
  <si>
    <t>16.077649</t>
  </si>
  <si>
    <t>108.221680</t>
  </si>
  <si>
    <t>full_h04/TP Đà Nẵng/TP Đà Nẵng/Mạng cấp 4 - ĐN cũ/Ring 7 - DN/TT1 Đà Nẵng - Hải Châu/Trung thế</t>
  </si>
  <si>
    <t>Đà Nẵng#TTCMKV#Hòa Vang-DNHV60</t>
  </si>
  <si>
    <t>15.9881</t>
  </si>
  <si>
    <t>108.1402</t>
  </si>
  <si>
    <t>15.99802</t>
  </si>
  <si>
    <t>108.13792</t>
  </si>
  <si>
    <t>FO thuê#CMC#DNHV60-DNHV01</t>
  </si>
  <si>
    <t>"Cơ sở cai nghiện (X. Hòa Bắc, Hòa Vang) -
TTCMKV Hòa Vang"</t>
  </si>
  <si>
    <t>15.25</t>
  </si>
  <si>
    <t>3.35</t>
  </si>
  <si>
    <t>15.988075</t>
  </si>
  <si>
    <t>108.140218</t>
  </si>
  <si>
    <t>15.997970</t>
  </si>
  <si>
    <t>108.138018</t>
  </si>
  <si>
    <t>full_h04/TP Đà Nẵng/TP Đà Nẵng/Mạng cấp 3_ DN và Quảng Nam/Ring Nhánh/"Cơ sở cai nghiện (X. Hòa Bắc, Hòa Vang) -
TTCMKV Hòa Vang"/Hạ thế 5</t>
  </si>
  <si>
    <t>Đà Nẵng#TTCMKV#Hòa Vang-DNHV78</t>
  </si>
  <si>
    <t>16.00809</t>
  </si>
  <si>
    <t>108.15424</t>
  </si>
  <si>
    <t>FO thuê#CMC#DNHV78-DNHV01</t>
  </si>
  <si>
    <t>Hòa Vang - TT1 Đà Nẵng</t>
  </si>
  <si>
    <t>1343.33</t>
  </si>
  <si>
    <t>1240.61</t>
  </si>
  <si>
    <t>15.997909</t>
  </si>
  <si>
    <t>108.145731</t>
  </si>
  <si>
    <t>102.73</t>
  </si>
  <si>
    <t>16.009000</t>
  </si>
  <si>
    <t>108.154405</t>
  </si>
  <si>
    <t>full_h04/TP Đà Nẵng/TP Đà Nẵng/Mạng cấp 3_ DN và Quảng Nam/Cấp 3 - Ring 2 - Đà Nẵng cũ/Hòa Vang - TT1 Đà Nẵng/Trung Thế Hòa Vang - TT1 Đà Nẵng  8</t>
  </si>
  <si>
    <t>Đà Nẵng#TTCMKV#Hòa Vang-DNHV11</t>
  </si>
  <si>
    <t>15.983611</t>
  </si>
  <si>
    <t>108.126417</t>
  </si>
  <si>
    <t>FO thuê#CMC#DNHV01-DNHV11</t>
  </si>
  <si>
    <t>Sông Vàng - TTCMKV Đại Lộc</t>
  </si>
  <si>
    <t>968.06</t>
  </si>
  <si>
    <t>588.26</t>
  </si>
  <si>
    <t>15.983065</t>
  </si>
  <si>
    <t>108.138511</t>
  </si>
  <si>
    <t>379.79</t>
  </si>
  <si>
    <t>15.980283</t>
  </si>
  <si>
    <t>108.127217</t>
  </si>
  <si>
    <t>full_h04/TP Đà Nẵng/TP Đà Nẵng/Mạng cấp 4 - Quảng Nam/Quảng Nam - Ring 16/Sông Vàng - TTCMKV Đại Lộc/Trung thế 2</t>
  </si>
  <si>
    <t>Đà Nẵng#TTCMKV#Hòa Vang-DNHV18</t>
  </si>
  <si>
    <t>15.98991</t>
  </si>
  <si>
    <t>108.14337</t>
  </si>
  <si>
    <t>FO thuê#CMC#DNHV01-DNHV18</t>
  </si>
  <si>
    <t>76.80</t>
  </si>
  <si>
    <t>10.30</t>
  </si>
  <si>
    <t>15.988042</t>
  </si>
  <si>
    <t>108.140275</t>
  </si>
  <si>
    <t>66.50</t>
  </si>
  <si>
    <t>15.989824</t>
  </si>
  <si>
    <t>108.142754</t>
  </si>
  <si>
    <t>full_h04/TP Đà Nẵng/TP Đà Nẵng/Mạng cấp 3_ DN và Quảng Nam/Cấp 3 - Ring 2 - Đà Nẵng cũ/Hòa Vang - TT1 Đà Nẵng/Cống bể xd mới Hòa Vang - TT1 Đà Nẵng  9</t>
  </si>
  <si>
    <t>Đà Nẵng#TTCMKV#Hòa Vang-DNHV87</t>
  </si>
  <si>
    <t>15.99286</t>
  </si>
  <si>
    <t>108.14823</t>
  </si>
  <si>
    <t>FO thuê#VNPT#DNHV87-DNHV01</t>
  </si>
  <si>
    <t>493.67</t>
  </si>
  <si>
    <t>483.38</t>
  </si>
  <si>
    <t>15.992659</t>
  </si>
  <si>
    <t>108.143713</t>
  </si>
  <si>
    <t>Đà Nẵng#TTCMKV#Liên Chiểu-DNLC91</t>
  </si>
  <si>
    <t>16.07427</t>
  </si>
  <si>
    <t>108.1583</t>
  </si>
  <si>
    <t>16.08057</t>
  </si>
  <si>
    <t>108.16043</t>
  </si>
  <si>
    <t>FO thuê#VNPT#DNLC91-DNLC15</t>
  </si>
  <si>
    <t>TT1 Đà Nẵng - Liên Chiểu</t>
  </si>
  <si>
    <t>438.56</t>
  </si>
  <si>
    <t>317.12</t>
  </si>
  <si>
    <t>16.076901</t>
  </si>
  <si>
    <t>108.159444</t>
  </si>
  <si>
    <t>16.081569</t>
  </si>
  <si>
    <t>108.160889</t>
  </si>
  <si>
    <t>full_h04/TP Đà Nẵng/TP Đà Nẵng/Mạng cấp 3_ DN và Quảng Nam/Cấp 3 - Ring 2 - Đà Nẵng cũ/TT1 Đà Nẵng - Liên Chiểu/Trung thế TT1 Đà nẵng - Liên chiểu 1</t>
  </si>
  <si>
    <t>Đà Nẵng#TTCMKV#Liên Chiểu-DNLC26</t>
  </si>
  <si>
    <t>16.08078</t>
  </si>
  <si>
    <t>108.16388</t>
  </si>
  <si>
    <t>FO thuê#CMC#DNLC15-DNLC26</t>
  </si>
  <si>
    <t>463.93</t>
  </si>
  <si>
    <t>146.80</t>
  </si>
  <si>
    <t>16.080865</t>
  </si>
  <si>
    <t>108.162509</t>
  </si>
  <si>
    <t>Đà Nẵng#TTCMKV#Liên Chiểu-DNTK31</t>
  </si>
  <si>
    <t>16.07298</t>
  </si>
  <si>
    <t>108.17773</t>
  </si>
  <si>
    <t>FO thuê#PITC#DNLC15-DNTK31</t>
  </si>
  <si>
    <t>TT1 Đà Nẵng-Hải Vân</t>
  </si>
  <si>
    <t>823.71</t>
  </si>
  <si>
    <t>792.46</t>
  </si>
  <si>
    <t>16.077791</t>
  </si>
  <si>
    <t>108.164749</t>
  </si>
  <si>
    <t>31.26</t>
  </si>
  <si>
    <t>16.073207</t>
  </si>
  <si>
    <t>108.177558</t>
  </si>
  <si>
    <t>full_h04/TP Đà Nẵng/TP Đà Nẵng/Mạng cấp 4 - ĐN cũ/Ring 5 - DN/TT1 Đà Nẵng-Hải Vân/Trung thế 1</t>
  </si>
  <si>
    <t>Đà Nẵng#TTCMKV#Liên Chiểu-Đà Nẵng#CAX#Liên Chiểu</t>
  </si>
  <si>
    <t>16.07665</t>
  </si>
  <si>
    <t>108.1457</t>
  </si>
  <si>
    <t>#PITC#DNLC1P-DNLC15</t>
  </si>
  <si>
    <t>TTCMKV Liên Chiểu - Trạm CSGT Hòa Hiệp</t>
  </si>
  <si>
    <t>490.42</t>
  </si>
  <si>
    <t>27.31</t>
  </si>
  <si>
    <t>16.074274</t>
  </si>
  <si>
    <t>108.158044</t>
  </si>
  <si>
    <t>463.11</t>
  </si>
  <si>
    <t>16.074614</t>
  </si>
  <si>
    <t>108.149481</t>
  </si>
  <si>
    <t>full_h04/TP Đà Nẵng/TP Đà Nẵng/Mạng cấp 3_ DN và Quảng Nam/Phòng - Ring 3 (ĐN ).kmz/Phòng - Ring 3 (ĐN )/TTCMKV Liên Chiểu - Trạm CSGT Hòa Hiệp/TTCMKV Liên Chiểu - Trạm CSGT Hòa Hiệp-Trung thế 1</t>
  </si>
  <si>
    <t>Đà Nẵng#TTCMKV#Liên Chiểu-DNLC07</t>
  </si>
  <si>
    <t>16.09007</t>
  </si>
  <si>
    <t>108.14254</t>
  </si>
  <si>
    <t>FO thuê#PITC#DNLC07-DNLC15</t>
  </si>
  <si>
    <t>98.86</t>
  </si>
  <si>
    <t>71.55</t>
  </si>
  <si>
    <t>16.090608</t>
  </si>
  <si>
    <t>108.142908</t>
  </si>
  <si>
    <t>Đà Nẵng#TTCMKV#Ngũ Hành Sơn-DNNH35</t>
  </si>
  <si>
    <t>16.01516</t>
  </si>
  <si>
    <t>108.2544</t>
  </si>
  <si>
    <t>16.00213</t>
  </si>
  <si>
    <t>108.26813</t>
  </si>
  <si>
    <t>FO thuê#CMC#DNNH02-DNNH35</t>
  </si>
  <si>
    <t>Hội An - Ngũ Hành Sơn</t>
  </si>
  <si>
    <t>824.18</t>
  </si>
  <si>
    <t>14.34</t>
  </si>
  <si>
    <t>16.015280</t>
  </si>
  <si>
    <t>108.254448</t>
  </si>
  <si>
    <t>809.84</t>
  </si>
  <si>
    <t>15.998049</t>
  </si>
  <si>
    <t>108.261855</t>
  </si>
  <si>
    <t>full_h04/TP Đà Nẵng/TP Đà Nẵng/Mạng cấp 3_ DN và Quảng Nam/Cấp 3 - Ring 1 - Đà Nẵng cũ/Hội An - Ngũ Hành Sơn/Tuyến cột trung thế 2</t>
  </si>
  <si>
    <t>Đà Nẵng#TTCMKV#Ngũ Hành Sơn-DNNH44</t>
  </si>
  <si>
    <t>16.014111</t>
  </si>
  <si>
    <t>108.26259</t>
  </si>
  <si>
    <t>FO thuê#CMC#DNNH02-DNNH44</t>
  </si>
  <si>
    <t>714.37</t>
  </si>
  <si>
    <t>700.04</t>
  </si>
  <si>
    <t>16.012158</t>
  </si>
  <si>
    <t>108.256363</t>
  </si>
  <si>
    <t>Đà Nẵng#TTCMKV#Sơn Trà-DNST2G</t>
  </si>
  <si>
    <t>16.0701</t>
  </si>
  <si>
    <t>108.2336</t>
  </si>
  <si>
    <t>16.067989</t>
  </si>
  <si>
    <t>108.244997</t>
  </si>
  <si>
    <t>FO thuê#PITC#DNST87-DNST2G</t>
  </si>
  <si>
    <t>An Hải - Sơn Trà</t>
  </si>
  <si>
    <t>674.89</t>
  </si>
  <si>
    <t>208.25</t>
  </si>
  <si>
    <t>16.071846</t>
  </si>
  <si>
    <t>108.234304</t>
  </si>
  <si>
    <t>466.64</t>
  </si>
  <si>
    <t>16.069942</t>
  </si>
  <si>
    <t>108.241132</t>
  </si>
  <si>
    <t>full_h04/TP Đà Nẵng/TP Đà Nẵng/Mạng cấp 4 - ĐN cũ/Ring 1 -DN/An Hải - Sơn Trà/Ngầm VNPT</t>
  </si>
  <si>
    <t>Đà Nẵng#TTCMKV#Sơn Trà-DNST53</t>
  </si>
  <si>
    <t>16.068671</t>
  </si>
  <si>
    <t>108.244933</t>
  </si>
  <si>
    <t>FO thuê#CMC#DNST87-DNST53</t>
  </si>
  <si>
    <t>638.32</t>
  </si>
  <si>
    <t>430.07</t>
  </si>
  <si>
    <t>Đà Nẵng#TTCMKV#Sơn Trà-DNST94</t>
  </si>
  <si>
    <t>16.059008</t>
  </si>
  <si>
    <t>108.233981</t>
  </si>
  <si>
    <t>FO thuê#CMC#DNST87-DNST94</t>
  </si>
  <si>
    <t>Ngũ Hành Sơn - Sơn Trà</t>
  </si>
  <si>
    <t>330.30</t>
  </si>
  <si>
    <t>231.85</t>
  </si>
  <si>
    <t>16.068319</t>
  </si>
  <si>
    <t>108.232472</t>
  </si>
  <si>
    <t>98.45</t>
  </si>
  <si>
    <t>16.059259</t>
  </si>
  <si>
    <t>108.234865</t>
  </si>
  <si>
    <t>full_h04/TP Đà Nẵng/TP Đà Nẵng/Mạng cấp 3_ DN và Quảng Nam/Cấp 3 - Ring 1 - Đà Nẵng cũ/Ngũ Hành Sơn - Sơn Trà/cống bể VNPT</t>
  </si>
  <si>
    <t>Đà Nẵng#TTCMKV#Sơn Trà-DNST68</t>
  </si>
  <si>
    <t>16.06805</t>
  </si>
  <si>
    <t>108.244</t>
  </si>
  <si>
    <t>FO thuê#CMC#DNST87-DNST68</t>
  </si>
  <si>
    <t>580.01</t>
  </si>
  <si>
    <t>371.75</t>
  </si>
  <si>
    <t>Đà Nẵng#TTCMKV#Sơn Trà-DNST65</t>
  </si>
  <si>
    <t>16.06062</t>
  </si>
  <si>
    <t>108.23319</t>
  </si>
  <si>
    <t>FO thuê#CMC#DNST87-DNST65</t>
  </si>
  <si>
    <t>358.42</t>
  </si>
  <si>
    <t>126.58</t>
  </si>
  <si>
    <t>16.061031</t>
  </si>
  <si>
    <t>108.234295</t>
  </si>
  <si>
    <t>Đà Nẵng#TTCMKV#Sơn Trà-DNST1D</t>
  </si>
  <si>
    <t>16.0657</t>
  </si>
  <si>
    <t>108.24492</t>
  </si>
  <si>
    <t>FO thuê#CMC#DNST87-DNST1D</t>
  </si>
  <si>
    <t>TTCMKV Sơn Trà-An Hải</t>
  </si>
  <si>
    <t>730.15</t>
  </si>
  <si>
    <t>340.44</t>
  </si>
  <si>
    <t>16.067178</t>
  </si>
  <si>
    <t>108.234552</t>
  </si>
  <si>
    <t>389.71</t>
  </si>
  <si>
    <t>16.066327</t>
  </si>
  <si>
    <t>108.241332</t>
  </si>
  <si>
    <t>full_h04/TP Đà Nẵng/TP Đà Nẵng/Mạng cấp 4 - ĐN cũ/Ring 1 -DN/TTCMKV Sơn Trà-An Hải/Trung thế</t>
  </si>
  <si>
    <t>Đà Nẵng#TTCMKV#Sơn Trà-DNST28</t>
  </si>
  <si>
    <t>16.05768</t>
  </si>
  <si>
    <t>108.24085</t>
  </si>
  <si>
    <t>FO thuê#PITC#DNST87-DNST28</t>
  </si>
  <si>
    <t>806.13</t>
  </si>
  <si>
    <t>574.28</t>
  </si>
  <si>
    <t>16.056984</t>
  </si>
  <si>
    <t>108.235525</t>
  </si>
  <si>
    <t>Quảng Nam#TTCMKV#Hội An-QAHA03</t>
  </si>
  <si>
    <t>15.88074</t>
  </si>
  <si>
    <t>108.3319</t>
  </si>
  <si>
    <t>15.87225</t>
  </si>
  <si>
    <t>108.33853</t>
  </si>
  <si>
    <t>FO thuê#CMC#QAHA03-QAHA06</t>
  </si>
  <si>
    <t>1028.99</t>
  </si>
  <si>
    <t>32.13</t>
  </si>
  <si>
    <t>15.880691</t>
  </si>
  <si>
    <t>108.332196</t>
  </si>
  <si>
    <t>996.86</t>
  </si>
  <si>
    <t>15.881037</t>
  </si>
  <si>
    <t>108.336680</t>
  </si>
  <si>
    <t>full_h04/TP Đà Nẵng/TP Đà Nẵng/Mạng cấp 3_ DN và Quảng Nam/Cấp 3 - Ring 1 - Đà Nẵng cũ/Hội An - Ngũ Hành Sơn/Tuyến trung thế 1</t>
  </si>
  <si>
    <t>Quảng Nam#TTCMKV#Hội An-QAHA32</t>
  </si>
  <si>
    <t>15.90198</t>
  </si>
  <si>
    <t>108.31081</t>
  </si>
  <si>
    <t>FO thuê#CMC#QAHA32-QAHA06</t>
  </si>
  <si>
    <t>điện bàn-Hội An</t>
  </si>
  <si>
    <t>859.69</t>
  </si>
  <si>
    <t>30.36</t>
  </si>
  <si>
    <t>15.880702</t>
  </si>
  <si>
    <t>108.332181</t>
  </si>
  <si>
    <t>829.33</t>
  </si>
  <si>
    <t>15.896825</t>
  </si>
  <si>
    <t>108.305206</t>
  </si>
  <si>
    <t>full_h04/TP Đà Nẵng/TP Đà Nẵng/Mạng cấp 3_ DN và Quảng Nam/Cấp 3 - Ring 1 - Đà Nẵng cũ/điện bàn-Hội An/tuyến trung thế</t>
  </si>
  <si>
    <t>Quảng Nam#TTCMKV#Hội An-QAHA27</t>
  </si>
  <si>
    <t>15.881811</t>
  </si>
  <si>
    <t>108.327432</t>
  </si>
  <si>
    <t>FO thuê#CMC#QAHA06-QAHA27</t>
  </si>
  <si>
    <t>218.75</t>
  </si>
  <si>
    <t>188.38</t>
  </si>
  <si>
    <t>15.883503</t>
  </si>
  <si>
    <t>108.327519</t>
  </si>
  <si>
    <t>Quảng Nam#TTCMKV#Hội An-QAHA25</t>
  </si>
  <si>
    <t>15.89294</t>
  </si>
  <si>
    <t>108.3288</t>
  </si>
  <si>
    <t>FO thuê#CMC#QAHA25-QAHA06</t>
  </si>
  <si>
    <t>221.47</t>
  </si>
  <si>
    <t>189.34</t>
  </si>
  <si>
    <t>15.891702</t>
  </si>
  <si>
    <t>108.330015</t>
  </si>
  <si>
    <t>Quảng Nam#TTCMKV#Hội An-QAHA05</t>
  </si>
  <si>
    <t>15.88142</t>
  </si>
  <si>
    <t>108.32143</t>
  </si>
  <si>
    <t>FO thuê#PITC#QAHA05-QAHA06</t>
  </si>
  <si>
    <t>512.65</t>
  </si>
  <si>
    <t>482.29</t>
  </si>
  <si>
    <t>15.885270</t>
  </si>
  <si>
    <t>108.323506</t>
  </si>
  <si>
    <t>Quảng Nam#CAX#Núi Thành-QANT37</t>
  </si>
  <si>
    <t>15.43312</t>
  </si>
  <si>
    <t>108.6605</t>
  </si>
  <si>
    <t>15.42247</t>
  </si>
  <si>
    <t>108.66733</t>
  </si>
  <si>
    <t>FO thuê#PITC#QANT37-QANT01</t>
  </si>
  <si>
    <t>Tam Anh - Núi Thành</t>
  </si>
  <si>
    <t>1384.24</t>
  </si>
  <si>
    <t>3.91</t>
  </si>
  <si>
    <t>15.433142</t>
  </si>
  <si>
    <t>108.660472</t>
  </si>
  <si>
    <t>1380.33</t>
  </si>
  <si>
    <t>15.432864</t>
  </si>
  <si>
    <t>108.660290</t>
  </si>
  <si>
    <t>full_h04/TP Đà Nẵng/TP Đà Nẵng/Mạng cấp 4 - Quảng Nam/Quảng Nam - Ring 15/Tam Anh - Núi Thành/Cột trồng mới</t>
  </si>
  <si>
    <t>Quảng Nam#TTCMKV#Thăng Bình-QATB10</t>
  </si>
  <si>
    <t>15.73582</t>
  </si>
  <si>
    <t>108.3517</t>
  </si>
  <si>
    <t>15.73394</t>
  </si>
  <si>
    <t>108.34846</t>
  </si>
  <si>
    <t>FO thuê#PITC#QATB_newsite 2-QATB10</t>
  </si>
  <si>
    <t>Thăng Bình - Quế Sơn</t>
  </si>
  <si>
    <t>96.86</t>
  </si>
  <si>
    <t>70.69</t>
  </si>
  <si>
    <t>15.736033</t>
  </si>
  <si>
    <t>108.352322</t>
  </si>
  <si>
    <t>26.17</t>
  </si>
  <si>
    <t>15.734149</t>
  </si>
  <si>
    <t>108.348348</t>
  </si>
  <si>
    <t>full_h04/TP Đà Nẵng/TP Đà Nẵng/Mạng cấp 3_ DN và Quảng Nam/Cấp 3 - Ring 4 - Quảng Nam cũ/Thăng Bình - Quế Sơn/Đoạn trung thế 1</t>
  </si>
  <si>
    <t>Quảng Nam#TTCMKV#Thăng Bình-QATB18</t>
  </si>
  <si>
    <t>15.7571</t>
  </si>
  <si>
    <t>108.35266</t>
  </si>
  <si>
    <t>FO thuê#PITC#QATB_newsite 2-QATB18</t>
  </si>
  <si>
    <t>Duy Xuyên - TT2 Tam Kỳ</t>
  </si>
  <si>
    <t>1254.67</t>
  </si>
  <si>
    <t>813.22</t>
  </si>
  <si>
    <t>15.741393</t>
  </si>
  <si>
    <t>108.356620</t>
  </si>
  <si>
    <t>441.44</t>
  </si>
  <si>
    <t>15.754938</t>
  </si>
  <si>
    <t>108.349200</t>
  </si>
  <si>
    <t>full_h04/TP Đà Nẵng/TP Đà Nẵng/Mạng cấp 3_ DN và Quảng Nam/Cấp 3 - Ring 3 - Quảng Nam cũ/Duy Xuyên - TT2 Tam Kỳ/Trung thế 2</t>
  </si>
  <si>
    <t>Quảng Nam#TTCMKV#Thăng Bình-QATB25</t>
  </si>
  <si>
    <t>15.73733894</t>
  </si>
  <si>
    <t>108.3844111</t>
  </si>
  <si>
    <t>FO thuê#PITC#QATB_newsite 2-QATB25</t>
  </si>
  <si>
    <t>Trạm CSGT Thăng Bình (X. Bình Phục, Thăng
Bình) - TTCMKV Thăng Bình</t>
  </si>
  <si>
    <t>2191.16</t>
  </si>
  <si>
    <t>69.42</t>
  </si>
  <si>
    <t>15.736057</t>
  </si>
  <si>
    <t>108.352300</t>
  </si>
  <si>
    <t>2121.74</t>
  </si>
  <si>
    <t>15.720257</t>
  </si>
  <si>
    <t>108.375578</t>
  </si>
  <si>
    <t>full_h04/TP Đà Nẵng/TP Đà Nẵng/Mạng cấp 3_ DN và Quảng Nam/Ring Nhánh/Trạm CSGT Thăng Bình (X. Bình Phục, Thăng
Bình) - TTCMKV Thăng Bình/Trung thế</t>
  </si>
  <si>
    <t>Quảng Nam#TTCMKV#Thăng Bình-Quảng Nam#CAX#Quế Sơn Trung</t>
  </si>
  <si>
    <t>15.73686</t>
  </si>
  <si>
    <t>108.2884</t>
  </si>
  <si>
    <t>#CMC#QAQS10-QATB_newsite 2</t>
  </si>
  <si>
    <t>3862.47</t>
  </si>
  <si>
    <t>3791.78</t>
  </si>
  <si>
    <t>15.702866</t>
  </si>
  <si>
    <t>108.285609</t>
  </si>
  <si>
    <t>Quảng Nam#TTCMKV#Thăng Bình-QAQS03</t>
  </si>
  <si>
    <t>15.71113</t>
  </si>
  <si>
    <t>108.26722</t>
  </si>
  <si>
    <t>FO thuê#CMC#QAQS03-QATB_newsite 2</t>
  </si>
  <si>
    <t>2243.00</t>
  </si>
  <si>
    <t>2172.31</t>
  </si>
  <si>
    <t>Quảng Nam#TTCMKV#Thăng Bình-QAQS19</t>
  </si>
  <si>
    <t>15.76923</t>
  </si>
  <si>
    <t>108.32967</t>
  </si>
  <si>
    <t>FO thuê#CMC#QAQS19-QATB_newsite 2</t>
  </si>
  <si>
    <t>1524.45</t>
  </si>
  <si>
    <t>711.23</t>
  </si>
  <si>
    <t>15.772945</t>
  </si>
  <si>
    <t>108.335080</t>
  </si>
  <si>
    <t>Quảng Nam#TTCMKV#Thăng Bình-QATB01</t>
  </si>
  <si>
    <t>15.74258</t>
  </si>
  <si>
    <t>108.35948</t>
  </si>
  <si>
    <t>FO thuê#PITC#QATB01-QATB_newsite 2</t>
  </si>
  <si>
    <t>868.63</t>
  </si>
  <si>
    <t>55.40</t>
  </si>
  <si>
    <t>15.742511</t>
  </si>
  <si>
    <t>108.358967</t>
  </si>
  <si>
    <t>Quảng Nam#TTCMKV#Thăng Bình-QATB1D</t>
  </si>
  <si>
    <t>15.74886</t>
  </si>
  <si>
    <t>108.37764</t>
  </si>
  <si>
    <t>FO thuê#PITC#QATB1D-QATB_newsite 2</t>
  </si>
  <si>
    <t>E28 - Thăng An</t>
  </si>
  <si>
    <t>1289.89</t>
  </si>
  <si>
    <t>1063.79</t>
  </si>
  <si>
    <t>15.742058</t>
  </si>
  <si>
    <t>108.359236</t>
  </si>
  <si>
    <t>226.10</t>
  </si>
  <si>
    <t>15.747146</t>
  </si>
  <si>
    <t>108.376503</t>
  </si>
  <si>
    <t>full_h04/TP Đà Nẵng/TP Đà Nẵng/Mạng cấp 4 - Quảng Nam/Quảng Nam - Ring 7_them E28/Quảng Nam - Ring 7 - ok/E28 - Thăng An/Trung thế</t>
  </si>
  <si>
    <t>Quảng Nam#CAX#Thăng Trường-QANT04</t>
  </si>
  <si>
    <t>15.65096</t>
  </si>
  <si>
    <t>108.4856</t>
  </si>
  <si>
    <t>15.58422</t>
  </si>
  <si>
    <t>108.55311</t>
  </si>
  <si>
    <t>FO thuê#PITC#QANT04-QATB35</t>
  </si>
  <si>
    <t>Thăng Trường - Quảng Phú</t>
  </si>
  <si>
    <t>5860.24</t>
  </si>
  <si>
    <t>2867.84</t>
  </si>
  <si>
    <t>15.643529</t>
  </si>
  <si>
    <t>108.511248</t>
  </si>
  <si>
    <t>2992.40</t>
  </si>
  <si>
    <t>15.606150</t>
  </si>
  <si>
    <t>108.536916</t>
  </si>
  <si>
    <t>full_h04/TP Đà Nẵng/TP Đà Nẵng/Mạng cấp 4 - Quảng Nam/Quảng Nam - Ring 12/Quảng Nam - Ring 12_fix.kmz/Quảng Nam - Ring 12 - ok/Thăng Trường - Quảng Phú/hạ thế 4</t>
  </si>
  <si>
    <t>Quảng Nam#CAX#Thăng Trường-QATB32</t>
  </si>
  <si>
    <t>15.718</t>
  </si>
  <si>
    <t>108.46406</t>
  </si>
  <si>
    <t>FO thuê#PITC#QATB35-QATB32</t>
  </si>
  <si>
    <t>TTCMKV Thăng Bình - Thăng
Trường</t>
  </si>
  <si>
    <t>7674.26</t>
  </si>
  <si>
    <t>9.80</t>
  </si>
  <si>
    <t>15.650872</t>
  </si>
  <si>
    <t>108.485605</t>
  </si>
  <si>
    <t>7664.46</t>
  </si>
  <si>
    <t>15.649153</t>
  </si>
  <si>
    <t>108.467534</t>
  </si>
  <si>
    <t>full_h04/TP Đà Nẵng/TP Đà Nẵng/Mạng cấp 4 - Quảng Nam/Quảng Nam - Ring 12/Quảng Nam - Ring 12_fix.kmz/Quảng Nam - Ring 12 - ok/TTCMKV Thăng Bình - Thăng
Trường/hạ thế 1</t>
  </si>
  <si>
    <t>Quảng Nam#CAX#Thăng Trường-Quảng Nam#TTCMKV#TT2 Tam Kỳ</t>
  </si>
  <si>
    <t>15.57447</t>
  </si>
  <si>
    <t>108.4746</t>
  </si>
  <si>
    <t>#PITC#QATB35-QATK39</t>
  </si>
  <si>
    <t>TT2 Tam Kỳ - Thăng Bình</t>
  </si>
  <si>
    <t>5601.75</t>
  </si>
  <si>
    <t>5524.52</t>
  </si>
  <si>
    <t>15.621184</t>
  </si>
  <si>
    <t>108.444299</t>
  </si>
  <si>
    <t>77.23</t>
  </si>
  <si>
    <t>15.574672</t>
  </si>
  <si>
    <t>108.473910</t>
  </si>
  <si>
    <t>full_h04/TP Đà Nẵng/TP Đà Nẵng/Mạng cấp 3_ DN và Quảng Nam/Cấp 3 - Ring 4 - Quảng Nam cũ/TT2 Tam Kỳ - Thăng Bình/Đoạn trung thế</t>
  </si>
  <si>
    <t>Quảng Nam#CAX#Thăng Trường-QADX35</t>
  </si>
  <si>
    <t>15.83046</t>
  </si>
  <si>
    <t>108.37688</t>
  </si>
  <si>
    <t>FO thuê#PITC#QADX35-QATB35</t>
  </si>
  <si>
    <t>13367.54</t>
  </si>
  <si>
    <t>2543.98</t>
  </si>
  <si>
    <t>15.646301</t>
  </si>
  <si>
    <t>108.462339</t>
  </si>
  <si>
    <t>10823.56</t>
  </si>
  <si>
    <t>15.736029</t>
  </si>
  <si>
    <t>108.352341</t>
  </si>
  <si>
    <t>full_h04/TP Đà Nẵng/TP Đà Nẵng/Mạng cấp 4 - Quảng Nam/Quảng Nam - Ring 12/Quảng Nam - Ring 12_fix.kmz/Quảng Nam - Ring 12 - ok/TTCMKV Thăng Bình - Thăng
Trường/trung thế 1</t>
  </si>
  <si>
    <t>Quảng Nam#CAX#Thăng Trường-QATB03</t>
  </si>
  <si>
    <t>15.77736</t>
  </si>
  <si>
    <t>108.42229</t>
  </si>
  <si>
    <t>FO thuê#PITC#QATB03-QATB35</t>
  </si>
  <si>
    <t>11307.44</t>
  </si>
  <si>
    <t>8763.46</t>
  </si>
  <si>
    <t>15.706669</t>
  </si>
  <si>
    <t>108.386088</t>
  </si>
  <si>
    <t>Quảng Nam#CAX#Thăng Điền-QATB94</t>
  </si>
  <si>
    <t>15.64444</t>
  </si>
  <si>
    <t>108.4255</t>
  </si>
  <si>
    <t>15.67128</t>
  </si>
  <si>
    <t>108.42281</t>
  </si>
  <si>
    <t>FO thuê#PITC#QATB94-QATB31</t>
  </si>
  <si>
    <t>1806.64</t>
  </si>
  <si>
    <t>569.96</t>
  </si>
  <si>
    <t>15.646900</t>
  </si>
  <si>
    <t>108.430170</t>
  </si>
  <si>
    <t>1236.69</t>
  </si>
  <si>
    <t>15.666873</t>
  </si>
  <si>
    <t>108.412204</t>
  </si>
  <si>
    <t>Quảng Nam#CAX#Thăng Điền-QATB1B</t>
  </si>
  <si>
    <t>15.6532</t>
  </si>
  <si>
    <t>108.43851</t>
  </si>
  <si>
    <t>FO thuê#PITC#QATB1B-QATB31</t>
  </si>
  <si>
    <t>1333.52</t>
  </si>
  <si>
    <t>709.57</t>
  </si>
  <si>
    <t>15.650188</t>
  </si>
  <si>
    <t>108.428378</t>
  </si>
  <si>
    <t>623.95</t>
  </si>
  <si>
    <t>15.647589</t>
  </si>
  <si>
    <t>108.438421</t>
  </si>
  <si>
    <t>Quảng Nam#CAX#Thăng Điền-Quảng Nam#Phòng#Trạm CSGT Thăng Bình (X. Bình Phục, Thăng Bình)</t>
  </si>
  <si>
    <t>15.72009</t>
  </si>
  <si>
    <t>108.3759</t>
  </si>
  <si>
    <t>#PITC#QATB14-QATB31</t>
  </si>
  <si>
    <t>875.94</t>
  </si>
  <si>
    <t>574.59</t>
  </si>
  <si>
    <t>15.646918</t>
  </si>
  <si>
    <t>108.430209</t>
  </si>
  <si>
    <t>301.35</t>
  </si>
  <si>
    <t>15.717450</t>
  </si>
  <si>
    <t>108.375263</t>
  </si>
  <si>
    <t>full_h04/TP Đà Nẵng/TP Đà Nẵng/Mạng cấp 3_ DN và Quảng Nam/Cấp 3 - Ring 3 - Quảng Nam cũ/Duy Xuyên - TT2 Tam Kỳ/Trung thế 4</t>
  </si>
  <si>
    <t>Quảng Nam#CAX#Thăng Điền-QATK43</t>
  </si>
  <si>
    <t>15.58715</t>
  </si>
  <si>
    <t>108.47165</t>
  </si>
  <si>
    <t>FO thuê#PITC#QATB31-QATK43</t>
  </si>
  <si>
    <t>1039.18</t>
  </si>
  <si>
    <t>469.22</t>
  </si>
  <si>
    <t>15.584040</t>
  </si>
  <si>
    <t>108.468689</t>
  </si>
  <si>
    <t>Quảng Nam#CAX#Thăng Điền-QATB73</t>
  </si>
  <si>
    <t>15.66191</t>
  </si>
  <si>
    <t>108.41513</t>
  </si>
  <si>
    <t>FO thuê#PITC#QATB31-QATB73</t>
  </si>
  <si>
    <t>630.56</t>
  </si>
  <si>
    <t>60.61</t>
  </si>
  <si>
    <t>15.661580</t>
  </si>
  <si>
    <t>108.414679</t>
  </si>
  <si>
    <t>Quảng Nam#CAX#Thăng Điền-QAQS05</t>
  </si>
  <si>
    <t>15.78838</t>
  </si>
  <si>
    <t>108.32133</t>
  </si>
  <si>
    <t>FO thuê#CMC#QATB31-QAQS05</t>
  </si>
  <si>
    <t>7272.64</t>
  </si>
  <si>
    <t>6702.69</t>
  </si>
  <si>
    <t>15.736011</t>
  </si>
  <si>
    <t>108.352346</t>
  </si>
  <si>
    <t>Quảng Nam#CAX#Thăng Điền-QATK71</t>
  </si>
  <si>
    <t>15.579387</t>
  </si>
  <si>
    <t>108.473777</t>
  </si>
  <si>
    <t>FO thuê#CMC#QATK71-QATB31</t>
  </si>
  <si>
    <t>605.12</t>
  </si>
  <si>
    <t>35.17</t>
  </si>
  <si>
    <t>15.579652</t>
  </si>
  <si>
    <t>108.473956</t>
  </si>
  <si>
    <t>Quảng Nam#TTCMKV#TT2 Tam Kỳ-QATK02</t>
  </si>
  <si>
    <t>15.55261</t>
  </si>
  <si>
    <t>108.50901</t>
  </si>
  <si>
    <t>FO thuê#PITC#QATK39-QATK02</t>
  </si>
  <si>
    <t>TT2 Tam Kỳ - Tam Xuân</t>
  </si>
  <si>
    <t>1749.52</t>
  </si>
  <si>
    <t>1431.84</t>
  </si>
  <si>
    <t>15.570172</t>
  </si>
  <si>
    <t>108.487201</t>
  </si>
  <si>
    <t>317.68</t>
  </si>
  <si>
    <t>15.553040</t>
  </si>
  <si>
    <t>108.506078</t>
  </si>
  <si>
    <t>full_h04/TP Đà Nẵng/TP Đà Nẵng/Mạng cấp 4 - Quảng Nam/Quảng Nam - Ring 15/TT2 Tam Kỳ - Tam Xuân/Trung thế</t>
  </si>
  <si>
    <t>Quảng Nam#TTCMKV#TT2 Tam Kỳ-QATK04</t>
  </si>
  <si>
    <t>15.56801</t>
  </si>
  <si>
    <t>108.49109</t>
  </si>
  <si>
    <t>FO thuê#PITC#QATK39-QATK04</t>
  </si>
  <si>
    <t>621.57</t>
  </si>
  <si>
    <t>67.82</t>
  </si>
  <si>
    <t>15.574916</t>
  </si>
  <si>
    <t>108.475032</t>
  </si>
  <si>
    <t>553.75</t>
  </si>
  <si>
    <t>15.570620</t>
  </si>
  <si>
    <t>108.486687</t>
  </si>
  <si>
    <t>Quảng Nam#TTCMKV#TT2 Tam Kỳ-QATK32</t>
  </si>
  <si>
    <t>15.55785</t>
  </si>
  <si>
    <t>108.49531</t>
  </si>
  <si>
    <t>FO thuê#PITC#QATK39-QATK32</t>
  </si>
  <si>
    <t>1761.77</t>
  </si>
  <si>
    <t>1693.95</t>
  </si>
  <si>
    <t>Quảng Nam#TTCMKV#TT2 Tam Kỳ-QAPN06</t>
  </si>
  <si>
    <t>15.56467</t>
  </si>
  <si>
    <t>108.37149</t>
  </si>
  <si>
    <t>FO thuê#PITC#QAPN06-QATK39</t>
  </si>
  <si>
    <t>TT2 Tam Kỳ - CAX Tiên Sơn (Tiên Phước)</t>
  </si>
  <si>
    <t>3418.04</t>
  </si>
  <si>
    <t>3259.01</t>
  </si>
  <si>
    <t>15.575377</t>
  </si>
  <si>
    <t>108.444188</t>
  </si>
  <si>
    <t>159.03</t>
  </si>
  <si>
    <t>15.563253</t>
  </si>
  <si>
    <t>108.371691</t>
  </si>
  <si>
    <t>full_h04/TP Đà Nẵng/TP Đà Nẵng/Mạng cấp 3_ DN và Quảng Nam/Cấp 3 - Ring 3 - Quảng Nam cũ/TT2 Tam Kỳ - CAX Tiên Sơn (Tiên Phước)/Đoạn trung thế 2</t>
  </si>
  <si>
    <t>Quảng Nam#TTCMKV#TT2 Tam Kỳ-QATK23</t>
  </si>
  <si>
    <t>15.56199</t>
  </si>
  <si>
    <t>108.49074</t>
  </si>
  <si>
    <t>FO thuê#PITC#QATK23-QATK39</t>
  </si>
  <si>
    <t>1121.08</t>
  </si>
  <si>
    <t>1053.25</t>
  </si>
  <si>
    <t>Quảng Nam#TTCMKV#TT2 Tam Kỳ-QATK34</t>
  </si>
  <si>
    <t>15.556093</t>
  </si>
  <si>
    <t>108.478029</t>
  </si>
  <si>
    <t>FO thuê#PITC#QATK34-QATK39</t>
  </si>
  <si>
    <t>Tam Kỳ - TT2 Đà Nẵng (Tam Kỳ)</t>
  </si>
  <si>
    <t>1163.38</t>
  </si>
  <si>
    <t>114.00</t>
  </si>
  <si>
    <t>15.574221</t>
  </si>
  <si>
    <t>108.473568</t>
  </si>
  <si>
    <t>1049.39</t>
  </si>
  <si>
    <t>15.565076</t>
  </si>
  <si>
    <t>108.481030</t>
  </si>
  <si>
    <t>full_h04/TP Đà Nẵng/TP Đà Nẵng/Mạng cấp 4 - Quảng Nam/Quảng Nam - Ring 14/Tam Kỳ - TT2 Đà Nẵng (Tam Kỳ)/trung thế 1</t>
  </si>
  <si>
    <t>Quảng Nam#TTCMKV#TT2 Tam Kỳ-QATK41</t>
  </si>
  <si>
    <t>15.54792</t>
  </si>
  <si>
    <t>108.4943</t>
  </si>
  <si>
    <t>FO thuê#PITC#QATK41-QATK39</t>
  </si>
  <si>
    <t>Hương Trà - Tam Kỳ</t>
  </si>
  <si>
    <t>1902.84</t>
  </si>
  <si>
    <t>1446.78</t>
  </si>
  <si>
    <t>15.563969</t>
  </si>
  <si>
    <t>108.482575</t>
  </si>
  <si>
    <t>456.06</t>
  </si>
  <si>
    <t>15.546304</t>
  </si>
  <si>
    <t>108.490387</t>
  </si>
  <si>
    <t>full_h04/TP Đà Nẵng/TP Đà Nẵng/Mạng cấp 4 - Quảng Nam/Quảng Nam - Ring 14/Hương Trà - Tam Kỳ/trung thế 1</t>
  </si>
  <si>
    <t>Quảng Nam#TTCMKV#TT2 Tam Kỳ-Quảng Nam#CAX#Hương Trà</t>
  </si>
  <si>
    <t>15.54533</t>
  </si>
  <si>
    <t>108.4841</t>
  </si>
  <si>
    <t>#PITC#QATK03-QATK39</t>
  </si>
  <si>
    <t>1876.33</t>
  </si>
  <si>
    <t>429.55</t>
  </si>
  <si>
    <t>15.544557</t>
  </si>
  <si>
    <t>108.488028</t>
  </si>
  <si>
    <t>Quảng Nam#TTCMKV#TT2 Tam Kỳ-Quảng Nam#CAX#Thăng Trường</t>
  </si>
  <si>
    <t>Đà Nẵng#Phòng#PC07-DNCL33</t>
  </si>
  <si>
    <t>16.03569</t>
  </si>
  <si>
    <t>108.213</t>
  </si>
  <si>
    <t>16.03388</t>
  </si>
  <si>
    <t>108.21247</t>
  </si>
  <si>
    <t>FO thuê#CMC#DNCL08-DNCL33</t>
  </si>
  <si>
    <t>PC08-PC07</t>
  </si>
  <si>
    <t>251.51</t>
  </si>
  <si>
    <t>37.74</t>
  </si>
  <si>
    <t>16.035793</t>
  </si>
  <si>
    <t>108.212664</t>
  </si>
  <si>
    <t>213.77</t>
  </si>
  <si>
    <t>full_h04/TP Đà Nẵng/TP Đà Nẵng/Mạng cấp 3_ DN và Quảng Nam/Phòng - Ring 1 ( ĐN )4.kmz/Phòng - Ring 1 ( ĐN )/PC08-PC07/hạ thế 2</t>
  </si>
  <si>
    <t>Đà Nẵng#CAX#Cẩm Lệ-DNCL53</t>
  </si>
  <si>
    <t>16.01187</t>
  </si>
  <si>
    <t>108.1974</t>
  </si>
  <si>
    <t>16.00729</t>
  </si>
  <si>
    <t>108.19923</t>
  </si>
  <si>
    <t>FO thuê#CMC#DNCL53-DNCL30</t>
  </si>
  <si>
    <t>Ngũ Hành Sơn - Cẩm Lệ</t>
  </si>
  <si>
    <t>512.45</t>
  </si>
  <si>
    <t>2.19</t>
  </si>
  <si>
    <t>16.011855</t>
  </si>
  <si>
    <t>108.197387</t>
  </si>
  <si>
    <t>510.27</t>
  </si>
  <si>
    <t>16.011552</t>
  </si>
  <si>
    <t>108.197460</t>
  </si>
  <si>
    <t>full_h04/TP Đà Nẵng/TP Đà Nẵng/Mạng cấp 4 - ĐN cũ/Ring 2 -DN/Ngũ Hành Sơn - Cẩm Lệ/Cột trồng mới</t>
  </si>
  <si>
    <t>Đà Nẵng#CAX#Cẩm Lệ-DNCL14</t>
  </si>
  <si>
    <t>16.009639</t>
  </si>
  <si>
    <t>108.196167</t>
  </si>
  <si>
    <t>FO thuê#CMC#DNCL14-DNCL30</t>
  </si>
  <si>
    <t>188.49</t>
  </si>
  <si>
    <t>33.95</t>
  </si>
  <si>
    <t>16.011571</t>
  </si>
  <si>
    <t>108.197464</t>
  </si>
  <si>
    <t>154.54</t>
  </si>
  <si>
    <t>16.010859</t>
  </si>
  <si>
    <t>108.195474</t>
  </si>
  <si>
    <t>Đà Nẵng#CAX#Cẩm Lệ-DNCL70</t>
  </si>
  <si>
    <t>16.00975</t>
  </si>
  <si>
    <t>108.20303</t>
  </si>
  <si>
    <t>FO thuê#CMC#DNCL30-DNCL70</t>
  </si>
  <si>
    <t>570.08</t>
  </si>
  <si>
    <t>536.13</t>
  </si>
  <si>
    <t>16.012028</t>
  </si>
  <si>
    <t>108.198609</t>
  </si>
  <si>
    <t>Đà Nẵng#Phòng#PC08-DNCL93</t>
  </si>
  <si>
    <t>16.020977</t>
  </si>
  <si>
    <t>108.232066</t>
  </si>
  <si>
    <t>FO thuê#VNPT#DNCL93-DNCL56</t>
  </si>
  <si>
    <t>1975.84</t>
  </si>
  <si>
    <t>18.12</t>
  </si>
  <si>
    <t>16.007725</t>
  </si>
  <si>
    <t>108.217546</t>
  </si>
  <si>
    <t>1957.72</t>
  </si>
  <si>
    <t>16.010805</t>
  </si>
  <si>
    <t>108.217115</t>
  </si>
  <si>
    <t>full_h04/TP Đà Nẵng/TP Đà Nẵng/Mạng cấp 3_ DN và Quảng Nam/Phòng - Ring 1 ( ĐN )4.kmz/Phòng - Ring 1 ( ĐN )/PC08-PC07/Hạ thế 1</t>
  </si>
  <si>
    <t>Đà Nẵng#Phòng#PC08-DNCL78</t>
  </si>
  <si>
    <t>16.014493</t>
  </si>
  <si>
    <t>108.222335</t>
  </si>
  <si>
    <t>FO thuê#CMC#DNCL78-DNCL56</t>
  </si>
  <si>
    <t>710.52</t>
  </si>
  <si>
    <t>692.39</t>
  </si>
  <si>
    <t>Đà Nẵng#Phòng#PC08-DNCL83</t>
  </si>
  <si>
    <t>16.00935</t>
  </si>
  <si>
    <t>108.22971</t>
  </si>
  <si>
    <t>FO thuê#CMC#DNCL83-DNCL56</t>
  </si>
  <si>
    <t>1232.94</t>
  </si>
  <si>
    <t>1214.82</t>
  </si>
  <si>
    <t>16.008358</t>
  </si>
  <si>
    <t>108.218391</t>
  </si>
  <si>
    <t>Đà Nẵng#Phòng#PC08-DNCL96</t>
  </si>
  <si>
    <t>16.01568</t>
  </si>
  <si>
    <t>108.22912</t>
  </si>
  <si>
    <t>FO thuê#VNPT#DNCL96-DNCL56</t>
  </si>
  <si>
    <t>1411.01</t>
  </si>
  <si>
    <t>1392.89</t>
  </si>
  <si>
    <t>Đà Nẵng#Phòng#PA06-DNHC86</t>
  </si>
  <si>
    <t>16.06659</t>
  </si>
  <si>
    <t>108.222239</t>
  </si>
  <si>
    <t>FO thuê#CMC#DNHC86-DNHC02</t>
  </si>
  <si>
    <t>PA07 - PA06</t>
  </si>
  <si>
    <t>86.32</t>
  </si>
  <si>
    <t>16.066120</t>
  </si>
  <si>
    <t>108.221645</t>
  </si>
  <si>
    <t>69.62</t>
  </si>
  <si>
    <t>16.066290</t>
  </si>
  <si>
    <t>108.221667</t>
  </si>
  <si>
    <t>full_h04/TP Đà Nẵng/TP Đà Nẵng/Mạng cấp 3_ DN và Quảng Nam/Phòng - Ring 2 ( ĐN ).kmz/Phòng - Ring 2 ( ĐN )/PA07 - PA06/PA07 - PA06_hạ thế_3</t>
  </si>
  <si>
    <t>Đà Nẵng#Phòng#PA06-DNHC87</t>
  </si>
  <si>
    <t>16.064716</t>
  </si>
  <si>
    <t>108.223753</t>
  </si>
  <si>
    <t>FO thuê#CMC#DNHC87-DNHC02</t>
  </si>
  <si>
    <t>174.97</t>
  </si>
  <si>
    <t>158.27</t>
  </si>
  <si>
    <t>16.066134</t>
  </si>
  <si>
    <t>108.223629</t>
  </si>
  <si>
    <t>Đà Nẵng#Phòng#PA06-DNHC85</t>
  </si>
  <si>
    <t>16.066686</t>
  </si>
  <si>
    <t>108.224526</t>
  </si>
  <si>
    <t>FO thuê#CMC#DNHC85-DNHC02</t>
  </si>
  <si>
    <t>130.54</t>
  </si>
  <si>
    <t>113.84</t>
  </si>
  <si>
    <t>Đà Nẵng#Phòng#PA06-DNHC23</t>
  </si>
  <si>
    <t>16.06194</t>
  </si>
  <si>
    <t>108.22153</t>
  </si>
  <si>
    <t>FO thuê#PITC#DNHC23-DNHC02</t>
  </si>
  <si>
    <t>Hải Châu - Hòa Cường</t>
  </si>
  <si>
    <t>273.16</t>
  </si>
  <si>
    <t>70.85</t>
  </si>
  <si>
    <t>16.065806</t>
  </si>
  <si>
    <t>108.222388</t>
  </si>
  <si>
    <t>202.32</t>
  </si>
  <si>
    <t>16.062224</t>
  </si>
  <si>
    <t>108.219660</t>
  </si>
  <si>
    <t>full_h04/TP Đà Nẵng/TP Đà Nẵng/Mạng cấp 4 - ĐN cũ/Ring 7 - DN/Hải Châu - Hòa Cường/Trung thế</t>
  </si>
  <si>
    <t>Đà Nẵng#Phòng#PA06-DNHC16</t>
  </si>
  <si>
    <t>16.07118</t>
  </si>
  <si>
    <t>108.22124</t>
  </si>
  <si>
    <t>FO thuê#PITC#DNHC02-DNHC16</t>
  </si>
  <si>
    <t>90.31</t>
  </si>
  <si>
    <t>19.47</t>
  </si>
  <si>
    <t>16.071146</t>
  </si>
  <si>
    <t>108.221061</t>
  </si>
  <si>
    <t>Đà Nẵng#CAX#Hải Châu-Đà Nẵng#Phòng#PA07</t>
  </si>
  <si>
    <t>16.07896</t>
  </si>
  <si>
    <t>108.2222</t>
  </si>
  <si>
    <t>16.07437</t>
  </si>
  <si>
    <t>108.2226</t>
  </si>
  <si>
    <t>#CMC#DNHC50-DNHC24</t>
  </si>
  <si>
    <t>276.48</t>
  </si>
  <si>
    <t>68.41</t>
  </si>
  <si>
    <t>16.078868</t>
  </si>
  <si>
    <t>108.221567</t>
  </si>
  <si>
    <t>208.08</t>
  </si>
  <si>
    <t>16.073931</t>
  </si>
  <si>
    <t>108.220707</t>
  </si>
  <si>
    <t>Đà Nẵng#CAX#Hòa Cường-DNHC97</t>
  </si>
  <si>
    <t>16.0378</t>
  </si>
  <si>
    <t>108.2154</t>
  </si>
  <si>
    <t>16.03632</t>
  </si>
  <si>
    <t>108.21815</t>
  </si>
  <si>
    <t>FO thuê#CMC#DNHC97-DNHC46</t>
  </si>
  <si>
    <t>Hòa CƯờng - TTKV Cẩm Lệ</t>
  </si>
  <si>
    <t>172.38</t>
  </si>
  <si>
    <t>11.45</t>
  </si>
  <si>
    <t>16.037827</t>
  </si>
  <si>
    <t>108.215503</t>
  </si>
  <si>
    <t>160.93</t>
  </si>
  <si>
    <t>16.036907</t>
  </si>
  <si>
    <t>108.216774</t>
  </si>
  <si>
    <t>full_h04/TP Đà Nẵng/TP Đà Nẵng/Mạng cấp 4 - ĐN cũ/Ring 7 - DN/Hòa CƯờng - TTKV Cẩm Lệ/Hạ thế</t>
  </si>
  <si>
    <t>Đà Nẵng#CAX#Hòa Cường-DNHC43</t>
  </si>
  <si>
    <t>16.0389</t>
  </si>
  <si>
    <t>108.21496</t>
  </si>
  <si>
    <t>FO thuê#CMC#DNHC46-DNHC43</t>
  </si>
  <si>
    <t>45.27</t>
  </si>
  <si>
    <t>7.13</t>
  </si>
  <si>
    <t>16.037737</t>
  </si>
  <si>
    <t>108.215386</t>
  </si>
  <si>
    <t>38.14</t>
  </si>
  <si>
    <t>16.039169</t>
  </si>
  <si>
    <t>108.215182</t>
  </si>
  <si>
    <t>Đà Nẵng#Phòng#PA07-Đà Nẵng#CAX#Hải Châu</t>
  </si>
  <si>
    <t>Đà Nẵng#Phòng#Đồn Công an cảng hàng không (Sân bay Đà Nẵng)-DNHC76</t>
  </si>
  <si>
    <t>16.05277</t>
  </si>
  <si>
    <t>108.2032</t>
  </si>
  <si>
    <t>16.05145</t>
  </si>
  <si>
    <t>108.21021</t>
  </si>
  <si>
    <t>FO thuê#CMC#DNHC76-DNHC54</t>
  </si>
  <si>
    <t>50.42</t>
  </si>
  <si>
    <t>16.052781</t>
  </si>
  <si>
    <t>108.203267</t>
  </si>
  <si>
    <t>43.20</t>
  </si>
  <si>
    <t>16.051763</t>
  </si>
  <si>
    <t>108.209971</t>
  </si>
  <si>
    <t>full_h04/TP Đà Nẵng/TP Đà Nẵng/Mạng cấp 3_ DN và Quảng Nam/Ring Nhánh/Đồn Công an cảng hàng không (Sân bay Đà
Nẵng) - TT1 Đà Nẵng"/Nhánh 1/Ngầm mới</t>
  </si>
  <si>
    <t>Đà Nẵng#Phòng#Đồn Công an cảng hàng không (Sân bay Đà Nẵng)-DNHC2O</t>
  </si>
  <si>
    <t>16.04698</t>
  </si>
  <si>
    <t>108.207</t>
  </si>
  <si>
    <t>FO thuê#VNPT#DNHC2O-DNHC54</t>
  </si>
  <si>
    <t>434.20</t>
  </si>
  <si>
    <t>426.99</t>
  </si>
  <si>
    <t>16.050820</t>
  </si>
  <si>
    <t>108.206950</t>
  </si>
  <si>
    <t>Đà Nẵng#CAX#Hòa Xuân-DNCL41</t>
  </si>
  <si>
    <t>15.98567</t>
  </si>
  <si>
    <t>108.2016</t>
  </si>
  <si>
    <t>15.97891</t>
  </si>
  <si>
    <t>108.21407</t>
  </si>
  <si>
    <t>FO thuê#CMC#DNCL41-DNHV12</t>
  </si>
  <si>
    <t>C09 - A06</t>
  </si>
  <si>
    <t>1313.57</t>
  </si>
  <si>
    <t>878.82</t>
  </si>
  <si>
    <t>15.981011</t>
  </si>
  <si>
    <t>108.208241</t>
  </si>
  <si>
    <t>434.75</t>
  </si>
  <si>
    <t>15.981518</t>
  </si>
  <si>
    <t>108.211040</t>
  </si>
  <si>
    <t>full_h04/TP Đà Nẵng/TP Đà Nẵng/Mạng cấp 2/Cấp 2 - Ring 3/C09 - A06 (CS3).kmz/C09 - A06/C09 - A06_Hạ thế</t>
  </si>
  <si>
    <t>Đà Nẵng#CAX#Hòa Xuân-DNCL69</t>
  </si>
  <si>
    <t>15.97526</t>
  </si>
  <si>
    <t>108.21393</t>
  </si>
  <si>
    <t>FO thuê#CMC#DNHV12-DNCL69</t>
  </si>
  <si>
    <t>Cẩm Lệ - Điện Bàn</t>
  </si>
  <si>
    <t>1383.89</t>
  </si>
  <si>
    <t>764.05</t>
  </si>
  <si>
    <t>15.982776</t>
  </si>
  <si>
    <t>108.208083</t>
  </si>
  <si>
    <t>619.83</t>
  </si>
  <si>
    <t>15.972878</t>
  </si>
  <si>
    <t>108.208688</t>
  </si>
  <si>
    <t>full_h04/TP Đà Nẵng/TP Đà Nẵng/Mạng cấp 3_ DN và Quảng Nam/Cấp 3 - Ring 1 - Đà Nẵng cũ/Cẩm Lệ - Điện Bàn/Tuyến cột trung thế</t>
  </si>
  <si>
    <t>Đà Nẵng#CAX#Hòa Xuân-DNCL71</t>
  </si>
  <si>
    <t>15.98306</t>
  </si>
  <si>
    <t>108.2112</t>
  </si>
  <si>
    <t>FO thuê#CMC#DNHV12-DNCL71</t>
  </si>
  <si>
    <t>970.19</t>
  </si>
  <si>
    <t>91.37</t>
  </si>
  <si>
    <t>15.982246</t>
  </si>
  <si>
    <t>108.211079</t>
  </si>
  <si>
    <t>Đà Nẵng#CAX#Hòa Xuân-DNHV64</t>
  </si>
  <si>
    <t>15.98528</t>
  </si>
  <si>
    <t>108.20109</t>
  </si>
  <si>
    <t>FO thuê#CMC#DNHV12-DNHV64</t>
  </si>
  <si>
    <t>TTKV Ngũ Hành Sơn - Hòa Xuân</t>
  </si>
  <si>
    <t>71.22</t>
  </si>
  <si>
    <t>3.69</t>
  </si>
  <si>
    <t>15.985679</t>
  </si>
  <si>
    <t>108.201567</t>
  </si>
  <si>
    <t>67.53</t>
  </si>
  <si>
    <t>full_h04/TP Đà Nẵng/TP Đà Nẵng/Mạng cấp 4 - ĐN cũ/Ring 3 - DN/TTKV Ngũ Hành Sơn - Hòa Xuân/Trung thế</t>
  </si>
  <si>
    <t>Đà Nẵng#CAX#Hòa Xuân-DNCL67</t>
  </si>
  <si>
    <t>15.98092</t>
  </si>
  <si>
    <t>108.21241</t>
  </si>
  <si>
    <t>FO thuê#CMC#DNHV12-DNCL67</t>
  </si>
  <si>
    <t>1039.66</t>
  </si>
  <si>
    <t>160.84</t>
  </si>
  <si>
    <t>Đà Nẵng#CAX#Hòa Xuân-22DN015</t>
  </si>
  <si>
    <t>FO thuê#PITC#22DN015-DNHV12</t>
  </si>
  <si>
    <t>Lỗi Tọa độ: Cột 'lat2' ('#N/A') không phải là số hợp lệ. | Cột 'lon2' ('#N/A') không phải là số hợp lệ.</t>
  </si>
  <si>
    <t>Đà Nẵng#CAX#Hòa Xuân-22DN067</t>
  </si>
  <si>
    <t>FO thuê#PITC#22DN067-DNHV12</t>
  </si>
  <si>
    <t>Đà Nẵng#Phòng#Trại giam CATP-DNHW10</t>
  </si>
  <si>
    <t>16.07797</t>
  </si>
  <si>
    <t>108.1151</t>
  </si>
  <si>
    <t>16.07799</t>
  </si>
  <si>
    <t>108.11456</t>
  </si>
  <si>
    <t>FO thuê#CMC#DNHW22-DNHW10</t>
  </si>
  <si>
    <t>Trạm CSGT Hòa Hiệp - Trại giam CATP</t>
  </si>
  <si>
    <t>56.27</t>
  </si>
  <si>
    <t>12.02</t>
  </si>
  <si>
    <t>16.078044</t>
  </si>
  <si>
    <t>108.115018</t>
  </si>
  <si>
    <t>44.25</t>
  </si>
  <si>
    <t>16.077950</t>
  </si>
  <si>
    <t>108.114972</t>
  </si>
  <si>
    <t>full_h04/TP Đà Nẵng/TP Đà Nẵng/Mạng cấp 3_ DN và Quảng Nam/Phòng - Ring 3 (ĐN ).kmz/Phòng - Ring 3 (ĐN )/Trạm CSGT Hòa Hiệp - Trại giam CATP/Trạm CSGT Hòa Hiệp - Trại giam CATP - Trung thế 3</t>
  </si>
  <si>
    <t>Đà Nẵng#Phòng#PK02-DNCL31</t>
  </si>
  <si>
    <t>16.04673</t>
  </si>
  <si>
    <t>108.1571</t>
  </si>
  <si>
    <t>16.04747</t>
  </si>
  <si>
    <t>108.17698</t>
  </si>
  <si>
    <t>FO thuê#PITC#DNCL31-DNLC06</t>
  </si>
  <si>
    <t>TT1 Đà Nẵng - PK02</t>
  </si>
  <si>
    <t>1791.00</t>
  </si>
  <si>
    <t>41.12</t>
  </si>
  <si>
    <t>16.046609</t>
  </si>
  <si>
    <t>108.157463</t>
  </si>
  <si>
    <t>1749.89</t>
  </si>
  <si>
    <t>16.049126</t>
  </si>
  <si>
    <t>108.160696</t>
  </si>
  <si>
    <t>full_h04/TP Đà Nẵng/TP Đà Nẵng/Mạng cấp 3_ DN và Quảng Nam/Phòng - Ring 1 ( ĐN )4.kmz/Phòng - Ring 1 ( ĐN )/TT1 Đà Nẵng - PK02/TT1 Đà Nẵng - PK02_hạ thế ( trụ chiếu sáng) _1</t>
  </si>
  <si>
    <t>Đà Nẵng#Phòng#PK02-DNLC21</t>
  </si>
  <si>
    <t>16.05435</t>
  </si>
  <si>
    <t>108.15813</t>
  </si>
  <si>
    <t>FO thuê#PITC#DNLC06-DNLC21</t>
  </si>
  <si>
    <t>PK02 - TTCMKV Liên Chiểu</t>
  </si>
  <si>
    <t>121.93</t>
  </si>
  <si>
    <t>33.35</t>
  </si>
  <si>
    <t>16.046617</t>
  </si>
  <si>
    <t>108.157389</t>
  </si>
  <si>
    <t>88.58</t>
  </si>
  <si>
    <t>16.053638</t>
  </si>
  <si>
    <t>108.157757</t>
  </si>
  <si>
    <t>full_h04/TP Đà Nẵng/TP Đà Nẵng/Mạng cấp 3_ DN và Quảng Nam/Phòng - Ring 3 (ĐN ).kmz/Phòng - Ring 3 (ĐN )/PK02 - TTCMKV Liên Chiểu/PK02 - TTCMKV Liên Chiểu_hạ thế 1</t>
  </si>
  <si>
    <t>Đà Nẵng#Phòng#Trạm CSGT Hòa Hiệp-DNLC31</t>
  </si>
  <si>
    <t>16.14062</t>
  </si>
  <si>
    <t>108.1196</t>
  </si>
  <si>
    <t>16.11658</t>
  </si>
  <si>
    <t>108.10466</t>
  </si>
  <si>
    <t>FO thuê#VNPT#DNLC31-DNLC11</t>
  </si>
  <si>
    <t>1713.56</t>
  </si>
  <si>
    <t>20.38</t>
  </si>
  <si>
    <t>16.140616</t>
  </si>
  <si>
    <t>108.119791</t>
  </si>
  <si>
    <t>1693.18</t>
  </si>
  <si>
    <t>16.128189</t>
  </si>
  <si>
    <t>108.114917</t>
  </si>
  <si>
    <t>full_h04/TP Đà Nẵng/TP Đà Nẵng/Mạng cấp 3_ DN và Quảng Nam/Phòng - Ring 3 (ĐN ).kmz/Phòng - Ring 3 (ĐN )/Trạm CSGT Hòa Hiệp - Trại giam CATP/Trạm CSGT Hòa Hiệp - Trại giam CATP - Trung thế 1</t>
  </si>
  <si>
    <t>Đà Nẵng#Phòng#Trạm CSGT Hòa Hiệp-DNLC28</t>
  </si>
  <si>
    <t>16.12582</t>
  </si>
  <si>
    <t>108.12071</t>
  </si>
  <si>
    <t>FO thuê#CMC#DNLC28-DNLC11</t>
  </si>
  <si>
    <t>129.50</t>
  </si>
  <si>
    <t>109.11</t>
  </si>
  <si>
    <t>16.125029</t>
  </si>
  <si>
    <t>108.120106</t>
  </si>
  <si>
    <t>Đà Nẵng#Phòng#Trạm CSGT Hòa Hiệp-DNLC1E</t>
  </si>
  <si>
    <t>16.124568</t>
  </si>
  <si>
    <t>108.113549</t>
  </si>
  <si>
    <t>FO thuê#CMC#DNLC11-DNLC1E</t>
  </si>
  <si>
    <t>448.73</t>
  </si>
  <si>
    <t>428.35</t>
  </si>
  <si>
    <t>Đà Nẵng#Phòng#Trạm CSGT Hòa Hiệp-DNLC64</t>
  </si>
  <si>
    <t>16.12799</t>
  </si>
  <si>
    <t>108.12224</t>
  </si>
  <si>
    <t>FO thuê#CMC#DNLC11-DNLC64</t>
  </si>
  <si>
    <t>329.95</t>
  </si>
  <si>
    <t>16.23</t>
  </si>
  <si>
    <t>108.119752</t>
  </si>
  <si>
    <t>313.73</t>
  </si>
  <si>
    <t>16.127396</t>
  </si>
  <si>
    <t>108.119369</t>
  </si>
  <si>
    <t>Đà Nẵng#Phòng#Trạm CSGT Hòa Hiệp-DNHW23</t>
  </si>
  <si>
    <t>16.11111</t>
  </si>
  <si>
    <t>108.08781</t>
  </si>
  <si>
    <t>FO thuê#PITC#DNHW23-DNLC11</t>
  </si>
  <si>
    <t>3483.25</t>
  </si>
  <si>
    <t>3462.87</t>
  </si>
  <si>
    <t>Đà Nẵng#Phòng#Trạm CSGT Hòa Hiệp-Đà Nẵng#CAX#Hải Vân</t>
  </si>
  <si>
    <t>16.10747</t>
  </si>
  <si>
    <t>108.1261</t>
  </si>
  <si>
    <t>#PITC#DNLC11-DNLC22</t>
  </si>
  <si>
    <t>270.03</t>
  </si>
  <si>
    <t>249.65</t>
  </si>
  <si>
    <t>16.107706</t>
  </si>
  <si>
    <t>108.128424</t>
  </si>
  <si>
    <t>Đà Nẵng#CAX#Liên Chiểu-DNLC36</t>
  </si>
  <si>
    <t>16.07482</t>
  </si>
  <si>
    <t>108.13389</t>
  </si>
  <si>
    <t>FO thuê#PITC#DNLC36-DNLC1P</t>
  </si>
  <si>
    <t>PK02 - Trại giam CATP</t>
  </si>
  <si>
    <t>734.04</t>
  </si>
  <si>
    <t>674.86</t>
  </si>
  <si>
    <t>16.071720</t>
  </si>
  <si>
    <t>108.142016</t>
  </si>
  <si>
    <t>16.074544</t>
  </si>
  <si>
    <t>108.134364</t>
  </si>
  <si>
    <t>full_h04/TP Đà Nẵng/TP Đà Nẵng/Mạng cấp 3_ DN và Quảng Nam/Phòng - Ring 1 ( ĐN )4.kmz/Phòng - Ring 1 ( ĐN )/PK02 - Trại giam CATP/hạ thế 1</t>
  </si>
  <si>
    <t>Đà Nẵng#CAX#Liên Chiểu-Đà Nẵng#TTCMKV#Liên Chiểu</t>
  </si>
  <si>
    <t>Đà Nẵng#CAX#Hải Vân-DNLC10</t>
  </si>
  <si>
    <t>16.11484</t>
  </si>
  <si>
    <t>108.12662</t>
  </si>
  <si>
    <t>FO thuê#CMC#DNLC10-DNLC22</t>
  </si>
  <si>
    <t>365.21</t>
  </si>
  <si>
    <t>115.56</t>
  </si>
  <si>
    <t>16.114078</t>
  </si>
  <si>
    <t>108.127355</t>
  </si>
  <si>
    <t>Đà Nẵng#CAX#Hải Vân-DNLC33</t>
  </si>
  <si>
    <t>16.1127078</t>
  </si>
  <si>
    <t>108.1286299</t>
  </si>
  <si>
    <t>FO thuê#CMC#DNLC33-DNLC22</t>
  </si>
  <si>
    <t>263.79</t>
  </si>
  <si>
    <t>14.14</t>
  </si>
  <si>
    <t>16.112758</t>
  </si>
  <si>
    <t>108.128508</t>
  </si>
  <si>
    <t>Đà Nẵng#CAX#Hải Vân-DNLC1C</t>
  </si>
  <si>
    <t>16.12752</t>
  </si>
  <si>
    <t>108.11735</t>
  </si>
  <si>
    <t>FO thuê#CMC#DNLC1C-DNLC22</t>
  </si>
  <si>
    <t>323.51</t>
  </si>
  <si>
    <t>73.85</t>
  </si>
  <si>
    <t>16.128005</t>
  </si>
  <si>
    <t>108.116878</t>
  </si>
  <si>
    <t>Đà Nẵng#CAX#Hải Vân-DNLC68</t>
  </si>
  <si>
    <t>16.10466</t>
  </si>
  <si>
    <t>108.12659</t>
  </si>
  <si>
    <t>FO thuê#CMC#DNLC22-DNLC68</t>
  </si>
  <si>
    <t>Hải Vân - Liên Chiểu</t>
  </si>
  <si>
    <t>212.85</t>
  </si>
  <si>
    <t>60.02</t>
  </si>
  <si>
    <t>16.107116</t>
  </si>
  <si>
    <t>108.125676</t>
  </si>
  <si>
    <t>152.83</t>
  </si>
  <si>
    <t>16.106024</t>
  </si>
  <si>
    <t>108.126414</t>
  </si>
  <si>
    <t>full_h04/TP Đà Nẵng/TP Đà Nẵng/Mạng cấp 4 - ĐN cũ/Ring 5 - DN/Hải Vân - Liên Chiểu/Cống bể mới</t>
  </si>
  <si>
    <t>Đà Nẵng#CAX#Hải Vân-Đà Nẵng#Phòng#Trạm CSGT Hòa Hiệp</t>
  </si>
  <si>
    <t>Đà Nẵng#CAX#Hải Vân-DNLC13</t>
  </si>
  <si>
    <t>16.10014</t>
  </si>
  <si>
    <t>108.13362</t>
  </si>
  <si>
    <t>FO thuê#PITC#DNLC22-DNLC13</t>
  </si>
  <si>
    <t>194.31</t>
  </si>
  <si>
    <t>14.62</t>
  </si>
  <si>
    <t>16.107544</t>
  </si>
  <si>
    <t>108.125987</t>
  </si>
  <si>
    <t>179.69</t>
  </si>
  <si>
    <t>16.100844</t>
  </si>
  <si>
    <t>108.135134</t>
  </si>
  <si>
    <t>full_h04/TP Đà Nẵng/TP Đà Nẵng/Mạng cấp 4 - ĐN cũ/Ring 5 - DN/TT1 Đà Nẵng-Hải Vân/Trung thế</t>
  </si>
  <si>
    <t>Đà Nẵng#CAX#Ngũ Hành Sơn-DNNH08</t>
  </si>
  <si>
    <t>16.03888</t>
  </si>
  <si>
    <t>108.2423</t>
  </si>
  <si>
    <t>16.03887</t>
  </si>
  <si>
    <t>108.24853</t>
  </si>
  <si>
    <t>FO thuê#CMC#DNNH08-DNNH59</t>
  </si>
  <si>
    <t>A01 - A06 (CS1) -new</t>
  </si>
  <si>
    <t>577.95</t>
  </si>
  <si>
    <t>16.040160</t>
  </si>
  <si>
    <t>108.242241</t>
  </si>
  <si>
    <t>435.49</t>
  </si>
  <si>
    <t>16.042145</t>
  </si>
  <si>
    <t>108.246294</t>
  </si>
  <si>
    <t>full_h04/TP Đà Nẵng/TP Đà Nẵng/Mạng cấp 2/Cấp 2 - Ring 1 - Hiệu chỉnh/Ring 1/A01 - A06 (CS1) -new/Trung Thế</t>
  </si>
  <si>
    <t>Đà Nẵng#CAX#Ngũ Hành Sơn-DNNH1T</t>
  </si>
  <si>
    <t>16.0397921</t>
  </si>
  <si>
    <t>108.2456869</t>
  </si>
  <si>
    <t>FO thuê#CMC#DNNH1T-DNNH59</t>
  </si>
  <si>
    <t>K01 - A01</t>
  </si>
  <si>
    <t>363.23</t>
  </si>
  <si>
    <t>50.98</t>
  </si>
  <si>
    <t>16.038462</t>
  </si>
  <si>
    <t>108.242496</t>
  </si>
  <si>
    <t>312.25</t>
  </si>
  <si>
    <t>16.042570</t>
  </si>
  <si>
    <t>108.245257</t>
  </si>
  <si>
    <t>full_h04/TP Đà Nẵng/TP Đà Nẵng/Mạng cấp 2/Cấp 2 - Ring 3/K01 - A01/Ngầm hiện hữu</t>
  </si>
  <si>
    <t>Đà Nẵng#CAX#Ngũ Hành Sơn-DNNH63</t>
  </si>
  <si>
    <t>16.049395</t>
  </si>
  <si>
    <t>108.248625</t>
  </si>
  <si>
    <t>FO thuê#CMC#DNNH63-DNNH59</t>
  </si>
  <si>
    <t>Bệnh viện 199 - A01 - ok</t>
  </si>
  <si>
    <t>676.28</t>
  </si>
  <si>
    <t>560.01</t>
  </si>
  <si>
    <t>16.042152</t>
  </si>
  <si>
    <t>108.246284</t>
  </si>
  <si>
    <t>116.27</t>
  </si>
  <si>
    <t>16.049909</t>
  </si>
  <si>
    <t>108.247678</t>
  </si>
  <si>
    <t>full_h04/TP Đà Nẵng/TP Đà Nẵng/Mạng cấp 2/Cấp 2 - Ring 1 - Hiệu chỉnh/Ring 1/Bệnh viện 199 - A01 - ok/Trung thế</t>
  </si>
  <si>
    <t>Đà Nẵng#CAX#Ngũ Hành Sơn-DNNH64</t>
  </si>
  <si>
    <t>FO thuê#PITC#DNNH59-DNNH64</t>
  </si>
  <si>
    <t>Đà Nẵng#CAX#Ngũ Hành Sơn-DNNH65</t>
  </si>
  <si>
    <t>16.04351</t>
  </si>
  <si>
    <t>108.2424</t>
  </si>
  <si>
    <t>FO thuê#CMC#DNNH59-DNNH65</t>
  </si>
  <si>
    <t>142.65</t>
  </si>
  <si>
    <t>91.67</t>
  </si>
  <si>
    <t>16.043058</t>
  </si>
  <si>
    <t>108.243117</t>
  </si>
  <si>
    <t>Đà Nẵng#CAX#Ngũ Hành Sơn-DNNH74</t>
  </si>
  <si>
    <t>16.04887</t>
  </si>
  <si>
    <t>108.24847</t>
  </si>
  <si>
    <t>FO thuê#CMC#DNNH59-DNNH74</t>
  </si>
  <si>
    <t>631.40</t>
  </si>
  <si>
    <t>71.39</t>
  </si>
  <si>
    <t>16.048372</t>
  </si>
  <si>
    <t>108.248048</t>
  </si>
  <si>
    <t>Đà Nẵng#CAX#Ngũ Hành Sơn-DNNH80</t>
  </si>
  <si>
    <t>16.041505</t>
  </si>
  <si>
    <t>108.248295</t>
  </si>
  <si>
    <t>FO thuê#CMC#DNNH59-DNNH80</t>
  </si>
  <si>
    <t>367.76</t>
  </si>
  <si>
    <t>225.31</t>
  </si>
  <si>
    <t>Đà Nẵng#CAX#An Khê-DNCL74</t>
  </si>
  <si>
    <t>16.05719</t>
  </si>
  <si>
    <t>108.1815</t>
  </si>
  <si>
    <t>16.05673</t>
  </si>
  <si>
    <t>108.18025</t>
  </si>
  <si>
    <t>FO thuê#CMC#DNCL74-DNTK08</t>
  </si>
  <si>
    <t>Hòa Khánh - An Khê</t>
  </si>
  <si>
    <t>56.62</t>
  </si>
  <si>
    <t>6.41</t>
  </si>
  <si>
    <t>16.057247</t>
  </si>
  <si>
    <t>108.181504</t>
  </si>
  <si>
    <t>50.21</t>
  </si>
  <si>
    <t>16.056949</t>
  </si>
  <si>
    <t>108.180661</t>
  </si>
  <si>
    <t>full_h04/TP Đà Nẵng/TP Đà Nẵng/Mạng cấp 4 - ĐN cũ/Ring 6 - DN/Hòa Khánh - An Khê/Trung thế</t>
  </si>
  <si>
    <t>Đà Nẵng#CAX#Thanh Khê-DNTK32</t>
  </si>
  <si>
    <t>16.07077</t>
  </si>
  <si>
    <t>108.1924</t>
  </si>
  <si>
    <t>16.06952</t>
  </si>
  <si>
    <t>108.18445</t>
  </si>
  <si>
    <t>FO thuê#CMC#DNTK32-DNTK10</t>
  </si>
  <si>
    <t>75.76</t>
  </si>
  <si>
    <t>52.73</t>
  </si>
  <si>
    <t>16.071179</t>
  </si>
  <si>
    <t>108.192150</t>
  </si>
  <si>
    <t>16.069703</t>
  </si>
  <si>
    <t>108.184551</t>
  </si>
  <si>
    <t>Đà Nẵng#CAX#Thanh Khê-DNTK75</t>
  </si>
  <si>
    <t>108.19159</t>
  </si>
  <si>
    <t>FO thuê#CMC#DNTK10-DNTK75</t>
  </si>
  <si>
    <t>An Khê - Thanh Khê</t>
  </si>
  <si>
    <t>32.79</t>
  </si>
  <si>
    <t>10.87</t>
  </si>
  <si>
    <t>16.070730</t>
  </si>
  <si>
    <t>108.192493</t>
  </si>
  <si>
    <t>21.92</t>
  </si>
  <si>
    <t>16.070101</t>
  </si>
  <si>
    <t>108.191766</t>
  </si>
  <si>
    <t>full_h04/TP Đà Nẵng/TP Đà Nẵng/Mạng cấp 4 - ĐN cũ/Ring 6 - DN/An Khê - Thanh Khê/Trung thế</t>
  </si>
  <si>
    <t>Đà Nẵng#CAX#Thanh Khê-DNTK76</t>
  </si>
  <si>
    <t>16.07399</t>
  </si>
  <si>
    <t>108.18022</t>
  </si>
  <si>
    <t>FO thuê#CMC#DNTK10-DNTK76</t>
  </si>
  <si>
    <t>284.45</t>
  </si>
  <si>
    <t>195.19</t>
  </si>
  <si>
    <t>16.072437</t>
  </si>
  <si>
    <t>108.191826</t>
  </si>
  <si>
    <t>89.26</t>
  </si>
  <si>
    <t>16.073190</t>
  </si>
  <si>
    <t>108.180293</t>
  </si>
  <si>
    <t>full_h04/TP Đà Nẵng/TP Đà Nẵng/Mạng cấp 3_ DN và Quảng Nam/Cấp 3 - Ring 2 - Đà Nẵng cũ/TT1 Đà Nẵng - Liên Chiểu/Trung thế TT1 Đà nẵng - Liên chiểu 2</t>
  </si>
  <si>
    <t>Đà Nẵng#CAX#Thanh Khê-DNTK13</t>
  </si>
  <si>
    <t>16.071265</t>
  </si>
  <si>
    <t>108.200369</t>
  </si>
  <si>
    <t>FO thuê#PITC#DNTK13-DNTK10</t>
  </si>
  <si>
    <t>Thanh Khê - TT1 Đà Nẵng</t>
  </si>
  <si>
    <t>69.67</t>
  </si>
  <si>
    <t>11.25</t>
  </si>
  <si>
    <t>16.070743</t>
  </si>
  <si>
    <t>108.192502</t>
  </si>
  <si>
    <t>58.42</t>
  </si>
  <si>
    <t>16.071004</t>
  </si>
  <si>
    <t>108.200844</t>
  </si>
  <si>
    <t>full_h04/TP Đà Nẵng/TP Đà Nẵng/Mạng cấp 4 - ĐN cũ/Ring 6 - DN/Thanh Khê - TT1 Đà Nẵng/Trung thế</t>
  </si>
  <si>
    <t>Đà Nẵng#CAX#Thanh Khê-DNTK14</t>
  </si>
  <si>
    <t>16.06531</t>
  </si>
  <si>
    <t>108.20105</t>
  </si>
  <si>
    <t>FO thuê#PITC#DNTK10-DNTK14</t>
  </si>
  <si>
    <t>644.80</t>
  </si>
  <si>
    <t>633.54</t>
  </si>
  <si>
    <t>Quảng Nam#CAX#Điện Bàn Đông-QADB34</t>
  </si>
  <si>
    <t>15.949</t>
  </si>
  <si>
    <t>108.2549</t>
  </si>
  <si>
    <t>15.93552</t>
  </si>
  <si>
    <t>108.25534</t>
  </si>
  <si>
    <t>FO thuê#PITC#QADB02-QADB34</t>
  </si>
  <si>
    <t>An Thắng - Điện Bàn Đông</t>
  </si>
  <si>
    <t>50.99</t>
  </si>
  <si>
    <t>15.948992</t>
  </si>
  <si>
    <t>108.254724</t>
  </si>
  <si>
    <t>32.19</t>
  </si>
  <si>
    <t>15.935429</t>
  </si>
  <si>
    <t>108.255054</t>
  </si>
  <si>
    <t>full_h04/TP Đà Nẵng/TP Đà Nẵng/Mạng cấp 4 - Quảng Nam/Quảng Nam - Ring 1/An Thắng - Điện Bàn Đông/trung thế</t>
  </si>
  <si>
    <t>Quảng Nam#CAX#Điện Bàn Đông-QADB35</t>
  </si>
  <si>
    <t>15.92581</t>
  </si>
  <si>
    <t>108.28296</t>
  </si>
  <si>
    <t>FO thuê#PITC#QADB02-QADB35</t>
  </si>
  <si>
    <t>Điện Bàn Đông - Hội An Tây</t>
  </si>
  <si>
    <t>2934.09</t>
  </si>
  <si>
    <t>18.85</t>
  </si>
  <si>
    <t>15.948995</t>
  </si>
  <si>
    <t>2915.24</t>
  </si>
  <si>
    <t>15.929613</t>
  </si>
  <si>
    <t>108.255984</t>
  </si>
  <si>
    <t>full_h04/TP Đà Nẵng/TP Đà Nẵng/Mạng cấp 4 - Quảng Nam/Quảng Nam - Ring 1/Điện Bàn Đông - Hội An Tây/hạ thế</t>
  </si>
  <si>
    <t>Quảng Nam#CAX#Điện Bàn Đông-QADB59</t>
  </si>
  <si>
    <t>15.94121</t>
  </si>
  <si>
    <t>108.26717</t>
  </si>
  <si>
    <t>FO thuê#PITC#QADB02-QADB59</t>
  </si>
  <si>
    <t>1353.26</t>
  </si>
  <si>
    <t>1334.46</t>
  </si>
  <si>
    <t>15.942147</t>
  </si>
  <si>
    <t>108.254727</t>
  </si>
  <si>
    <t>Quảng Nam#CAX#Điện Bàn Đông-QADB64</t>
  </si>
  <si>
    <t>15.94834</t>
  </si>
  <si>
    <t>108.26868</t>
  </si>
  <si>
    <t>FO thuê#PITC#QADB02-QADB64</t>
  </si>
  <si>
    <t>1475.32</t>
  </si>
  <si>
    <t>1.42</t>
  </si>
  <si>
    <t>15.949006</t>
  </si>
  <si>
    <t>108.254912</t>
  </si>
  <si>
    <t>1473.90</t>
  </si>
  <si>
    <t>full_h04/TP Đà Nẵng/TP Đà Nẵng/Mạng cấp 4 - Quảng Nam/Quảng Nam - Ring 1/Điện Bàn Đông - Hội An Tây/trồng mới 1</t>
  </si>
  <si>
    <t>Quảng Nam#CAX#Điện Bàn Đông-QADB11</t>
  </si>
  <si>
    <t>15.92736</t>
  </si>
  <si>
    <t>108.26009</t>
  </si>
  <si>
    <t>FO thuê#CMC#QADB11-QADB02</t>
  </si>
  <si>
    <t>524.31</t>
  </si>
  <si>
    <t>505.47</t>
  </si>
  <si>
    <t>Quảng Nam#CAX#Điện Bàn Đông-QADB16</t>
  </si>
  <si>
    <t>15.93443</t>
  </si>
  <si>
    <t>108.23181</t>
  </si>
  <si>
    <t>FO thuê#CMC#QADB02-QADB16</t>
  </si>
  <si>
    <t>345.33</t>
  </si>
  <si>
    <t>326.53</t>
  </si>
  <si>
    <t>15.935865</t>
  </si>
  <si>
    <t>108.229145</t>
  </si>
  <si>
    <t>Quảng Nam#CAX#Điện Bàn Đông-QADB53</t>
  </si>
  <si>
    <t>15.96575</t>
  </si>
  <si>
    <t>108.25373</t>
  </si>
  <si>
    <t>FO thuê#CMC#QADB53-QADB02</t>
  </si>
  <si>
    <t>Điện Bàn Bắc - TTCMKV Hội An</t>
  </si>
  <si>
    <t>1756.61</t>
  </si>
  <si>
    <t>707.06</t>
  </si>
  <si>
    <t>15.955358</t>
  </si>
  <si>
    <t>108.254784</t>
  </si>
  <si>
    <t>1049.55</t>
  </si>
  <si>
    <t>15.956380</t>
  </si>
  <si>
    <t>108.254917</t>
  </si>
  <si>
    <t>full_h04/TP Đà Nẵng/TP Đà Nẵng/Mạng cấp 4 - Quảng Nam/Quảng Nam - Ring 2/Điện Bàn Bắc - TTCMKV Hội An/trung thế 2</t>
  </si>
  <si>
    <t>Quảng Nam#CAX#Điện Bàn Đông-QADB36</t>
  </si>
  <si>
    <t>15.95881344</t>
  </si>
  <si>
    <t>108.2381446</t>
  </si>
  <si>
    <t>FO thuê#CMC#QADB36-QADB02</t>
  </si>
  <si>
    <t>1258.81</t>
  </si>
  <si>
    <t>551.75</t>
  </si>
  <si>
    <t>15.954058</t>
  </si>
  <si>
    <t>108.239617</t>
  </si>
  <si>
    <t>Quảng Nam#CAX#Điện Bàn Đông-20QA168</t>
  </si>
  <si>
    <t>FO thuê#PITC#20QA168-QADB02</t>
  </si>
  <si>
    <t>Quảng Nam#CAX#Thu Bồn-QADX70</t>
  </si>
  <si>
    <t>15.82998</t>
  </si>
  <si>
    <t>108.1244</t>
  </si>
  <si>
    <t>15.82794</t>
  </si>
  <si>
    <t>108.10744</t>
  </si>
  <si>
    <t>FO thuê#PITC#QADX70-QADX19</t>
  </si>
  <si>
    <t>Thu Bồn - Gò Nổi</t>
  </si>
  <si>
    <t>1816.05</t>
  </si>
  <si>
    <t>47.71</t>
  </si>
  <si>
    <t>15.829673</t>
  </si>
  <si>
    <t>108.124711</t>
  </si>
  <si>
    <t>1768.33</t>
  </si>
  <si>
    <t>15.828954</t>
  </si>
  <si>
    <t>108.123936</t>
  </si>
  <si>
    <t>full_h04/TP Đà Nẵng/TP Đà Nẵng/Mạng cấp 4 - Quảng Nam/Quảng Nam - Ring 3/Thu Bồn - Gò Nổi/hạ thế 1</t>
  </si>
  <si>
    <t>Quảng Nam#CAX#Hội An Đông-QAHA02</t>
  </si>
  <si>
    <t>15.88636</t>
  </si>
  <si>
    <t>108.3625</t>
  </si>
  <si>
    <t>15.90245084</t>
  </si>
  <si>
    <t>108.3546292</t>
  </si>
  <si>
    <t>FO thuê#CMC#QAHA02-QAHA18</t>
  </si>
  <si>
    <t>Hội An Đông - TTCMKV Hội An</t>
  </si>
  <si>
    <t>15.886374</t>
  </si>
  <si>
    <t>108.362518</t>
  </si>
  <si>
    <t>1379.26</t>
  </si>
  <si>
    <t>15.890886</t>
  </si>
  <si>
    <t>108.359292</t>
  </si>
  <si>
    <t>full_h04/TP Đà Nẵng/TP Đà Nẵng/Mạng cấp 4 - Quảng Nam/Quảng Nam - Ring 7_them E28/Quảng Nam - Ring 7 - ok/Hội An Đông - TTCMKV Hội An/trung thế 1</t>
  </si>
  <si>
    <t>Quảng Nam#CAX#Hội An Đông-QAHA04</t>
  </si>
  <si>
    <t>15.8812723</t>
  </si>
  <si>
    <t>108.3430994</t>
  </si>
  <si>
    <t>FO thuê#CMC#QAHA18-QAHA04</t>
  </si>
  <si>
    <t>40.75</t>
  </si>
  <si>
    <t>38.27</t>
  </si>
  <si>
    <t>15.881281</t>
  </si>
  <si>
    <t>108.343457</t>
  </si>
  <si>
    <t>Quảng Nam#CAX#Phú Ninh-QAPN05</t>
  </si>
  <si>
    <t>15.52352</t>
  </si>
  <si>
    <t>108.4193</t>
  </si>
  <si>
    <t>15.5174</t>
  </si>
  <si>
    <t>108.402</t>
  </si>
  <si>
    <t>FO thuê#VNPT#QAPN05-QAPN04</t>
  </si>
  <si>
    <t>239.53</t>
  </si>
  <si>
    <t>141.94</t>
  </si>
  <si>
    <t>15.524393</t>
  </si>
  <si>
    <t>108.418333</t>
  </si>
  <si>
    <t>97.60</t>
  </si>
  <si>
    <t>15.518005</t>
  </si>
  <si>
    <t>108.401340</t>
  </si>
  <si>
    <t>Quảng Nam#CAX#Phú Ninh-QAPN42</t>
  </si>
  <si>
    <t>15.5409</t>
  </si>
  <si>
    <t>108.4251</t>
  </si>
  <si>
    <t>FO thuê#PITC#QAPN42-QAPN04</t>
  </si>
  <si>
    <t>Chiên Đàn - Phú Ninh</t>
  </si>
  <si>
    <t>512.29</t>
  </si>
  <si>
    <t>293.67</t>
  </si>
  <si>
    <t>15.525581</t>
  </si>
  <si>
    <t>108.421014</t>
  </si>
  <si>
    <t>218.61</t>
  </si>
  <si>
    <t>15.538947</t>
  </si>
  <si>
    <t>108.425337</t>
  </si>
  <si>
    <t>full_h04/TP Đà Nẵng/TP Đà Nẵng/Mạng cấp 4 - Quảng Nam/Quảng Nam - Ring 14/Chiên Đàn - Phú Ninh/trung thế 2</t>
  </si>
  <si>
    <t>Quảng Nam#CAX#Phú Ninh-QAPN32</t>
  </si>
  <si>
    <t>15.5285</t>
  </si>
  <si>
    <t>108.4678</t>
  </si>
  <si>
    <t>FO thuê#PITC#QAPN32-QAPN04</t>
  </si>
  <si>
    <t>Phú Ninh - Hương Trà</t>
  </si>
  <si>
    <t>1997.04</t>
  </si>
  <si>
    <t>44.75</t>
  </si>
  <si>
    <t>15.523185</t>
  </si>
  <si>
    <t>108.419532</t>
  </si>
  <si>
    <t>1952.29</t>
  </si>
  <si>
    <t>15.544160</t>
  </si>
  <si>
    <t>108.459559</t>
  </si>
  <si>
    <t>full_h04/TP Đà Nẵng/TP Đà Nẵng/Mạng cấp 4 - Quảng Nam/Quảng Nam - Ring 14/Phú Ninh - Hương Trà/trung thế 1</t>
  </si>
  <si>
    <t>Quảng Nam#CAX#Phú Ninh-QAPN39</t>
  </si>
  <si>
    <t>15.5139</t>
  </si>
  <si>
    <t>108.4235</t>
  </si>
  <si>
    <t>FO thuê#PITC#QAPN39-QAPN04</t>
  </si>
  <si>
    <t>904.06</t>
  </si>
  <si>
    <t>859.31</t>
  </si>
  <si>
    <t>15.521298</t>
  </si>
  <si>
    <t>108.421182</t>
  </si>
  <si>
    <t>Quảng Nam#CAX#Phú Ninh-QATK41</t>
  </si>
  <si>
    <t>FO thuê#PITC#QAPN04-QATK41</t>
  </si>
  <si>
    <t>Đức phú - Phú Ninh</t>
  </si>
  <si>
    <t>628.92</t>
  </si>
  <si>
    <t>558.49</t>
  </si>
  <si>
    <t>15.528066</t>
  </si>
  <si>
    <t>108.421516</t>
  </si>
  <si>
    <t>70.43</t>
  </si>
  <si>
    <t>15.548544</t>
  </si>
  <si>
    <t>108.494412</t>
  </si>
  <si>
    <t>full_h04/TP Đà Nẵng/TP Đà Nẵng/Mạng cấp 4 - Quảng Nam/Quảng Nam - Ring 15/Đức phú - Phú Ninh/Trung thế</t>
  </si>
  <si>
    <t>Quảng Nam#CAX#Phú Ninh-QAPN22</t>
  </si>
  <si>
    <t>15.56253</t>
  </si>
  <si>
    <t>108.42493</t>
  </si>
  <si>
    <t>FO thuê#PITC#QAPN22-QAPN04</t>
  </si>
  <si>
    <t>1915.07</t>
  </si>
  <si>
    <t>1773.13</t>
  </si>
  <si>
    <t>15.550876</t>
  </si>
  <si>
    <t>108.413632</t>
  </si>
  <si>
    <t>Quảng Nam#CAX#Quế Sơn Trung-QAQS36</t>
  </si>
  <si>
    <t>15.7261</t>
  </si>
  <si>
    <t>108.27801</t>
  </si>
  <si>
    <t>FO thuê#VNPT#QAQS36-QAQS10</t>
  </si>
  <si>
    <t>Quế Sơn - Quế Sơn Trung</t>
  </si>
  <si>
    <t>460.28</t>
  </si>
  <si>
    <t>72.98</t>
  </si>
  <si>
    <t>15.736276</t>
  </si>
  <si>
    <t>108.288711</t>
  </si>
  <si>
    <t>387.30</t>
  </si>
  <si>
    <t>15.729505</t>
  </si>
  <si>
    <t>108.278774</t>
  </si>
  <si>
    <t>full_h04/TP Đà Nẵng/TP Đà Nẵng/Mạng cấp 4 - Quảng Nam/Quảng Nam - Ring 8 - ok/Quế Sơn - Quế Sơn Trung/trung thế 1</t>
  </si>
  <si>
    <t>Quảng Nam#CAX#Quế Sơn Trung-QATB42</t>
  </si>
  <si>
    <t>15.62891</t>
  </si>
  <si>
    <t>108.22826</t>
  </si>
  <si>
    <t>FO thuê#PITC#QATB42-QAQS10</t>
  </si>
  <si>
    <t>4995.92</t>
  </si>
  <si>
    <t>4922.94</t>
  </si>
  <si>
    <t>15.670724</t>
  </si>
  <si>
    <t>108.213151</t>
  </si>
  <si>
    <t>Quảng Nam#CAX#Quế Sơn Trung-QAQS49</t>
  </si>
  <si>
    <t>15.73266</t>
  </si>
  <si>
    <t>108.3063</t>
  </si>
  <si>
    <t>FO thuê#PITC#QAQS10-QAQS49</t>
  </si>
  <si>
    <t>Quế Sơn Trung - TTCMKV Thăng
 Bình</t>
  </si>
  <si>
    <t>789.81</t>
  </si>
  <si>
    <t>737.28</t>
  </si>
  <si>
    <t>15.740909</t>
  </si>
  <si>
    <t>108.293855</t>
  </si>
  <si>
    <t>52.52</t>
  </si>
  <si>
    <t>15.732188</t>
  </si>
  <si>
    <t>108.306318</t>
  </si>
  <si>
    <t>full_h04/TP Đà Nẵng/TP Đà Nẵng/Mạng cấp 4 - Quảng Nam/Quảng Nam - Ring 8 - ok/Quế Sơn Trung - TTCMKV Thăng
 Bình/hạ thế 2</t>
  </si>
  <si>
    <t>Quảng Nam#CAX#Quế Sơn Trung-Quảng Nam#TTCMKV#Thăng Bình</t>
  </si>
  <si>
    <t>Quảng Nam#CAX#Quế Sơn Trung-QAQS33</t>
  </si>
  <si>
    <t>15.748974</t>
  </si>
  <si>
    <t>108.303345</t>
  </si>
  <si>
    <t>FO thuê#CMC#QAQS33-QAQS10</t>
  </si>
  <si>
    <t>Quế Sơn - Đại Lộc</t>
  </si>
  <si>
    <t>634.34</t>
  </si>
  <si>
    <t>150.32</t>
  </si>
  <si>
    <t>108.289530</t>
  </si>
  <si>
    <t>484.02</t>
  </si>
  <si>
    <t>15.750251</t>
  </si>
  <si>
    <t>108.299021</t>
  </si>
  <si>
    <t>full_h04/TP Đà Nẵng/TP Đà Nẵng/Mạng cấp 3_ DN và Quảng Nam/Cấp 3 - Ring 3 - Quảng Nam cũ/Quế Sơn - Đại Lộc_ring 3_ cấp 3.kmz/Quế Sơn - Đại Lộc/trung thế 2</t>
  </si>
  <si>
    <t>Quảng Nam#CAX#Quế Sơn Trung-QAQS16</t>
  </si>
  <si>
    <t>15.71764</t>
  </si>
  <si>
    <t>108.30676</t>
  </si>
  <si>
    <t>FO thuê#CMC#QAQS16-QAQS10</t>
  </si>
  <si>
    <t>2252.62</t>
  </si>
  <si>
    <t>1515.33</t>
  </si>
  <si>
    <t>15.730776</t>
  </si>
  <si>
    <t>108.302993</t>
  </si>
  <si>
    <t>Quảng Nam#CAX#Xuân Phú-QAQS19</t>
  </si>
  <si>
    <t>15.77703</t>
  </si>
  <si>
    <t>108.3351</t>
  </si>
  <si>
    <t>FO thuê#PITC#QAQS19-QATB11</t>
  </si>
  <si>
    <t>Nam Phước - Xuân Phú</t>
  </si>
  <si>
    <t>827.40</t>
  </si>
  <si>
    <t>15.777139</t>
  </si>
  <si>
    <t>108.335114</t>
  </si>
  <si>
    <t>815.13</t>
  </si>
  <si>
    <t>15.776539</t>
  </si>
  <si>
    <t>108.330249</t>
  </si>
  <si>
    <t>full_h04/TP Đà Nẵng/TP Đà Nẵng/Mạng cấp 4 - Quảng Nam/Quảng Nam - Ring 7_them E28/Quảng Nam - Ring 7 - ok/Nam Phước - Xuân Phú/trung thế 1</t>
  </si>
  <si>
    <t>Quảng Nam#Phòng#Trạm CSGT Thăng Bình (X. Bình Phục, Thăng Bình)-QATB74</t>
  </si>
  <si>
    <t>15.72259</t>
  </si>
  <si>
    <t>108.36884</t>
  </si>
  <si>
    <t>FO thuê#PITC#QATB74-QATB14</t>
  </si>
  <si>
    <t>246.01</t>
  </si>
  <si>
    <t>15.720182</t>
  </si>
  <si>
    <t>108.375708</t>
  </si>
  <si>
    <t>223.11</t>
  </si>
  <si>
    <t>15.720674</t>
  </si>
  <si>
    <t>108.369459</t>
  </si>
  <si>
    <t>Quảng Nam#Phòng#Trạm CSGT Thăng Bình (X. Bình Phục, Thăng Bình)-QATB_ newsite 2</t>
  </si>
  <si>
    <t>15.745207</t>
  </si>
  <si>
    <t>108.359478</t>
  </si>
  <si>
    <t>FO thuê#PITC#QATB_ newsite 2-QATB14</t>
  </si>
  <si>
    <t>1297.81</t>
  </si>
  <si>
    <t>1274.91</t>
  </si>
  <si>
    <t>Quảng Nam#Phòng#Trạm CSGT Thăng Bình (X. Bình Phục, Thăng Bình)-Quảng Nam#CAX#Thăng Điền</t>
  </si>
  <si>
    <t>Quảng Nam#Phòng#Trạm CSGT Thăng Bình (X. Bình Phục, Thăng Bình)-QATB49</t>
  </si>
  <si>
    <t>15.70423</t>
  </si>
  <si>
    <t>108.38293</t>
  </si>
  <si>
    <t>FO thuê#PITC#QATB14-QATB49</t>
  </si>
  <si>
    <t>772.35</t>
  </si>
  <si>
    <t>471.00</t>
  </si>
  <si>
    <t>15.707373</t>
  </si>
  <si>
    <t>108.385880</t>
  </si>
  <si>
    <t>Quảng Nam#Phòng#Trạm CSGT Thăng Bình (X. Bình Phục, Thăng Bình)-QATB26</t>
  </si>
  <si>
    <t>15.69828</t>
  </si>
  <si>
    <t>108.39686</t>
  </si>
  <si>
    <t>FO thuê#PITC#QATB14-QATB26</t>
  </si>
  <si>
    <t>719.69</t>
  </si>
  <si>
    <t>418.34</t>
  </si>
  <si>
    <t>15.696898</t>
  </si>
  <si>
    <t>108.393225</t>
  </si>
  <si>
    <t>Quảng Nam#Phòng#Trạm CSGT Thăng Bình (X. Bình Phục, Thăng Bình)-QATB25</t>
  </si>
  <si>
    <t>FO thuê#PITC#QATB25-QATB14</t>
  </si>
  <si>
    <t>2144.64</t>
  </si>
  <si>
    <t>Quảng Nam#CAX#Thăng Phú-QATB1A</t>
  </si>
  <si>
    <t>15.6326</t>
  </si>
  <si>
    <t>108.3741</t>
  </si>
  <si>
    <t>15.62735</t>
  </si>
  <si>
    <t>108.388</t>
  </si>
  <si>
    <t>FO thuê#PITC#QATB1A-QATB34</t>
  </si>
  <si>
    <t>Thăng Phú - Tây Hồ</t>
  </si>
  <si>
    <t>724.10</t>
  </si>
  <si>
    <t>58.91</t>
  </si>
  <si>
    <t>15.632675</t>
  </si>
  <si>
    <t>108.374645</t>
  </si>
  <si>
    <t>665.19</t>
  </si>
  <si>
    <t>15.624164</t>
  </si>
  <si>
    <t>108.382743</t>
  </si>
  <si>
    <t>full_h04/TP Đà Nẵng/TP Đà Nẵng/Mạng cấp 4 - Quảng Nam/Quảng Nam - Ring 11 - ok/Thăng Phú - Tây Hồ/trung thế 1</t>
  </si>
  <si>
    <t>Quảng Nam#CAX#Thăng Phú-QATB59</t>
  </si>
  <si>
    <t>15.636993</t>
  </si>
  <si>
    <t>108.378782</t>
  </si>
  <si>
    <t>FO thuê#PITC#QATB59-QATB34</t>
  </si>
  <si>
    <t>576.87</t>
  </si>
  <si>
    <t>517.96</t>
  </si>
  <si>
    <t>15.633737</t>
  </si>
  <si>
    <t>108.375322</t>
  </si>
  <si>
    <t>Quảng Nam#CAX#Thăng Phú-QATB06</t>
  </si>
  <si>
    <t>15.66507</t>
  </si>
  <si>
    <t>108.35354</t>
  </si>
  <si>
    <t>FO thuê#PITC#QATB06-QATB34</t>
  </si>
  <si>
    <t>Thăng Bình - Thăng Phú</t>
  </si>
  <si>
    <t>1356.14</t>
  </si>
  <si>
    <t>55.98</t>
  </si>
  <si>
    <t>15.632129</t>
  </si>
  <si>
    <t>108.374284</t>
  </si>
  <si>
    <t>1300.16</t>
  </si>
  <si>
    <t>15.660126</t>
  </si>
  <si>
    <t>108.342536</t>
  </si>
  <si>
    <t>full_h04/TP Đà Nẵng/TP Đà Nẵng/Mạng cấp 4 - Quảng Nam/Quảng Nam - Ring 11 - ok/Thăng Bình - Thăng Phú/trung thế 1</t>
  </si>
  <si>
    <t>Quảng Nam#CAX#Thăng Phú-QATK71</t>
  </si>
  <si>
    <t>FO thuê#PITC#QATB34-QATK71</t>
  </si>
  <si>
    <t>5310.74</t>
  </si>
  <si>
    <t>5275.58</t>
  </si>
  <si>
    <t>15.651601</t>
  </si>
  <si>
    <t>108.419245</t>
  </si>
  <si>
    <t>Quảng Nam#CAX#Thăng Phú-QATB47</t>
  </si>
  <si>
    <t>15.65022</t>
  </si>
  <si>
    <t>108.39257</t>
  </si>
  <si>
    <t>FO thuê#PITC#QATB34-QATB47</t>
  </si>
  <si>
    <t>2660.80</t>
  </si>
  <si>
    <t>2601.89</t>
  </si>
  <si>
    <t>Quảng Nam#CAX#Hương Trà-Quảng Nam#TTCMKV#TT2 Tam Kỳ</t>
  </si>
  <si>
    <t>Quảng Nam#CAX#Hương Trà-Quảng Nam#Phòng#PC07</t>
  </si>
  <si>
    <t>15.57504</t>
  </si>
  <si>
    <t>108.4772</t>
  </si>
  <si>
    <t>#PITC#QATK18-QATK03</t>
  </si>
  <si>
    <t>1788.57</t>
  </si>
  <si>
    <t>1359.02</t>
  </si>
  <si>
    <t>Quảng Nam#CAX#Hương Trà-QATK70</t>
  </si>
  <si>
    <t>15.5518</t>
  </si>
  <si>
    <t>108.4921</t>
  </si>
  <si>
    <t>FO thuê#PITC#QATK70-QATK03</t>
  </si>
  <si>
    <t>812.28</t>
  </si>
  <si>
    <t>15.545833</t>
  </si>
  <si>
    <t>108.484005</t>
  </si>
  <si>
    <t>755.45</t>
  </si>
  <si>
    <t>15.547324</t>
  </si>
  <si>
    <t>108.486795</t>
  </si>
  <si>
    <t>full_h04/TP Đà Nẵng/TP Đà Nẵng/Mạng cấp 4 - Quảng Nam/Quảng Nam - Ring 14/Hương Trà - Tam Kỳ/hạ thế 1</t>
  </si>
  <si>
    <t>Quảng Nam#CAX#Tam Kỳ-QATK24</t>
  </si>
  <si>
    <t>15.56684</t>
  </si>
  <si>
    <t>108.47923</t>
  </si>
  <si>
    <t>FO thuê#PITC#QATK24-QATK05</t>
  </si>
  <si>
    <t>PC06 - PC07</t>
  </si>
  <si>
    <t>166.84</t>
  </si>
  <si>
    <t>153.25</t>
  </si>
  <si>
    <t>15.565082</t>
  </si>
  <si>
    <t>108.481034</t>
  </si>
  <si>
    <t>13.59</t>
  </si>
  <si>
    <t>15.566740</t>
  </si>
  <si>
    <t>108.479157</t>
  </si>
  <si>
    <t>full_h04/TP Đà Nẵng/TP Đà Nẵng/Mạng cấp 3_ DN và Quảng Nam/Phòng -  Ring 5 ( Quảng Nam)/PC06 - PC07/Trung thế 1</t>
  </si>
  <si>
    <t>Quảng Nam#Phòng#PK02-QATK57</t>
  </si>
  <si>
    <t>15.58243</t>
  </si>
  <si>
    <t>108.4643</t>
  </si>
  <si>
    <t>15.5733</t>
  </si>
  <si>
    <t>108.45273</t>
  </si>
  <si>
    <t>FO thuê#PITC#QATK15-QATK57</t>
  </si>
  <si>
    <t>PK02 - PC11</t>
  </si>
  <si>
    <t>1220.00</t>
  </si>
  <si>
    <t>218.62</t>
  </si>
  <si>
    <t>15.580760</t>
  </si>
  <si>
    <t>108.463223</t>
  </si>
  <si>
    <t>1001.38</t>
  </si>
  <si>
    <t>15.575601</t>
  </si>
  <si>
    <t>108.461769</t>
  </si>
  <si>
    <t>full_h04/TP Đà Nẵng/TP Đà Nẵng/Mạng cấp 3_ DN và Quảng Nam/Phòng -  Ring 4 ( Quảng Nam)/PK02 - PC11/Trung thế 1</t>
  </si>
  <si>
    <t>Quảng Nam#Phòng#PK02-QAPN22</t>
  </si>
  <si>
    <t>FO thuê#PITC#QATK15-QAPN22</t>
  </si>
  <si>
    <t>2366.52</t>
  </si>
  <si>
    <t>2292.22</t>
  </si>
  <si>
    <t>15.575385</t>
  </si>
  <si>
    <t>74.30</t>
  </si>
  <si>
    <t>15.562578</t>
  </si>
  <si>
    <t>108.425622</t>
  </si>
  <si>
    <t>Quảng Nam#Phòng#PK02-QATK71</t>
  </si>
  <si>
    <t>FO thuê#PITC#QATK71-QATK15</t>
  </si>
  <si>
    <t>448.32</t>
  </si>
  <si>
    <t>413.15</t>
  </si>
  <si>
    <t>15.585190</t>
  </si>
  <si>
    <t>108.466882</t>
  </si>
  <si>
    <t>Quảng Nam#Phòng#PC07-QATK71</t>
  </si>
  <si>
    <t>FO thuê#PITC#QATK71-QATK18</t>
  </si>
  <si>
    <t>TT2 Tam Kỳ - PC08</t>
  </si>
  <si>
    <t>133.14</t>
  </si>
  <si>
    <t>95.80</t>
  </si>
  <si>
    <t>15.575644</t>
  </si>
  <si>
    <t>108.476562</t>
  </si>
  <si>
    <t>37.33</t>
  </si>
  <si>
    <t>15.579679</t>
  </si>
  <si>
    <t>108.473950</t>
  </si>
  <si>
    <t>full_h04/TP Đà Nẵng/TP Đà Nẵng/Mạng cấp 3_ DN và Quảng Nam/Phòng -  Ring 5 ( Quảng Nam)/TT2 Tam Kỳ - PC08/Trung thế 1</t>
  </si>
  <si>
    <t>Quảng Nam#Phòng#PC07-Quảng Nam#CAX#Hương Trà</t>
  </si>
  <si>
    <t>Quảng Nam#Phòng#PC11-QATK36</t>
  </si>
  <si>
    <t>15.56439</t>
  </si>
  <si>
    <t>108.46027</t>
  </si>
  <si>
    <t>FO thuê#VNPT#QATK36-QATK22</t>
  </si>
  <si>
    <t>64.92</t>
  </si>
  <si>
    <t>19.86</t>
  </si>
  <si>
    <t>15.558758</t>
  </si>
  <si>
    <t>108.450018</t>
  </si>
  <si>
    <t>45.06</t>
  </si>
  <si>
    <t>15.564654</t>
  </si>
  <si>
    <t>108.459951</t>
  </si>
  <si>
    <t>full_h04/TP Đà Nẵng/TP Đà Nẵng/Mạng cấp 3_ DN và Quảng Nam/Phòng -  Ring 4 ( Quảng Nam)/PK02 - PC11/Hạ thế 2</t>
  </si>
  <si>
    <t>Quảng Nam#Phòng#PC11-QAPN17</t>
  </si>
  <si>
    <t>15.55249</t>
  </si>
  <si>
    <t>108.43562</t>
  </si>
  <si>
    <t>FO thuê#PITC#QATK22-QAPN17</t>
  </si>
  <si>
    <t>Phú Ninh - TT2 Tam Kỳ</t>
  </si>
  <si>
    <t>1025.56</t>
  </si>
  <si>
    <t>362.26</t>
  </si>
  <si>
    <t>15.560487</t>
  </si>
  <si>
    <t>108.447258</t>
  </si>
  <si>
    <t>663.31</t>
  </si>
  <si>
    <t>15.558166</t>
  </si>
  <si>
    <t>108.433716</t>
  </si>
  <si>
    <t>full_h04/TP Đà Nẵng/TP Đà Nẵng/Mạng cấp 3_ DN và Quảng Nam/Cấp 3 - Ring 4 - Quảng Nam cũ/Phú Ninh - TT2 Tam Kỳ/Đoạn hạ thế 2</t>
  </si>
  <si>
    <t>Quảng Nam#Phòng#PC11-QATK49</t>
  </si>
  <si>
    <t>15.55891</t>
  </si>
  <si>
    <t>108.4681</t>
  </si>
  <si>
    <t>FO thuê#PITC#QATK22-QATK49</t>
  </si>
  <si>
    <t>1061.48</t>
  </si>
  <si>
    <t>1041.62</t>
  </si>
  <si>
    <t>15.565383</t>
  </si>
  <si>
    <t>108.461071</t>
  </si>
  <si>
    <t>Quảng Nam#Phòng#PC11-QAPN41</t>
  </si>
  <si>
    <t>15.5499</t>
  </si>
  <si>
    <t>108.4525</t>
  </si>
  <si>
    <t>FO thuê#PITC#QATK22-QAPN41</t>
  </si>
  <si>
    <t>PC11 - TT2 Tam Kỳ</t>
  </si>
  <si>
    <t>961.83</t>
  </si>
  <si>
    <t>1.72</t>
  </si>
  <si>
    <t>15.558594</t>
  </si>
  <si>
    <t>108.450006</t>
  </si>
  <si>
    <t>960.11</t>
  </si>
  <si>
    <t>15.558470</t>
  </si>
  <si>
    <t>108.451409</t>
  </si>
  <si>
    <t>full_h04/TP Đà Nẵng/TP Đà Nẵng/Mạng cấp 3_ DN và Quảng Nam/Phòng -  Ring 4 ( Quảng Nam)/PC11 - TT2 Tam Kỳ/Trồng mới 1</t>
  </si>
  <si>
    <t>Quảng Nam#Phòng#PC11-QAPN21</t>
  </si>
  <si>
    <t>15.546</t>
  </si>
  <si>
    <t>108.4109</t>
  </si>
  <si>
    <t>FO thuê#PITC#QATK22-QAPN21</t>
  </si>
  <si>
    <t>1462.28</t>
  </si>
  <si>
    <t>1100.02</t>
  </si>
  <si>
    <t>15.553033</t>
  </si>
  <si>
    <t>108.418121</t>
  </si>
  <si>
    <t>Quảng Nam#Phòng#PC11-QATK71</t>
  </si>
  <si>
    <t>FO thuê#PITC#QATK71-QATK22</t>
  </si>
  <si>
    <t>2023.35</t>
  </si>
  <si>
    <t>1440.83</t>
  </si>
  <si>
    <t>15.565669</t>
  </si>
  <si>
    <t>108.461260</t>
  </si>
  <si>
    <t>582.51</t>
  </si>
  <si>
    <t>15.574359</t>
  </si>
  <si>
    <t>108.475303</t>
  </si>
  <si>
    <t>full_h04/TP Đà Nẵng/TP Đà Nẵng/Mạng cấp 3_ DN và Quảng Nam/Cấp 3 - Ring 4 - Quảng Nam cũ/Phú Ninh - TT2 Tam Kỳ/Đoạn trung thế 2</t>
  </si>
  <si>
    <t>Quảng Nam#Phòng#PA06-QAPN09</t>
  </si>
  <si>
    <t>15.58103</t>
  </si>
  <si>
    <t>108.4692</t>
  </si>
  <si>
    <t>15.58944</t>
  </si>
  <si>
    <t>108.44667</t>
  </si>
  <si>
    <t>FO thuê#PITC#QATK37-QAPN09</t>
  </si>
  <si>
    <t>1634.33</t>
  </si>
  <si>
    <t>212.68</t>
  </si>
  <si>
    <t>15.582588</t>
  </si>
  <si>
    <t>108.470351</t>
  </si>
  <si>
    <t>1421.65</t>
  </si>
  <si>
    <t>15.594262</t>
  </si>
  <si>
    <t>108.458964</t>
  </si>
  <si>
    <t>Quảng Nam#Phòng#PA06-QATK71</t>
  </si>
  <si>
    <t>FO thuê#PITC#QATK71-QATK37</t>
  </si>
  <si>
    <t>247.84</t>
  </si>
  <si>
    <t>Quảng Nam#CAX#Bàn Thạch-QATK71</t>
  </si>
  <si>
    <t>15.57577</t>
  </si>
  <si>
    <t>108.4771</t>
  </si>
  <si>
    <t>FO thuê#PITC#QATK71-QATK47</t>
  </si>
  <si>
    <t>72.52</t>
  </si>
  <si>
    <t>35.18</t>
  </si>
  <si>
    <t>15.575923</t>
  </si>
  <si>
    <t>108.476812</t>
  </si>
  <si>
    <t>Đà Nẵng#TTCMKV#Cẩm Lệ-DNHC07</t>
  </si>
  <si>
    <t>16.03716</t>
  </si>
  <si>
    <t>108.22093</t>
  </si>
  <si>
    <t>FO DT#MBF#DNHC07-DNCL28</t>
  </si>
  <si>
    <t>972.01</t>
  </si>
  <si>
    <t>958.72</t>
  </si>
  <si>
    <t>16.020700</t>
  </si>
  <si>
    <t>108.211562</t>
  </si>
  <si>
    <t>13.29</t>
  </si>
  <si>
    <t>16.037234</t>
  </si>
  <si>
    <t>108.221028</t>
  </si>
  <si>
    <t>full_h04/TP Đà Nẵng/TP Đà Nẵng/Mạng cấp 4 - ĐN cũ/Ring 7 - DN/Hòa CƯờng - TTKV Cẩm Lệ/Trung thế</t>
  </si>
  <si>
    <t>Đà Nẵng#TTCMKV#Cẩm Lệ-DNTK16</t>
  </si>
  <si>
    <t>16.04685</t>
  </si>
  <si>
    <t>108.18472</t>
  </si>
  <si>
    <t>FO DT#MBF#DNCL28-DNTK16</t>
  </si>
  <si>
    <t>H03 - Đ1 E28</t>
  </si>
  <si>
    <t>717.46</t>
  </si>
  <si>
    <t>428.05</t>
  </si>
  <si>
    <t>16.014690</t>
  </si>
  <si>
    <t>108.200235</t>
  </si>
  <si>
    <t>289.41</t>
  </si>
  <si>
    <t>16.046088</t>
  </si>
  <si>
    <t>108.182130</t>
  </si>
  <si>
    <t>full_h04/TP Đà Nẵng/TP Đà Nẵng/Mạng cấp 2/Cấp 2 - Ring 2/Ring 2 - hiệu chỉnh - ok/H03 - Đ1 E28/hạ Thế</t>
  </si>
  <si>
    <t>Đà Nẵng#TTCMKV#Cẩm Lệ-DNCL48</t>
  </si>
  <si>
    <t>16.0188</t>
  </si>
  <si>
    <t>108.20392</t>
  </si>
  <si>
    <t>FO DT#MBF#DNCL28-DNCL48</t>
  </si>
  <si>
    <t>207.17</t>
  </si>
  <si>
    <t>9.05</t>
  </si>
  <si>
    <t>16.016858</t>
  </si>
  <si>
    <t>108.203554</t>
  </si>
  <si>
    <t>198.12</t>
  </si>
  <si>
    <t>16.017104</t>
  </si>
  <si>
    <t>108.204489</t>
  </si>
  <si>
    <t>Đà Nẵng#TTCMKV#Cẩm Lệ-DNCL26</t>
  </si>
  <si>
    <t>16.01664</t>
  </si>
  <si>
    <t>108.20834</t>
  </si>
  <si>
    <t>FO DT#MBF#DNCL26-DNCL28</t>
  </si>
  <si>
    <t>238.81</t>
  </si>
  <si>
    <t>229.77</t>
  </si>
  <si>
    <t>16.018496</t>
  </si>
  <si>
    <t>108.207394</t>
  </si>
  <si>
    <t>Đà Nẵng#TTCMKV#Cẩm Lệ-DNCL12</t>
  </si>
  <si>
    <t>16.006349</t>
  </si>
  <si>
    <t>108.1905407</t>
  </si>
  <si>
    <t>FO DT#MBF#DNCL28-DNCL12</t>
  </si>
  <si>
    <t>167.87</t>
  </si>
  <si>
    <t>165.72</t>
  </si>
  <si>
    <t>16.004993</t>
  </si>
  <si>
    <t>108.191183</t>
  </si>
  <si>
    <t>Đà Nẵng#TTCMKV#Cẩm Lệ-Đà Nẵng#CAX#Cẩm Lệ</t>
  </si>
  <si>
    <t>#MBF#DNCL28-DNCL30</t>
  </si>
  <si>
    <t>36.11</t>
  </si>
  <si>
    <t>Đà Nẵng#TTCMKV#TT1 Đà Nẵng-DNTK01</t>
  </si>
  <si>
    <t>16.05868</t>
  </si>
  <si>
    <t>108.2069</t>
  </si>
  <si>
    <t>FO DT#MBF#DNHC17-DNTK01</t>
  </si>
  <si>
    <t>490.06</t>
  </si>
  <si>
    <t>462.61</t>
  </si>
  <si>
    <t>16.059672</t>
  </si>
  <si>
    <t>108.211104</t>
  </si>
  <si>
    <t>Đà Nẵng#TTCMKV#TT1 Đà Nẵng-DNHC13</t>
  </si>
  <si>
    <t>16.05762</t>
  </si>
  <si>
    <t>108.2205</t>
  </si>
  <si>
    <t>FO DT#MBF#DNHC13-DNHC17</t>
  </si>
  <si>
    <t>420.32</t>
  </si>
  <si>
    <t>3.82</t>
  </si>
  <si>
    <t>16.077578</t>
  </si>
  <si>
    <t>108.219231</t>
  </si>
  <si>
    <t>416.50</t>
  </si>
  <si>
    <t>16.061254</t>
  </si>
  <si>
    <t>108.219557</t>
  </si>
  <si>
    <t>full_h04/TP Đà Nẵng/TP Đà Nẵng/Mạng cấp 3_ DN và Quảng Nam/Cấp 3 - Ring 2 - Đà Nẵng cũ/Hòa Vang - TT1 Đà Nẵng/Trung Thế Hòa Vang - TT1 Đà Nẵng  1</t>
  </si>
  <si>
    <t>Đà Nẵng#TTCMKV#TT1 Đà Nẵng-DNHC20</t>
  </si>
  <si>
    <t>16.0746</t>
  </si>
  <si>
    <t>108.20979</t>
  </si>
  <si>
    <t>FO DT#MBF#DNHC17-DNHC20</t>
  </si>
  <si>
    <t>222.10</t>
  </si>
  <si>
    <t>8.34</t>
  </si>
  <si>
    <t>16.077586</t>
  </si>
  <si>
    <t>108.219273</t>
  </si>
  <si>
    <t>213.76</t>
  </si>
  <si>
    <t>16.072687</t>
  </si>
  <si>
    <t>108.209984</t>
  </si>
  <si>
    <t>Đà Nẵng#TTCMKV#TT1 Đà Nẵng-DNTK12</t>
  </si>
  <si>
    <t>16.07002</t>
  </si>
  <si>
    <t>108.21181</t>
  </si>
  <si>
    <t>FO DT#MBF#DNTK12-DNHC17</t>
  </si>
  <si>
    <t>C08 - TTV2</t>
  </si>
  <si>
    <t>304.75</t>
  </si>
  <si>
    <t>158.28</t>
  </si>
  <si>
    <t>16.077041</t>
  </si>
  <si>
    <t>108.217821</t>
  </si>
  <si>
    <t>146.47</t>
  </si>
  <si>
    <t>16.071301</t>
  </si>
  <si>
    <t>108.211493</t>
  </si>
  <si>
    <t>full_h04/TP Đà Nẵng/TP Đà Nẵng/Mạng cấp 2/Cấp 2 - Ring 1 - Hiệu chỉnh/Ring 1/C08 - TTV2/Trung thế</t>
  </si>
  <si>
    <t>Đà Nẵng#TTCMKV#TT1 Đà Nẵng-DNTK05</t>
  </si>
  <si>
    <t>16.07057</t>
  </si>
  <si>
    <t>108.20532</t>
  </si>
  <si>
    <t>FO DT#MBF#DNHC17-DNTK05</t>
  </si>
  <si>
    <t>136.51</t>
  </si>
  <si>
    <t>6.64</t>
  </si>
  <si>
    <t>16.077612</t>
  </si>
  <si>
    <t>129.87</t>
  </si>
  <si>
    <t>16.071612</t>
  </si>
  <si>
    <t>108.204770</t>
  </si>
  <si>
    <t>Đà Nẵng#TTCMKV#TT1 Đà Nẵng-DNHC28</t>
  </si>
  <si>
    <t>16.076546</t>
  </si>
  <si>
    <t>108.2199</t>
  </si>
  <si>
    <t>FO DT#MBF#DNHC17-DNHC28</t>
  </si>
  <si>
    <t>37.57</t>
  </si>
  <si>
    <t>30.94</t>
  </si>
  <si>
    <t>16.076634</t>
  </si>
  <si>
    <t>108.219625</t>
  </si>
  <si>
    <t>Đà Nẵng#TTCMKV#TT1 Đà Nẵng-DNHC75</t>
  </si>
  <si>
    <t>16.08204</t>
  </si>
  <si>
    <t>108.21335</t>
  </si>
  <si>
    <t>FO DT#MBF#DNHC75-DNHC17</t>
  </si>
  <si>
    <t>336.26</t>
  </si>
  <si>
    <t>26.76</t>
  </si>
  <si>
    <t>16.077609</t>
  </si>
  <si>
    <t>108.219445</t>
  </si>
  <si>
    <t>309.50</t>
  </si>
  <si>
    <t>16.079284</t>
  </si>
  <si>
    <t>108.212947</t>
  </si>
  <si>
    <t>Đà Nẵng#TTCMKV#Hòa Vang-DNCL03</t>
  </si>
  <si>
    <t>16.009583</t>
  </si>
  <si>
    <t>108.174444</t>
  </si>
  <si>
    <t>FO DT#MBF#DNCL03-DNHV01</t>
  </si>
  <si>
    <t>1486.53</t>
  </si>
  <si>
    <t>245.92</t>
  </si>
  <si>
    <t>16.011703</t>
  </si>
  <si>
    <t>108.173788</t>
  </si>
  <si>
    <t>Đà Nẵng#TTCMKV#Hòa Vang-DNHW02</t>
  </si>
  <si>
    <t>16.10168</t>
  </si>
  <si>
    <t>108.09895</t>
  </si>
  <si>
    <t>FO DT#MBF#DNHV01-DNHW02</t>
  </si>
  <si>
    <t>Liên Chiểu - Hòa Vang</t>
  </si>
  <si>
    <t>8293.39</t>
  </si>
  <si>
    <t>13.23</t>
  </si>
  <si>
    <t>15.987992</t>
  </si>
  <si>
    <t>108.140253</t>
  </si>
  <si>
    <t>8280.15</t>
  </si>
  <si>
    <t>16.028785</t>
  </si>
  <si>
    <t>108.114780</t>
  </si>
  <si>
    <t>full_h04/TP Đà Nẵng/TP Đà Nẵng/Mạng cấp 3_ DN và Quảng Nam/Cấp 3 - Ring 2 - Đà Nẵng cũ/Liên Chiểu - Hòa Vang/Hạ Thế Liên Chiểu - Hòa Vang 1</t>
  </si>
  <si>
    <t>Đà Nẵng#TTCMKV#Hòa Vang-DNHV73</t>
  </si>
  <si>
    <t>16.01416</t>
  </si>
  <si>
    <t>108.1425</t>
  </si>
  <si>
    <t>FO DT#MBF#DNHV73-DNHV01</t>
  </si>
  <si>
    <t>1222.31</t>
  </si>
  <si>
    <t>1209.07</t>
  </si>
  <si>
    <t>16.005428</t>
  </si>
  <si>
    <t>108.135759</t>
  </si>
  <si>
    <t>Đà Nẵng#TTCMKV#Hòa Vang-DNHV44</t>
  </si>
  <si>
    <t>15.96325</t>
  </si>
  <si>
    <t>108.12164</t>
  </si>
  <si>
    <t>FO DT#MBF#DNHV01-DNHV44</t>
  </si>
  <si>
    <t>2295.56</t>
  </si>
  <si>
    <t>1707.29</t>
  </si>
  <si>
    <t>15.978596</t>
  </si>
  <si>
    <t>108.122163</t>
  </si>
  <si>
    <t>Đà Nẵng#TTCMKV#Hòa Vang-DNHV34</t>
  </si>
  <si>
    <t>15.99919</t>
  </si>
  <si>
    <t>108.12607</t>
  </si>
  <si>
    <t>FO DT#MBF#DNHV01-DNHV34</t>
  </si>
  <si>
    <t>945.44</t>
  </si>
  <si>
    <t>932.20</t>
  </si>
  <si>
    <t>16.007447</t>
  </si>
  <si>
    <t>108.127578</t>
  </si>
  <si>
    <t>Đà Nẵng#TTCMKV#Hòa Vang-DNHV13</t>
  </si>
  <si>
    <t>15.96875</t>
  </si>
  <si>
    <t>108.13869</t>
  </si>
  <si>
    <t>FO DT#MBF#DNHV13-DNHV01</t>
  </si>
  <si>
    <t>676.79</t>
  </si>
  <si>
    <t>88.53</t>
  </si>
  <si>
    <t>15.968469</t>
  </si>
  <si>
    <t>108.139465</t>
  </si>
  <si>
    <t>Đà Nẵng#TTCMKV#Hòa Vang-DNHV9A</t>
  </si>
  <si>
    <t>15.988117</t>
  </si>
  <si>
    <t>108.138945</t>
  </si>
  <si>
    <t>FO DT#MBF#DNHV9A-DNHV01</t>
  </si>
  <si>
    <t>Hòa Vang - Hòa Tiến</t>
  </si>
  <si>
    <t>135.38</t>
  </si>
  <si>
    <t>15.988111</t>
  </si>
  <si>
    <t>108.140200</t>
  </si>
  <si>
    <t>134.11</t>
  </si>
  <si>
    <t>full_h04/TP Đà Nẵng/TP Đà Nẵng/Mạng cấp 4 - ĐN cũ/Ring 4 - DN/Hòa Vang - Hòa Tiến/Cống bể xây mới</t>
  </si>
  <si>
    <t>Đà Nẵng#CAX#Hòa Tiến-DNNH12</t>
  </si>
  <si>
    <t>15.97039</t>
  </si>
  <si>
    <t>108.1807</t>
  </si>
  <si>
    <t>15.985639</t>
  </si>
  <si>
    <t>108.239806</t>
  </si>
  <si>
    <t>FO DT#MBF#DNNH12-DNHV04</t>
  </si>
  <si>
    <t>Hòa Tiến - Bà Nà</t>
  </si>
  <si>
    <t>5137.18</t>
  </si>
  <si>
    <t>28.03</t>
  </si>
  <si>
    <t>15.970610</t>
  </si>
  <si>
    <t>108.180829</t>
  </si>
  <si>
    <t>5109.15</t>
  </si>
  <si>
    <t>15.994001</t>
  </si>
  <si>
    <t>108.192807</t>
  </si>
  <si>
    <t>full_h04/TP Đà Nẵng/TP Đà Nẵng/Mạng cấp 4 - ĐN cũ/Ring 4 - DN/Hòa Tiến - Bà Nà/Trung thế</t>
  </si>
  <si>
    <t>Đà Nẵng#CAX#Hòa Tiến-DNCL92</t>
  </si>
  <si>
    <t>16.023908</t>
  </si>
  <si>
    <t>108.208655</t>
  </si>
  <si>
    <t>FO DT#MBF#DNHV04-DNCL92</t>
  </si>
  <si>
    <t>3469.92</t>
  </si>
  <si>
    <t>3441.89</t>
  </si>
  <si>
    <t>15.997654</t>
  </si>
  <si>
    <t>108.191596</t>
  </si>
  <si>
    <t>Đà Nẵng#CAX#Hòa Tiến-DNHV22</t>
  </si>
  <si>
    <t>15.98523</t>
  </si>
  <si>
    <t>108.18906</t>
  </si>
  <si>
    <t>FO DT#MBF#DNHV22-DNHV04</t>
  </si>
  <si>
    <t>114.03</t>
  </si>
  <si>
    <t>85.99</t>
  </si>
  <si>
    <t>15.985526</t>
  </si>
  <si>
    <t>108.188317</t>
  </si>
  <si>
    <t>Đà Nẵng#CAX#Hòa Tiến-DNHV29</t>
  </si>
  <si>
    <t>15.946556</t>
  </si>
  <si>
    <t>108.179833</t>
  </si>
  <si>
    <t>FO DT#MBF#DNHV29-DNHV04</t>
  </si>
  <si>
    <t>2648.70</t>
  </si>
  <si>
    <t>25.23</t>
  </si>
  <si>
    <t>15.970608</t>
  </si>
  <si>
    <t>108.180635</t>
  </si>
  <si>
    <t>2623.47</t>
  </si>
  <si>
    <t>15.970139</t>
  </si>
  <si>
    <t>108.180554</t>
  </si>
  <si>
    <t>full_h04/TP Đà Nẵng/TP Đà Nẵng/Mạng cấp 4 - ĐN cũ/Ring 4 - DN/Hòa Vang - Hòa Tiến/Cột trồng mới</t>
  </si>
  <si>
    <t>Đà Nẵng#CAX#Hòa Tiến-DNHV52</t>
  </si>
  <si>
    <t>15.97569</t>
  </si>
  <si>
    <t>108.1996</t>
  </si>
  <si>
    <t>FO DT#MBF#DNHV52-DNHV04</t>
  </si>
  <si>
    <t>1540.94</t>
  </si>
  <si>
    <t>1512.91</t>
  </si>
  <si>
    <t>15.979906</t>
  </si>
  <si>
    <t>108.186144</t>
  </si>
  <si>
    <t>Đà Nẵng#CAX#Hòa Tiến-DT-DN06</t>
  </si>
  <si>
    <t>FO DT#MBF#DT-DN06-DNHV04</t>
  </si>
  <si>
    <t>FO DT#MBF#DNCL92-DNHV04</t>
  </si>
  <si>
    <t>Đà Nẵng#TTCMKV#Liên Chiểu-DNHW02</t>
  </si>
  <si>
    <t>FO DT#MBF#DNHW02-DNLC15</t>
  </si>
  <si>
    <t>3335.25</t>
  </si>
  <si>
    <t>3307.94</t>
  </si>
  <si>
    <t>16.116260</t>
  </si>
  <si>
    <t>108.125941</t>
  </si>
  <si>
    <t>FO DT#MBF#DNLC15-DNTK31</t>
  </si>
  <si>
    <t>FO DT#MBF#DNLC07-DNLC15</t>
  </si>
  <si>
    <t>#MBF#DNLC1P-DNLC15</t>
  </si>
  <si>
    <t>Đà Nẵng#TTCMKV#Liên Chiểu-DNLC25</t>
  </si>
  <si>
    <t>16.07936</t>
  </si>
  <si>
    <t>108.15781</t>
  </si>
  <si>
    <t>FO DT#MBF#DNLC15-DNLC25</t>
  </si>
  <si>
    <t>366.88</t>
  </si>
  <si>
    <t>16.074251</t>
  </si>
  <si>
    <t>108.157936</t>
  </si>
  <si>
    <t>327.89</t>
  </si>
  <si>
    <t>16.076884</t>
  </si>
  <si>
    <t>108.159477</t>
  </si>
  <si>
    <t>full_h04/TP Đà Nẵng/TP Đà Nẵng/Mạng cấp 3_ DN và Quảng Nam/Cấp 3 - Ring 2 - Đà Nẵng cũ/TT1 Đà Nẵng - Liên Chiểu/Cống bể mới TT1 Đà Nẵng - Liên Chiểu</t>
  </si>
  <si>
    <t>Đà Nẵng#TTCMKV#Liên Chiểu-DNLC16</t>
  </si>
  <si>
    <t>16.07304</t>
  </si>
  <si>
    <t>108.15131</t>
  </si>
  <si>
    <t>FO DT#MBF#DNLC15-DNLC16</t>
  </si>
  <si>
    <t>278.69</t>
  </si>
  <si>
    <t>251.38</t>
  </si>
  <si>
    <t>16.075294</t>
  </si>
  <si>
    <t>108.151125</t>
  </si>
  <si>
    <t>Đà Nẵng#TTCMKV#Ngũ Hành Sơn-DNNH11</t>
  </si>
  <si>
    <t>16.04248</t>
  </si>
  <si>
    <t>108.24477</t>
  </si>
  <si>
    <t>FO DT#MBF#DNNH11-DNNH02</t>
  </si>
  <si>
    <t>125.49</t>
  </si>
  <si>
    <t>16.015794</t>
  </si>
  <si>
    <t>108.254242</t>
  </si>
  <si>
    <t>52.95</t>
  </si>
  <si>
    <t>Đà Nẵng#TTCMKV#Ngũ Hành Sơn-DNNH12</t>
  </si>
  <si>
    <t>FO DT#MBF#DNNH02-DNNH12</t>
  </si>
  <si>
    <t>1679.80</t>
  </si>
  <si>
    <t>23.38</t>
  </si>
  <si>
    <t>16.015270</t>
  </si>
  <si>
    <t>108.254587</t>
  </si>
  <si>
    <t>1656.42</t>
  </si>
  <si>
    <t>15.999196</t>
  </si>
  <si>
    <t>108.233384</t>
  </si>
  <si>
    <t>full_h04/TP Đà Nẵng/TP Đà Nẵng/Mạng cấp 4 - ĐN cũ/Ring 3 - DN/TTKV Ngũ Hành Sơn - Hòa Xuân/Ngầm VNPT</t>
  </si>
  <si>
    <t>Đà Nẵng#TTCMKV#Ngũ Hành Sơn-DNNH30</t>
  </si>
  <si>
    <t>15.9967</t>
  </si>
  <si>
    <t>108.26281</t>
  </si>
  <si>
    <t>FO DT#MBF#DNNH02-DNNH30</t>
  </si>
  <si>
    <t>35.39</t>
  </si>
  <si>
    <t>21.05</t>
  </si>
  <si>
    <t>15.996881</t>
  </si>
  <si>
    <t>108.262869</t>
  </si>
  <si>
    <t>Đà Nẵng#TTCMKV#Ngũ Hành Sơn-DNNH26</t>
  </si>
  <si>
    <t>16.01551</t>
  </si>
  <si>
    <t>108.25593</t>
  </si>
  <si>
    <t>FO DT#MBF#DNNH26-DNNH02</t>
  </si>
  <si>
    <t>120.29</t>
  </si>
  <si>
    <t>105.95</t>
  </si>
  <si>
    <t>16.015132</t>
  </si>
  <si>
    <t>108.255020</t>
  </si>
  <si>
    <t>Đà Nẵng#TTCMKV#Ngũ Hành Sơn-DNNH31</t>
  </si>
  <si>
    <t>16.0075</t>
  </si>
  <si>
    <t>108.25652</t>
  </si>
  <si>
    <t>FO DT#MBF#DNNH31-DNNH02</t>
  </si>
  <si>
    <t>245.67</t>
  </si>
  <si>
    <t>173.13</t>
  </si>
  <si>
    <t>16.008153</t>
  </si>
  <si>
    <t>108.257991</t>
  </si>
  <si>
    <t>Đà Nẵng#TTCMKV#Ngũ Hành Sơn-DNNH38</t>
  </si>
  <si>
    <t>16.01245</t>
  </si>
  <si>
    <t>108.2547</t>
  </si>
  <si>
    <t>FO DT#MBF#DNNH38-DNNH02</t>
  </si>
  <si>
    <t>188.33</t>
  </si>
  <si>
    <t>16.012621</t>
  </si>
  <si>
    <t>108.255769</t>
  </si>
  <si>
    <t>Đà Nẵng#TTCMKV#Ngũ Hành Sơn-DNNH1X</t>
  </si>
  <si>
    <t>15.998705</t>
  </si>
  <si>
    <t>108.255302</t>
  </si>
  <si>
    <t>FO DT#MBF#DNNH02-DNNH1X</t>
  </si>
  <si>
    <t>538.37</t>
  </si>
  <si>
    <t>524.03</t>
  </si>
  <si>
    <t>16.000471</t>
  </si>
  <si>
    <t>108.259847</t>
  </si>
  <si>
    <t>Đà Nẵng#TTCMKV#Sơn Trà-DNST18</t>
  </si>
  <si>
    <t>16.094028</t>
  </si>
  <si>
    <t>108.251083</t>
  </si>
  <si>
    <t>FO DT#MBF#DNST18-DNST87</t>
  </si>
  <si>
    <t>K01 (CS2) - Bệnh viện 199 - ok</t>
  </si>
  <si>
    <t>1731.73</t>
  </si>
  <si>
    <t>248.80</t>
  </si>
  <si>
    <t>16.068177</t>
  </si>
  <si>
    <t>108.232409</t>
  </si>
  <si>
    <t>1482.93</t>
  </si>
  <si>
    <t>16.086011</t>
  </si>
  <si>
    <t>108.239991</t>
  </si>
  <si>
    <t>full_h04/TP Đà Nẵng/TP Đà Nẵng/Mạng cấp 2/Cấp 2 - Ring 1 - Hiệu chỉnh/Ring 1/K01 (CS2) - Bệnh viện 199 - ok/Ngầm VNPT</t>
  </si>
  <si>
    <t>Đà Nẵng#TTCMKV#Sơn Trà-DNTK01</t>
  </si>
  <si>
    <t>FO DT#MBF#DNST87-DNTK01</t>
  </si>
  <si>
    <t>2017.40</t>
  </si>
  <si>
    <t>1554.78</t>
  </si>
  <si>
    <t>16.074739</t>
  </si>
  <si>
    <t>108.219873</t>
  </si>
  <si>
    <t>Đà Nẵng#TTCMKV#Sơn Trà-DNST15</t>
  </si>
  <si>
    <t>16.07939</t>
  </si>
  <si>
    <t>108.24348</t>
  </si>
  <si>
    <t>FO DT#MBF#DNST15-DNST87</t>
  </si>
  <si>
    <t>1073.37</t>
  </si>
  <si>
    <t>824.57</t>
  </si>
  <si>
    <t>16.082334</t>
  </si>
  <si>
    <t>108.236397</t>
  </si>
  <si>
    <t>Đà Nẵng#TTCMKV#Sơn Trà-DNST47</t>
  </si>
  <si>
    <t>16.06756</t>
  </si>
  <si>
    <t>108.24014</t>
  </si>
  <si>
    <t>FO DT#MBF#DNST47-DNST87</t>
  </si>
  <si>
    <t>493.53</t>
  </si>
  <si>
    <t>285.27</t>
  </si>
  <si>
    <t>Đà Nẵng#TTCMKV#Sơn Trà-DNST25</t>
  </si>
  <si>
    <t>16.06104</t>
  </si>
  <si>
    <t>108.24428</t>
  </si>
  <si>
    <t>FO DT#MBF#DNST87-DNST25</t>
  </si>
  <si>
    <t>796.60</t>
  </si>
  <si>
    <t>617.65</t>
  </si>
  <si>
    <t>16.065455</t>
  </si>
  <si>
    <t>108.236769</t>
  </si>
  <si>
    <t>178.95</t>
  </si>
  <si>
    <t>16.060064</t>
  </si>
  <si>
    <t>108.245611</t>
  </si>
  <si>
    <t>FO DT#MBF#DNST87-DNST28</t>
  </si>
  <si>
    <t>Đà Nẵng#TTCMKV#Sơn Trà-DNST2H</t>
  </si>
  <si>
    <t>16.06717</t>
  </si>
  <si>
    <t>108.24618</t>
  </si>
  <si>
    <t>FO DT#MBF#DNST2H-DNST87</t>
  </si>
  <si>
    <t>829.54</t>
  </si>
  <si>
    <t>621.28</t>
  </si>
  <si>
    <t>Quảng Nam#TTCMKV#Điện Bàn-QAQS05</t>
  </si>
  <si>
    <t>15.88756</t>
  </si>
  <si>
    <t>108.254</t>
  </si>
  <si>
    <t>FO DT#MBF#QADB15-QAQS05</t>
  </si>
  <si>
    <t>6347.58</t>
  </si>
  <si>
    <t>6069.45</t>
  </si>
  <si>
    <t>15.839861</t>
  </si>
  <si>
    <t>108.281587</t>
  </si>
  <si>
    <t>278.13</t>
  </si>
  <si>
    <t>15.787193</t>
  </si>
  <si>
    <t>108.323618</t>
  </si>
  <si>
    <t>Quảng Nam#TTCMKV#Điện Bàn-QADB04</t>
  </si>
  <si>
    <t>15.88972</t>
  </si>
  <si>
    <t>108.18124</t>
  </si>
  <si>
    <t>FO DT#MBF#QADB15-QADB04</t>
  </si>
  <si>
    <t>Điện Bàn - Điện Bàn Tây</t>
  </si>
  <si>
    <t>1753.20</t>
  </si>
  <si>
    <t>1505.28</t>
  </si>
  <si>
    <t>15.888445</t>
  </si>
  <si>
    <t>108.239955</t>
  </si>
  <si>
    <t>247.93</t>
  </si>
  <si>
    <t>15.888390</t>
  </si>
  <si>
    <t>108.179380</t>
  </si>
  <si>
    <t>full_h04/TP Đà Nẵng/TP Đà Nẵng/Mạng cấp 4 - Quảng Nam/Quảng Nam - Ring 2/Điện Bàn - Điện Bàn Tây/trung thế 2</t>
  </si>
  <si>
    <t>Quảng Nam#TTCMKV#Điện Bàn-Quảng Nam#CAX#An Thắng</t>
  </si>
  <si>
    <t>15.92015</t>
  </si>
  <si>
    <t>108.2215</t>
  </si>
  <si>
    <t>#MBF#QADB15-QADB08</t>
  </si>
  <si>
    <t>TTCMKV Điện Bàn - An Thắng</t>
  </si>
  <si>
    <t>312.47</t>
  </si>
  <si>
    <t>294.45</t>
  </si>
  <si>
    <t>15.889352</t>
  </si>
  <si>
    <t>108.256027</t>
  </si>
  <si>
    <t>18.02</t>
  </si>
  <si>
    <t>15.919997</t>
  </si>
  <si>
    <t>108.221555</t>
  </si>
  <si>
    <t>full_h04/TP Đà Nẵng/TP Đà Nẵng/Mạng cấp 4 - Quảng Nam/Quảng Nam - Ring 1/TTCMKV Điện Bàn - An Thắng/trung thế</t>
  </si>
  <si>
    <t>Quảng Nam#TTCMKV#Điện Bàn-QADB07</t>
  </si>
  <si>
    <t>15.88473</t>
  </si>
  <si>
    <t>108.22689</t>
  </si>
  <si>
    <t>FO DT#MBF#QADB15-QADB07</t>
  </si>
  <si>
    <t>1566.06</t>
  </si>
  <si>
    <t>60.78</t>
  </si>
  <si>
    <t>15.884274</t>
  </si>
  <si>
    <t>108.226576</t>
  </si>
  <si>
    <t>Quảng Nam#TTCMKV#Điện Bàn-QADX12</t>
  </si>
  <si>
    <t>15.85308</t>
  </si>
  <si>
    <t>108.27552</t>
  </si>
  <si>
    <t>FO DT#MBF#QADB15-QADX12</t>
  </si>
  <si>
    <t>TTCMKV Điện Bàn - Nam Phước</t>
  </si>
  <si>
    <t>13.57</t>
  </si>
  <si>
    <t>15.887679</t>
  </si>
  <si>
    <t>108.254028</t>
  </si>
  <si>
    <t>1488.43</t>
  </si>
  <si>
    <t>15.865550</t>
  </si>
  <si>
    <t>108.270460</t>
  </si>
  <si>
    <t>full_h04/TP Đà Nẵng/TP Đà Nẵng/Mạng cấp 4 - Quảng Nam/Quảng Nam - Ring 7_them E28/Quảng Nam - Ring 7 - ok/TTCMKV Điện Bàn - Nam Phước/trung thế 1</t>
  </si>
  <si>
    <t>Quảng Nam#TTCMKV#Điện Bàn-QADB13</t>
  </si>
  <si>
    <t>15.86851</t>
  </si>
  <si>
    <t>108.26307</t>
  </si>
  <si>
    <t>FO DT#MBF#QADB15-QADB13</t>
  </si>
  <si>
    <t>39.02</t>
  </si>
  <si>
    <t>25.45</t>
  </si>
  <si>
    <t>15.868352</t>
  </si>
  <si>
    <t>108.263243</t>
  </si>
  <si>
    <t>Quảng Nam#TTCMKV#Điện Bàn-QADB85</t>
  </si>
  <si>
    <t>15.878183</t>
  </si>
  <si>
    <t>108.264772</t>
  </si>
  <si>
    <t>FO DT#MBF#QADB85-QADB15</t>
  </si>
  <si>
    <t>1118.85</t>
  </si>
  <si>
    <t>1105.28</t>
  </si>
  <si>
    <t>Quảng Nam#TTCMKV#Điện Bàn-QADB01</t>
  </si>
  <si>
    <t>15.88926</t>
  </si>
  <si>
    <t>108.2494</t>
  </si>
  <si>
    <t>FO DT#MBF#QADB01-QADB15</t>
  </si>
  <si>
    <t>354.28</t>
  </si>
  <si>
    <t>15.886761</t>
  </si>
  <si>
    <t>108.251258</t>
  </si>
  <si>
    <t>47.90</t>
  </si>
  <si>
    <t>15.888949</t>
  </si>
  <si>
    <t>108.249090</t>
  </si>
  <si>
    <t>Quảng Nam#TTCMKV#Điện Bàn-QADB39</t>
  </si>
  <si>
    <t>15.8773</t>
  </si>
  <si>
    <t>108.23961</t>
  </si>
  <si>
    <t>FO DT#MBF#QADB39-QADB15</t>
  </si>
  <si>
    <t>1338.63</t>
  </si>
  <si>
    <t>69.79</t>
  </si>
  <si>
    <t>15.887834</t>
  </si>
  <si>
    <t>108.253413</t>
  </si>
  <si>
    <t>1268.84</t>
  </si>
  <si>
    <t>15.884628</t>
  </si>
  <si>
    <t>108.248704</t>
  </si>
  <si>
    <t>full_h04/TP Đà Nẵng/TP Đà Nẵng/Mạng cấp 4 - Quảng Nam/Quảng Nam - Ring 2/Điện Bàn - Điện Bàn Tây/hạ thế 1</t>
  </si>
  <si>
    <t>Quảng Nam#TTCMKV#Đại Lộc-QADB04</t>
  </si>
  <si>
    <t>15.88297</t>
  </si>
  <si>
    <t>108.1158</t>
  </si>
  <si>
    <t>FO DT#MBF#QADB04-QADLMA01</t>
  </si>
  <si>
    <t>3949.71</t>
  </si>
  <si>
    <t>3701.29</t>
  </si>
  <si>
    <t>15.888811</t>
  </si>
  <si>
    <t>108.149871</t>
  </si>
  <si>
    <t>248.42</t>
  </si>
  <si>
    <t>15.888381</t>
  </si>
  <si>
    <t>full_h04/TP Đà Nẵng/TP Đà Nẵng/Mạng cấp 4 - Quảng Nam/Quảng Nam - Ring 2/Điện Bàn - Điện Bàn Tây/hạ thế 4</t>
  </si>
  <si>
    <t>Quảng Nam#TTCMKV#Đại Lộc-Quảng Nam#TTCMKV#Duy Xuyên</t>
  </si>
  <si>
    <t>15.82266</t>
  </si>
  <si>
    <t>108.2464</t>
  </si>
  <si>
    <t>#MBF#QADLMA01-QADX04</t>
  </si>
  <si>
    <t>3133.76</t>
  </si>
  <si>
    <t>3081.84</t>
  </si>
  <si>
    <t>15.855328</t>
  </si>
  <si>
    <t>108.113702</t>
  </si>
  <si>
    <t>51.92</t>
  </si>
  <si>
    <t>Quảng Nam#TTCMKV#Đại Lộc-QADL19</t>
  </si>
  <si>
    <t>15.90587</t>
  </si>
  <si>
    <t>108.12176</t>
  </si>
  <si>
    <t>FO DT#MBF#QADL19-QADLMA01</t>
  </si>
  <si>
    <t>578.62</t>
  </si>
  <si>
    <t>27.76</t>
  </si>
  <si>
    <t>15.882748</t>
  </si>
  <si>
    <t>108.115681</t>
  </si>
  <si>
    <t>550.86</t>
  </si>
  <si>
    <t>15.906772</t>
  </si>
  <si>
    <t>108.126825</t>
  </si>
  <si>
    <t>Quảng Nam#TTCMKV#Đại Lộc-QADL11</t>
  </si>
  <si>
    <t>15.87941</t>
  </si>
  <si>
    <t>108.07823</t>
  </si>
  <si>
    <t>FO DT#MBF#QADLMA01-QADL11</t>
  </si>
  <si>
    <t>Đại Lộc - Phước Sơn</t>
  </si>
  <si>
    <t>743.31</t>
  </si>
  <si>
    <t>576.69</t>
  </si>
  <si>
    <t>15.882273</t>
  </si>
  <si>
    <t>108.110457</t>
  </si>
  <si>
    <t>15.878144</t>
  </si>
  <si>
    <t>108.077396</t>
  </si>
  <si>
    <t>full_h04/TP Đà Nẵng/TP Đà Nẵng/Mạng cấp 3_ DN và Quảng Nam/Cấp 3 - Ring 3 - Quảng Nam cũ/Đại Lộc - Phước Sơn_ring 3_ cấp 3.kmz/Đại Lộc - Phước Sơn/trung thế 1</t>
  </si>
  <si>
    <t>Quảng Nam#TTCMKV#Đại Lộc-QADL14</t>
  </si>
  <si>
    <t>15.8789</t>
  </si>
  <si>
    <t>108.1048</t>
  </si>
  <si>
    <t>FO DT#MBF#QADLMA01-QADL14</t>
  </si>
  <si>
    <t>634.18</t>
  </si>
  <si>
    <t>57.49</t>
  </si>
  <si>
    <t>15.878699</t>
  </si>
  <si>
    <t>108.105295</t>
  </si>
  <si>
    <t>Quảng Nam#TTCMKV#Đại Lộc-QADL31</t>
  </si>
  <si>
    <t>15.87734</t>
  </si>
  <si>
    <t>108.0925</t>
  </si>
  <si>
    <t>FO DT#MBF#QADLMA01-QADL31</t>
  </si>
  <si>
    <t>TTCMKV Đại Lộc - Hà Nha</t>
  </si>
  <si>
    <t>840.34</t>
  </si>
  <si>
    <t>578.28</t>
  </si>
  <si>
    <t>15.882272</t>
  </si>
  <si>
    <t>108.110442</t>
  </si>
  <si>
    <t>262.07</t>
  </si>
  <si>
    <t>15.875380</t>
  </si>
  <si>
    <t>108.091140</t>
  </si>
  <si>
    <t>full_h04/TP Đà Nẵng/TP Đà Nẵng/Mạng cấp 4 - Quảng Nam/Quảng Nam - Ring 5_fix.kmz/Quảng Nam - Ring 5 - ok/TTCMKV Đại Lộc - Hà Nha/trung thế 1</t>
  </si>
  <si>
    <t>Quảng Nam#TTCMKV#Đại Lộc-QADL22</t>
  </si>
  <si>
    <t>15.8754236</t>
  </si>
  <si>
    <t>108.126505</t>
  </si>
  <si>
    <t>FO DT#MBF#QADL22-QADLMA01</t>
  </si>
  <si>
    <t>Đại Lộc - Thu Bồn</t>
  </si>
  <si>
    <t>704.32</t>
  </si>
  <si>
    <t>36.07</t>
  </si>
  <si>
    <t>15.882703</t>
  </si>
  <si>
    <t>108.115991</t>
  </si>
  <si>
    <t>668.25</t>
  </si>
  <si>
    <t>15.878918</t>
  </si>
  <si>
    <t>108.121422</t>
  </si>
  <si>
    <t>full_h04/TP Đà Nẵng/TP Đà Nẵng/Mạng cấp 4 - Quảng Nam/Quảng Nam - Ring 3/Đại Lộc - Thu Bồn/trung thế 1</t>
  </si>
  <si>
    <t>Quảng Nam#TTCMKV#Đại Lộc-QADL37</t>
  </si>
  <si>
    <t>15.86699</t>
  </si>
  <si>
    <t>108.1138</t>
  </si>
  <si>
    <t>FO DT#MBF#QADLMA01-QADL37</t>
  </si>
  <si>
    <t>858.93</t>
  </si>
  <si>
    <t>822.86</t>
  </si>
  <si>
    <t>15.868013</t>
  </si>
  <si>
    <t>108.121419</t>
  </si>
  <si>
    <t>Quảng Nam#TTCMKV#Đại Lộc-QADL67</t>
  </si>
  <si>
    <t>15.884982</t>
  </si>
  <si>
    <t>108.116816</t>
  </si>
  <si>
    <t>FO DT#MBF#QADL67-QADLMA01</t>
  </si>
  <si>
    <t>253.54</t>
  </si>
  <si>
    <t>4.24</t>
  </si>
  <si>
    <t>15.882982</t>
  </si>
  <si>
    <t>108.115762</t>
  </si>
  <si>
    <t>249.30</t>
  </si>
  <si>
    <t>full_h04/TP Đà Nẵng/TP Đà Nẵng/Mạng cấp 4 - Quảng Nam/Quảng Nam - Ring 3/Đại Lộc - Thu Bồn/trồng mới 1</t>
  </si>
  <si>
    <t>Quảng Nam#TTCMKV#Đại Lộc-QADL01</t>
  </si>
  <si>
    <t>15.88424</t>
  </si>
  <si>
    <t>108.1116</t>
  </si>
  <si>
    <t>FO DT#MBF#QADL01-QADLMA01</t>
  </si>
  <si>
    <t>311.29</t>
  </si>
  <si>
    <t>152.30</t>
  </si>
  <si>
    <t>15.882797</t>
  </si>
  <si>
    <t>108.114387</t>
  </si>
  <si>
    <t>158.99</t>
  </si>
  <si>
    <t>15.882905</t>
  </si>
  <si>
    <t>108.112134</t>
  </si>
  <si>
    <t>full_h04/TP Đà Nẵng/TP Đà Nẵng/Mạng cấp 4 - Quảng Nam/Quảng Nam - Ring 5_fix.kmz/Quảng Nam - Ring 5 - ok/TTCMKV Đại Lộc - Hà Nha/ngầm mới 1</t>
  </si>
  <si>
    <t>Quảng Nam#TTCMKV#Duy Xuyên-Quảng Nam#TTCMKV#Đại Lộc</t>
  </si>
  <si>
    <t>Quảng Nam#TTCMKV#Duy Xuyên-QAQS06</t>
  </si>
  <si>
    <t>15.82296</t>
  </si>
  <si>
    <t>108.29238</t>
  </si>
  <si>
    <t>FO DT#MBF#QADX04-QAQS06</t>
  </si>
  <si>
    <t>"Đội CSĐT (X. Duy Nghĩa, Duyên Xuyên) -
TTCMKV Duy Xuyên"</t>
  </si>
  <si>
    <t>866.41</t>
  </si>
  <si>
    <t>39.62</t>
  </si>
  <si>
    <t>15.822771</t>
  </si>
  <si>
    <t>108.246752</t>
  </si>
  <si>
    <t>826.79</t>
  </si>
  <si>
    <t>15.830395</t>
  </si>
  <si>
    <t>108.292408</t>
  </si>
  <si>
    <t>full_h04/TP Đà Nẵng/TP Đà Nẵng/Mạng cấp 3_ DN và Quảng Nam/Ring Nhánh/"Đội CSĐT (X. Duy Nghĩa, Duyên Xuyên) -
TTCMKV Duy Xuyên"/Trung thế</t>
  </si>
  <si>
    <t>Quảng Nam#TTCMKV#Duy Xuyên-QADX03</t>
  </si>
  <si>
    <t>15.83824</t>
  </si>
  <si>
    <t>108.14389</t>
  </si>
  <si>
    <t>FO DT#MBF#QADX03-QADX04</t>
  </si>
  <si>
    <t>200.43</t>
  </si>
  <si>
    <t>15.836906</t>
  </si>
  <si>
    <t>108.143949</t>
  </si>
  <si>
    <t>Quảng Nam#TTCMKV#Duy Xuyên-QADX34</t>
  </si>
  <si>
    <t>15.82321</t>
  </si>
  <si>
    <t>108.2002</t>
  </si>
  <si>
    <t>FO DT#MBF#QADX34-QADX04</t>
  </si>
  <si>
    <t>759.63</t>
  </si>
  <si>
    <t>707.71</t>
  </si>
  <si>
    <t>15.829068</t>
  </si>
  <si>
    <t>108.202787</t>
  </si>
  <si>
    <t>Quảng Nam#TTCMKV#Duy Xuyên-Quảng Nam#CAX#Thu Bồn</t>
  </si>
  <si>
    <t>#MBF#QADX19-QADX04</t>
  </si>
  <si>
    <t>Phú Thuận - Duy Xuyên</t>
  </si>
  <si>
    <t>799.31</t>
  </si>
  <si>
    <t>15.822854</t>
  </si>
  <si>
    <t>108.246860</t>
  </si>
  <si>
    <t>745.60</t>
  </si>
  <si>
    <t>15.836685</t>
  </si>
  <si>
    <t>108.124303</t>
  </si>
  <si>
    <t>full_h04/TP Đà Nẵng/TP Đà Nẵng/Mạng cấp 4 - Quảng Nam/Quảng Nam - Ring 6_fix.kmz/Quảng Nam - Ring 6/Phú Thuận - Duy Xuyên/trung thế 7</t>
  </si>
  <si>
    <t>Quảng Nam#TTCMKV#Duy Xuyên-QADB54</t>
  </si>
  <si>
    <t>15.85333</t>
  </si>
  <si>
    <t>108.19631</t>
  </si>
  <si>
    <t>FO DT#MBF#QADX04-QADB54</t>
  </si>
  <si>
    <t>2543.68</t>
  </si>
  <si>
    <t>2491.76</t>
  </si>
  <si>
    <t>15.830925</t>
  </si>
  <si>
    <t>108.195851</t>
  </si>
  <si>
    <t>Quảng Nam#TTCMKV#Duy Xuyên-QADX24</t>
  </si>
  <si>
    <t>15.82483</t>
  </si>
  <si>
    <t>108.23177</t>
  </si>
  <si>
    <t>FO DT#MBF#QADX04-QADX24</t>
  </si>
  <si>
    <t>238.93</t>
  </si>
  <si>
    <t>185.23</t>
  </si>
  <si>
    <t>15.826288</t>
  </si>
  <si>
    <t>108.232608</t>
  </si>
  <si>
    <t>Quảng Nam#TTCMKV#Duy Xuyên-QADX50</t>
  </si>
  <si>
    <t>15.80961</t>
  </si>
  <si>
    <t>108.21095</t>
  </si>
  <si>
    <t>FO DT#MBF#QADX04-QADX50</t>
  </si>
  <si>
    <t>2279.56</t>
  </si>
  <si>
    <t>2227.63</t>
  </si>
  <si>
    <t>15.828367</t>
  </si>
  <si>
    <t>108.218264</t>
  </si>
  <si>
    <t>Quảng Nam#TTCMKV#Duy Xuyên-QADX63</t>
  </si>
  <si>
    <t>15.83456</t>
  </si>
  <si>
    <t>108.23333</t>
  </si>
  <si>
    <t>FO DT#MBF#QADX63-QADX04</t>
  </si>
  <si>
    <t>955.02</t>
  </si>
  <si>
    <t>903.10</t>
  </si>
  <si>
    <t>15.826549</t>
  </si>
  <si>
    <t>108.231941</t>
  </si>
  <si>
    <t>Quảng Nam#TTCMKV#Duy Xuyên-QADX61</t>
  </si>
  <si>
    <t>15.83011</t>
  </si>
  <si>
    <t>108.18051</t>
  </si>
  <si>
    <t>FO DT#MBF#QADX61-QADX04</t>
  </si>
  <si>
    <t>357.17</t>
  </si>
  <si>
    <t>305.25</t>
  </si>
  <si>
    <t>15.827369</t>
  </si>
  <si>
    <t>108.180673</t>
  </si>
  <si>
    <t>Quảng Nam#TTCMKV#Hội An-QAHA02</t>
  </si>
  <si>
    <t>FO DT#MBF#QAHA02-QAHA06</t>
  </si>
  <si>
    <t>1430.15</t>
  </si>
  <si>
    <t>50.89</t>
  </si>
  <si>
    <t>15.881015</t>
  </si>
  <si>
    <t>108.332280</t>
  </si>
  <si>
    <t>Quảng Nam#TTCMKV#Hội An-QADB46</t>
  </si>
  <si>
    <t>15.89361</t>
  </si>
  <si>
    <t>108.24381</t>
  </si>
  <si>
    <t>FO DT#MBF#QAHA06-QADB46</t>
  </si>
  <si>
    <t>1430.12</t>
  </si>
  <si>
    <t>1399.76</t>
  </si>
  <si>
    <t>15.889308</t>
  </si>
  <si>
    <t>108.256110</t>
  </si>
  <si>
    <t>Quảng Nam#TTCMKV#Hội An-QAHA41</t>
  </si>
  <si>
    <t>FO DT#MBF#QAHA06-QAHA41</t>
  </si>
  <si>
    <t>Quảng Nam#CAX#Núi Thành-QANT03</t>
  </si>
  <si>
    <t>15.46107301</t>
  </si>
  <si>
    <t>108.603811</t>
  </si>
  <si>
    <t>FO DT#MBF#QANT03-QANT01</t>
  </si>
  <si>
    <t>151.55</t>
  </si>
  <si>
    <t>35.22</t>
  </si>
  <si>
    <t>15.432839</t>
  </si>
  <si>
    <t>108.660348</t>
  </si>
  <si>
    <t>116.34</t>
  </si>
  <si>
    <t>15.460558</t>
  </si>
  <si>
    <t>108.602866</t>
  </si>
  <si>
    <t>full_h04/TP Đà Nẵng/TP Đà Nẵng/Mạng cấp 4 - Quảng Nam/Quảng Nam - Ring 15/Tam Anh - Núi Thành/Trung thế</t>
  </si>
  <si>
    <t>Quảng Nam#CAX#Núi Thành-QATK71</t>
  </si>
  <si>
    <t>FO DT#MBF#QANT01-QATK71</t>
  </si>
  <si>
    <t>11891.46</t>
  </si>
  <si>
    <t>8872.81</t>
  </si>
  <si>
    <t>15.446864</t>
  </si>
  <si>
    <t>108.578954</t>
  </si>
  <si>
    <t>3018.65</t>
  </si>
  <si>
    <t>15.553322</t>
  </si>
  <si>
    <t>108.481654</t>
  </si>
  <si>
    <t>Quảng Nam#CAX#Núi Thành-QANT38</t>
  </si>
  <si>
    <t>15.43534</t>
  </si>
  <si>
    <t>108.65253</t>
  </si>
  <si>
    <t>FO DT#MBF#QANT38-QANT01</t>
  </si>
  <si>
    <t>326.87</t>
  </si>
  <si>
    <t>291.66</t>
  </si>
  <si>
    <t>15.432786</t>
  </si>
  <si>
    <t>108.651911</t>
  </si>
  <si>
    <t>Quảng Nam#CAX#Núi Thành-QANT14</t>
  </si>
  <si>
    <t>15.4479</t>
  </si>
  <si>
    <t>108.683</t>
  </si>
  <si>
    <t>FO DT#MBF#QANT14-QANT01</t>
  </si>
  <si>
    <t>2923.33</t>
  </si>
  <si>
    <t>2919.42</t>
  </si>
  <si>
    <t>Quảng Nam#CAX#Núi Thành-QANT31</t>
  </si>
  <si>
    <t>15.4334047</t>
  </si>
  <si>
    <t>108.68669</t>
  </si>
  <si>
    <t>FO DT#MBF#QANT01-QANT31</t>
  </si>
  <si>
    <t>2814.25</t>
  </si>
  <si>
    <t>2810.34</t>
  </si>
  <si>
    <t>Quảng Nam#CAX#Núi Thành-QANT53</t>
  </si>
  <si>
    <t>15.40065</t>
  </si>
  <si>
    <t>108.68678</t>
  </si>
  <si>
    <t>FO DT#MBF#QANT01-QANT53</t>
  </si>
  <si>
    <t>4574.96</t>
  </si>
  <si>
    <t>4571.05</t>
  </si>
  <si>
    <t>Quảng Nam#TTCMKV#Thăng Bình-QAQS05</t>
  </si>
  <si>
    <t>FO DT#MBF#QAQS05-QATB_newsite 2</t>
  </si>
  <si>
    <t>895.37</t>
  </si>
  <si>
    <t>82.15</t>
  </si>
  <si>
    <t>15.788897</t>
  </si>
  <si>
    <t>108.321879</t>
  </si>
  <si>
    <t>Quảng Nam#TTCMKV#Thăng Bình-QATB03</t>
  </si>
  <si>
    <t>FO DT#MBF#QATB_newsite 2-QATB03</t>
  </si>
  <si>
    <t>4729.40</t>
  </si>
  <si>
    <t>3665.60</t>
  </si>
  <si>
    <t>15.759016</t>
  </si>
  <si>
    <t>108.393829</t>
  </si>
  <si>
    <t>Quảng Nam#TTCMKV#Thăng Bình-CHGD huyện Thăng Bình</t>
  </si>
  <si>
    <t>FO DT#MBF#CHGD huyện Thăng Bình-QATB_newsite 2</t>
  </si>
  <si>
    <t>Quảng Nam#TTCMKV#Thăng Bình-QATB43</t>
  </si>
  <si>
    <t>15.74392</t>
  </si>
  <si>
    <t>108.3542</t>
  </si>
  <si>
    <t>FO DT#MBF#QATB43-QATB_newsite 2</t>
  </si>
  <si>
    <t>899.30</t>
  </si>
  <si>
    <t>4.69</t>
  </si>
  <si>
    <t>15.735824</t>
  </si>
  <si>
    <t>108.351744</t>
  </si>
  <si>
    <t>894.61</t>
  </si>
  <si>
    <t>15.736126</t>
  </si>
  <si>
    <t>108.352128</t>
  </si>
  <si>
    <t>full_h04/TP Đà Nẵng/TP Đà Nẵng/Mạng cấp 3_ DN và Quảng Nam/Cấp 3 - Ring 4 - Quảng Nam cũ/Thăng Bình - Quế Sơn/Đoạn nhập CA Thăng Bình</t>
  </si>
  <si>
    <t>FO DT#MBF#QATB03-QATB35</t>
  </si>
  <si>
    <t>Quảng Nam#CAX#Thăng Trường-QATKMA01</t>
  </si>
  <si>
    <t>FO DT#MBF#QATB35-QATKMA01</t>
  </si>
  <si>
    <t>Quảng Nam#CAX#Thăng Trường-QATB12</t>
  </si>
  <si>
    <t>15.68838</t>
  </si>
  <si>
    <t>108.48233</t>
  </si>
  <si>
    <t>FO DT#MBF#QATB12-QATB35</t>
  </si>
  <si>
    <t>4102.84</t>
  </si>
  <si>
    <t>9.00</t>
  </si>
  <si>
    <t>15.650879</t>
  </si>
  <si>
    <t>108.485607</t>
  </si>
  <si>
    <t>4093.84</t>
  </si>
  <si>
    <t>15.651888</t>
  </si>
  <si>
    <t>108.487395</t>
  </si>
  <si>
    <t>full_h04/TP Đà Nẵng/TP Đà Nẵng/Mạng cấp 4 - Quảng Nam/Quảng Nam - Ring 12/Quảng Nam - Ring 12_fix.kmz/Quảng Nam - Ring 12 - ok/Thăng Trường - Quảng Phú/hạ thế 1</t>
  </si>
  <si>
    <t>Quảng Nam#CAX#Thăng Trường-QATK62</t>
  </si>
  <si>
    <t>15.6370667</t>
  </si>
  <si>
    <t>108.5156807</t>
  </si>
  <si>
    <t>FO DT#MBF#QATB35-QATK62</t>
  </si>
  <si>
    <t>2608.59</t>
  </si>
  <si>
    <t>1745.63</t>
  </si>
  <si>
    <t>15.658691</t>
  </si>
  <si>
    <t>108.499790</t>
  </si>
  <si>
    <t>862.96</t>
  </si>
  <si>
    <t>15.643542</t>
  </si>
  <si>
    <t>108.511238</t>
  </si>
  <si>
    <t>full_h04/TP Đà Nẵng/TP Đà Nẵng/Mạng cấp 4 - Quảng Nam/Quảng Nam - Ring 12/Quảng Nam - Ring 12_fix.kmz/Quảng Nam - Ring 12 - ok/Thăng Trường - Quảng Phú/trung thế 2</t>
  </si>
  <si>
    <t>Quảng Nam#CAX#Thăng Trường-MX QATKMA01-QADX35 hướng cầu Bình Nam</t>
  </si>
  <si>
    <t>FO DT#MBF#MX QATKMA01-QADX35 hướng cầu Bình Nam-QATB35</t>
  </si>
  <si>
    <t>Quảng Nam#CAX#Thăng Trường-QADX35 hướng cầu Tỉnh Thủy</t>
  </si>
  <si>
    <t>FO DT#MBF#QATB35-MX QATKMA01-QADX35 hướng cầu Tỉnh Thủy</t>
  </si>
  <si>
    <t>Quảng Nam#CAX#Thăng Điền-QAQS06</t>
  </si>
  <si>
    <t>FO DT#MBF#QAQS06-QATB31</t>
  </si>
  <si>
    <t>12173.80</t>
  </si>
  <si>
    <t>11603.84</t>
  </si>
  <si>
    <t>FO DT#MBF#QATB31-QATK71</t>
  </si>
  <si>
    <t>FO DT#MBF#QATB1B-QATB31</t>
  </si>
  <si>
    <t>Đà Nẵng#Phòng#PC07-DNHC92</t>
  </si>
  <si>
    <t>16.036997</t>
  </si>
  <si>
    <t>108.215225</t>
  </si>
  <si>
    <t>FO DT#MBF#DNHC92-DNCL08</t>
  </si>
  <si>
    <t>201.40</t>
  </si>
  <si>
    <t>163.66</t>
  </si>
  <si>
    <t>16.035915</t>
  </si>
  <si>
    <t>108.214187</t>
  </si>
  <si>
    <t>Đà Nẵng#Phòng#PC07-DNHC49</t>
  </si>
  <si>
    <t>16.03479</t>
  </si>
  <si>
    <t>108.21748</t>
  </si>
  <si>
    <t>FO DT#MBF#DNHC49-DNCL08</t>
  </si>
  <si>
    <t>392.31</t>
  </si>
  <si>
    <t>354.57</t>
  </si>
  <si>
    <t>16.033328</t>
  </si>
  <si>
    <t>108.214531</t>
  </si>
  <si>
    <t>Đà Nẵng#Phòng#PC07-DNCL09</t>
  </si>
  <si>
    <t>FO DT#MBF#DNCL08-DNCL09</t>
  </si>
  <si>
    <t>PC07 - PX04</t>
  </si>
  <si>
    <t>114.96</t>
  </si>
  <si>
    <t>39.99</t>
  </si>
  <si>
    <t>16.035855</t>
  </si>
  <si>
    <t>108.212668</t>
  </si>
  <si>
    <t>74.97</t>
  </si>
  <si>
    <t>16.036910</t>
  </si>
  <si>
    <t>108.209838</t>
  </si>
  <si>
    <t>full_h04/TP Đà Nẵng/TP Đà Nẵng/Mạng cấp 3_ DN và Quảng Nam/Phòng - Ring 1 ( ĐN )4.kmz/Phòng - Ring 1 ( ĐN )/PC07 - PX04/Trung Thế 1</t>
  </si>
  <si>
    <t>Đà Nẵng#CAX#Cẩm Lệ-DNCL80</t>
  </si>
  <si>
    <t>16.00525</t>
  </si>
  <si>
    <t>108.1979</t>
  </si>
  <si>
    <t>FO DT#MBF#DNCL80-DNCL30</t>
  </si>
  <si>
    <t>694.83</t>
  </si>
  <si>
    <t>660.88</t>
  </si>
  <si>
    <t>16.007458</t>
  </si>
  <si>
    <t>108.192159</t>
  </si>
  <si>
    <t>Đà Nẵng#CAX#Cẩm Lệ-Đà Nẵng#TTCMKV#Cẩm Lệ</t>
  </si>
  <si>
    <t>Đà Nẵng#CAX#Cẩm Lệ-DNCL18</t>
  </si>
  <si>
    <t>16.02548</t>
  </si>
  <si>
    <t>108.20952</t>
  </si>
  <si>
    <t>FO DT#MBF#DNCL18-DNCL30</t>
  </si>
  <si>
    <t>672.37</t>
  </si>
  <si>
    <t>36.42</t>
  </si>
  <si>
    <t>16.011546</t>
  </si>
  <si>
    <t>108.197452</t>
  </si>
  <si>
    <t>635.96</t>
  </si>
  <si>
    <t>16.019794</t>
  </si>
  <si>
    <t>108.210158</t>
  </si>
  <si>
    <t>full_h04/TP Đà Nẵng/TP Đà Nẵng/Mạng cấp 4 - ĐN cũ/Ring 2 -DN/Ngũ Hành Sơn - Cẩm Lệ/Trung thế</t>
  </si>
  <si>
    <t>Đà Nẵng#Phòng#PC08-DNCL58</t>
  </si>
  <si>
    <t>16.01059</t>
  </si>
  <si>
    <t>108.22422</t>
  </si>
  <si>
    <t>FO DT#MBF#DNCL58-DNCL56</t>
  </si>
  <si>
    <t>688.74</t>
  </si>
  <si>
    <t>670.62</t>
  </si>
  <si>
    <t>Đà Nẵng#Phòng#PC08-DNCL47</t>
  </si>
  <si>
    <t>16.0032</t>
  </si>
  <si>
    <t>108.22732</t>
  </si>
  <si>
    <t>FO DT#MBF#DNCL56-DNCL47</t>
  </si>
  <si>
    <t>795.77</t>
  </si>
  <si>
    <t>702.61</t>
  </si>
  <si>
    <t>16.004119</t>
  </si>
  <si>
    <t>108.223106</t>
  </si>
  <si>
    <t>93.15</t>
  </si>
  <si>
    <t>16.002381</t>
  </si>
  <si>
    <t>108.227505</t>
  </si>
  <si>
    <t>Đà Nẵng#Phòng#PC08-DNNH18</t>
  </si>
  <si>
    <t>15.99568</t>
  </si>
  <si>
    <t>108.23896</t>
  </si>
  <si>
    <t>FO DT#MBF#DNNH18-DNCL56</t>
  </si>
  <si>
    <t>1109.73</t>
  </si>
  <si>
    <t>706.37</t>
  </si>
  <si>
    <t>16.004256</t>
  </si>
  <si>
    <t>108.223238</t>
  </si>
  <si>
    <t>403.36</t>
  </si>
  <si>
    <t>15.993741</t>
  </si>
  <si>
    <t>108.235771</t>
  </si>
  <si>
    <t>full_h04/TP Đà Nẵng/TP Đà Nẵng/Mạng cấp 2/Cấp 2 - Ring 3/C09 - A06 (CS3).kmz/C09 - A06/C09 - A06_Cống bể VNPT</t>
  </si>
  <si>
    <t>Đà Nẵng#Phòng#PC08-DNCL24</t>
  </si>
  <si>
    <t>16.00206</t>
  </si>
  <si>
    <t>108.21279</t>
  </si>
  <si>
    <t>FO DT#MBF#DNCL56-DNCL24</t>
  </si>
  <si>
    <t>Trạm CSGT Hòa Nhơn - PC08</t>
  </si>
  <si>
    <t>328.06</t>
  </si>
  <si>
    <t>3.42</t>
  </si>
  <si>
    <t>16.007584</t>
  </si>
  <si>
    <t>108.217628</t>
  </si>
  <si>
    <t>324.64</t>
  </si>
  <si>
    <t>16.004862</t>
  </si>
  <si>
    <t>108.211937</t>
  </si>
  <si>
    <t>full_h04/TP Đà Nẵng/TP Đà Nẵng/Mạng cấp 3_ DN và Quảng Nam/Phòng - Ring 1 ( ĐN )4.kmz/Phòng - Ring 1 ( ĐN )/Trạm CSGT Hòa Nhơn - PC08/Trung thế 2</t>
  </si>
  <si>
    <t>Đà Nẵng#Phòng#PA06-Phan Chu Trinh</t>
  </si>
  <si>
    <t>FO DT#MBF#DNHC02-MX Lê Hồng Phong-Phan Chu Trinh</t>
  </si>
  <si>
    <t>Đà Nẵng#Phòng#PA06-MX Yên Bái – Nguyễn Thái Học</t>
  </si>
  <si>
    <t>FO DT#MBF#MX Yên Bái – Nguyễn Thái Học-DNHC02</t>
  </si>
  <si>
    <t>FO DT#MBF#DNHC23-DNHC02</t>
  </si>
  <si>
    <t>FO DT#MBF#DNHC16-DNHC02</t>
  </si>
  <si>
    <t>Đà Nẵng#Phòng#PA06-DNHC2S</t>
  </si>
  <si>
    <t>16.0654959</t>
  </si>
  <si>
    <t>108.2234554</t>
  </si>
  <si>
    <t>FO DT#MBF#DNHC02-DNHC2S</t>
  </si>
  <si>
    <t>90.06</t>
  </si>
  <si>
    <t>73.36</t>
  </si>
  <si>
    <t>Đà Nẵng#CAX#Hải Châu-DNHC79</t>
  </si>
  <si>
    <t>16.08083</t>
  </si>
  <si>
    <t>108.22337</t>
  </si>
  <si>
    <t>FO DT#MBF#DNHC79-DNHC24</t>
  </si>
  <si>
    <t>245.68</t>
  </si>
  <si>
    <t>2.80</t>
  </si>
  <si>
    <t>16.078945</t>
  </si>
  <si>
    <t>108.222221</t>
  </si>
  <si>
    <t>242.88</t>
  </si>
  <si>
    <t>full_h04/TP Đà Nẵng/TP Đà Nẵng/Mạng cấp 4 - ĐN cũ/Ring 7 - DN/TT1 Đà Nẵng - Hải Châu/Hạ thế</t>
  </si>
  <si>
    <t>Đà Nẵng#CAX#Hải Châu-DNHC75</t>
  </si>
  <si>
    <t>FO DT#MBF#DNHC24-DNHC75</t>
  </si>
  <si>
    <t>639.96</t>
  </si>
  <si>
    <t>330.46</t>
  </si>
  <si>
    <t>Đà Nẵng#CAX#Hải Châu-DNHC13</t>
  </si>
  <si>
    <t>FO DT#MBF#DNHC13-DNHC24</t>
  </si>
  <si>
    <t>747.73</t>
  </si>
  <si>
    <t>331.23</t>
  </si>
  <si>
    <t>16.077589</t>
  </si>
  <si>
    <t>108.219448</t>
  </si>
  <si>
    <t>Đà Nẵng#CAX#Hải Châu-DNHC60</t>
  </si>
  <si>
    <t>16.08183</t>
  </si>
  <si>
    <t>108.22022</t>
  </si>
  <si>
    <t>FO DT#MBF#DNHC60-DNHC24</t>
  </si>
  <si>
    <t>TTV 2 - K01 (CS2) - ok</t>
  </si>
  <si>
    <t>343.98</t>
  </si>
  <si>
    <t>267.55</t>
  </si>
  <si>
    <t>16.081336</t>
  </si>
  <si>
    <t>108.221802</t>
  </si>
  <si>
    <t>76.43</t>
  </si>
  <si>
    <t>16.081187</t>
  </si>
  <si>
    <t>108.219967</t>
  </si>
  <si>
    <t>full_h04/TP Đà Nẵng/TP Đà Nẵng/Mạng cấp 2/Cấp 2 - Ring 1 - Hiệu chỉnh/Ring 1/TTV 2 - K01 (CS2) - ok/Trung Thế</t>
  </si>
  <si>
    <t>Đà Nẵng#CAX#Hòa Cường-DNHC61</t>
  </si>
  <si>
    <t>16.04153</t>
  </si>
  <si>
    <t>108.21908</t>
  </si>
  <si>
    <t>FO DT#MBF#DNHC46-DNHC61</t>
  </si>
  <si>
    <t>494.42</t>
  </si>
  <si>
    <t>487.29</t>
  </si>
  <si>
    <t>16.039113</t>
  </si>
  <si>
    <t>108.215276</t>
  </si>
  <si>
    <t>Đà Nẵng#CAX#Hòa Cường-DNHC30</t>
  </si>
  <si>
    <t>16.0415</t>
  </si>
  <si>
    <t>108.21228</t>
  </si>
  <si>
    <t>FO DT#MBF#DNHC30-DNHC46</t>
  </si>
  <si>
    <t>309.78</t>
  </si>
  <si>
    <t>302.64</t>
  </si>
  <si>
    <t>16.039200</t>
  </si>
  <si>
    <t>108.213795</t>
  </si>
  <si>
    <t>Đà Nẵng#Phòng#Đồn Công an cảng hàng không (Sân bay Đà Nẵng)-DNHC05</t>
  </si>
  <si>
    <t>16.04609</t>
  </si>
  <si>
    <t>108.21013</t>
  </si>
  <si>
    <t>FO DT#MBF#DNHC54-DNHC05</t>
  </si>
  <si>
    <t>547.77</t>
  </si>
  <si>
    <t>540.55</t>
  </si>
  <si>
    <t>16.050824</t>
  </si>
  <si>
    <t>108.208978</t>
  </si>
  <si>
    <t>Đà Nẵng#Phòng#Đồn Công an cảng hàng không (Sân bay Đà Nẵng)-DNHC34</t>
  </si>
  <si>
    <t>16.05341</t>
  </si>
  <si>
    <t>108.206081</t>
  </si>
  <si>
    <t>FO DT#MBF#DNHC54-DNHC34</t>
  </si>
  <si>
    <t>309.84</t>
  </si>
  <si>
    <t>302.62</t>
  </si>
  <si>
    <t>Đà Nẵng#Phòng#PX04-DNTK17</t>
  </si>
  <si>
    <t>16.06706</t>
  </si>
  <si>
    <t>108.2201</t>
  </si>
  <si>
    <t>16.06821</t>
  </si>
  <si>
    <t>108.21302</t>
  </si>
  <si>
    <t>FO DT#MBF#DNTK17-DNHC77</t>
  </si>
  <si>
    <t>600.85</t>
  </si>
  <si>
    <t>291.87</t>
  </si>
  <si>
    <t>16.068057</t>
  </si>
  <si>
    <t>108.217573</t>
  </si>
  <si>
    <t>308.98</t>
  </si>
  <si>
    <t>Đà Nẵng#Phòng#PX04-DNHC01</t>
  </si>
  <si>
    <t>16.06398</t>
  </si>
  <si>
    <t>108.2142</t>
  </si>
  <si>
    <t>FO DT#MBF#DNHC01-DNHC77</t>
  </si>
  <si>
    <t>558.03</t>
  </si>
  <si>
    <t>266.16</t>
  </si>
  <si>
    <t>16.064010</t>
  </si>
  <si>
    <t>108.216691</t>
  </si>
  <si>
    <t>Đà Nẵng#CAX#Hòa Xuân-DNHV52</t>
  </si>
  <si>
    <t>FO DT#MBF#DNHV12-DNHV52</t>
  </si>
  <si>
    <t>1134.09</t>
  </si>
  <si>
    <t>1130.40</t>
  </si>
  <si>
    <t>Đà Nẵng#CAX#Hòa Xuân-DNNH12</t>
  </si>
  <si>
    <t>FO DT#MBF#DNNH12-DNHV12</t>
  </si>
  <si>
    <t>2650.34</t>
  </si>
  <si>
    <t>2646.66</t>
  </si>
  <si>
    <t>16.002027</t>
  </si>
  <si>
    <t>108.221849</t>
  </si>
  <si>
    <t>Đà Nẵng#Phòng#Trại giam CATP-DNHW03</t>
  </si>
  <si>
    <t>16.06129</t>
  </si>
  <si>
    <t>108.10001</t>
  </si>
  <si>
    <t>FO DT#MBF#DNHW03-DNHW22</t>
  </si>
  <si>
    <t>Trại giam CATP - Trạm CSGT Hòa Nhơn</t>
  </si>
  <si>
    <t>78.28</t>
  </si>
  <si>
    <t>13.44</t>
  </si>
  <si>
    <t>16.077966</t>
  </si>
  <si>
    <t>108.114974</t>
  </si>
  <si>
    <t>64.84</t>
  </si>
  <si>
    <t>16.061855</t>
  </si>
  <si>
    <t>108.099862</t>
  </si>
  <si>
    <t>full_h04/TP Đà Nẵng/TP Đà Nẵng/Mạng cấp 3_ DN và Quảng Nam/Phòng - Ring 1 ( ĐN )4.kmz/Phòng - Ring 1 ( ĐN )/Trại giam CATP - Trạm CSGT Hòa Nhơn/Trung thế 1</t>
  </si>
  <si>
    <t>Đà Nẵng#Phòng#Trại giam CATP-DNHW06</t>
  </si>
  <si>
    <t>16.08476</t>
  </si>
  <si>
    <t>108.09725</t>
  </si>
  <si>
    <t>FO DT#MBF#DNHW22-DNHW06</t>
  </si>
  <si>
    <t>1886.83</t>
  </si>
  <si>
    <t>1270.84</t>
  </si>
  <si>
    <t>16.073209</t>
  </si>
  <si>
    <t>108.104287</t>
  </si>
  <si>
    <t>616.00</t>
  </si>
  <si>
    <t>16.079285</t>
  </si>
  <si>
    <t>108.098132</t>
  </si>
  <si>
    <t>full_h04/TP Đà Nẵng/TP Đà Nẵng/Mạng cấp 3_ DN và Quảng Nam/Ring Nhánh/"Cơ sở cai nghiện (X. Hòa Bắc, Hòa Vang) -
TTCMKV Hòa Vang"/Trung thế 2</t>
  </si>
  <si>
    <t>Đà Nẵng#CAX#Hòa Khánh-DNTK31</t>
  </si>
  <si>
    <t>16.06367</t>
  </si>
  <si>
    <t>108.1573</t>
  </si>
  <si>
    <t>FO DT#MBF#DNLC02-DNTK31</t>
  </si>
  <si>
    <t>1776.98</t>
  </si>
  <si>
    <t>1745.72</t>
  </si>
  <si>
    <t>16.076751</t>
  </si>
  <si>
    <t>108.166334</t>
  </si>
  <si>
    <t>Đà Nẵng#CAX#Hòa Khánh-DNLC18</t>
  </si>
  <si>
    <t>16.06392</t>
  </si>
  <si>
    <t>108.15302</t>
  </si>
  <si>
    <t>FO DT#MBF#DNLC18-DNLC02</t>
  </si>
  <si>
    <t>TTCMKV Liên Chiểu-Hòa Khánh</t>
  </si>
  <si>
    <t>263.72</t>
  </si>
  <si>
    <t>14.24</t>
  </si>
  <si>
    <t>16.063764</t>
  </si>
  <si>
    <t>108.157391</t>
  </si>
  <si>
    <t>249.49</t>
  </si>
  <si>
    <t>16.065524</t>
  </si>
  <si>
    <t>108.154652</t>
  </si>
  <si>
    <t>full_h04/TP Đà Nẵng/TP Đà Nẵng/Mạng cấp 4 - ĐN cũ/Ring 6 - DN/TTCMKV Liên Chiểu-Hòa Khánh/Cống bể VNPT</t>
  </si>
  <si>
    <t>Đà Nẵng#CAX#Hòa Khánh-21DN013</t>
  </si>
  <si>
    <t>FO DT#MBF#21DN013-DNLC02</t>
  </si>
  <si>
    <t>Đà Nẵng#Phòng#PK02-DNLC55</t>
  </si>
  <si>
    <t>16.04903</t>
  </si>
  <si>
    <t>108.14654</t>
  </si>
  <si>
    <t>FO DT#MBF#DNLC06-DNLC55</t>
  </si>
  <si>
    <t>778.79</t>
  </si>
  <si>
    <t>730.71</t>
  </si>
  <si>
    <t>16.053222</t>
  </si>
  <si>
    <t>108.156038</t>
  </si>
  <si>
    <t>48.08</t>
  </si>
  <si>
    <t>16.048704</t>
  </si>
  <si>
    <t>108.146836</t>
  </si>
  <si>
    <t>full_h04/TP Đà Nẵng/TP Đà Nẵng/Mạng cấp 3_ DN và Quảng Nam/Cấp 3 - Ring 2 - Đà Nẵng cũ/Liên Chiểu - Hòa Vang/cống bể Liên Chiểu - Hòa Vang 5</t>
  </si>
  <si>
    <t>Đà Nẵng#Phòng#PK02-DNLC82</t>
  </si>
  <si>
    <t>16.04909</t>
  </si>
  <si>
    <t>108.15778</t>
  </si>
  <si>
    <t>FO DT#MBF#DNLC82-DNLC06</t>
  </si>
  <si>
    <t>80.86</t>
  </si>
  <si>
    <t>47.50</t>
  </si>
  <si>
    <t>16.048882</t>
  </si>
  <si>
    <t>108.158168</t>
  </si>
  <si>
    <t>FO DT#MBF#DNLC06-DNLC21</t>
  </si>
  <si>
    <t>FO DT#MBF#DNCL31-DNLC06</t>
  </si>
  <si>
    <t>Đà Nẵng#Phòng#PK02-DNLC1Y</t>
  </si>
  <si>
    <t>16.041847</t>
  </si>
  <si>
    <t>108.148335</t>
  </si>
  <si>
    <t>FO DT#MBF#DNLC1Y-DNLC06</t>
  </si>
  <si>
    <t>Trại giam CATP - PK02</t>
  </si>
  <si>
    <t>1122.18</t>
  </si>
  <si>
    <t>16.046562</t>
  </si>
  <si>
    <t>108.157310</t>
  </si>
  <si>
    <t>1093.01</t>
  </si>
  <si>
    <t>full_h04/TP Đà Nẵng/TP Đà Nẵng/Mạng cấp 3_ DN và Quảng Nam/Phòng - Ring 3 (ĐN ).kmz/Phòng - Ring 3 (ĐN )/Trại giam CATP - PK02/Trại giam CATP - PK02_hạ thế 1</t>
  </si>
  <si>
    <t>FO DT#MBF#DNHW23-DNLC11</t>
  </si>
  <si>
    <t>#MBF#DNLC11-DNLC22</t>
  </si>
  <si>
    <t>Đà Nẵng#CAX#Liên Chiểu-DNLC1W</t>
  </si>
  <si>
    <t>16.084881</t>
  </si>
  <si>
    <t>108.149884</t>
  </si>
  <si>
    <t>FO DT#MBF#DNLC1W-DNLC1P</t>
  </si>
  <si>
    <t>605.01</t>
  </si>
  <si>
    <t>492.71</t>
  </si>
  <si>
    <t>16.081017</t>
  </si>
  <si>
    <t>108.146484</t>
  </si>
  <si>
    <t>112.31</t>
  </si>
  <si>
    <t>16.084243</t>
  </si>
  <si>
    <t>108.150699</t>
  </si>
  <si>
    <t>Đà Nẵng#CAX#Hải Vân-DNLC50</t>
  </si>
  <si>
    <t>16.10666</t>
  </si>
  <si>
    <t>108.13393</t>
  </si>
  <si>
    <t>FO DT#MBF#DNLC22-DNLC50</t>
  </si>
  <si>
    <t>177.02</t>
  </si>
  <si>
    <t>162.41</t>
  </si>
  <si>
    <t>16.105843</t>
  </si>
  <si>
    <t>108.132670</t>
  </si>
  <si>
    <t>FO DT#MBF#DNLC22-DNLC13</t>
  </si>
  <si>
    <t>Đà Nẵng#CAX#Ngũ Hành Sơn-DNNH39</t>
  </si>
  <si>
    <t>16.04533</t>
  </si>
  <si>
    <t>108.24728</t>
  </si>
  <si>
    <t>FO DT#MBF#DNNH39-DNNH59</t>
  </si>
  <si>
    <t>366.33</t>
  </si>
  <si>
    <t>315.35</t>
  </si>
  <si>
    <t>16.043773</t>
  </si>
  <si>
    <t>108.244814</t>
  </si>
  <si>
    <t>Đà Nẵng#CAX#Ngũ Hành Sơn-DNNH11</t>
  </si>
  <si>
    <t>FO DT#MBF#DNNH11-DNNH59</t>
  </si>
  <si>
    <t>103.93</t>
  </si>
  <si>
    <t>Đà Nẵng#CAX#Ngũ Hành Sơn-DNNH09</t>
  </si>
  <si>
    <t>16.027659</t>
  </si>
  <si>
    <t>108.254858</t>
  </si>
  <si>
    <t>FO DT#MBF#DNNH59-DNNH09</t>
  </si>
  <si>
    <t>711.92</t>
  </si>
  <si>
    <t>660.94</t>
  </si>
  <si>
    <t>16.026435</t>
  </si>
  <si>
    <t>108.248806</t>
  </si>
  <si>
    <t>Đà Nẵng#CAX#Ngũ Hành Sơn-22DN042</t>
  </si>
  <si>
    <t>FO DT#MBF#22DN042-DNNH59</t>
  </si>
  <si>
    <t>Đà Nẵng#CAX#Sơn Trà-DNST1W</t>
  </si>
  <si>
    <t>16.08304</t>
  </si>
  <si>
    <t>108.2291</t>
  </si>
  <si>
    <t>16.08027</t>
  </si>
  <si>
    <t>108.23138</t>
  </si>
  <si>
    <t>FO DT#MBF#DNST1W-DNST12</t>
  </si>
  <si>
    <t>45.28</t>
  </si>
  <si>
    <t>22.93</t>
  </si>
  <si>
    <t>16.082997</t>
  </si>
  <si>
    <t>108.229310</t>
  </si>
  <si>
    <t>22.35</t>
  </si>
  <si>
    <t>16.080313</t>
  </si>
  <si>
    <t>108.231584</t>
  </si>
  <si>
    <t>full_h04/TP Đà Nẵng/TP Đà Nẵng/Mạng cấp 4 - ĐN cũ/Ring 1 -DN/An Hải - Sơn Trà/Trung thế</t>
  </si>
  <si>
    <t>Đà Nẵng#CAX#Sơn Trà-DNST27</t>
  </si>
  <si>
    <t>16.07834</t>
  </si>
  <si>
    <t>108.22934</t>
  </si>
  <si>
    <t>FO DT#MBF#DNST27-DNST12</t>
  </si>
  <si>
    <t>Sơn Trà - TT1 Đà Nẵng - check ngầm</t>
  </si>
  <si>
    <t>85.23</t>
  </si>
  <si>
    <t>12.83</t>
  </si>
  <si>
    <t>16.082982</t>
  </si>
  <si>
    <t>108.228996</t>
  </si>
  <si>
    <t>72.39</t>
  </si>
  <si>
    <t>16.078888</t>
  </si>
  <si>
    <t>108.228974</t>
  </si>
  <si>
    <t>full_h04/TP Đà Nẵng/TP Đà Nẵng/Mạng cấp 4 - ĐN cũ/Ring 1 -DN/Sơn Trà - TT1 Đà Nẵng - check ngầm/Cống bể VNPT</t>
  </si>
  <si>
    <t>Đà Nẵng#CAX#Sơn Trà-DNST01</t>
  </si>
  <si>
    <t>16.0804063</t>
  </si>
  <si>
    <t>108.2359264</t>
  </si>
  <si>
    <t>FO DT#MBF#DNST01-DNST12</t>
  </si>
  <si>
    <t>398.28</t>
  </si>
  <si>
    <t>375.36</t>
  </si>
  <si>
    <t>16.078872</t>
  </si>
  <si>
    <t>108.232797</t>
  </si>
  <si>
    <t>Đà Nẵng#CAX#Sơn Trà-DNST42</t>
  </si>
  <si>
    <t>16.08566</t>
  </si>
  <si>
    <t>108.23013</t>
  </si>
  <si>
    <t>FO DT#MBF#DNST12-DNST42</t>
  </si>
  <si>
    <t>297.76</t>
  </si>
  <si>
    <t>2.32</t>
  </si>
  <si>
    <t>16.083035</t>
  </si>
  <si>
    <t>108.229079</t>
  </si>
  <si>
    <t>295.44</t>
  </si>
  <si>
    <t>16.083126</t>
  </si>
  <si>
    <t>108.229298</t>
  </si>
  <si>
    <t>full_h04/TP Đà Nẵng/TP Đà Nẵng/Mạng cấp 4 - ĐN cũ/Ring 1 -DN/An Hải - Sơn Trà/Trồng mới</t>
  </si>
  <si>
    <t>Đà Nẵng#CAX#An Khê-DNCL20</t>
  </si>
  <si>
    <t>16.05333</t>
  </si>
  <si>
    <t>108.17861</t>
  </si>
  <si>
    <t>FO DT#MBF#DNCL20-DNTK08</t>
  </si>
  <si>
    <t>449.92</t>
  </si>
  <si>
    <t>443.51</t>
  </si>
  <si>
    <t>16.056746</t>
  </si>
  <si>
    <t>108.180753</t>
  </si>
  <si>
    <t>Đà Nẵng#CAX#An Khê-DNCL04</t>
  </si>
  <si>
    <t>16.05701</t>
  </si>
  <si>
    <t>108.17522</t>
  </si>
  <si>
    <t>FO DT#MBF#DNCL04-DNTK08</t>
  </si>
  <si>
    <t>558.79</t>
  </si>
  <si>
    <t>552.39</t>
  </si>
  <si>
    <t>16.058513</t>
  </si>
  <si>
    <t>108.180147</t>
  </si>
  <si>
    <t>Đà Nẵng#CAX#An Khê-DNTK26</t>
  </si>
  <si>
    <t>16.05043</t>
  </si>
  <si>
    <t>108.18414</t>
  </si>
  <si>
    <t>FO DT#MBF#DNTK08-DNTK26</t>
  </si>
  <si>
    <t>786.67</t>
  </si>
  <si>
    <t>4.51</t>
  </si>
  <si>
    <t>16.057228</t>
  </si>
  <si>
    <t>108.181516</t>
  </si>
  <si>
    <t>782.16</t>
  </si>
  <si>
    <t>16.057034</t>
  </si>
  <si>
    <t>108.181619</t>
  </si>
  <si>
    <t>Đà Nẵng#CAX#Thanh Khê-DNTK62</t>
  </si>
  <si>
    <t>16.07248</t>
  </si>
  <si>
    <t>108.19066</t>
  </si>
  <si>
    <t>FO DT#MBF#DNTK10-DNTK62</t>
  </si>
  <si>
    <t>191.85</t>
  </si>
  <si>
    <t>180.97</t>
  </si>
  <si>
    <t>16.071201</t>
  </si>
  <si>
    <t>108.191708</t>
  </si>
  <si>
    <t>Đà Nẵng#CAX#Thanh Khê-DNTK58</t>
  </si>
  <si>
    <t>16.07334</t>
  </si>
  <si>
    <t>108.1857</t>
  </si>
  <si>
    <t>FO DT#MBF#DNTK58-DNTK10</t>
  </si>
  <si>
    <t>226.88</t>
  </si>
  <si>
    <t>31.69</t>
  </si>
  <si>
    <t>16.073625</t>
  </si>
  <si>
    <t>108.185683</t>
  </si>
  <si>
    <t>FO DT#MBF#DNTK13-DNTK10</t>
  </si>
  <si>
    <t>FO DT#MBF#DNTK14-DNTK10</t>
  </si>
  <si>
    <t>Quảng Nam#CAX#Điện Bàn Đông-QADB57</t>
  </si>
  <si>
    <t>15.946625</t>
  </si>
  <si>
    <t>108.255544</t>
  </si>
  <si>
    <t>FO DT#MBF#QADB57-QADB02</t>
  </si>
  <si>
    <t>274.68</t>
  </si>
  <si>
    <t>273.26</t>
  </si>
  <si>
    <t>Quảng Nam#CAX#An Thắng-Quảng Nam#TTCMKV#Điện Bàn</t>
  </si>
  <si>
    <t>Quảng Nam#CAX#An Thắng-QADB73</t>
  </si>
  <si>
    <t>15.93896</t>
  </si>
  <si>
    <t>108.20789</t>
  </si>
  <si>
    <t>FO DT#MBF#QADB08-QADB73</t>
  </si>
  <si>
    <t>2005.71</t>
  </si>
  <si>
    <t>1342.73</t>
  </si>
  <si>
    <t>15.932121</t>
  </si>
  <si>
    <t>108.223150</t>
  </si>
  <si>
    <t>662.98</t>
  </si>
  <si>
    <t>15.933014</t>
  </si>
  <si>
    <t>108.208342</t>
  </si>
  <si>
    <t>full_h04/TP Đà Nẵng/TP Đà Nẵng/Mạng cấp 4 - Quảng Nam/Quảng Nam - Ring 2/Điện Bàn Bắc - TTCMKV Hội An/trung thế 1</t>
  </si>
  <si>
    <t>Quảng Nam#CAX#Điện Bàn Bắc-QADB04</t>
  </si>
  <si>
    <t>15.92376</t>
  </si>
  <si>
    <t>FO DT#MBF#QADB04-QADB52</t>
  </si>
  <si>
    <t>Điện Bàn Tây - Điện Bàn Bắc</t>
  </si>
  <si>
    <t>3162.64</t>
  </si>
  <si>
    <t>40.38</t>
  </si>
  <si>
    <t>15.923459</t>
  </si>
  <si>
    <t>108.157512</t>
  </si>
  <si>
    <t>3122.25</t>
  </si>
  <si>
    <t>15.909742</t>
  </si>
  <si>
    <t>108.160770</t>
  </si>
  <si>
    <t>full_h04/TP Đà Nẵng/TP Đà Nẵng/Mạng cấp 4 - Quảng Nam/Quảng Nam - Ring 2/Điện Bàn Tây - Điện Bàn Bắc/hạ thế 2</t>
  </si>
  <si>
    <t>Quảng Nam#CAX#Điện Bàn Bắc-QADL09</t>
  </si>
  <si>
    <t>15.92042</t>
  </si>
  <si>
    <t>108.1326</t>
  </si>
  <si>
    <t>FO DT#MBF#QADB52-QADL09</t>
  </si>
  <si>
    <t>2587.93</t>
  </si>
  <si>
    <t>2547.55</t>
  </si>
  <si>
    <t>15.921165</t>
  </si>
  <si>
    <t>108.156412</t>
  </si>
  <si>
    <t>Quảng Nam#CAX#Điện Bàn Bắc-QADB17</t>
  </si>
  <si>
    <t>15.92097</t>
  </si>
  <si>
    <t>108.15602</t>
  </si>
  <si>
    <t>FO DT#MBF#QADB17-QADB52</t>
  </si>
  <si>
    <t>87.58</t>
  </si>
  <si>
    <t>47.20</t>
  </si>
  <si>
    <t>Quảng Nam#CAX#Vu Gia-QADL34</t>
  </si>
  <si>
    <t>15.84647</t>
  </si>
  <si>
    <t>108.0867</t>
  </si>
  <si>
    <t>15.8488</t>
  </si>
  <si>
    <t>107.94628</t>
  </si>
  <si>
    <t>FO DT#MBF#QADL34-QADL15</t>
  </si>
  <si>
    <t>863.95</t>
  </si>
  <si>
    <t>556.94</t>
  </si>
  <si>
    <t>15.846783</t>
  </si>
  <si>
    <t>108.091896</t>
  </si>
  <si>
    <t>307.02</t>
  </si>
  <si>
    <t>15.851334</t>
  </si>
  <si>
    <t>107.945141</t>
  </si>
  <si>
    <t>Quảng Nam#CAX#Vu Gia-QADX34</t>
  </si>
  <si>
    <t>FO DT#MBF#QADL15-QADX34</t>
  </si>
  <si>
    <t>1264.65</t>
  </si>
  <si>
    <t>Quảng Nam#CAX#Vu Gia-QADL32</t>
  </si>
  <si>
    <t>15.83759</t>
  </si>
  <si>
    <t>108.10099</t>
  </si>
  <si>
    <t>FO DT#MBF#QADL32-QADL15</t>
  </si>
  <si>
    <t>TTCMKV Đại Lộc - Vu Gia</t>
  </si>
  <si>
    <t>1160.95</t>
  </si>
  <si>
    <t>54.34</t>
  </si>
  <si>
    <t>15.846954</t>
  </si>
  <si>
    <t>108.086629</t>
  </si>
  <si>
    <t>1106.61</t>
  </si>
  <si>
    <t>15.846134</t>
  </si>
  <si>
    <t>108.106295</t>
  </si>
  <si>
    <t>full_h04/TP Đà Nẵng/TP Đà Nẵng/Mạng cấp 4 - Quảng Nam/Quảng Nam - Ring 6_fix.kmz/Quảng Nam - Ring 6/TTCMKV Đại Lộc - Vu Gia/trung thế 1</t>
  </si>
  <si>
    <t>Quảng Nam#CAX#Vu Gia-QADL62</t>
  </si>
  <si>
    <t>15.83245</t>
  </si>
  <si>
    <t>108.08489</t>
  </si>
  <si>
    <t>FO DT#MBF#QADL62-QADL15</t>
  </si>
  <si>
    <t>1245.09</t>
  </si>
  <si>
    <t>1026.37</t>
  </si>
  <si>
    <t>15.837248</t>
  </si>
  <si>
    <t>108.086302</t>
  </si>
  <si>
    <t>218.72</t>
  </si>
  <si>
    <t>15.830485</t>
  </si>
  <si>
    <t>108.084808</t>
  </si>
  <si>
    <t>full_h04/TP Đà Nẵng/TP Đà Nẵng/Mạng cấp 4 - Quảng Nam/Quảng Nam - Ring 6_fix.kmz/Quảng Nam - Ring 6/Phú Thuận - Duy Xuyên/hạ thế 4</t>
  </si>
  <si>
    <t>Quảng Nam#CAX#Vu Gia-QADL33</t>
  </si>
  <si>
    <t>15.85889</t>
  </si>
  <si>
    <t>108.08336</t>
  </si>
  <si>
    <t>FO DT#MBF#QADL33-QADL15</t>
  </si>
  <si>
    <t>751.85</t>
  </si>
  <si>
    <t>194.91</t>
  </si>
  <si>
    <t>15.857137</t>
  </si>
  <si>
    <t>108.083394</t>
  </si>
  <si>
    <t>Quảng Nam#CAX#Thu Bồn-QADL05</t>
  </si>
  <si>
    <t>15.85561</t>
  </si>
  <si>
    <t>107.9979</t>
  </si>
  <si>
    <t>FO DT#MBF#QADL05-QADX19</t>
  </si>
  <si>
    <t>1436.57</t>
  </si>
  <si>
    <t>784.84</t>
  </si>
  <si>
    <t>15.837038</t>
  </si>
  <si>
    <t>108.124410</t>
  </si>
  <si>
    <t>651.74</t>
  </si>
  <si>
    <t>15.859436</t>
  </si>
  <si>
    <t>108.002516</t>
  </si>
  <si>
    <t>Quảng Nam#CAX#Thu Bồn-Quảng Nam#TTCMKV#Duy Xuyên</t>
  </si>
  <si>
    <t>Quảng Nam#CAX#Nam Phước-QADX39</t>
  </si>
  <si>
    <t>15.83042</t>
  </si>
  <si>
    <t>108.2721</t>
  </si>
  <si>
    <t>15.81984</t>
  </si>
  <si>
    <t>108.24974</t>
  </si>
  <si>
    <t>FO DT#MBF#QADX39-QADX20</t>
  </si>
  <si>
    <t>664.09</t>
  </si>
  <si>
    <t>207.58</t>
  </si>
  <si>
    <t>15.828560</t>
  </si>
  <si>
    <t>108.271935</t>
  </si>
  <si>
    <t>456.51</t>
  </si>
  <si>
    <t>Quảng Nam#CAX#Nam Phước-QAQS06</t>
  </si>
  <si>
    <t>FO DT#MBF#QADX20-QAQS06</t>
  </si>
  <si>
    <t>1034.37</t>
  </si>
  <si>
    <t>Quảng Nam#CAX#Nam Phước-QADX30</t>
  </si>
  <si>
    <t>15.836748</t>
  </si>
  <si>
    <t>108.256463</t>
  </si>
  <si>
    <t>FO DT#MBF#QADX30-QADX20</t>
  </si>
  <si>
    <t>1318.25</t>
  </si>
  <si>
    <t>1110.67</t>
  </si>
  <si>
    <t>15.826947</t>
  </si>
  <si>
    <t>108.258463</t>
  </si>
  <si>
    <t>Quảng Nam#CAX#Nam Phước-QADX08</t>
  </si>
  <si>
    <t>15.8198</t>
  </si>
  <si>
    <t>108.2588</t>
  </si>
  <si>
    <t>FO DT#MBF#QADX08-QADX20</t>
  </si>
  <si>
    <t>802.75</t>
  </si>
  <si>
    <t>595.17</t>
  </si>
  <si>
    <t>15.823723</t>
  </si>
  <si>
    <t>108.255015</t>
  </si>
  <si>
    <t>Quảng Nam#CAX#Hội An Đông-18QA083</t>
  </si>
  <si>
    <t>FO DT#MBF#18QA083-QAHA18</t>
  </si>
  <si>
    <t>Quảng Nam#CAX#Tam Xuân-QATK07</t>
  </si>
  <si>
    <t>15.54565</t>
  </si>
  <si>
    <t>108.5216</t>
  </si>
  <si>
    <t>15.56074</t>
  </si>
  <si>
    <t>108.50045</t>
  </si>
  <si>
    <t>FO DT#MBF#QATK07-QANT49</t>
  </si>
  <si>
    <t>1071.17</t>
  </si>
  <si>
    <t>13.48</t>
  </si>
  <si>
    <t>15.545696</t>
  </si>
  <si>
    <t>108.521484</t>
  </si>
  <si>
    <t>1057.68</t>
  </si>
  <si>
    <t>15.552980</t>
  </si>
  <si>
    <t>108.506161</t>
  </si>
  <si>
    <t>full_h04/TP Đà Nẵng/TP Đà Nẵng/Mạng cấp 4 - Quảng Nam/Quảng Nam - Ring 15/TT2 Tam Kỳ - Tam Xuân/Hạ thế</t>
  </si>
  <si>
    <t>Quảng Nam#CAX#Tam Xuân-QANT06</t>
  </si>
  <si>
    <t>15.51584</t>
  </si>
  <si>
    <t>108.55952</t>
  </si>
  <si>
    <t>FO DT#MBF#QANT49-QANT06</t>
  </si>
  <si>
    <t>Tam Xuân - Tam Anh</t>
  </si>
  <si>
    <t>1092.49</t>
  </si>
  <si>
    <t>755.06</t>
  </si>
  <si>
    <t>15.541767</t>
  </si>
  <si>
    <t>108.527382</t>
  </si>
  <si>
    <t>337.43</t>
  </si>
  <si>
    <t>15.513627</t>
  </si>
  <si>
    <t>108.557365</t>
  </si>
  <si>
    <t>full_h04/TP Đà Nẵng/TP Đà Nẵng/Mạng cấp 4 - Quảng Nam/Quảng Nam - Ring 15/Tam Xuân - Tam Anh/Trung thế</t>
  </si>
  <si>
    <t>Quảng Nam#CAX#Tam Xuân-QANT29</t>
  </si>
  <si>
    <t>15.54721</t>
  </si>
  <si>
    <t>108.53362</t>
  </si>
  <si>
    <t>FO DT#MBF#QANT29-QANT49</t>
  </si>
  <si>
    <t>907.91</t>
  </si>
  <si>
    <t>8.84</t>
  </si>
  <si>
    <t>15.545572</t>
  </si>
  <si>
    <t>108.521613</t>
  </si>
  <si>
    <t>899.07</t>
  </si>
  <si>
    <t>15.541735</t>
  </si>
  <si>
    <t>108.527445</t>
  </si>
  <si>
    <t>full_h04/TP Đà Nẵng/TP Đà Nẵng/Mạng cấp 4 - Quảng Nam/Quảng Nam - Ring 15/Tam Xuân - Tam Anh/Hạ thế</t>
  </si>
  <si>
    <t>Quảng Nam#CAX#Phú Ninh-QAPN14</t>
  </si>
  <si>
    <t>15.52385</t>
  </si>
  <si>
    <t>108.42056</t>
  </si>
  <si>
    <t>FO DT#MBF#QAPN04-QAPN14</t>
  </si>
  <si>
    <t>58.49</t>
  </si>
  <si>
    <t>44.16</t>
  </si>
  <si>
    <t>15.523190</t>
  </si>
  <si>
    <t>108.419530</t>
  </si>
  <si>
    <t>14.32</t>
  </si>
  <si>
    <t>15.523827</t>
  </si>
  <si>
    <t>108.420692</t>
  </si>
  <si>
    <t>full_h04/TP Đà Nẵng/TP Đà Nẵng/Mạng cấp 4 - Quảng Nam/Quảng Nam - Ring 14/Chiên Đàn - Phú Ninh/hạ thế 3</t>
  </si>
  <si>
    <t>Quảng Nam#CAX#Phú Ninh-21QA013</t>
  </si>
  <si>
    <t>FO DT#MBF#21QA013-QAPN04</t>
  </si>
  <si>
    <t>Quảng Nam#CAX#Quế Sơn Trung-QAQS38</t>
  </si>
  <si>
    <t>15.72096</t>
  </si>
  <si>
    <t>108.29183</t>
  </si>
  <si>
    <t>FO DT#MBF#QAQS38-QAQS10</t>
  </si>
  <si>
    <t>1524.16</t>
  </si>
  <si>
    <t>1373.84</t>
  </si>
  <si>
    <t>15.722346</t>
  </si>
  <si>
    <t>108.279076</t>
  </si>
  <si>
    <t>Quảng Nam#CAX#Xuân Phú-QATB52</t>
  </si>
  <si>
    <t>15.7487</t>
  </si>
  <si>
    <t>108.33968</t>
  </si>
  <si>
    <t>FO DT#MBF#QATB52-QATB11</t>
  </si>
  <si>
    <t>1489.19</t>
  </si>
  <si>
    <t>266.18</t>
  </si>
  <si>
    <t>15.775742</t>
  </si>
  <si>
    <t>108.333003</t>
  </si>
  <si>
    <t>1223.01</t>
  </si>
  <si>
    <t>15.756098</t>
  </si>
  <si>
    <t>108.348137</t>
  </si>
  <si>
    <t>Quảng Nam#Phòng#Trạm CSGT Thăng Bình (X. Bình Phục, Thăng Bình)-21QA048</t>
  </si>
  <si>
    <t>FO DT#MBF#21QA048-QATB14</t>
  </si>
  <si>
    <t>FO DT#MBF#QATB59-QATB34</t>
  </si>
  <si>
    <t>Quảng Nam#CAX#Thăng Phú-QAPN43</t>
  </si>
  <si>
    <t>15.61997</t>
  </si>
  <si>
    <t>108.39905</t>
  </si>
  <si>
    <t>FO DT#MBF#QAPN43-QATB34</t>
  </si>
  <si>
    <t>1507.93</t>
  </si>
  <si>
    <t>1350.84</t>
  </si>
  <si>
    <t>15.624055</t>
  </si>
  <si>
    <t>108.383067</t>
  </si>
  <si>
    <t>157.09</t>
  </si>
  <si>
    <t>15.621383</t>
  </si>
  <si>
    <t>108.399039</t>
  </si>
  <si>
    <t>full_h04/TP Đà Nẵng/TP Đà Nẵng/Mạng cấp 4 - Quảng Nam/Quảng Nam - Ring 11 - ok/Thăng Phú - Tây Hồ/hạ thế 1</t>
  </si>
  <si>
    <t>Quảng Nam#CAX#Hương Trà-QATK46</t>
  </si>
  <si>
    <t>15.55759</t>
  </si>
  <si>
    <t>108.49099</t>
  </si>
  <si>
    <t>FO DT#MBF#QATK03-QATK46</t>
  </si>
  <si>
    <t>1064.20</t>
  </si>
  <si>
    <t>634.65</t>
  </si>
  <si>
    <t>15.560666</t>
  </si>
  <si>
    <t>108.485999</t>
  </si>
  <si>
    <t>Quảng Nam#Phòng#PC07-QATK24</t>
  </si>
  <si>
    <t>FO DT#MBF#QATK18-QATK24</t>
  </si>
  <si>
    <t>478.99</t>
  </si>
  <si>
    <t>15.575647</t>
  </si>
  <si>
    <t>108.476566</t>
  </si>
  <si>
    <t>383.25</t>
  </si>
  <si>
    <t>15.569207</t>
  </si>
  <si>
    <t>108.476629</t>
  </si>
  <si>
    <t>full_h04/TP Đà Nẵng/TP Đà Nẵng/Mạng cấp 3_ DN và Quảng Nam/Phòng -  Ring 5 ( Quảng Nam)/PC06 - PC07/Hạ thế 2</t>
  </si>
  <si>
    <t>Quảng Nam#Phòng#PC07-NH Nam Á Bank</t>
  </si>
  <si>
    <t>FO DT#MBF#NH Nam Á Bank-QATK18</t>
  </si>
  <si>
    <t>Quảng Nam#Phòng#PC11-QAPN20</t>
  </si>
  <si>
    <t>15.5647</t>
  </si>
  <si>
    <t>108.4398</t>
  </si>
  <si>
    <t>FO DT#MBF#QAPN20-QATK22</t>
  </si>
  <si>
    <t>941.53</t>
  </si>
  <si>
    <t>579.27</t>
  </si>
  <si>
    <t>15.559533</t>
  </si>
  <si>
    <t>108.440489</t>
  </si>
  <si>
    <t>FO thuê</t>
  </si>
  <si>
    <t>VNPT</t>
  </si>
  <si>
    <t>KHNT60-KHNT3A</t>
  </si>
  <si>
    <t>KHNT79-KHNT03</t>
  </si>
  <si>
    <t>CMC</t>
  </si>
  <si>
    <t>KHDK13-KHDK06</t>
  </si>
  <si>
    <t>KHDK06-KHCL23</t>
  </si>
  <si>
    <t>KHNTMA01-KHNT59</t>
  </si>
  <si>
    <t>KHNT83-KHNT24</t>
  </si>
  <si>
    <t>KHNTMA01-KHNT1F</t>
  </si>
  <si>
    <t>KHNTMA01-KHNT26</t>
  </si>
  <si>
    <t>KHNT25-KHNT84</t>
  </si>
  <si>
    <t>KHNT84-KHNT60</t>
  </si>
  <si>
    <t>KHNT60-KHNT24</t>
  </si>
  <si>
    <t>KHNT94-KHNT79</t>
  </si>
  <si>
    <t>KHNT79-KHNT28</t>
  </si>
  <si>
    <t>KHDK08-KHNT07</t>
  </si>
  <si>
    <t>KHNT88-KHNT1N</t>
  </si>
  <si>
    <t>KHNT1N-KHNT17</t>
  </si>
  <si>
    <t>KHNT17-KHNT24</t>
  </si>
  <si>
    <t>KHNT88-KHNT3Q</t>
  </si>
  <si>
    <t>KHNT55-KHNT68</t>
  </si>
  <si>
    <t>KHNT79-KHNT3G</t>
  </si>
  <si>
    <t>KHNT05-KHNT3C</t>
  </si>
  <si>
    <t>KHNT90-KHNT4Z</t>
  </si>
  <si>
    <t>KHDK13-KHDK38</t>
  </si>
  <si>
    <t>KHDK08-KHDK30</t>
  </si>
  <si>
    <t>KHDK13-KHDK05</t>
  </si>
  <si>
    <t>KHNTMA01-KHNT74</t>
  </si>
  <si>
    <t>KHNT88-KHNT77</t>
  </si>
  <si>
    <t>KHCR47-KHCR05</t>
  </si>
  <si>
    <t>KHCR02-KHCR16</t>
  </si>
  <si>
    <t>KHDK13-KHDK10</t>
  </si>
  <si>
    <t>KHDK13-KHDK23</t>
  </si>
  <si>
    <t>KHDK25-KHDK17</t>
  </si>
  <si>
    <t>KHDK06-KHDK28</t>
  </si>
  <si>
    <t>KHDK25-KHDK24</t>
  </si>
  <si>
    <t>KHDK25-KHDK09</t>
  </si>
  <si>
    <t>KHDK08-KHDK33</t>
  </si>
  <si>
    <t>KHNT88-KHNT4A</t>
  </si>
  <si>
    <t>KHNTMA01-KHNT3L</t>
  </si>
  <si>
    <t>KHNT94-KHNT95</t>
  </si>
  <si>
    <t>KHNT88-KHNT1S</t>
  </si>
  <si>
    <t>KHNTMA01-KHNT4K</t>
  </si>
  <si>
    <t>KHNT17-KHNT3D</t>
  </si>
  <si>
    <t>KHNT79-KHNT21</t>
  </si>
  <si>
    <t>KHNT90-KHNT4B</t>
  </si>
  <si>
    <t>KHNTMA01-KHNT4Q</t>
  </si>
  <si>
    <t>KHNT17-KHNT4M</t>
  </si>
  <si>
    <t>KHDK06-KHDK25</t>
  </si>
  <si>
    <t>KHNTMA01-KHDK06</t>
  </si>
  <si>
    <t>KHNH06-KHNH93</t>
  </si>
  <si>
    <t>KHNH54-KHNH1C</t>
  </si>
  <si>
    <t>KHNH54-KHNH96</t>
  </si>
  <si>
    <t>KHCR27-KHCL55</t>
  </si>
  <si>
    <t>KHCR52-KHCR77</t>
  </si>
  <si>
    <t>KHNH54-KHNH1E</t>
  </si>
  <si>
    <t>KHNT90-KHNT6D</t>
  </si>
  <si>
    <t>KHNT90-KHNT2B</t>
  </si>
  <si>
    <t>KHNT90-KHNT1H</t>
  </si>
  <si>
    <t>KHNT25-KHNT1I</t>
  </si>
  <si>
    <t>KHNT25-KHNT1J</t>
  </si>
  <si>
    <t>KHNT05-KHNT1K</t>
  </si>
  <si>
    <t>KHNT55-KHNT1U</t>
  </si>
  <si>
    <t>KHNT25-KHNT1V</t>
  </si>
  <si>
    <t>KHNT25-KHNT47</t>
  </si>
  <si>
    <t>KHNT55-KHNT89</t>
  </si>
  <si>
    <t>KHNT79-KHNT4P</t>
  </si>
  <si>
    <t>KHCL02-KHCL40</t>
  </si>
  <si>
    <t>KHNH54-KHNH84</t>
  </si>
  <si>
    <t>KHNH54-KHNH85</t>
  </si>
  <si>
    <t>KHVN04-KHVN39</t>
  </si>
  <si>
    <t>KHCR52-KHCL03</t>
  </si>
  <si>
    <t>KHNTMA01-KHCLMA01</t>
  </si>
  <si>
    <t>KHCR47-KHCR19</t>
  </si>
  <si>
    <t>KHCR52-KHCR49</t>
  </si>
  <si>
    <t>KHCL02-KHCL47</t>
  </si>
  <si>
    <t>KHCR27-KHCL02</t>
  </si>
  <si>
    <t>KHCR52-KHCR14</t>
  </si>
  <si>
    <t>KHCR18-KHCR04</t>
  </si>
  <si>
    <t>KHCR52-KHCR18</t>
  </si>
  <si>
    <t>KHCR02-KHCL18</t>
  </si>
  <si>
    <t>KHCLMA01-KHCL17</t>
  </si>
  <si>
    <t>KHCR02-KHCR53</t>
  </si>
  <si>
    <t>KHCR10-KHCR02</t>
  </si>
  <si>
    <t>KHCLMA01-KHCR10</t>
  </si>
  <si>
    <t>KHCR10-KHCL33</t>
  </si>
  <si>
    <t>KHCL02-KHCL09</t>
  </si>
  <si>
    <t>KHCL02-KHCL13</t>
  </si>
  <si>
    <t>KHCR52-KHCR17</t>
  </si>
  <si>
    <t>KHCR18-KHCR34</t>
  </si>
  <si>
    <t>KHCR52-KHCR33</t>
  </si>
  <si>
    <t>KHCR02-KHCR25</t>
  </si>
  <si>
    <t>KHCR18-KHCR36</t>
  </si>
  <si>
    <t>KHCR52-KHCR37</t>
  </si>
  <si>
    <t>KHCR27-KHCR70</t>
  </si>
  <si>
    <t>KHVN53-KHVN04</t>
  </si>
  <si>
    <t>KHVN38-KHVN04</t>
  </si>
  <si>
    <t>KHVN50-KHVN04</t>
  </si>
  <si>
    <t>KHVN22-KHVN04</t>
  </si>
  <si>
    <t>KHVN47-KHVN04</t>
  </si>
  <si>
    <t>KHDK44-KHDK25</t>
  </si>
  <si>
    <t>KHDK41-KHDK13</t>
  </si>
  <si>
    <t>KHDK47-KHDK06</t>
  </si>
  <si>
    <t>KHCL36-KHCL02</t>
  </si>
  <si>
    <t>KHCL65-KHCLMA01</t>
  </si>
  <si>
    <t>KHCL66-KHCLMA01</t>
  </si>
  <si>
    <t>KHCR64-KHCR18</t>
  </si>
  <si>
    <t>KHCR71-KHCR47</t>
  </si>
  <si>
    <t>KHNT20-KHNT84</t>
  </si>
  <si>
    <t>KHNT5S-KHNT55</t>
  </si>
  <si>
    <t>KHNT6V-KHNT25</t>
  </si>
  <si>
    <t>KHNH18-KHNH54</t>
  </si>
  <si>
    <t>KHNH1I-KHNH10</t>
  </si>
  <si>
    <t>KHNH1O-KHNH06</t>
  </si>
  <si>
    <t>KHNH1S-KHNH06</t>
  </si>
  <si>
    <t>KHNH89-KHNH12</t>
  </si>
  <si>
    <t>KHNT85-KHNT84</t>
  </si>
  <si>
    <t>KHNT86-KHNT60</t>
  </si>
  <si>
    <t>KHNT49-KHNT1N</t>
  </si>
  <si>
    <t>KHNT2K-KHNT83</t>
  </si>
  <si>
    <t>KHNT6N-KHNT83</t>
  </si>
  <si>
    <t>KHNT6Q-KHNT4Z</t>
  </si>
  <si>
    <t>KHNT4T-KHNT83</t>
  </si>
  <si>
    <t>KHCL22-KHDK06</t>
  </si>
  <si>
    <t>KHCL10-KHCR10</t>
  </si>
  <si>
    <t>KHCR76-KHCR47</t>
  </si>
  <si>
    <t>KHCL54-KHCR47</t>
  </si>
  <si>
    <t>KHCR01-KHCR18</t>
  </si>
  <si>
    <t>KHNT7N-KHNT79</t>
  </si>
  <si>
    <t>KHNT7Q-KHNT42</t>
  </si>
  <si>
    <t>KHNT7P-KHNT05</t>
  </si>
  <si>
    <t>KHCR56-KHCR10</t>
  </si>
  <si>
    <t>KHDK37-KHDK25</t>
  </si>
  <si>
    <t>KHNT1E-KHNT05</t>
  </si>
  <si>
    <t>KHDKMA01-KHDK13</t>
  </si>
  <si>
    <t>KHDK12-KHDK25</t>
  </si>
  <si>
    <t>KHNT1R-KHNT83</t>
  </si>
  <si>
    <t>KHNT56-KHNT90</t>
  </si>
  <si>
    <t>KHNT26-KHNT55</t>
  </si>
  <si>
    <t>KHNT62-KHNT94</t>
  </si>
  <si>
    <t>KHDKMA01-KHDK08</t>
  </si>
  <si>
    <t>KHNT07-KHNT88</t>
  </si>
  <si>
    <t>KHCL35-KHCLMA01</t>
  </si>
  <si>
    <t>KHNH52-KHNH32</t>
  </si>
  <si>
    <t>KHNT59-KHNT72</t>
  </si>
  <si>
    <t>KHNT56-KHNT4D</t>
  </si>
  <si>
    <t>KHNT07-KHNT78</t>
  </si>
  <si>
    <t>KHNT32-KHNT42</t>
  </si>
  <si>
    <t>KHCR49-KHCR47</t>
  </si>
  <si>
    <t>KHCR14-KHCR27</t>
  </si>
  <si>
    <t>KHCR50-KHCR52</t>
  </si>
  <si>
    <t>FO DT</t>
  </si>
  <si>
    <t>MBF</t>
  </si>
  <si>
    <t>KHNTMA01-KHNT24</t>
  </si>
  <si>
    <t>KHCLMA01-KHNT24</t>
  </si>
  <si>
    <t>KHNH06-KHVN04</t>
  </si>
  <si>
    <t>KHVN04-KHVN23</t>
  </si>
  <si>
    <t>KHNH54-KHNT24</t>
  </si>
  <si>
    <t>KHNH06-KHNH54</t>
  </si>
  <si>
    <t>KHDK25-KHNTMA01</t>
  </si>
  <si>
    <t>KHCR52-KHCR02</t>
  </si>
  <si>
    <t>KHCR02-KHCLMA01</t>
  </si>
  <si>
    <t>KHNH06-KHNH14</t>
  </si>
  <si>
    <t>KHNH10-KHNH54</t>
  </si>
  <si>
    <t>KHNH06-KHNH09</t>
  </si>
  <si>
    <t>KHNH54-KHNH04</t>
  </si>
  <si>
    <t>KHNT13-KHNT24</t>
  </si>
  <si>
    <t>KHNH06-KHNH44</t>
  </si>
  <si>
    <t>KHNH12-KHNH54</t>
  </si>
  <si>
    <t>KHVN04-KHVN41</t>
  </si>
  <si>
    <t>KHVN03-KHVN55</t>
  </si>
  <si>
    <t>KHVN55-KHVN23</t>
  </si>
  <si>
    <t>KHVN04-KHVN29</t>
  </si>
  <si>
    <t>KHNH32-KHNH02</t>
  </si>
  <si>
    <t>KHNH20-KHNH19</t>
  </si>
  <si>
    <t>KHDKMA01-KHDK25</t>
  </si>
  <si>
    <t>KHDKMA01-KHNH06</t>
  </si>
  <si>
    <t>KHVN13-KHNH54</t>
  </si>
  <si>
    <t>KHCL47-KHCR52</t>
  </si>
  <si>
    <t>KHNH14-KHNH10</t>
  </si>
  <si>
    <t>KHNH09-KHNH54</t>
  </si>
  <si>
    <t>KHNH04-KHNT13</t>
  </si>
  <si>
    <t>KHNH44-KHNH12</t>
  </si>
  <si>
    <t>KHVN41-KHVN03</t>
  </si>
  <si>
    <t>KHVN13-KHNH32</t>
  </si>
  <si>
    <t>KHNH55-KHNH54</t>
  </si>
  <si>
    <t>KHNH76-KHNH20</t>
  </si>
  <si>
    <t>KHNH19-KHNH54</t>
  </si>
  <si>
    <t>KHDKMA01-KHDK15</t>
  </si>
  <si>
    <t>KHDKMA01-KHNT1M</t>
  </si>
  <si>
    <t>KHDKMA01-KHNT62</t>
  </si>
  <si>
    <t>KHDKMA01-KHDK26</t>
  </si>
  <si>
    <t>KHDKMA01-KHDK20</t>
  </si>
  <si>
    <t>KHDKMA01-KHDK27</t>
  </si>
  <si>
    <t>KHDKMA01-KHDK36</t>
  </si>
  <si>
    <t>KHDK34-KHDKMA01</t>
  </si>
  <si>
    <t>KHDK40-KHDKMA01</t>
  </si>
  <si>
    <t>KHDK01-KHDKMA01</t>
  </si>
  <si>
    <t>KHCL23-KHDKMA01</t>
  </si>
  <si>
    <t>KHDKMA01-KHNT24</t>
  </si>
  <si>
    <t>KHDKMA01-KHCL47</t>
  </si>
  <si>
    <t>KHDKMA01-KHDK14</t>
  </si>
  <si>
    <t>KHNT24-KHDKMA01</t>
  </si>
  <si>
    <t>KHNT05-KHNT25</t>
  </si>
  <si>
    <t>KHNT25-KHNT55</t>
  </si>
  <si>
    <t>KHNT55-KHNT90</t>
  </si>
  <si>
    <t>KHNT90-KHNT83</t>
  </si>
  <si>
    <t>KHNT83-KHNT1R</t>
  </si>
  <si>
    <t>KHNT79-KHNT53</t>
  </si>
  <si>
    <t>KHNT79-KHNT99</t>
  </si>
  <si>
    <t>KHNH10-KHNH80</t>
  </si>
  <si>
    <t>KHNH32-KHNH78</t>
  </si>
  <si>
    <t>KHNH12-KHNH01</t>
  </si>
  <si>
    <t>KHNH20-KHNH39</t>
  </si>
  <si>
    <t>KHNH12-KHNH82</t>
  </si>
  <si>
    <t>KHNH20-KHNH33</t>
  </si>
  <si>
    <t>KHNH20-KHNH72</t>
  </si>
  <si>
    <t>KHVN55-KHVN02</t>
  </si>
  <si>
    <t>KHNT83-KHNT1W</t>
  </si>
  <si>
    <t>KHKV08-KHKV25</t>
  </si>
  <si>
    <t>KHCR10-KHCR88</t>
  </si>
  <si>
    <t>KHNT05-KHNT7M</t>
  </si>
  <si>
    <t>KHNT05-KHNT24</t>
  </si>
  <si>
    <t>KHVN55-KHVN59</t>
  </si>
  <si>
    <t>KHNT42-Trạm điện 220 KVA_VINPEARL_ĐẤT LIỀN</t>
  </si>
  <si>
    <t>KHNT01-KHNT05</t>
  </si>
  <si>
    <t>KHCR62-KHCR02</t>
  </si>
  <si>
    <t>KHNT3F-KHNT90</t>
  </si>
  <si>
    <t>KHNT65-KHNTMA01</t>
  </si>
  <si>
    <t>KHNT34-KHNTMA01</t>
  </si>
  <si>
    <t>KHNT11-KHNTMA01</t>
  </si>
  <si>
    <t>KHNT93-KHNT05</t>
  </si>
  <si>
    <t>KHNT67-KHNT1N</t>
  </si>
  <si>
    <t>KHNT41-KHNT94</t>
  </si>
  <si>
    <t>KHNT15-KHNT1N</t>
  </si>
  <si>
    <t>KHNT4I-KHNT94</t>
  </si>
  <si>
    <t>KHNT2D-KHNT88</t>
  </si>
  <si>
    <t>KHNT45-KHNTMA01</t>
  </si>
  <si>
    <t>KHNT3M-KHNT05</t>
  </si>
  <si>
    <t>KHNT6M-KHNT88</t>
  </si>
  <si>
    <t>KHNT6C-KHNT83</t>
  </si>
  <si>
    <t>KHCL20-KHCR27</t>
  </si>
  <si>
    <t>KHCL61-KHCR02</t>
  </si>
  <si>
    <t>KHCL19-KHCLMA01</t>
  </si>
  <si>
    <t>KHCL62-KHCLMA01</t>
  </si>
  <si>
    <t>KHCL31-KHCLMA01</t>
  </si>
  <si>
    <t>KHDK49-KHDK08</t>
  </si>
  <si>
    <t>KHDK46-KHDK06</t>
  </si>
  <si>
    <t>KHDK14-KHDKMA01</t>
  </si>
  <si>
    <t>KHNH59-KHNH12</t>
  </si>
  <si>
    <t>KHNH23-KHNH10</t>
  </si>
  <si>
    <t>KHNH24-KHNH12</t>
  </si>
  <si>
    <t>KHNH15-KHNH32</t>
  </si>
  <si>
    <t>KHNH64-KHNH12</t>
  </si>
  <si>
    <t>KHNH31-KHNH10</t>
  </si>
  <si>
    <t>KHNT44-KHNT13</t>
  </si>
  <si>
    <t>KHNH13-KHNT13</t>
  </si>
  <si>
    <t>KHNH62-KHNH06</t>
  </si>
  <si>
    <t>KHNH43-KHNH06</t>
  </si>
  <si>
    <t>KHVN51-KHVN04</t>
  </si>
  <si>
    <t>KHVN20-KHVN03</t>
  </si>
  <si>
    <t>KHVN43-KHVN03</t>
  </si>
  <si>
    <t>KHNT6I-KHNT90</t>
  </si>
  <si>
    <t>KHNT3P-KHNT25</t>
  </si>
  <si>
    <t>KHNT5U-KHNT60</t>
  </si>
  <si>
    <t>KHDK22-KHDK25</t>
  </si>
  <si>
    <t>KHNH65-KHNH54</t>
  </si>
  <si>
    <t>KHNT2W-KHNT94</t>
  </si>
  <si>
    <t>KHNT69-KHNT55</t>
  </si>
  <si>
    <t>KHNT1T-KHNT60</t>
  </si>
  <si>
    <t>KHNT12-KHNT83</t>
  </si>
  <si>
    <t>KHNT2V-KHNT17</t>
  </si>
  <si>
    <t>KHNT5R-KHNT17</t>
  </si>
  <si>
    <t>KHNT58-KHNT17</t>
  </si>
  <si>
    <t>KHNT2Z-KHNT84</t>
  </si>
  <si>
    <t>17KH025-KHNT1N</t>
  </si>
  <si>
    <t>KHKV10-KHKV05</t>
  </si>
  <si>
    <t>KHKV25-KHKV05</t>
  </si>
  <si>
    <t>KHKV23-KHKV05</t>
  </si>
  <si>
    <t>KHDK03-KHDK25</t>
  </si>
  <si>
    <t>KHNT3O-KHNT88</t>
  </si>
  <si>
    <t>KHDK30-KHDK08</t>
  </si>
  <si>
    <t>KHVN44-KHVN55</t>
  </si>
  <si>
    <t>KHVN18-KHVN55</t>
  </si>
  <si>
    <t>KHVN28-KHVN55</t>
  </si>
  <si>
    <t>KHCR26-KHCR47</t>
  </si>
  <si>
    <t>KHCR70-KHCR47</t>
  </si>
  <si>
    <t>KHNH95-KHNH20</t>
  </si>
  <si>
    <t>KHNT8P-KHNT83</t>
  </si>
  <si>
    <t>KHNT8V-KHNTMA01</t>
  </si>
  <si>
    <t>KHNT8D-KHNT4D</t>
  </si>
  <si>
    <t>KHNT8B-KHNT1N</t>
  </si>
  <si>
    <t>KHNT57-KHNT4D</t>
  </si>
  <si>
    <t>KHNT8F-KHNT25</t>
  </si>
  <si>
    <t>QTTP35-QTDH14</t>
  </si>
  <si>
    <t>QTCL02-QTDH14</t>
  </si>
  <si>
    <t>QTDH50-QTDH14</t>
  </si>
  <si>
    <t>QTQT09-QTDH14</t>
  </si>
  <si>
    <t>QTTP23-QTDH14</t>
  </si>
  <si>
    <t>QTCL20-QTCL13</t>
  </si>
  <si>
    <t>QTCL17-QTCL13</t>
  </si>
  <si>
    <t>QTGL42-QTGL03</t>
  </si>
  <si>
    <t>QTDH10-QTCL13</t>
  </si>
  <si>
    <t>QTCL13-QTCL34</t>
  </si>
  <si>
    <t>VNPOST Lương An-QTGL03</t>
  </si>
  <si>
    <t>QTGL03-QTGL15</t>
  </si>
  <si>
    <t>QTGL15-QTGL12</t>
  </si>
  <si>
    <t>QTGL12-QTGL44</t>
  </si>
  <si>
    <t>QTCL08-QTCL34</t>
  </si>
  <si>
    <t>QTCL34-QTCL09</t>
  </si>
  <si>
    <t>QTDH17-QTDH08</t>
  </si>
  <si>
    <t>QTTP08-QTHL25</t>
  </si>
  <si>
    <t>QTHL25-QTQT09</t>
  </si>
  <si>
    <t>QTHL22-QTHL10</t>
  </si>
  <si>
    <t>QTHL10-QTHL25</t>
  </si>
  <si>
    <t>QTHL25-QTHL03</t>
  </si>
  <si>
    <t>QTHL03-QTHL17</t>
  </si>
  <si>
    <t>QTHL17-QTTP05</t>
  </si>
  <si>
    <t>QTTP05-QTHL19</t>
  </si>
  <si>
    <t>QTHL19-QTQT09</t>
  </si>
  <si>
    <t>QTHL25-QTHL06</t>
  </si>
  <si>
    <t>QTHL12-QTQT09</t>
  </si>
  <si>
    <t>QTHL25-QTHL28</t>
  </si>
  <si>
    <t>QTHL28-QTHL05</t>
  </si>
  <si>
    <t>QTHL05-QTQT09</t>
  </si>
  <si>
    <t>QTTP21-QTQT09</t>
  </si>
  <si>
    <t>QTTP47-QTTP10</t>
  </si>
  <si>
    <t>QTTP10-QTQT05</t>
  </si>
  <si>
    <t>QTQT05-QTQT09</t>
  </si>
  <si>
    <t>QTTP48-QTQT06</t>
  </si>
  <si>
    <t>QTQT06-QTQT09</t>
  </si>
  <si>
    <t>QTQT09-QTQT03</t>
  </si>
  <si>
    <t>QTQT03-QTQT09</t>
  </si>
  <si>
    <t>QTHL50-QTHL05</t>
  </si>
  <si>
    <t>QTDH56-QTDH07</t>
  </si>
  <si>
    <t>QTGL19-QTGL03</t>
  </si>
  <si>
    <t>QTDH33-QTDH34</t>
  </si>
  <si>
    <t>QTDH24-QTDH50</t>
  </si>
  <si>
    <t>QTDH52-QTDH50</t>
  </si>
  <si>
    <t>QTDH38-QTDH17</t>
  </si>
  <si>
    <t>QTDH60-QTDH34</t>
  </si>
  <si>
    <t>QTDH61-QTDH04</t>
  </si>
  <si>
    <t>QTGL20-QTGL12</t>
  </si>
  <si>
    <t>QTTP45-QTTP10</t>
  </si>
  <si>
    <t>QTQT06-QTQT02</t>
  </si>
  <si>
    <t>QTHL19-QTHL42</t>
  </si>
  <si>
    <t>QTTP20-QTTP05</t>
  </si>
  <si>
    <t>QTTP05-QTHL43</t>
  </si>
  <si>
    <t>QTHL34-QTHL10</t>
  </si>
  <si>
    <t>QTQT10-QTQT06</t>
  </si>
  <si>
    <t>QTHL04-QTHL10</t>
  </si>
  <si>
    <t>QTHL39-QTHL25</t>
  </si>
  <si>
    <t>VNPOST Lương An-QTDH14</t>
  </si>
  <si>
    <t>QTCL_newsite1-QTDH14</t>
  </si>
  <si>
    <t>QTDH35-QTDH14</t>
  </si>
  <si>
    <t>QTDH32-QTDH14</t>
  </si>
  <si>
    <t>VNPOST Lương An-QTDH17</t>
  </si>
  <si>
    <t>QTDH08-QTDH34</t>
  </si>
  <si>
    <t>QTDH34-QTDH14</t>
  </si>
  <si>
    <t>QTDH36-QTDH05</t>
  </si>
  <si>
    <t>QTDH05-QTDH14</t>
  </si>
  <si>
    <t>QTDH27-QTDH14</t>
  </si>
  <si>
    <t>QTDH09-QTDH07</t>
  </si>
  <si>
    <t>QTDH07-QTDH19</t>
  </si>
  <si>
    <t>QTDH19-QTDH04</t>
  </si>
  <si>
    <t>QTDH04-QTDH50</t>
  </si>
  <si>
    <t>QTCL01-QTCL34</t>
  </si>
  <si>
    <t>QTCL04-QTCL34</t>
  </si>
  <si>
    <t>QTTP37-QTDH14</t>
  </si>
  <si>
    <t>QTGL49-QTGL12</t>
  </si>
  <si>
    <t>QTVL06-QTVL01</t>
  </si>
  <si>
    <t>QTVL22-QTVL01</t>
  </si>
  <si>
    <t>QTQT04-QTQT09</t>
  </si>
  <si>
    <t>DGDS21-DGDS46</t>
  </si>
  <si>
    <t>DGDM29-DGDM01</t>
  </si>
  <si>
    <t>DGCJ01-DGCJ11</t>
  </si>
  <si>
    <t>DGTD05-DGTD23</t>
  </si>
  <si>
    <t>DGDM07-DGDM13</t>
  </si>
  <si>
    <t>DGDG04-DGDG09</t>
  </si>
  <si>
    <t>DGTD24-DGDM29</t>
  </si>
  <si>
    <t>DGDM29-DGDS05</t>
  </si>
  <si>
    <t>DGDL37-DGTD24</t>
  </si>
  <si>
    <t>DGTD24-DGDS05</t>
  </si>
  <si>
    <t>DGTD24-DGDS11</t>
  </si>
  <si>
    <t>DGTD24-DGDM34</t>
  </si>
  <si>
    <t>DGDM34-DGDM17</t>
  </si>
  <si>
    <t>DGDM23-DGDM29</t>
  </si>
  <si>
    <t>DGDM29-DGDM24</t>
  </si>
  <si>
    <t>DGDM07-DGKN37</t>
  </si>
  <si>
    <t>DGDM29-DGDM10</t>
  </si>
  <si>
    <t>DGTD24-DGDM15</t>
  </si>
  <si>
    <t>DGDM29-DGDM22</t>
  </si>
  <si>
    <t>DGDM22-DGDS30</t>
  </si>
  <si>
    <t>DGDS30-DGDS07</t>
  </si>
  <si>
    <t>DGTD24-DGTD04</t>
  </si>
  <si>
    <t>DGTD04-DGTD03</t>
  </si>
  <si>
    <t>DGDS02-DGDS05</t>
  </si>
  <si>
    <t>DGDL37-DGDL29</t>
  </si>
  <si>
    <t>DGTD11-DGTD05</t>
  </si>
  <si>
    <t>DGTD05-DGTD09</t>
  </si>
  <si>
    <t>DGTD24-DGTD02</t>
  </si>
  <si>
    <t>DGDS21-DGGN05</t>
  </si>
  <si>
    <t>PITC</t>
  </si>
  <si>
    <t>DGGN15-DGGN24</t>
  </si>
  <si>
    <t>DGGN03-DGGN31</t>
  </si>
  <si>
    <t>DGDL19-DGDL03</t>
  </si>
  <si>
    <t>DGGN07-DGDL05</t>
  </si>
  <si>
    <t>DGDL05-DGDL30</t>
  </si>
  <si>
    <t>DGDL07-DGDL43</t>
  </si>
  <si>
    <t>DGDM20-DGDM07</t>
  </si>
  <si>
    <t>DGDM30-DGDM07</t>
  </si>
  <si>
    <t>DGDM06-DGDM34</t>
  </si>
  <si>
    <t>DGDM09-DGDM34</t>
  </si>
  <si>
    <t>DGDS03-DGDS02</t>
  </si>
  <si>
    <t>DGCJ19-DGCJ01</t>
  </si>
  <si>
    <t>DGTD21-DGTD04</t>
  </si>
  <si>
    <t>DGDS20-DGDS21</t>
  </si>
  <si>
    <t>DGDS18-DGDS21</t>
  </si>
  <si>
    <t>DGCJ25-DGCJ01</t>
  </si>
  <si>
    <t>DGDM41-DGDM22</t>
  </si>
  <si>
    <t>DGDM19-DGDM34</t>
  </si>
  <si>
    <t>DGGN16-DGGN07</t>
  </si>
  <si>
    <t>DGGN32-DGGN03</t>
  </si>
  <si>
    <t>DGGN33-DGDL19</t>
  </si>
  <si>
    <t>DGDL10-DGDL37</t>
  </si>
  <si>
    <t>DGDL20-DGDL19</t>
  </si>
  <si>
    <t>DGDL58-DGGN07</t>
  </si>
  <si>
    <t>DGGN14-DGGN06</t>
  </si>
  <si>
    <t>DGGN29-DGGN06</t>
  </si>
  <si>
    <t>DGDL45-DGDL05</t>
  </si>
  <si>
    <t>DGDL06-DGDL19</t>
  </si>
  <si>
    <t>DG_DWDM_DKGGNA-DGTD24</t>
  </si>
  <si>
    <t>DGDS05-DGGN03</t>
  </si>
  <si>
    <t>DGDM17-DGDM23</t>
  </si>
  <si>
    <t>DGDM31-DGDM07</t>
  </si>
  <si>
    <t>DGDM35-DGDM29</t>
  </si>
  <si>
    <t>DGDS08-DGDS02</t>
  </si>
  <si>
    <t>DGDL29-DGTD11</t>
  </si>
  <si>
    <t>DGTD09-DGTD24</t>
  </si>
  <si>
    <t>DGDS17-DGDS21</t>
  </si>
  <si>
    <t>DGGN13-DGGN03</t>
  </si>
  <si>
    <t>DGGN11-DGGN03</t>
  </si>
  <si>
    <t>DGDL44-DGDL05</t>
  </si>
  <si>
    <t>DGDL15-DGDL37</t>
  </si>
  <si>
    <t>DGDL18-DGDL37</t>
  </si>
  <si>
    <t>DG_DWDM_DKGGNA-DGDL19</t>
  </si>
  <si>
    <t>DGDL09-DGDL37</t>
  </si>
  <si>
    <t>DG_DWDM_DKGGNA-DGGN07</t>
  </si>
  <si>
    <t>DGDL16-DGDL37</t>
  </si>
  <si>
    <t>DGDL32-DGDL07</t>
  </si>
  <si>
    <t>DGDL22-DGDL37</t>
  </si>
  <si>
    <t>22DG033-DGGN06</t>
  </si>
  <si>
    <t>DGGN01-DGGN03</t>
  </si>
  <si>
    <t>DGGN03-DGGN01</t>
  </si>
  <si>
    <t>DGGN03-DG_DWDM_DKGGNA</t>
  </si>
  <si>
    <t>DGGN01-DGDL37</t>
  </si>
  <si>
    <t>DGDL37-DGGN03</t>
  </si>
  <si>
    <t>DGGN06-DGGN17</t>
  </si>
  <si>
    <t>DGGN01-DGGN08</t>
  </si>
  <si>
    <t>DGGN08-DGGN04</t>
  </si>
  <si>
    <t>DGGN15-DGGN02</t>
  </si>
  <si>
    <t>DG_DWDM_DKGGNA-DGGN03</t>
  </si>
  <si>
    <t>DGGN22-DGGN06</t>
  </si>
  <si>
    <t>DGGN20-DGGN03</t>
  </si>
  <si>
    <t>DGGN04-DGGN15</t>
  </si>
  <si>
    <t>DGGN25-DGGN03</t>
  </si>
  <si>
    <t>DGDM24-DGDM29</t>
  </si>
  <si>
    <t>DGTD05-DGTD18</t>
  </si>
  <si>
    <t>DGDS02-DGDS49</t>
  </si>
  <si>
    <t>DGDL01-DGDL37</t>
  </si>
  <si>
    <t>DGGN27-DGGN07</t>
  </si>
  <si>
    <t>21DG017-DGGN06</t>
  </si>
  <si>
    <t>21DG019-DGDS02</t>
  </si>
  <si>
    <t>22DG011-DGDM22</t>
  </si>
  <si>
    <t>DGTD01-DGTD05</t>
  </si>
  <si>
    <t>DGTD18-DGTD11</t>
  </si>
  <si>
    <t>DGTD12-DGTD11</t>
  </si>
  <si>
    <t>DGDG12-DGDG04</t>
  </si>
  <si>
    <t>DGDG11-DGDG04</t>
  </si>
  <si>
    <t>KTNH01-KTST_newsite1</t>
  </si>
  <si>
    <t>KTDT04-KTDT17</t>
  </si>
  <si>
    <t>KTNH01-KTNH12</t>
  </si>
  <si>
    <t>KTST_newsite1-KTST14</t>
  </si>
  <si>
    <t>KTKT19-KTDH09</t>
  </si>
  <si>
    <t>KTDH15-KTDH06</t>
  </si>
  <si>
    <t>KTDH06-KTDH22</t>
  </si>
  <si>
    <t>KTDH01-KTDH04</t>
  </si>
  <si>
    <t>KTDH01-KTDH18</t>
  </si>
  <si>
    <t>KTDH18-KTDH08</t>
  </si>
  <si>
    <t>KTDT04-KTDT19</t>
  </si>
  <si>
    <t>KTNH01-KTNH10</t>
  </si>
  <si>
    <t>KTDH _newsite1-KTNH01</t>
  </si>
  <si>
    <t>KTNH13-KTNH01</t>
  </si>
  <si>
    <t>KTDH01 (KTDH_newsite1)-KTDT04</t>
  </si>
  <si>
    <t>KTNH17-KTNH01</t>
  </si>
  <si>
    <t>KTNH08-KTNH01</t>
  </si>
  <si>
    <t>KTKT75-KTKT05</t>
  </si>
  <si>
    <t>KTKT81-KTKT05</t>
  </si>
  <si>
    <t>KTKT90-KTKT10</t>
  </si>
  <si>
    <t>KTKT91-KTKT30</t>
  </si>
  <si>
    <t>KTKT56-KTKT50</t>
  </si>
  <si>
    <t>KTDH09-KTDH15</t>
  </si>
  <si>
    <t>KTDH22-KTDH01</t>
  </si>
  <si>
    <t>KTDH08-KTKT19</t>
  </si>
  <si>
    <t>KTKT18-KTKT30</t>
  </si>
  <si>
    <t>KTKT02-KTKT10</t>
  </si>
  <si>
    <t>KTKT49-KTKT10</t>
  </si>
  <si>
    <t>KTKT09-KTKT39</t>
  </si>
  <si>
    <t>KTKT14-KTKT39</t>
  </si>
  <si>
    <t>KTKT31-KTKT33</t>
  </si>
  <si>
    <t>KTKT26-KTKT57</t>
  </si>
  <si>
    <t>KTKT72-KTKT50</t>
  </si>
  <si>
    <t>KTKT27-KTKT11</t>
  </si>
  <si>
    <t>KTDT10-KTDT04</t>
  </si>
  <si>
    <t>KTST20-KTST_newsite1</t>
  </si>
  <si>
    <t>KTST05-KTST_newsite1</t>
  </si>
  <si>
    <t>KTST04-KTST_newsite1</t>
  </si>
  <si>
    <t>VNPOST Kon Tum-KTKT19</t>
  </si>
  <si>
    <t>KTKT19-KTKT50</t>
  </si>
  <si>
    <t>KTKT51-KTKT33</t>
  </si>
  <si>
    <t>VNPOST Kon Tum-KTKT44</t>
  </si>
  <si>
    <t>KTKT44-KTKT10</t>
  </si>
  <si>
    <t>KTKT10-KTKT30</t>
  </si>
  <si>
    <t>KTKT30-KTKT19</t>
  </si>
  <si>
    <t>KTKT29-KTKT39</t>
  </si>
  <si>
    <t>VNPOST Kon Tum-KTKT48</t>
  </si>
  <si>
    <t>KTKT60-KTKT19</t>
  </si>
  <si>
    <t>KTKT66-KTKT57</t>
  </si>
  <si>
    <t>KTKT57-KTKT19</t>
  </si>
  <si>
    <t>KTKT35-KTKT11</t>
  </si>
  <si>
    <t>KTKT11-KTKT05</t>
  </si>
  <si>
    <t>KTKT37-KTKT19</t>
  </si>
  <si>
    <t>KTKT45-KTKT19</t>
  </si>
  <si>
    <t>KTDH25-KTDH06</t>
  </si>
  <si>
    <t>KTDH23-KTDH06</t>
  </si>
  <si>
    <t>KTDH41-KTDH15</t>
  </si>
  <si>
    <t>KTKT62-KTKT11</t>
  </si>
  <si>
    <t>KTKT86-KTKT19</t>
  </si>
  <si>
    <t>KTKT06-KTKT48</t>
  </si>
  <si>
    <t>KTKT46-KTKT57</t>
  </si>
  <si>
    <t>KTKT98-KTKT19</t>
  </si>
  <si>
    <t>KTNH14-KTNH01</t>
  </si>
  <si>
    <t>22KT020-KTKT33</t>
  </si>
  <si>
    <t>21KT024-KTKT57</t>
  </si>
  <si>
    <t>22KT002-KTDH18</t>
  </si>
  <si>
    <t>22KT023-KTDT04</t>
  </si>
  <si>
    <t>CAT-KTKT48</t>
  </si>
  <si>
    <t>QNQN02-QNNH21</t>
  </si>
  <si>
    <t>QNQN02-QNST07</t>
  </si>
  <si>
    <t>FFC</t>
  </si>
  <si>
    <t>QNQN02-QNTN06</t>
  </si>
  <si>
    <t>QNQN02-QNST02</t>
  </si>
  <si>
    <t>QNQN02-QNST19</t>
  </si>
  <si>
    <t>QNQN02-QNST36</t>
  </si>
  <si>
    <t>QNQN02-QNST18</t>
  </si>
  <si>
    <t>QNQN02-QNQN15</t>
  </si>
  <si>
    <t>QNQN02-QNQN17</t>
  </si>
  <si>
    <t>QNQN02-QNQN61</t>
  </si>
  <si>
    <t>QNQN02-QNQN44</t>
  </si>
  <si>
    <t>QNQN02-QNTN26</t>
  </si>
  <si>
    <t>QNQN30-QNQN02</t>
  </si>
  <si>
    <t>QNQN2J-QNQN02</t>
  </si>
  <si>
    <t>QNQN02-QNQN2J</t>
  </si>
  <si>
    <t>QNQN02-QNQN09</t>
  </si>
  <si>
    <t>QNMD25-QNTN05</t>
  </si>
  <si>
    <t>QNMD25-QNMD05</t>
  </si>
  <si>
    <t>QNMD25-QNNH03</t>
  </si>
  <si>
    <t>QNMD25-QNMD10</t>
  </si>
  <si>
    <t>QNMD25-QNMD24</t>
  </si>
  <si>
    <t>QNMD25-QNMD01</t>
  </si>
  <si>
    <t>TPComs</t>
  </si>
  <si>
    <t>QNNH21-QNMD25</t>
  </si>
  <si>
    <t>QNMD12-QNMD25</t>
  </si>
  <si>
    <t>QNMD19-QNMD25</t>
  </si>
  <si>
    <t>QNMD36-QNMD25</t>
  </si>
  <si>
    <t>QNMD34-QNMD25</t>
  </si>
  <si>
    <t>QNNH21-QNNH05</t>
  </si>
  <si>
    <t>QNNH21-QNMD02</t>
  </si>
  <si>
    <t>QNNH21-QNNH16</t>
  </si>
  <si>
    <t>QNNH04-QNNH21</t>
  </si>
  <si>
    <t>QNTN10-QNNH21</t>
  </si>
  <si>
    <t>QNTN43-QNNH21</t>
  </si>
  <si>
    <t>QNNH25-QNNH21</t>
  </si>
  <si>
    <t>QNNH09-QNNH21</t>
  </si>
  <si>
    <t>QNNH21-QNTN05</t>
  </si>
  <si>
    <t>QNNH21-QNNH01</t>
  </si>
  <si>
    <t>QNNH21-QNNH24</t>
  </si>
  <si>
    <t>QNNH21-QNNH14</t>
  </si>
  <si>
    <t>QNNH21-QNNH36</t>
  </si>
  <si>
    <t>QNBS23-QNBS26</t>
  </si>
  <si>
    <t>QNBS23-QNBS07</t>
  </si>
  <si>
    <t>QNBS23-QNBS16</t>
  </si>
  <si>
    <t>QNBS23-QNBS54</t>
  </si>
  <si>
    <t>QNBS23-QNBS52</t>
  </si>
  <si>
    <t>QNBS23-QNBS03</t>
  </si>
  <si>
    <t>QNST02-QNBS23</t>
  </si>
  <si>
    <t>QNBS28-QNBS23</t>
  </si>
  <si>
    <t>QNBS15-QNBS23</t>
  </si>
  <si>
    <t>QNBS25-QNBS23</t>
  </si>
  <si>
    <t>QNBS58-QNBS23</t>
  </si>
  <si>
    <t>QNBS1D-QNBS23</t>
  </si>
  <si>
    <t>QNQN26-QNTN_newsite1</t>
  </si>
  <si>
    <t>QNTN13-QNTN_newsite1</t>
  </si>
  <si>
    <t>QNTN39-QNTN_newsite1</t>
  </si>
  <si>
    <t>QNTN05-QNTN_newsite1</t>
  </si>
  <si>
    <t>QNTN_newsite1-QNQN2J</t>
  </si>
  <si>
    <t>QNBS03-QNBS50</t>
  </si>
  <si>
    <t>QNBS45-QNBS03</t>
  </si>
  <si>
    <t>QNBS59-QNBS03</t>
  </si>
  <si>
    <t>QNBS36-QNBS03</t>
  </si>
  <si>
    <t>QNBS21-QNQN85</t>
  </si>
  <si>
    <t>QNST02-QNBS21</t>
  </si>
  <si>
    <t>QNBS79-QNBS21</t>
  </si>
  <si>
    <t>QNQN1A-QNBS21</t>
  </si>
  <si>
    <t>QNBS10-QNBS05</t>
  </si>
  <si>
    <t>QNBS05-QNQN78</t>
  </si>
  <si>
    <t>QNBS41-QNBS05</t>
  </si>
  <si>
    <t>QNQN72-QNBS05</t>
  </si>
  <si>
    <t>QNBS24-QNBS05</t>
  </si>
  <si>
    <t>QNBS57-QNBS05</t>
  </si>
  <si>
    <t>QNBS05-QNBS1M</t>
  </si>
  <si>
    <t>QNBS09-QNBS28</t>
  </si>
  <si>
    <t>QNBS66-QNBS28</t>
  </si>
  <si>
    <t>QNST70-QNBS28</t>
  </si>
  <si>
    <t>QNDP39-QNDP04</t>
  </si>
  <si>
    <t>QNDP03-QNDP04</t>
  </si>
  <si>
    <t>QNDP04-QNDP33</t>
  </si>
  <si>
    <t>QNDP32-QNDP04</t>
  </si>
  <si>
    <t>QNDP04-QNDP24</t>
  </si>
  <si>
    <t>QNDP60-QNDP04</t>
  </si>
  <si>
    <t>QNMD24-QNMD11</t>
  </si>
  <si>
    <t>QNMD11-QNMD06</t>
  </si>
  <si>
    <t>QNMD45-QNMD11</t>
  </si>
  <si>
    <t>QNMD31-QNMD11</t>
  </si>
  <si>
    <t>QNMD06-QNMD27</t>
  </si>
  <si>
    <t>QNMD27-QNTN05</t>
  </si>
  <si>
    <t>QNMD16-QNMD27</t>
  </si>
  <si>
    <t>QNMD27-QNMD20</t>
  </si>
  <si>
    <t>QNNH05-QNNH15</t>
  </si>
  <si>
    <t>QNNH26-QNNH05</t>
  </si>
  <si>
    <t>QNNH36-QNNH05</t>
  </si>
  <si>
    <t>QNNH05-QNNH10</t>
  </si>
  <si>
    <t>QNNH07-QNNH06</t>
  </si>
  <si>
    <t>QNNH06-QNMD28</t>
  </si>
  <si>
    <t>QNNH02-QNNH06</t>
  </si>
  <si>
    <t>QNML02-QNNH06</t>
  </si>
  <si>
    <t>QNNH16-QNNH17</t>
  </si>
  <si>
    <t>QNNH17-QNNH08</t>
  </si>
  <si>
    <t>QNNH11-QNNH17</t>
  </si>
  <si>
    <t>QNNH38-QNNH17</t>
  </si>
  <si>
    <t>QNNH24-QNNH17</t>
  </si>
  <si>
    <t>QNNH17-QNNH27</t>
  </si>
  <si>
    <t>QNNH15-QNNH07</t>
  </si>
  <si>
    <t>QNML03-QNNH15</t>
  </si>
  <si>
    <t>QNNH19-QNNH15</t>
  </si>
  <si>
    <t>QNQN16-QNQN47</t>
  </si>
  <si>
    <t>QNQN27-QNQN16</t>
  </si>
  <si>
    <t>QNQN33-QNQN16</t>
  </si>
  <si>
    <t>QNQN03-QNQN16</t>
  </si>
  <si>
    <t>QNQN16-QNQN2J</t>
  </si>
  <si>
    <t>QNQN58-QNQN22</t>
  </si>
  <si>
    <t>QNQN41-QNQN22</t>
  </si>
  <si>
    <t>QNQN22-QNQN2J</t>
  </si>
  <si>
    <t>QNQN12-QNQN08</t>
  </si>
  <si>
    <t>QNQN08-QNQN31</t>
  </si>
  <si>
    <t>QNQN08-QNQN63</t>
  </si>
  <si>
    <t>QNQN51-QNQN10</t>
  </si>
  <si>
    <t>QNTN23-QNQN10</t>
  </si>
  <si>
    <t>QNQN10-QNQN2J</t>
  </si>
  <si>
    <t>QNQN15-QNQN12</t>
  </si>
  <si>
    <t>QNQN12-QNQN50</t>
  </si>
  <si>
    <t>QNQN09-QNQN45</t>
  </si>
  <si>
    <t>QNQN09-QNQN46</t>
  </si>
  <si>
    <t>QNQN09-QNQN55</t>
  </si>
  <si>
    <t>QNQN18-QNQN09</t>
  </si>
  <si>
    <t>QNQN09-QNQN37</t>
  </si>
  <si>
    <t>QNQN43-QNQN19</t>
  </si>
  <si>
    <t>QNQN19-QNQN35</t>
  </si>
  <si>
    <t>QNTN04-QNQN2D</t>
  </si>
  <si>
    <t>QNQN2D-QNQN26</t>
  </si>
  <si>
    <t>QNQN66-QNQN2D</t>
  </si>
  <si>
    <t>QNQN2G-QNQN2D</t>
  </si>
  <si>
    <t>QNQN2H-QNQN2D</t>
  </si>
  <si>
    <t>QNQN67-QNQN2D</t>
  </si>
  <si>
    <t>QNQN38-QNQN25</t>
  </si>
  <si>
    <t>QNTN_Newsite1-QNQN25</t>
  </si>
  <si>
    <t>QNQN25-QNQN03</t>
  </si>
  <si>
    <t>QNQN25-QNQN2L</t>
  </si>
  <si>
    <t>QNQN41-QNQN59</t>
  </si>
  <si>
    <t>QNQN07-QNQN41</t>
  </si>
  <si>
    <t>QNQN05-QNQN37</t>
  </si>
  <si>
    <t>QNQN37-QNQN2J</t>
  </si>
  <si>
    <t>QNQN53-QNQN43</t>
  </si>
  <si>
    <t>QNTN_Newsite1-QNQN43</t>
  </si>
  <si>
    <t>QNQN31-QNQN2J</t>
  </si>
  <si>
    <t>QNQN90-QNQN81</t>
  </si>
  <si>
    <t>QNQN81-QNQN78</t>
  </si>
  <si>
    <t>QNQN2N-QNQN81</t>
  </si>
  <si>
    <t>QNQN80-QNQN94</t>
  </si>
  <si>
    <t>QNQN94-QNST02</t>
  </si>
  <si>
    <t>QNST36-QNQN82</t>
  </si>
  <si>
    <t>QNQN82-QNST10</t>
  </si>
  <si>
    <t>QNST02-QNST08</t>
  </si>
  <si>
    <t>QNST08-QNST46</t>
  </si>
  <si>
    <t>QNST64-QNST08</t>
  </si>
  <si>
    <t>QNST46-QNST08</t>
  </si>
  <si>
    <t>QNST07-QNST25</t>
  </si>
  <si>
    <t>QNST47-QNST07</t>
  </si>
  <si>
    <t>QNTN06-QNTN09</t>
  </si>
  <si>
    <t>QNTN36-QNTN06</t>
  </si>
  <si>
    <t>QNTN20-QNTN06</t>
  </si>
  <si>
    <t>QNTN66-QNTN06</t>
  </si>
  <si>
    <t>QNTN38-QNTN12</t>
  </si>
  <si>
    <t>QNTN12-QNTN_NEWSITE2</t>
  </si>
  <si>
    <t>QNMD20-QNTN12</t>
  </si>
  <si>
    <t>QNTN40-QNTN66</t>
  </si>
  <si>
    <t>QNTN26-QNTN66</t>
  </si>
  <si>
    <t>QNTN66-QNTN10</t>
  </si>
  <si>
    <t>QNQN2B-QNTN39</t>
  </si>
  <si>
    <t>QNTN08-QNTN39</t>
  </si>
  <si>
    <t>HUPV08-HUPV09</t>
  </si>
  <si>
    <t>HUPV48-HUPLMA02</t>
  </si>
  <si>
    <t>HUPLMA02-HUHTMA01</t>
  </si>
  <si>
    <t>HUHT01-HUTH2N</t>
  </si>
  <si>
    <t>HUHA01-HUHA08</t>
  </si>
  <si>
    <t>HUTH89-HUHU1K</t>
  </si>
  <si>
    <t>HUPX23-HUHU21</t>
  </si>
  <si>
    <t>HUTH2N-HUPV08</t>
  </si>
  <si>
    <t>HUTH1M-HUHT25</t>
  </si>
  <si>
    <t>HUTH05-HUHU92</t>
  </si>
  <si>
    <t>HUTH01-HUHU02</t>
  </si>
  <si>
    <t>HUHT27-HUHA33</t>
  </si>
  <si>
    <t>HUHA09-HUHA01</t>
  </si>
  <si>
    <t>HUTH48-HUHU1K</t>
  </si>
  <si>
    <t>HUHT24-HUHT28</t>
  </si>
  <si>
    <t>HUTH49-HUHU1K</t>
  </si>
  <si>
    <t>HUQD06-HUHA27</t>
  </si>
  <si>
    <t>HUHA01-HUHA21</t>
  </si>
  <si>
    <t>HUQD08-HUHA01</t>
  </si>
  <si>
    <t>HUHA35-HUHA08</t>
  </si>
  <si>
    <t>HUPX18-HUHA35</t>
  </si>
  <si>
    <t>HUPX73-HUHA05</t>
  </si>
  <si>
    <t>HUTH98-HUPV01</t>
  </si>
  <si>
    <t>HUTH1F-HUPV19</t>
  </si>
  <si>
    <t>HUTH1E-HUPV16</t>
  </si>
  <si>
    <t>HUTH53-HUHU79</t>
  </si>
  <si>
    <t>HUPV27-HUHT19</t>
  </si>
  <si>
    <t>HUTH30-HUHU94</t>
  </si>
  <si>
    <t>HUHT32-HUHT18</t>
  </si>
  <si>
    <t>HUHT15-HUHT32</t>
  </si>
  <si>
    <t>HUTH35-HUHU1K</t>
  </si>
  <si>
    <t>HUPX72-HUHU86</t>
  </si>
  <si>
    <t>HUHT12-HUHU08</t>
  </si>
  <si>
    <t>HUHU60-HUHU88</t>
  </si>
  <si>
    <t>HUHA06-HUQD10</t>
  </si>
  <si>
    <t>HUPV34-HUHT25</t>
  </si>
  <si>
    <t>HUHT25-HUHU58</t>
  </si>
  <si>
    <t>HUHU86-HUHT32</t>
  </si>
  <si>
    <t>HUHU99-HUHU79</t>
  </si>
  <si>
    <t>HUHU27-HUHU35</t>
  </si>
  <si>
    <t>HUHT32-HUHU49</t>
  </si>
  <si>
    <t>HUHU88-HUHU03</t>
  </si>
  <si>
    <t>HUHU60-HUHU1D</t>
  </si>
  <si>
    <t>HUHU74-HUHU1N</t>
  </si>
  <si>
    <t>HUQD15-HUQD02</t>
  </si>
  <si>
    <t>HUHU82-HUHU38</t>
  </si>
  <si>
    <t>HUHU86-HUHU47</t>
  </si>
  <si>
    <t>HUHU17-HUHU51</t>
  </si>
  <si>
    <t>HUHU49-HUHU57</t>
  </si>
  <si>
    <t>HUHU60-HUHU59</t>
  </si>
  <si>
    <t>HUHU89-HUHU63</t>
  </si>
  <si>
    <t>HUHU88-HUHU3U</t>
  </si>
  <si>
    <t>HUHU12-HUHU2D</t>
  </si>
  <si>
    <t>HUHU60-HUHU93</t>
  </si>
  <si>
    <t>HUHU67-HUHU33</t>
  </si>
  <si>
    <t>HUPD05-HUPD59</t>
  </si>
  <si>
    <t>HUQD08-HUQD26</t>
  </si>
  <si>
    <t>HUQD08-HUQD11</t>
  </si>
  <si>
    <t>HUHT27-HUHT48</t>
  </si>
  <si>
    <t>HUHU70-HUHU2X</t>
  </si>
  <si>
    <t>HUHU88-HUHU41</t>
  </si>
  <si>
    <t>HUHU41-HUHU3T</t>
  </si>
  <si>
    <t>HUHU3T-HUHU09</t>
  </si>
  <si>
    <t>HUHU09-HUHU1V</t>
  </si>
  <si>
    <t>HUHU1V-HUHU60</t>
  </si>
  <si>
    <t>HUHU2R-HUHU70</t>
  </si>
  <si>
    <t>HUQD30-HUQD10</t>
  </si>
  <si>
    <t>HUPL76-HUPL23</t>
  </si>
  <si>
    <t>HUPL85-HUPL06</t>
  </si>
  <si>
    <t>HUHA03-HUHU67</t>
  </si>
  <si>
    <t>HUHA55-HUHA09</t>
  </si>
  <si>
    <t>HUHA56-HUHU12</t>
  </si>
  <si>
    <t>HUHU20-HUHU35</t>
  </si>
  <si>
    <t>HUHU2Y-HUHU58</t>
  </si>
  <si>
    <t>HUHU3G-HUHUMA01</t>
  </si>
  <si>
    <t>HUHU3J-HUHU17</t>
  </si>
  <si>
    <t>HUHU3M-HUHU99</t>
  </si>
  <si>
    <t>HUHU42-HUHU64</t>
  </si>
  <si>
    <t>HUPL75-HUPL03</t>
  </si>
  <si>
    <t>HUPV49-HUPV04</t>
  </si>
  <si>
    <t>HUPV55-HUPV08</t>
  </si>
  <si>
    <t>HUQD18-HUQD08</t>
  </si>
  <si>
    <t>HUQD21-HUQD06</t>
  </si>
  <si>
    <t>HUHU3L-HUHU70</t>
  </si>
  <si>
    <t>HUHU98-HUHU17</t>
  </si>
  <si>
    <t>HUQD15-HUHA27</t>
  </si>
  <si>
    <t>HUHT42-HUHT28</t>
  </si>
  <si>
    <t>HUHU32-HUHU74</t>
  </si>
  <si>
    <t>HUQD19-HUQD25</t>
  </si>
  <si>
    <t>HUHA50-HUHA21</t>
  </si>
  <si>
    <t>HUHT36-HUHU49</t>
  </si>
  <si>
    <t>HUHU23-HUHU56</t>
  </si>
  <si>
    <t>HUHU2B-HUHU08</t>
  </si>
  <si>
    <t>HUHU2D-HUHU12</t>
  </si>
  <si>
    <t>HUHU31-HUPV34</t>
  </si>
  <si>
    <t>HUHU54-HUHU1K</t>
  </si>
  <si>
    <t>HUHU84-HUPV34</t>
  </si>
  <si>
    <t>HUPL69-HUPL10</t>
  </si>
  <si>
    <t>HUPL71-HUPL23</t>
  </si>
  <si>
    <t>HUPV40-HUPV09</t>
  </si>
  <si>
    <t>HUQD22-HUQD06</t>
  </si>
  <si>
    <t>HUQD23-HUQD06</t>
  </si>
  <si>
    <t>HUPD69-HUPD02</t>
  </si>
  <si>
    <t>HUPX83-HUPX24</t>
  </si>
  <si>
    <t>HUPL92-HUPL23</t>
  </si>
  <si>
    <t>22HU002-HUPD19</t>
  </si>
  <si>
    <t>HUHU2K-HUHU1D</t>
  </si>
  <si>
    <t>HUHA01-HUHA20</t>
  </si>
  <si>
    <t>HUHA34-HUHA05</t>
  </si>
  <si>
    <t>HUHT15-HUHT05</t>
  </si>
  <si>
    <t>HUHTMA01-HUHT16</t>
  </si>
  <si>
    <t>HUPV20-HUPV05</t>
  </si>
  <si>
    <t>HUPV18-HUPV30</t>
  </si>
  <si>
    <t>HUQD10-HUQD17</t>
  </si>
  <si>
    <t>PYDH09-PYTH01</t>
  </si>
  <si>
    <t>PYTH01-PYPY01</t>
  </si>
  <si>
    <t>PYSA10-PYPH04</t>
  </si>
  <si>
    <t>PYPH04-PYPY01</t>
  </si>
  <si>
    <t>VNPOST Hòa Đa-PYTA14</t>
  </si>
  <si>
    <t>PYTA14-PYDX01</t>
  </si>
  <si>
    <t>PYDX01-PYSA09</t>
  </si>
  <si>
    <t>PYSA09-PYPY01</t>
  </si>
  <si>
    <t>DLKB04-DLKB36</t>
  </si>
  <si>
    <t>DLBT13-DLBT05</t>
  </si>
  <si>
    <t>DLBT2V-DLBT24</t>
  </si>
  <si>
    <t>DLBT97-DLBT05</t>
  </si>
  <si>
    <t>DLEH35-DLKN15</t>
  </si>
  <si>
    <t>DLKB21-DLKB31</t>
  </si>
  <si>
    <t>DLBT2X-DLBT05</t>
  </si>
  <si>
    <t>DLKN01-DLKN27</t>
  </si>
  <si>
    <t>DLCG28-DLCG33</t>
  </si>
  <si>
    <t>DLCG45-DLCG06</t>
  </si>
  <si>
    <t>DLEH55-DLEH07</t>
  </si>
  <si>
    <t>DLCG16-DLCG33</t>
  </si>
  <si>
    <t>DLBH27-DLBH15</t>
  </si>
  <si>
    <t>DLBT1F-DLBT80</t>
  </si>
  <si>
    <t>DLBT43-DLBT89</t>
  </si>
  <si>
    <t>DLBT2F-DLBT53</t>
  </si>
  <si>
    <t>DLBT2J-DLBT24</t>
  </si>
  <si>
    <t>DLCG49-DLCG06</t>
  </si>
  <si>
    <t>DLEH22-DLEH07</t>
  </si>
  <si>
    <t>DLCG04-DLCG33</t>
  </si>
  <si>
    <t>DLCG27-DLCG33</t>
  </si>
  <si>
    <t>DLCK02-DLCK11</t>
  </si>
  <si>
    <t>DLCK30-DLCK11</t>
  </si>
  <si>
    <t>DLEK50-DLEK01</t>
  </si>
  <si>
    <t>DLKN18-DLKN27</t>
  </si>
  <si>
    <t>DLKN42-DLKN15</t>
  </si>
  <si>
    <t>DLKN47-DLKN15</t>
  </si>
  <si>
    <t>DLKP64-DLKP17</t>
  </si>
  <si>
    <t>DLCG26-DLCG06</t>
  </si>
  <si>
    <t>DLKB38-DLKB31</t>
  </si>
  <si>
    <t>DLBH11-DLBH15</t>
  </si>
  <si>
    <t>DLBT82-DLBT09</t>
  </si>
  <si>
    <t>DLBT54-DLBT84</t>
  </si>
  <si>
    <t>DLBT84-DLBT80</t>
  </si>
  <si>
    <t>DLBT80-DLBT09</t>
  </si>
  <si>
    <t>DLBT09-DLBT30</t>
  </si>
  <si>
    <t>DLBT09-DLBT26</t>
  </si>
  <si>
    <t>DLBT07-DLBT09</t>
  </si>
  <si>
    <t>DLKN08-DLKN27</t>
  </si>
  <si>
    <t>DLCG03-DLEH27</t>
  </si>
  <si>
    <t>DLBH15-DLBH10</t>
  </si>
  <si>
    <t>DLBT80-DLBT2K</t>
  </si>
  <si>
    <t>DLBT11-DLBT96</t>
  </si>
  <si>
    <t>DLKB31-DLKB30</t>
  </si>
  <si>
    <t>DLKB36-DLKB19</t>
  </si>
  <si>
    <t>DLKB31-DLKB22</t>
  </si>
  <si>
    <t>DLKB36-DLKB31</t>
  </si>
  <si>
    <t>DLKB14-DLKB36</t>
  </si>
  <si>
    <t>DLKN03-DLKN27</t>
  </si>
  <si>
    <t>DLBH15-DLEH08</t>
  </si>
  <si>
    <t>DLKN14-DLKN27</t>
  </si>
  <si>
    <t>DLBH15-DLKN14</t>
  </si>
  <si>
    <t>DLKN15-DLKN27</t>
  </si>
  <si>
    <t>DLEH07-DLKN15</t>
  </si>
  <si>
    <t>DLEH18-DLEH07</t>
  </si>
  <si>
    <t>DLBH15-DLEH18</t>
  </si>
  <si>
    <t>DLBH15-DLKN02</t>
  </si>
  <si>
    <t>DLBT11-DLBT22</t>
  </si>
  <si>
    <t>DLBT52-DLBT11</t>
  </si>
  <si>
    <t>DLBT09-DLBT45</t>
  </si>
  <si>
    <t>DLCG32-DLCG03</t>
  </si>
  <si>
    <t>DLKB22-DLCG32</t>
  </si>
  <si>
    <t>DLBH15-DLBH02</t>
  </si>
  <si>
    <t>DLCG06-DLCG30</t>
  </si>
  <si>
    <t>DLCG41-DLCG06</t>
  </si>
  <si>
    <t>DLCG33-DLCG14</t>
  </si>
  <si>
    <t>DLCG08-DLCG33</t>
  </si>
  <si>
    <t>DLCG03-DLCG08</t>
  </si>
  <si>
    <t>DLBH31-DLCG03</t>
  </si>
  <si>
    <t>PYPY07-PYPY01</t>
  </si>
  <si>
    <t>PYPY33-PYTH21</t>
  </si>
  <si>
    <t>DLBHMA01-DLBH15</t>
  </si>
  <si>
    <t>DLBT09-DLBHMA01</t>
  </si>
  <si>
    <t>DLBH15-DLCG03</t>
  </si>
  <si>
    <t>DLKN27-DLBH15</t>
  </si>
  <si>
    <t>DLBT39-DLBT1T</t>
  </si>
  <si>
    <t>DLBT09-DLBT1E</t>
  </si>
  <si>
    <t>DLBT07-DLBT24</t>
  </si>
  <si>
    <t>DLBT80-DLBT53</t>
  </si>
  <si>
    <t>DLBT26-DLBT60</t>
  </si>
  <si>
    <t>DLBT10-DLBT72</t>
  </si>
  <si>
    <t>DLBT09-DLBT75</t>
  </si>
  <si>
    <t>DLBT10-DLBT88</t>
  </si>
  <si>
    <t>DLBT29-DLBT05</t>
  </si>
  <si>
    <t>DLBT20-DLBT89</t>
  </si>
  <si>
    <t>DLBT84-DLBT44</t>
  </si>
  <si>
    <t>DLBT36-DLBT25</t>
  </si>
  <si>
    <t>DLBH15-DLBH07</t>
  </si>
  <si>
    <t>PYDH36-PYPY33</t>
  </si>
  <si>
    <t>PYDH09-PYPY33</t>
  </si>
  <si>
    <t>PYPY33-PYDH05</t>
  </si>
  <si>
    <t>PYDH19-PYDH11</t>
  </si>
  <si>
    <t>PYDH11-PYDH17</t>
  </si>
  <si>
    <t>PYDH09-PYDH20</t>
  </si>
  <si>
    <t>PYDH20-PYDH12</t>
  </si>
  <si>
    <t>PYDH30-PYDH24</t>
  </si>
  <si>
    <t>PYDH24-PYPY09</t>
  </si>
  <si>
    <t>PYPY35-PYPY01</t>
  </si>
  <si>
    <t>PYTH17-PYTH01</t>
  </si>
  <si>
    <t>PYDH10-PYTH03</t>
  </si>
  <si>
    <t>PYTH03-PYTH06</t>
  </si>
  <si>
    <t>PYTH06-PYTH01</t>
  </si>
  <si>
    <t>PYTH12-PYTH01</t>
  </si>
  <si>
    <t>PYTH01-PYTH10</t>
  </si>
  <si>
    <t>PYTH10-PYTH01</t>
  </si>
  <si>
    <t>PYSA14-PYSA16</t>
  </si>
  <si>
    <t>PYSA16-PYSA10</t>
  </si>
  <si>
    <t>PYPH26-PYPH04</t>
  </si>
  <si>
    <t>PYPH04-PYPH09</t>
  </si>
  <si>
    <t>PYPH13-PYPY01</t>
  </si>
  <si>
    <t>PYPH06-PYPH04</t>
  </si>
  <si>
    <t>PYPH03-PYPH18</t>
  </si>
  <si>
    <t>PYPY05-PYPY01</t>
  </si>
  <si>
    <t>PYPH04-PYPH03</t>
  </si>
  <si>
    <t>PYPH04-PYPH02</t>
  </si>
  <si>
    <t>PYPH19-PYPY01</t>
  </si>
  <si>
    <t>PYPH04-PYPH08</t>
  </si>
  <si>
    <t>PYPH07-PYPH17</t>
  </si>
  <si>
    <t>PYPH17-PYPY01</t>
  </si>
  <si>
    <t>PYPY38-PYTA12</t>
  </si>
  <si>
    <t>PYTA12-PYTA19</t>
  </si>
  <si>
    <t>PYTA33-PYTA05</t>
  </si>
  <si>
    <t>PYTA05-PYTA14</t>
  </si>
  <si>
    <t>VNPOST Hòa Đa-PYTA32</t>
  </si>
  <si>
    <t>PYTA32-PYTA07</t>
  </si>
  <si>
    <t>PYTA01-PYTA14</t>
  </si>
  <si>
    <t>PYTA06-PYTA14</t>
  </si>
  <si>
    <t>PYTA14-PYDX08</t>
  </si>
  <si>
    <t>PYDX04-PYDX01</t>
  </si>
  <si>
    <t>PYTA14-PYTA09</t>
  </si>
  <si>
    <t>PYDX25-PYDX01</t>
  </si>
  <si>
    <t>PYTA14-PYTA16</t>
  </si>
  <si>
    <t>PYTA11-PYDX01</t>
  </si>
  <si>
    <t>PYDX01-PYDX20</t>
  </si>
  <si>
    <t>PYDX23-PYDX03</t>
  </si>
  <si>
    <t>PYDX03-PYSA09</t>
  </si>
  <si>
    <t>PYDH27-PYDH11</t>
  </si>
  <si>
    <t>PYDH40-PYDH11</t>
  </si>
  <si>
    <t>PYDH26-PYDH24</t>
  </si>
  <si>
    <t>PYPY50-PYPY67</t>
  </si>
  <si>
    <t>PYTA26-PYTA05</t>
  </si>
  <si>
    <t>PYTA50-PYTA32</t>
  </si>
  <si>
    <t>PYTA41-PYTA32</t>
  </si>
  <si>
    <t>PYDX30-PYDX01</t>
  </si>
  <si>
    <t>PYTH23-PYTH06</t>
  </si>
  <si>
    <t>PYTH26-PYTH06</t>
  </si>
  <si>
    <t>PYTH03-PYTH08</t>
  </si>
  <si>
    <t>PYSA01-PYSA16</t>
  </si>
  <si>
    <t>PYPH30-PYPH03</t>
  </si>
  <si>
    <t>PYTA20-PYTA05</t>
  </si>
  <si>
    <t>PYTA03-PYTA32</t>
  </si>
  <si>
    <t>PYPY15-PYTA12</t>
  </si>
  <si>
    <t>PYDX26-PYDX03</t>
  </si>
  <si>
    <t>PYDX24-PYDX03</t>
  </si>
  <si>
    <t>DLKN53-DLKN15</t>
  </si>
  <si>
    <t>DLCG60-DLBT25</t>
  </si>
  <si>
    <t>DLBH36-DLBH15</t>
  </si>
  <si>
    <t>DLBT3F-DLBT84</t>
  </si>
  <si>
    <t>PYPY60-PYPY66</t>
  </si>
  <si>
    <t>PYPY66-PYPY67</t>
  </si>
  <si>
    <t>PYPY67-PYPY58</t>
  </si>
  <si>
    <t>PYPY58-PYPY10</t>
  </si>
  <si>
    <t>PYPY10-PYPY49</t>
  </si>
  <si>
    <t>PYPY46-PYPY47</t>
  </si>
  <si>
    <t>PYPY47-VNPOST Tuy Hòa</t>
  </si>
  <si>
    <t>PYPY16-PYPY40</t>
  </si>
  <si>
    <t>PYPY40-PYPY68</t>
  </si>
  <si>
    <t>PYPY16-PYPY20</t>
  </si>
  <si>
    <t>PYPY20-PYPY06</t>
  </si>
  <si>
    <t>PYPY06-PYPY32</t>
  </si>
  <si>
    <t>PYPY32-VNPOST Tuy Hòa</t>
  </si>
  <si>
    <t>PYPH14-PYPH17</t>
  </si>
  <si>
    <t>PYPY02-PYPY33</t>
  </si>
  <si>
    <t>PYPY79-PYPY01</t>
  </si>
  <si>
    <t>21PY006-PYPY66</t>
  </si>
  <si>
    <t>PYTH33-PYTH03</t>
  </si>
  <si>
    <t>PYPY67-PYPY72</t>
  </si>
  <si>
    <t>PYPY40-PYPY61</t>
  </si>
  <si>
    <t>PYPY40-PYPY08</t>
  </si>
  <si>
    <t>PYPY67-PYPY11</t>
  </si>
  <si>
    <t>PYTA48-PYTA14</t>
  </si>
  <si>
    <t>PYPY76-PYPY47</t>
  </si>
  <si>
    <t>PYTH01-PYDH09</t>
  </si>
  <si>
    <t>DLBTMA01-DLBT09</t>
  </si>
  <si>
    <t>DLBT09-DLBTMA01</t>
  </si>
  <si>
    <t>DLCG07-DLCG03</t>
  </si>
  <si>
    <t>DLBHMA012-DLCG03</t>
  </si>
  <si>
    <t>DLBT09-DLBHMA012</t>
  </si>
  <si>
    <t>DLBTMA01-DLCG03</t>
  </si>
  <si>
    <t>DLCG03-DLKN27</t>
  </si>
  <si>
    <t>DLKN27-DLKN02</t>
  </si>
  <si>
    <t>DLKN02-DLBH15</t>
  </si>
  <si>
    <t>DLBH15-DLBT09</t>
  </si>
  <si>
    <t>DLEK01-DLKN02</t>
  </si>
  <si>
    <t>DLKP01-DLEK01</t>
  </si>
  <si>
    <t>DLBT09-DLKP01</t>
  </si>
  <si>
    <t>DLCK17-DLCK11</t>
  </si>
  <si>
    <t>DLCK11-DLKP17</t>
  </si>
  <si>
    <t>DLKP17-DLKP01</t>
  </si>
  <si>
    <t>DLEK27-DLEK03</t>
  </si>
  <si>
    <t>DLEK03-DLEK29</t>
  </si>
  <si>
    <t>DLEK01-DLEK29</t>
  </si>
  <si>
    <t>DLEK01-DLEK10</t>
  </si>
  <si>
    <t>DLKP05-DLEK01</t>
  </si>
  <si>
    <t>DLKP37-DLKP05</t>
  </si>
  <si>
    <t>DLKP01-DLKP37</t>
  </si>
  <si>
    <t>DLEK01-DLKP07</t>
  </si>
  <si>
    <t>DLKP06-DLKP38</t>
  </si>
  <si>
    <t>DLKP11-DLKP06</t>
  </si>
  <si>
    <t>DLEK01-DLEK34</t>
  </si>
  <si>
    <t>DLEK34-DLEK04</t>
  </si>
  <si>
    <t>DLEK30-DLEK04</t>
  </si>
  <si>
    <t>DLBT09-DLKP03</t>
  </si>
  <si>
    <t>DLKP03-DLKP14</t>
  </si>
  <si>
    <t>DLCK03-DLCK11</t>
  </si>
  <si>
    <t>DLKP17-DLKP32</t>
  </si>
  <si>
    <t>DLBT51-DLBT80</t>
  </si>
  <si>
    <t>DLBH17-DLBH15</t>
  </si>
  <si>
    <t>DLKN49-DLKN15</t>
  </si>
  <si>
    <t>DLKN05-DLKN27</t>
  </si>
  <si>
    <t>DLCG03-DLCG41</t>
  </si>
  <si>
    <t>DLCG29-DLCG03</t>
  </si>
  <si>
    <t>DLKA03-DLBT1T</t>
  </si>
  <si>
    <t>DLKB35-DLKB36</t>
  </si>
  <si>
    <t>DLKB22-DLKB13</t>
  </si>
  <si>
    <t>DLEK01-DLEK31</t>
  </si>
  <si>
    <t>DLEK53-DLEK03</t>
  </si>
  <si>
    <t>DLEK35-DLEK03</t>
  </si>
  <si>
    <t>DLEK41-DLEK04</t>
  </si>
  <si>
    <t>DLEK36-DLEK04</t>
  </si>
  <si>
    <t>DLKP43-DLKP05</t>
  </si>
  <si>
    <t>DLKP35-DLKP05</t>
  </si>
  <si>
    <t>DLKP40-DLKP05</t>
  </si>
  <si>
    <t>DLKP20-DLKP05</t>
  </si>
  <si>
    <t>DLKP10-DLKP37</t>
  </si>
  <si>
    <t>DLKP61-DLKP37</t>
  </si>
  <si>
    <t>DLKP49-DLKP06</t>
  </si>
  <si>
    <t>DLKP54-DLKP17</t>
  </si>
  <si>
    <t>DLKP50-DLKP17</t>
  </si>
  <si>
    <t>DLKP15-DLKP03</t>
  </si>
  <si>
    <t>DLKP31-DLKP03</t>
  </si>
  <si>
    <t>DLKP63-DLKP03</t>
  </si>
  <si>
    <t>DLCK06-DLCK11</t>
  </si>
  <si>
    <t>DLKG16-DLKG26</t>
  </si>
  <si>
    <t>DLKG15-DLKG16</t>
  </si>
  <si>
    <t>DLBT16-DLBT53</t>
  </si>
  <si>
    <t>DLBT1X-DLBT89</t>
  </si>
  <si>
    <t>DLEH23-DLEH07</t>
  </si>
  <si>
    <t>DLEH41-DLEH07</t>
  </si>
  <si>
    <t>DLBT19-DLBT72</t>
  </si>
  <si>
    <t>DLBT2P-DLBT88</t>
  </si>
  <si>
    <t>DLBT46-DLBT09</t>
  </si>
  <si>
    <t>DLEK11-DLEK04</t>
  </si>
  <si>
    <t>DLEK42-DLEK04</t>
  </si>
  <si>
    <t>DLKG05-DLKG33</t>
  </si>
  <si>
    <t>DLKG13-DLKG05</t>
  </si>
  <si>
    <t>DLKG27-DLKG05</t>
  </si>
  <si>
    <t>DLKG29-DLKG16</t>
  </si>
  <si>
    <t>DLBT3U-DLBT05</t>
  </si>
  <si>
    <t>DLKN58-DLKN27</t>
  </si>
  <si>
    <t>DLKN54-DLKN27</t>
  </si>
  <si>
    <t>DLKB43-DLKB36</t>
  </si>
  <si>
    <t>DLEK72-DLEK01</t>
  </si>
  <si>
    <t>22DL039-DLKP06</t>
  </si>
  <si>
    <t>DLCK22-DLCK11</t>
  </si>
  <si>
    <t>DLCK25-DLCK11</t>
  </si>
  <si>
    <t>DLEK31-DLEK01</t>
  </si>
  <si>
    <t>DLEK16-DLEK01</t>
  </si>
  <si>
    <t>Cửa hàng MobiFone huyện Buôn Hồ-DLBH15</t>
  </si>
  <si>
    <t>DLKG36-DLKG05</t>
  </si>
  <si>
    <t>DLKP76-DLKP37</t>
  </si>
  <si>
    <t>DLBT3N-DLBT05</t>
  </si>
  <si>
    <t>DLBT3T-DLBT88</t>
  </si>
  <si>
    <t>DLBT53-DLBT3Y</t>
  </si>
  <si>
    <t>DLBT4B-DLBT09</t>
  </si>
  <si>
    <t>DLBT5B-DLBT09</t>
  </si>
  <si>
    <t>DLBT72-DLBT86</t>
  </si>
  <si>
    <t>DLBT34-DLBT88</t>
  </si>
  <si>
    <t>DLBT52-DLBT09</t>
  </si>
  <si>
    <t>DLBT17-DLBT52</t>
  </si>
  <si>
    <t>DLBTMA01-DLBT17</t>
  </si>
  <si>
    <t>DNCL85-DNCL28</t>
  </si>
  <si>
    <t>DNCL28-DNCL09</t>
  </si>
  <si>
    <t>DNCL28-DNCL01</t>
  </si>
  <si>
    <t>DNCL28-DNCL16</t>
  </si>
  <si>
    <t>DNHC17-DNHC27</t>
  </si>
  <si>
    <t>DNHC17-DNHC62</t>
  </si>
  <si>
    <t>DNHC17-DNHC73</t>
  </si>
  <si>
    <t>DNHV60-DNHV01</t>
  </si>
  <si>
    <t>DNHV78-DNHV01</t>
  </si>
  <si>
    <t>DNHV01-DNHV11</t>
  </si>
  <si>
    <t>DNHV01-DNHV18</t>
  </si>
  <si>
    <t>DNHV87-DNHV01</t>
  </si>
  <si>
    <t>DNLC91-DNLC15</t>
  </si>
  <si>
    <t>DNLC15-DNLC26</t>
  </si>
  <si>
    <t>DNLC15-DNTK31</t>
  </si>
  <si>
    <t>DNLC1P-DNLC15</t>
  </si>
  <si>
    <t>DNLC07-DNLC15</t>
  </si>
  <si>
    <t>DNNH02-DNNH35</t>
  </si>
  <si>
    <t>DNNH02-DNNH44</t>
  </si>
  <si>
    <t>DNST87-DNST2G</t>
  </si>
  <si>
    <t>DNST87-DNST53</t>
  </si>
  <si>
    <t>DNST87-DNST94</t>
  </si>
  <si>
    <t>DNST87-DNST68</t>
  </si>
  <si>
    <t>DNST87-DNST65</t>
  </si>
  <si>
    <t>DNST87-DNST1D</t>
  </si>
  <si>
    <t>DNST87-DNST28</t>
  </si>
  <si>
    <t>QAHA03-QAHA06</t>
  </si>
  <si>
    <t>QAHA32-QAHA06</t>
  </si>
  <si>
    <t>QAHA06-QAHA27</t>
  </si>
  <si>
    <t>QAHA25-QAHA06</t>
  </si>
  <si>
    <t>QAHA05-QAHA06</t>
  </si>
  <si>
    <t>QANT37-QANT01</t>
  </si>
  <si>
    <t>QATB_newsite 2-QATB10</t>
  </si>
  <si>
    <t>QATB_newsite 2-QATB18</t>
  </si>
  <si>
    <t>QATB_newsite 2-QATB25</t>
  </si>
  <si>
    <t>QAQS10-QATB_newsite 2</t>
  </si>
  <si>
    <t>QAQS03-QATB_newsite 2</t>
  </si>
  <si>
    <t>QAQS19-QATB_newsite 2</t>
  </si>
  <si>
    <t>QATB01-QATB_newsite 2</t>
  </si>
  <si>
    <t>QATB1D-QATB_newsite 2</t>
  </si>
  <si>
    <t>QANT04-QATB35</t>
  </si>
  <si>
    <t>QATB35-QATB32</t>
  </si>
  <si>
    <t>QATB35-QATK39</t>
  </si>
  <si>
    <t>QADX35-QATB35</t>
  </si>
  <si>
    <t>QATB03-QATB35</t>
  </si>
  <si>
    <t>QATB94-QATB31</t>
  </si>
  <si>
    <t>QATB1B-QATB31</t>
  </si>
  <si>
    <t>QATB14-QATB31</t>
  </si>
  <si>
    <t>QATB31-QATK43</t>
  </si>
  <si>
    <t>QATB31-QATB73</t>
  </si>
  <si>
    <t>QATB31-QAQS05</t>
  </si>
  <si>
    <t>QATK71-QATB31</t>
  </si>
  <si>
    <t>QATK39-QATK02</t>
  </si>
  <si>
    <t>QATK39-QATK04</t>
  </si>
  <si>
    <t>QATK39-QATK32</t>
  </si>
  <si>
    <t>QAPN06-QATK39</t>
  </si>
  <si>
    <t>QATK23-QATK39</t>
  </si>
  <si>
    <t>QATK34-QATK39</t>
  </si>
  <si>
    <t>QATK41-QATK39</t>
  </si>
  <si>
    <t>QATK03-QATK39</t>
  </si>
  <si>
    <t>DNCL08-DNCL33</t>
  </si>
  <si>
    <t>DNCL53-DNCL30</t>
  </si>
  <si>
    <t>DNCL14-DNCL30</t>
  </si>
  <si>
    <t>DNCL30-DNCL70</t>
  </si>
  <si>
    <t>DNCL93-DNCL56</t>
  </si>
  <si>
    <t>DNCL78-DNCL56</t>
  </si>
  <si>
    <t>DNCL83-DNCL56</t>
  </si>
  <si>
    <t>DNCL96-DNCL56</t>
  </si>
  <si>
    <t>DNHC86-DNHC02</t>
  </si>
  <si>
    <t>DNHC87-DNHC02</t>
  </si>
  <si>
    <t>DNHC85-DNHC02</t>
  </si>
  <si>
    <t>DNHC23-DNHC02</t>
  </si>
  <si>
    <t>DNHC02-DNHC16</t>
  </si>
  <si>
    <t>DNHC50-DNHC24</t>
  </si>
  <si>
    <t>DNHC97-DNHC46</t>
  </si>
  <si>
    <t>DNHC46-DNHC43</t>
  </si>
  <si>
    <t>DNHC76-DNHC54</t>
  </si>
  <si>
    <t>DNHC2O-DNHC54</t>
  </si>
  <si>
    <t>DNCL41-DNHV12</t>
  </si>
  <si>
    <t>DNHV12-DNCL69</t>
  </si>
  <si>
    <t>DNHV12-DNCL71</t>
  </si>
  <si>
    <t>DNHV12-DNHV64</t>
  </si>
  <si>
    <t>DNHV12-DNCL67</t>
  </si>
  <si>
    <t>22DN015-DNHV12</t>
  </si>
  <si>
    <t>22DN067-DNHV12</t>
  </si>
  <si>
    <t>DNHW22-DNHW10</t>
  </si>
  <si>
    <t>DNCL31-DNLC06</t>
  </si>
  <si>
    <t>DNLC06-DNLC21</t>
  </si>
  <si>
    <t>DNLC31-DNLC11</t>
  </si>
  <si>
    <t>DNLC28-DNLC11</t>
  </si>
  <si>
    <t>DNLC11-DNLC1E</t>
  </si>
  <si>
    <t>DNLC11-DNLC64</t>
  </si>
  <si>
    <t>DNHW23-DNLC11</t>
  </si>
  <si>
    <t>DNLC11-DNLC22</t>
  </si>
  <si>
    <t>DNLC36-DNLC1P</t>
  </si>
  <si>
    <t>DNLC10-DNLC22</t>
  </si>
  <si>
    <t>DNLC33-DNLC22</t>
  </si>
  <si>
    <t>DNLC1C-DNLC22</t>
  </si>
  <si>
    <t>DNLC22-DNLC68</t>
  </si>
  <si>
    <t>DNLC22-DNLC13</t>
  </si>
  <si>
    <t>DNNH08-DNNH59</t>
  </si>
  <si>
    <t>DNNH1T-DNNH59</t>
  </si>
  <si>
    <t>DNNH63-DNNH59</t>
  </si>
  <si>
    <t>DNNH59-DNNH64</t>
  </si>
  <si>
    <t>DNNH59-DNNH65</t>
  </si>
  <si>
    <t>DNNH59-DNNH74</t>
  </si>
  <si>
    <t>DNNH59-DNNH80</t>
  </si>
  <si>
    <t>DNCL74-DNTK08</t>
  </si>
  <si>
    <t>DNTK32-DNTK10</t>
  </si>
  <si>
    <t>DNTK10-DNTK75</t>
  </si>
  <si>
    <t>DNTK10-DNTK76</t>
  </si>
  <si>
    <t>DNTK13-DNTK10</t>
  </si>
  <si>
    <t>DNTK10-DNTK14</t>
  </si>
  <si>
    <t>QADB02-QADB34</t>
  </si>
  <si>
    <t>QADB02-QADB35</t>
  </si>
  <si>
    <t>QADB02-QADB59</t>
  </si>
  <si>
    <t>QADB02-QADB64</t>
  </si>
  <si>
    <t>QADB11-QADB02</t>
  </si>
  <si>
    <t>QADB02-QADB16</t>
  </si>
  <si>
    <t>QADB53-QADB02</t>
  </si>
  <si>
    <t>QADB36-QADB02</t>
  </si>
  <si>
    <t>20QA168-QADB02</t>
  </si>
  <si>
    <t>QADX70-QADX19</t>
  </si>
  <si>
    <t>QAHA02-QAHA18</t>
  </si>
  <si>
    <t>QAHA18-QAHA04</t>
  </si>
  <si>
    <t>QAPN05-QAPN04</t>
  </si>
  <si>
    <t>QAPN42-QAPN04</t>
  </si>
  <si>
    <t>QAPN32-QAPN04</t>
  </si>
  <si>
    <t>QAPN39-QAPN04</t>
  </si>
  <si>
    <t>QAPN04-QATK41</t>
  </si>
  <si>
    <t>QAPN22-QAPN04</t>
  </si>
  <si>
    <t>QAQS36-QAQS10</t>
  </si>
  <si>
    <t>QATB42-QAQS10</t>
  </si>
  <si>
    <t>QAQS10-QAQS49</t>
  </si>
  <si>
    <t>QAQS33-QAQS10</t>
  </si>
  <si>
    <t>QAQS16-QAQS10</t>
  </si>
  <si>
    <t>QAQS19-QATB11</t>
  </si>
  <si>
    <t>QATB74-QATB14</t>
  </si>
  <si>
    <t>QATB_ newsite 2-QATB14</t>
  </si>
  <si>
    <t>QATB14-QATB49</t>
  </si>
  <si>
    <t>QATB14-QATB26</t>
  </si>
  <si>
    <t>QATB25-QATB14</t>
  </si>
  <si>
    <t>QATB1A-QATB34</t>
  </si>
  <si>
    <t>QATB59-QATB34</t>
  </si>
  <si>
    <t>QATB06-QATB34</t>
  </si>
  <si>
    <t>QATB34-QATK71</t>
  </si>
  <si>
    <t>QATB34-QATB47</t>
  </si>
  <si>
    <t>QATK18-QATK03</t>
  </si>
  <si>
    <t>QATK70-QATK03</t>
  </si>
  <si>
    <t>QATK24-QATK05</t>
  </si>
  <si>
    <t>QATK15-QATK57</t>
  </si>
  <si>
    <t>QATK15-QAPN22</t>
  </si>
  <si>
    <t>QATK71-QATK15</t>
  </si>
  <si>
    <t>QATK71-QATK18</t>
  </si>
  <si>
    <t>QATK36-QATK22</t>
  </si>
  <si>
    <t>QATK22-QAPN17</t>
  </si>
  <si>
    <t>QATK22-QATK49</t>
  </si>
  <si>
    <t>QATK22-QAPN41</t>
  </si>
  <si>
    <t>QATK22-QAPN21</t>
  </si>
  <si>
    <t>QATK71-QATK22</t>
  </si>
  <si>
    <t>QATK37-QAPN09</t>
  </si>
  <si>
    <t>QATK71-QATK37</t>
  </si>
  <si>
    <t>QATK71-QATK47</t>
  </si>
  <si>
    <t>DNHC07-DNCL28</t>
  </si>
  <si>
    <t>DNCL28-DNTK16</t>
  </si>
  <si>
    <t>DNCL28-DNCL48</t>
  </si>
  <si>
    <t>DNCL26-DNCL28</t>
  </si>
  <si>
    <t>DNCL28-DNCL12</t>
  </si>
  <si>
    <t>DNCL28-DNCL30</t>
  </si>
  <si>
    <t>DNHC17-DNTK01</t>
  </si>
  <si>
    <t>DNHC13-DNHC17</t>
  </si>
  <si>
    <t>DNHC17-DNHC20</t>
  </si>
  <si>
    <t>DNTK12-DNHC17</t>
  </si>
  <si>
    <t>DNHC17-DNTK05</t>
  </si>
  <si>
    <t>DNHC17-DNHC28</t>
  </si>
  <si>
    <t>DNHC75-DNHC17</t>
  </si>
  <si>
    <t>DNCL03-DNHV01</t>
  </si>
  <si>
    <t>DNHV01-DNHW02</t>
  </si>
  <si>
    <t>DNHV73-DNHV01</t>
  </si>
  <si>
    <t>DNHV01-DNHV44</t>
  </si>
  <si>
    <t>DNHV01-DNHV34</t>
  </si>
  <si>
    <t>DNHV13-DNHV01</t>
  </si>
  <si>
    <t>DNHV9A-DNHV01</t>
  </si>
  <si>
    <t>DNNH12-DNHV04</t>
  </si>
  <si>
    <t>DNHV04-DNCL92</t>
  </si>
  <si>
    <t>DNHV22-DNHV04</t>
  </si>
  <si>
    <t>DNHV29-DNHV04</t>
  </si>
  <si>
    <t>DNHV52-DNHV04</t>
  </si>
  <si>
    <t>DT-DN06-DNHV04</t>
  </si>
  <si>
    <t>DNCL92-DNHV04</t>
  </si>
  <si>
    <t>DNHW02-DNLC15</t>
  </si>
  <si>
    <t>DNLC15-DNLC25</t>
  </si>
  <si>
    <t>DNLC15-DNLC16</t>
  </si>
  <si>
    <t>DNNH11-DNNH02</t>
  </si>
  <si>
    <t>DNNH02-DNNH12</t>
  </si>
  <si>
    <t>DNNH02-DNNH30</t>
  </si>
  <si>
    <t>DNNH26-DNNH02</t>
  </si>
  <si>
    <t>DNNH31-DNNH02</t>
  </si>
  <si>
    <t>DNNH38-DNNH02</t>
  </si>
  <si>
    <t>DNNH02-DNNH1X</t>
  </si>
  <si>
    <t>DNST18-DNST87</t>
  </si>
  <si>
    <t>DNST87-DNTK01</t>
  </si>
  <si>
    <t>DNST15-DNST87</t>
  </si>
  <si>
    <t>DNST47-DNST87</t>
  </si>
  <si>
    <t>DNST87-DNST25</t>
  </si>
  <si>
    <t>DNST2H-DNST87</t>
  </si>
  <si>
    <t>QADB15-QAQS05</t>
  </si>
  <si>
    <t>QADB15-QADB04</t>
  </si>
  <si>
    <t>QADB15-QADB08</t>
  </si>
  <si>
    <t>QADB15-QADB07</t>
  </si>
  <si>
    <t>QADB15-QADX12</t>
  </si>
  <si>
    <t>QADB15-QADB13</t>
  </si>
  <si>
    <t>QADB85-QADB15</t>
  </si>
  <si>
    <t>QADB01-QADB15</t>
  </si>
  <si>
    <t>QADB39-QADB15</t>
  </si>
  <si>
    <t>QADB04-QADLMA01</t>
  </si>
  <si>
    <t>QADLMA01-QADX04</t>
  </si>
  <si>
    <t>QADL19-QADLMA01</t>
  </si>
  <si>
    <t>QADLMA01-QADL11</t>
  </si>
  <si>
    <t>QADLMA01-QADL14</t>
  </si>
  <si>
    <t>QADLMA01-QADL31</t>
  </si>
  <si>
    <t>QADL22-QADLMA01</t>
  </si>
  <si>
    <t>QADLMA01-QADL37</t>
  </si>
  <si>
    <t>QADL67-QADLMA01</t>
  </si>
  <si>
    <t>QADL01-QADLMA01</t>
  </si>
  <si>
    <t>QADX04-QAQS06</t>
  </si>
  <si>
    <t>QADX03-QADX04</t>
  </si>
  <si>
    <t>QADX34-QADX04</t>
  </si>
  <si>
    <t>QADX19-QADX04</t>
  </si>
  <si>
    <t>QADX04-QADB54</t>
  </si>
  <si>
    <t>QADX04-QADX24</t>
  </si>
  <si>
    <t>QADX04-QADX50</t>
  </si>
  <si>
    <t>QADX63-QADX04</t>
  </si>
  <si>
    <t>QADX61-QADX04</t>
  </si>
  <si>
    <t>QAHA02-QAHA06</t>
  </si>
  <si>
    <t>QAHA06-QADB46</t>
  </si>
  <si>
    <t>QAHA06-QAHA41</t>
  </si>
  <si>
    <t>QANT03-QANT01</t>
  </si>
  <si>
    <t>QANT01-QATK71</t>
  </si>
  <si>
    <t>QANT38-QANT01</t>
  </si>
  <si>
    <t>QANT14-QANT01</t>
  </si>
  <si>
    <t>QANT01-QANT31</t>
  </si>
  <si>
    <t>QANT01-QANT53</t>
  </si>
  <si>
    <t>QAQS05-QATB_newsite 2</t>
  </si>
  <si>
    <t>QATB_newsite 2-QATB03</t>
  </si>
  <si>
    <t>CHGD huyện Thăng Bình-QATB_newsite 2</t>
  </si>
  <si>
    <t>QATB43-QATB_newsite 2</t>
  </si>
  <si>
    <t>QATB35-QATKMA01</t>
  </si>
  <si>
    <t>QATB12-QATB35</t>
  </si>
  <si>
    <t>QATB35-QATK62</t>
  </si>
  <si>
    <t>MX QATKMA01-QADX35 hướng cầu Bình Nam-QATB35</t>
  </si>
  <si>
    <t>QATB35-MX QATKMA01-QADX35 hướng cầu Tỉnh Thủy</t>
  </si>
  <si>
    <t>QAQS06-QATB31</t>
  </si>
  <si>
    <t>QATB31-QATK71</t>
  </si>
  <si>
    <t>DNHC92-DNCL08</t>
  </si>
  <si>
    <t>DNHC49-DNCL08</t>
  </si>
  <si>
    <t>DNCL08-DNCL09</t>
  </si>
  <si>
    <t>DNCL80-DNCL30</t>
  </si>
  <si>
    <t>DNCL18-DNCL30</t>
  </si>
  <si>
    <t>DNCL58-DNCL56</t>
  </si>
  <si>
    <t>DNCL56-DNCL47</t>
  </si>
  <si>
    <t>DNNH18-DNCL56</t>
  </si>
  <si>
    <t>DNCL56-DNCL24</t>
  </si>
  <si>
    <t>DNHC02-MX Lê Hồng Phong-Phan Chu Trinh</t>
  </si>
  <si>
    <t>MX Yên Bái – Nguyễn Thái Học-DNHC02</t>
  </si>
  <si>
    <t>DNHC16-DNHC02</t>
  </si>
  <si>
    <t>DNHC02-DNHC2S</t>
  </si>
  <si>
    <t>DNHC79-DNHC24</t>
  </si>
  <si>
    <t>DNHC24-DNHC75</t>
  </si>
  <si>
    <t>DNHC13-DNHC24</t>
  </si>
  <si>
    <t>DNHC60-DNHC24</t>
  </si>
  <si>
    <t>DNHC46-DNHC61</t>
  </si>
  <si>
    <t>DNHC30-DNHC46</t>
  </si>
  <si>
    <t>DNHC54-DNHC05</t>
  </si>
  <si>
    <t>DNHC54-DNHC34</t>
  </si>
  <si>
    <t>DNTK17-DNHC77</t>
  </si>
  <si>
    <t>DNHC01-DNHC77</t>
  </si>
  <si>
    <t>DNHV12-DNHV52</t>
  </si>
  <si>
    <t>DNNH12-DNHV12</t>
  </si>
  <si>
    <t>DNHW03-DNHW22</t>
  </si>
  <si>
    <t>DNHW22-DNHW06</t>
  </si>
  <si>
    <t>DNLC02-DNTK31</t>
  </si>
  <si>
    <t>DNLC18-DNLC02</t>
  </si>
  <si>
    <t>21DN013-DNLC02</t>
  </si>
  <si>
    <t>DNLC06-DNLC55</t>
  </si>
  <si>
    <t>DNLC82-DNLC06</t>
  </si>
  <si>
    <t>DNLC1Y-DNLC06</t>
  </si>
  <si>
    <t>DNLC1W-DNLC1P</t>
  </si>
  <si>
    <t>DNLC22-DNLC50</t>
  </si>
  <si>
    <t>DNNH39-DNNH59</t>
  </si>
  <si>
    <t>DNNH11-DNNH59</t>
  </si>
  <si>
    <t>DNNH59-DNNH09</t>
  </si>
  <si>
    <t>22DN042-DNNH59</t>
  </si>
  <si>
    <t>DNST1W-DNST12</t>
  </si>
  <si>
    <t>DNST27-DNST12</t>
  </si>
  <si>
    <t>DNST01-DNST12</t>
  </si>
  <si>
    <t>DNST12-DNST42</t>
  </si>
  <si>
    <t>DNCL20-DNTK08</t>
  </si>
  <si>
    <t>DNCL04-DNTK08</t>
  </si>
  <si>
    <t>DNTK08-DNTK26</t>
  </si>
  <si>
    <t>DNTK10-DNTK62</t>
  </si>
  <si>
    <t>DNTK58-DNTK10</t>
  </si>
  <si>
    <t>DNTK14-DNTK10</t>
  </si>
  <si>
    <t>QADB57-QADB02</t>
  </si>
  <si>
    <t>QADB08-QADB73</t>
  </si>
  <si>
    <t>QADB04-QADB52</t>
  </si>
  <si>
    <t>QADB52-QADL09</t>
  </si>
  <si>
    <t>QADB17-QADB52</t>
  </si>
  <si>
    <t>QADL34-QADL15</t>
  </si>
  <si>
    <t>QADL15-QADX34</t>
  </si>
  <si>
    <t>QADL32-QADL15</t>
  </si>
  <si>
    <t>QADL62-QADL15</t>
  </si>
  <si>
    <t>QADL33-QADL15</t>
  </si>
  <si>
    <t>QADL05-QADX19</t>
  </si>
  <si>
    <t>QADX39-QADX20</t>
  </si>
  <si>
    <t>QADX20-QAQS06</t>
  </si>
  <si>
    <t>QADX30-QADX20</t>
  </si>
  <si>
    <t>QADX08-QADX20</t>
  </si>
  <si>
    <t>18QA083-QAHA18</t>
  </si>
  <si>
    <t>QATK07-QANT49</t>
  </si>
  <si>
    <t>QANT49-QANT06</t>
  </si>
  <si>
    <t>QANT29-QANT49</t>
  </si>
  <si>
    <t>QAPN04-QAPN14</t>
  </si>
  <si>
    <t>21QA013-QAPN04</t>
  </si>
  <si>
    <t>QAQS38-QAQS10</t>
  </si>
  <si>
    <t>QATB52-QATB11</t>
  </si>
  <si>
    <t>21QA048-QATB14</t>
  </si>
  <si>
    <t>QAPN43-QATB34</t>
  </si>
  <si>
    <t>QATK03-QATK46</t>
  </si>
  <si>
    <t>QATK18-QATK24</t>
  </si>
  <si>
    <t>NH Nam Á Bank-QATK18</t>
  </si>
  <si>
    <t>QAPN20-QATK22</t>
  </si>
  <si>
    <t>Loại cáp</t>
  </si>
  <si>
    <t>Đơn vị sở hữu</t>
  </si>
  <si>
    <t>Tuyến cáp thuê gốc</t>
  </si>
  <si>
    <t>A</t>
  </si>
  <si>
    <t>B</t>
  </si>
  <si>
    <t>Chọn Tổng kéo &lt;3km</t>
  </si>
  <si>
    <t>Dist (m) P1-&gt;R + DP</t>
  </si>
  <si>
    <t>Dist (m) P2-&gt;R + DP</t>
  </si>
  <si>
    <t>km cáp H04 ( vlookup)</t>
  </si>
  <si>
    <t>Cấp 3/ 4</t>
  </si>
  <si>
    <t>TT2-Gia Lai-Ia Grai</t>
  </si>
  <si>
    <t>Ia Grai- Đức Cơ</t>
  </si>
  <si>
    <t>Đức Cơ- Chư Prông</t>
  </si>
  <si>
    <t>PC11A-Chư Sê</t>
  </si>
  <si>
    <t>Kon Gang - TTCMKV Mang Yang</t>
  </si>
  <si>
    <t>Đak Pơ- Mang Yang</t>
  </si>
  <si>
    <t>Mang Yang-TT2 Gia Lai</t>
  </si>
  <si>
    <t>TT1 Gia Lai - TT2 Gia Lai (ring 1)</t>
  </si>
  <si>
    <t>Pleiku - Biển Hồ</t>
  </si>
  <si>
    <t>Thống Nhất - Ia Hrung</t>
  </si>
  <si>
    <t>Trại Giam Gia Trung-Đak Pơ</t>
  </si>
  <si>
    <t>Mang Yang- Trại Giam Gia Trung</t>
  </si>
  <si>
    <t>An Khê-Đak Pơ</t>
  </si>
  <si>
    <t>Kông Bơ La - An Khê</t>
  </si>
  <si>
    <t>Cửu An - TTCMKV An Khê</t>
  </si>
  <si>
    <t>Kbang - Cửu An</t>
  </si>
  <si>
    <t>Ia băng - Đăk Đoa</t>
  </si>
  <si>
    <t>TT2 Gia Lai- Chư Sê</t>
  </si>
  <si>
    <t>Hội Phú - Ia Băng</t>
  </si>
  <si>
    <t>Kdang - Bờ Ngoong</t>
  </si>
  <si>
    <t>TT2 Gia Lai - TT1 Gia Lai (ring 2)</t>
  </si>
  <si>
    <t>TTCMKV Mang Yang - Lơ Pang</t>
  </si>
  <si>
    <t>Ia Ly - Ia Khươi</t>
  </si>
  <si>
    <t>TT2 Gia Lai - Chư Pah</t>
  </si>
  <si>
    <t>Ia Phí - Ia Ly</t>
  </si>
  <si>
    <t>Ia Khơi - Đăk Sơ Mei</t>
  </si>
  <si>
    <t>TT2 Gia Lai - Hội Phú</t>
  </si>
  <si>
    <t>IaO - Ia CHia</t>
  </si>
  <si>
    <t>Ia Krai - Ia O</t>
  </si>
  <si>
    <t>TTCMKV IaGrai - Ia Krai</t>
  </si>
  <si>
    <t>TTCMKV Đức Cơ - Ia Dom</t>
  </si>
  <si>
    <t>Ia Chía - Ia Đơk</t>
  </si>
  <si>
    <t>Ia Hrung - IaGrai</t>
  </si>
  <si>
    <t>Hàm Rồng-Gia Lai</t>
  </si>
  <si>
    <t>Chư Pưh- Hàm Rồng</t>
  </si>
  <si>
    <t>TT2 - Gào</t>
  </si>
  <si>
    <t>Gào - Bàu Cạn</t>
  </si>
  <si>
    <t>Bàu Cạn-Ia Krel</t>
  </si>
  <si>
    <t>TTCMKV Chư Prông - Chư Prông</t>
  </si>
  <si>
    <t>Chư Prông-Chư Pưh</t>
  </si>
  <si>
    <t>Ia Ko - Ia Hrú</t>
  </si>
  <si>
    <t>Ia Mơ - Ia Lâu</t>
  </si>
  <si>
    <t>TTCMKV Chư Prong - IaPia</t>
  </si>
  <si>
    <t>Ia Tôr - Ia Ko</t>
  </si>
  <si>
    <t>Bờ Ngoong - AlBá</t>
  </si>
  <si>
    <t>TTCMKV Chư Sê - Chư A Thai</t>
  </si>
  <si>
    <t>Chư Sê- Phú Thiện</t>
  </si>
  <si>
    <t>CA Công an tỉnh - Quy Nhơn Nam</t>
  </si>
  <si>
    <t>Phù Mỹ-  Hoài Ân</t>
  </si>
  <si>
    <t>Hoài Nhơn Đông - TTCMKV Hoài Ân</t>
  </si>
  <si>
    <t>PX05 - Khối CQ CSĐT</t>
  </si>
  <si>
    <t>Khối CQ CSĐT - PA07 cũ</t>
  </si>
  <si>
    <t>CA Tỉnh - Tuy Phước</t>
  </si>
  <si>
    <t>Quy Nhơn Tây - CA Công an tỉnh</t>
  </si>
  <si>
    <t>PC08 - PC11B</t>
  </si>
  <si>
    <t>An Nhơn Bắc - TTCMKV An Nhơn</t>
  </si>
  <si>
    <t>Cơ sở cai nghiện ma tuý (PC04) - TT1 Gia Lai (Quy nhơn)_v1</t>
  </si>
  <si>
    <t>Quy Nhơn Nam - Quy Nhơn</t>
  </si>
  <si>
    <t>Vân Canh-TT1 Gia Lai</t>
  </si>
  <si>
    <t>CA Tỉnh - Quy Nhơn Đông</t>
  </si>
  <si>
    <t>An Nhơn Đông - An Nhơn</t>
  </si>
  <si>
    <t>Bình Hiệp - Hội Sơn</t>
  </si>
  <si>
    <t>Tây Sơn- An Nhơn</t>
  </si>
  <si>
    <t>An Nhơn Tây - An Nhơn Đông</t>
  </si>
  <si>
    <t>TTCMKV Hoài Ân - Hoài Nhơn Nam</t>
  </si>
  <si>
    <t>Hoài Nhơn Nam - Hoài Nhơn</t>
  </si>
  <si>
    <t>Hoài Nhơn Bắc - Hoài Nhơn Đông</t>
  </si>
  <si>
    <t>Hoài Nhơn Tây - Tam Quan</t>
  </si>
  <si>
    <t>Tam Quan-Hoài Nhơn Bắc_Trung thế.kmz</t>
  </si>
  <si>
    <t>Phù Cát - Xuân An</t>
  </si>
  <si>
    <t>Xuân An - Ngô Mây</t>
  </si>
  <si>
    <t>Cát Tiến - Đề Gi</t>
  </si>
  <si>
    <t>TT1 Gia Lai- Cát Tiến</t>
  </si>
  <si>
    <t>Hội Sơn - Hòa Hội</t>
  </si>
  <si>
    <t>Phù Mỹ Tây - Phù Mỹ Đông</t>
  </si>
  <si>
    <t>Phù Mỹ Nam - TTCMKV Phù Mỹ</t>
  </si>
  <si>
    <t>Đề Gi - An Lương</t>
  </si>
  <si>
    <t>Phù Mỹ Đông - Bình Dương</t>
  </si>
  <si>
    <t>Phù Mỹ Bắc - TTCMKV Hoài Ân</t>
  </si>
  <si>
    <t>CA Tỉnh - Tuy Phước Tây</t>
  </si>
  <si>
    <t>An Nhơn-TT1 Gia Lai</t>
  </si>
  <si>
    <t>Tuy Phước Bắc - Bình Định</t>
  </si>
  <si>
    <t>TTCMKV Hoài Ân - An Vinh</t>
  </si>
  <si>
    <t>Canh Vinh - Quy Nhơn Tây</t>
  </si>
  <si>
    <t>TT2</t>
  </si>
  <si>
    <t>Gia Lai-Ia Grai</t>
  </si>
  <si>
    <t>Ia Grai</t>
  </si>
  <si>
    <t>Đức Cơ</t>
  </si>
  <si>
    <t>Chư Prông</t>
  </si>
  <si>
    <t>PC11A</t>
  </si>
  <si>
    <t>Chư Sê</t>
  </si>
  <si>
    <t>Kon Gang</t>
  </si>
  <si>
    <t>TTCMKV Mang Yang</t>
  </si>
  <si>
    <t>Đak Pơ</t>
  </si>
  <si>
    <t>Mang Yang</t>
  </si>
  <si>
    <t>TT2 Gia Lai</t>
  </si>
  <si>
    <t>Mạng cấp 4</t>
  </si>
  <si>
    <t>Mạng cấp 3</t>
  </si>
  <si>
    <t>tên gốc</t>
  </si>
  <si>
    <t>3.PC06 - PA08_Cột trung thế</t>
  </si>
  <si>
    <t>2.CATP Nha trang cũ - PC06_Ngầm mới</t>
  </si>
  <si>
    <t>Ngọk Réo - TTCMKV Đăk Hà</t>
  </si>
  <si>
    <t>PC07 - Khối CS (PC01, PC02, PC03, PC04)</t>
  </si>
  <si>
    <t>PC08 - TT2 Kon Tum</t>
  </si>
  <si>
    <t>PA06 - PC07</t>
  </si>
  <si>
    <t>Tên tuyến cáp Tối ưu ver 7 sửa KH 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</si>
</sst>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2" fontId="0" fillId="0" borderId="0" xfId="0" applyNumberFormat="1"/>
    <xf numFmtId="0" fontId="2" fillId="3" borderId="1" xfId="0" applyFont="1" applyFill="1" applyBorder="1" applyAlignment="1">
      <alignment horizontal="left"/>
    </xf>
    <xf numFmtId="0" fontId="0" fillId="3" borderId="1" xfId="0" applyFill="1" applyBorder="1"/>
    <xf numFmtId="0" fontId="0" fillId="3" borderId="0" xfId="0" applyFill="1"/>
    <xf numFmtId="0" fontId="0" fillId="0" borderId="2" xfId="0" applyBorder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1" xfId="0" applyFill="1" applyBorder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microsoft.com/office/2019/04/relationships/externalLinkLongPath" Target="https://mobifone888-my.sharepoint.com/personal/nghiem_nguyen_mobifone_vn/Documents/QLTD/Quy%20ho&#7841;ch%20m&#7841;ng%20v&#244;%20tuy&#7871;n/C&#193;C%20C&#212;NG%20VI&#7878;C%20T&#7892;%20QH%20TD/2025/&#272;&#7873;%20xu&#7845;t%20c&#225;p%20l&#432;&#7905;ng%20d&#7909;ng/Mau%20thong%20ke%20danh%20sach%20tuyen%20cap%20luong%20dung_TH_BC%20v1_4_du%20lieu%2028112025_TH_final_03122025.xlsx?59669D47" TargetMode="External"/><Relationship Id="rId1" Type="http://schemas.openxmlformats.org/officeDocument/2006/relationships/externalLinkPath" Target="file:///\\59669D47\Mau%20thong%20ke%20danh%20sach%20tuyen%20cap%20luong%20dung_TH_BC%20v1_4_du%20lieu%2028112025_TH_final_031220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output_h04_v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en do"/>
      <sheetName val="TH PA su dung cap H04-nội tỉnh"/>
      <sheetName val="TH Swap cáp thuê PA1"/>
      <sheetName val="TH"/>
      <sheetName val="Chi tiet (2)"/>
      <sheetName val="QH nut metro"/>
      <sheetName val="QH cap metro di doi"/>
      <sheetName val="QH cap metro mo rong"/>
      <sheetName val="Cellfile"/>
      <sheetName val="Toa do H04"/>
      <sheetName val="Toa do Metro"/>
      <sheetName val="Thiet bi metro"/>
      <sheetName val="TH nut metro"/>
      <sheetName val="Chi tiết FO đầu tư"/>
      <sheetName val="Các tuyến cáp quang thuê"/>
      <sheetName val="ma tram Hue"/>
      <sheetName val="Chi phí"/>
      <sheetName val="TH_Cáp thuê FO"/>
      <sheetName val="Chi tiet FO thuê"/>
      <sheetName val="chi tiet FO thue_tọa độ trạm"/>
      <sheetName val="Metro mo rong"/>
      <sheetName val="QH cap metro di doi_Nghiem"/>
      <sheetName val="Map tuyến GE"/>
      <sheetName val="Chi tiet"/>
      <sheetName val="Tuyến cáp H0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">
          <cell r="B1" t="str">
            <v>Tuyến cáp</v>
          </cell>
          <cell r="C1" t="str">
            <v>Tỉnh/ Thành phố</v>
          </cell>
          <cell r="D1" t="str">
            <v>Tổng chiều dài tuyến (m)</v>
          </cell>
        </row>
        <row r="4">
          <cell r="B4" t="str">
            <v>TT1 Quảng Trị (Đồng Hới) - Lệ Thủy</v>
          </cell>
          <cell r="D4">
            <v>41124</v>
          </cell>
          <cell r="E4" t="str">
            <v>Mạng cấp 3</v>
          </cell>
        </row>
        <row r="5">
          <cell r="B5" t="str">
            <v>Lệ Thủy - Quảng Ninh</v>
          </cell>
          <cell r="D5">
            <v>41224</v>
          </cell>
          <cell r="E5" t="str">
            <v>Mạng cấp 3</v>
          </cell>
        </row>
        <row r="6">
          <cell r="B6" t="str">
            <v>Quảng Ninh - TT1 Quảng Trị (Đồng Hới)</v>
          </cell>
          <cell r="D6">
            <v>13444</v>
          </cell>
          <cell r="E6" t="str">
            <v>Mạng cấp 3</v>
          </cell>
        </row>
        <row r="7">
          <cell r="B7" t="str">
            <v>TT1 Quảng Trị (Đồng Hới) - CAX Phú Định (Bố Trạch)</v>
          </cell>
          <cell r="D7">
            <v>30248</v>
          </cell>
          <cell r="E7" t="str">
            <v>Mạng cấp 3</v>
          </cell>
        </row>
        <row r="8">
          <cell r="B8" t="str">
            <v>CAX Phú Định (Bố Trạch) - CAX Xuân Trạch (Bố Trạch)</v>
          </cell>
          <cell r="D8">
            <v>26851</v>
          </cell>
          <cell r="E8" t="str">
            <v>Mạng cấp 3</v>
          </cell>
        </row>
        <row r="9">
          <cell r="B9" t="str">
            <v>CAX Xuân Trạch (Bố Trạch) - Minh Hóa</v>
          </cell>
          <cell r="D9">
            <v>51203</v>
          </cell>
          <cell r="E9" t="str">
            <v>Mạng cấp 3</v>
          </cell>
        </row>
        <row r="10">
          <cell r="B10" t="str">
            <v>Minh Hóa - Tuyên Hóa</v>
          </cell>
          <cell r="D10">
            <v>15701</v>
          </cell>
          <cell r="E10" t="str">
            <v>Mạng cấp 3</v>
          </cell>
        </row>
        <row r="11">
          <cell r="B11" t="str">
            <v>Tuyên Hóa - Ba Đồn</v>
          </cell>
          <cell r="D11">
            <v>52143</v>
          </cell>
          <cell r="E11" t="str">
            <v>Mạng cấp 3</v>
          </cell>
        </row>
        <row r="12">
          <cell r="B12" t="str">
            <v>Ba Đồn - Bố Trạch</v>
          </cell>
          <cell r="D12">
            <v>25423</v>
          </cell>
          <cell r="E12" t="str">
            <v>Mạng cấp 3</v>
          </cell>
        </row>
        <row r="13">
          <cell r="B13" t="str">
            <v>Bố Trạch - TT1 Quảng Trị (Đồng Hới)</v>
          </cell>
          <cell r="D13">
            <v>14643</v>
          </cell>
          <cell r="E13" t="str">
            <v>Mạng cấp 3</v>
          </cell>
        </row>
        <row r="14">
          <cell r="B14" t="str">
            <v>TT2 Quảng Trị - TX Quảng Trị</v>
          </cell>
          <cell r="C14" t="str">
            <v>Quảng Trị</v>
          </cell>
          <cell r="D14">
            <v>16726.43</v>
          </cell>
          <cell r="E14" t="str">
            <v>Mạng cấp 3</v>
          </cell>
        </row>
        <row r="15">
          <cell r="B15" t="str">
            <v>TX Quảng Trị - Hải Lăng</v>
          </cell>
          <cell r="C15" t="str">
            <v>Quảng Trị</v>
          </cell>
          <cell r="D15">
            <v>9683.7609999999986</v>
          </cell>
          <cell r="E15" t="str">
            <v>Mạng cấp 3</v>
          </cell>
        </row>
        <row r="16">
          <cell r="B16" t="str">
            <v>Hải Lăng - TT2 Quảng Trị</v>
          </cell>
          <cell r="C16" t="str">
            <v>Quảng Trị</v>
          </cell>
          <cell r="D16">
            <v>23995.881000000005</v>
          </cell>
          <cell r="E16" t="str">
            <v>Mạng cấp 3</v>
          </cell>
        </row>
        <row r="17">
          <cell r="B17" t="str">
            <v>TT2 Quảng Trị - Đăk Rông</v>
          </cell>
          <cell r="C17" t="str">
            <v>Quảng Trị</v>
          </cell>
          <cell r="D17">
            <v>39223.027999999998</v>
          </cell>
          <cell r="E17" t="str">
            <v>Mạng cấp 3</v>
          </cell>
        </row>
        <row r="18">
          <cell r="B18" t="str">
            <v>Đăk Rông - Cam Lộ</v>
          </cell>
          <cell r="C18" t="str">
            <v>Quảng Trị</v>
          </cell>
          <cell r="D18">
            <v>25625.966999999997</v>
          </cell>
          <cell r="E18" t="str">
            <v>Mạng cấp 3</v>
          </cell>
        </row>
        <row r="19">
          <cell r="B19" t="str">
            <v>Cam Lộ - Vĩnh Linh</v>
          </cell>
          <cell r="C19" t="str">
            <v>Quảng Trị</v>
          </cell>
          <cell r="D19">
            <v>50119.462</v>
          </cell>
          <cell r="E19" t="str">
            <v>Mạng cấp 3</v>
          </cell>
        </row>
        <row r="20">
          <cell r="B20" t="str">
            <v>Vĩnh Linh - TT2 Quảng Trị</v>
          </cell>
          <cell r="C20" t="str">
            <v>Quảng Trị</v>
          </cell>
          <cell r="D20">
            <v>36346.195999999996</v>
          </cell>
          <cell r="E20" t="str">
            <v>Mạng cấp 3</v>
          </cell>
        </row>
        <row r="21">
          <cell r="B21" t="str">
            <v>TT1 Quảng Trị (Đồng Hới) - PA08</v>
          </cell>
          <cell r="D21">
            <v>380</v>
          </cell>
          <cell r="E21" t="str">
            <v>Mạng cấp 3</v>
          </cell>
        </row>
        <row r="22">
          <cell r="B22" t="str">
            <v>PA08 - PC07</v>
          </cell>
          <cell r="D22">
            <v>205</v>
          </cell>
          <cell r="E22" t="str">
            <v>Mạng cấp 3</v>
          </cell>
        </row>
        <row r="23">
          <cell r="B23" t="str">
            <v>PC07 - PA07</v>
          </cell>
          <cell r="D23">
            <v>179</v>
          </cell>
          <cell r="E23" t="str">
            <v>Mạng cấp 3</v>
          </cell>
        </row>
        <row r="24">
          <cell r="B24" t="str">
            <v>PA07 - PC06</v>
          </cell>
          <cell r="D24">
            <v>575</v>
          </cell>
          <cell r="E24" t="str">
            <v>Mạng cấp 3</v>
          </cell>
        </row>
        <row r="25">
          <cell r="B25" t="str">
            <v>PC06 - PC06_02</v>
          </cell>
          <cell r="D25">
            <v>195</v>
          </cell>
          <cell r="E25" t="str">
            <v>Mạng cấp 3</v>
          </cell>
        </row>
        <row r="26">
          <cell r="B26" t="str">
            <v>PC06_02 - TT1 Quảng Trị (Đồng Hới)</v>
          </cell>
          <cell r="D26">
            <v>1120</v>
          </cell>
          <cell r="E26" t="str">
            <v>Mạng cấp 3</v>
          </cell>
        </row>
        <row r="27">
          <cell r="B27" t="str">
            <v>TT1 Quảng Trị (Đồng Hới) - PC09</v>
          </cell>
          <cell r="D27">
            <v>1230</v>
          </cell>
          <cell r="E27" t="str">
            <v>Mạng cấp 3</v>
          </cell>
        </row>
        <row r="28">
          <cell r="B28" t="str">
            <v>PC09 - Đội Cảng hàng không</v>
          </cell>
          <cell r="D28">
            <v>3360</v>
          </cell>
          <cell r="E28" t="str">
            <v>Mạng cấp 3</v>
          </cell>
        </row>
        <row r="29">
          <cell r="B29" t="str">
            <v>Đội Cảng hàng không - PX01</v>
          </cell>
          <cell r="D29">
            <v>1102</v>
          </cell>
          <cell r="E29" t="str">
            <v>Mạng cấp 3</v>
          </cell>
        </row>
        <row r="30">
          <cell r="B30" t="str">
            <v>PX01 - PC11</v>
          </cell>
          <cell r="D30">
            <v>6606</v>
          </cell>
          <cell r="E30" t="str">
            <v>Mạng cấp 3</v>
          </cell>
        </row>
        <row r="31">
          <cell r="B31" t="str">
            <v>PC11 - Cơ sở cai nghiện (Quảng Bình)</v>
          </cell>
          <cell r="D31">
            <v>9513</v>
          </cell>
          <cell r="E31" t="str">
            <v>Mạng cấp 3</v>
          </cell>
        </row>
        <row r="32">
          <cell r="B32" t="str">
            <v>Cơ sở cai nghiện (Quảng Bình) - Trại giam Đông Sơn (C10)</v>
          </cell>
          <cell r="D32">
            <v>4427</v>
          </cell>
          <cell r="E32" t="str">
            <v>Mạng cấp 3</v>
          </cell>
        </row>
        <row r="33">
          <cell r="B33" t="str">
            <v>Trại giam Đông Sơn (C10) - PC08</v>
          </cell>
          <cell r="D33">
            <v>13604</v>
          </cell>
          <cell r="E33" t="str">
            <v>Mạng cấp 3</v>
          </cell>
        </row>
        <row r="34">
          <cell r="B34" t="str">
            <v>PC08 - Quảng Ninh</v>
          </cell>
          <cell r="D34">
            <v>15.7</v>
          </cell>
          <cell r="E34" t="str">
            <v>Mạng cấp 3</v>
          </cell>
        </row>
        <row r="35">
          <cell r="B35" t="str">
            <v>Cửa khẩu quốc tế Cha Lo (PA08) - Xã Dân Hóa</v>
          </cell>
          <cell r="D35">
            <v>16339</v>
          </cell>
          <cell r="E35" t="str">
            <v>Mạng cấp 3</v>
          </cell>
        </row>
        <row r="36">
          <cell r="B36" t="str">
            <v>TT1 Quảng Trị (Đồng Hới) - PC01, PC02</v>
          </cell>
          <cell r="D36">
            <v>1916</v>
          </cell>
          <cell r="E36" t="str">
            <v>Mạng cấp 3</v>
          </cell>
        </row>
        <row r="37">
          <cell r="B37" t="str">
            <v>PC01, PC02 - PC10</v>
          </cell>
          <cell r="D37">
            <v>579</v>
          </cell>
          <cell r="E37" t="str">
            <v>Mạng cấp 3</v>
          </cell>
        </row>
        <row r="38">
          <cell r="B38" t="str">
            <v>PC10 - PA09</v>
          </cell>
          <cell r="D38">
            <v>368</v>
          </cell>
          <cell r="E38" t="str">
            <v>Mạng cấp 3</v>
          </cell>
        </row>
        <row r="39">
          <cell r="B39" t="str">
            <v>PA09 - PK02</v>
          </cell>
          <cell r="D39">
            <v>464</v>
          </cell>
          <cell r="E39" t="str">
            <v>Mạng cấp 3</v>
          </cell>
        </row>
        <row r="40">
          <cell r="B40" t="str">
            <v>PK02 - PC04</v>
          </cell>
          <cell r="D40">
            <v>827</v>
          </cell>
          <cell r="E40" t="str">
            <v>Mạng cấp 3</v>
          </cell>
        </row>
        <row r="41">
          <cell r="B41" t="str">
            <v>PC04 - PC02/PC04</v>
          </cell>
          <cell r="D41">
            <v>1278</v>
          </cell>
          <cell r="E41" t="str">
            <v>Mạng cấp 3</v>
          </cell>
        </row>
        <row r="42">
          <cell r="B42" t="str">
            <v>PC02/PC04 - TT1 Quảng Trị (Đồng Hới)</v>
          </cell>
          <cell r="D42">
            <v>3452</v>
          </cell>
          <cell r="E42" t="str">
            <v>Mạng cấp 3</v>
          </cell>
        </row>
        <row r="43">
          <cell r="B43" t="str">
            <v>PH10_Bệnh xá - PC10</v>
          </cell>
          <cell r="D43">
            <v>842</v>
          </cell>
          <cell r="E43" t="str">
            <v>Mạng cấp 3</v>
          </cell>
        </row>
        <row r="44">
          <cell r="B44" t="str">
            <v>PC08_Đội CSGT Đường thủy - PH10_Nhà nghỉ</v>
          </cell>
          <cell r="D44">
            <v>1823</v>
          </cell>
          <cell r="E44" t="str">
            <v>Mạng cấp 3</v>
          </cell>
        </row>
        <row r="45">
          <cell r="B45" t="str">
            <v>PH10_Nhà nghỉ - PC10</v>
          </cell>
          <cell r="D45">
            <v>2882</v>
          </cell>
          <cell r="E45" t="str">
            <v>Mạng cấp 3</v>
          </cell>
        </row>
        <row r="46">
          <cell r="B46" t="str">
            <v>TT2 Quảng Trị - PC11 (Trại tạm giam)</v>
          </cell>
          <cell r="C46" t="str">
            <v>Quảng Trị</v>
          </cell>
          <cell r="D46">
            <v>4210.9679999999998</v>
          </cell>
          <cell r="E46" t="str">
            <v>Mạng cấp 3</v>
          </cell>
        </row>
        <row r="47">
          <cell r="B47" t="str">
            <v>PC11 (Trại tạm giam) - Trung tâm sát hạch lái xe</v>
          </cell>
          <cell r="C47" t="str">
            <v>Quảng Trị</v>
          </cell>
          <cell r="D47">
            <v>1871.171</v>
          </cell>
          <cell r="E47" t="str">
            <v>Mạng cấp 3</v>
          </cell>
        </row>
        <row r="48">
          <cell r="B48" t="str">
            <v>Trung tâm sát hạch lái xe - TX Quảng Trị</v>
          </cell>
          <cell r="C48" t="str">
            <v>Quảng Trị</v>
          </cell>
          <cell r="D48">
            <v>15808.576000000001</v>
          </cell>
          <cell r="E48" t="str">
            <v>Mạng cấp 3</v>
          </cell>
        </row>
        <row r="49">
          <cell r="B49" t="str">
            <v>TT2 Quảng Trị - PC07</v>
          </cell>
          <cell r="C49" t="str">
            <v>Quảng Trị</v>
          </cell>
          <cell r="D49">
            <v>4837.3490000000002</v>
          </cell>
          <cell r="E49" t="str">
            <v>Mạng cấp 3</v>
          </cell>
        </row>
        <row r="50">
          <cell r="B50" t="str">
            <v>PC07 - Khối CS</v>
          </cell>
          <cell r="C50" t="str">
            <v>Quảng Trị</v>
          </cell>
          <cell r="D50">
            <v>5255.8410000000003</v>
          </cell>
          <cell r="E50" t="str">
            <v>Mạng cấp 3</v>
          </cell>
        </row>
        <row r="51">
          <cell r="B51" t="str">
            <v>Khối CS - PC04/PA07</v>
          </cell>
          <cell r="C51" t="str">
            <v>Quảng Trị</v>
          </cell>
          <cell r="D51">
            <v>4537.1949999999997</v>
          </cell>
          <cell r="E51" t="str">
            <v>Mạng cấp 3</v>
          </cell>
        </row>
        <row r="52">
          <cell r="B52" t="str">
            <v>PC04/PA07 - TT2 Quảng Trị</v>
          </cell>
          <cell r="C52" t="str">
            <v>Quảng Trị</v>
          </cell>
          <cell r="D52">
            <v>5092.7070000000003</v>
          </cell>
          <cell r="E52" t="str">
            <v>Mạng cấp 3</v>
          </cell>
        </row>
        <row r="53">
          <cell r="B53" t="str">
            <v>Khối CS - PA08</v>
          </cell>
          <cell r="C53" t="str">
            <v>Quảng Trị</v>
          </cell>
          <cell r="E53" t="str">
            <v>Mạng cấp 3</v>
          </cell>
        </row>
        <row r="54">
          <cell r="B54" t="str">
            <v>PA08 - PA09</v>
          </cell>
          <cell r="C54" t="str">
            <v>Quảng Trị</v>
          </cell>
          <cell r="E54" t="str">
            <v>Mạng cấp 3</v>
          </cell>
        </row>
        <row r="55">
          <cell r="B55" t="str">
            <v>PA09 - TP Đông Hà</v>
          </cell>
          <cell r="C55" t="str">
            <v>Quảng Trị</v>
          </cell>
          <cell r="D55">
            <v>4119.1640000000007</v>
          </cell>
          <cell r="E55" t="str">
            <v>Mạng cấp 3</v>
          </cell>
        </row>
        <row r="56">
          <cell r="B56" t="str">
            <v>Đăk Rông - Trại giam Nghĩa An (C10)</v>
          </cell>
          <cell r="C56" t="str">
            <v>Quảng Trị</v>
          </cell>
          <cell r="D56">
            <v>29042.787</v>
          </cell>
          <cell r="E56" t="str">
            <v>Mạng cấp 3</v>
          </cell>
        </row>
        <row r="57">
          <cell r="B57" t="str">
            <v>Trại giam Nghĩa An (C10) - Cam Lộ</v>
          </cell>
          <cell r="C57" t="str">
            <v>Quảng Trị</v>
          </cell>
          <cell r="D57">
            <v>15291.852000000001</v>
          </cell>
          <cell r="E57" t="str">
            <v>Mạng cấp 3</v>
          </cell>
        </row>
        <row r="58">
          <cell r="B58" t="str">
            <v>Cơ sở cai nghiện (Cam Hiếu, Cam Lộ) - TTCMKV Cam Lộ</v>
          </cell>
          <cell r="C58" t="str">
            <v>Quảng Trị</v>
          </cell>
          <cell r="D58">
            <v>8266.1389999999992</v>
          </cell>
          <cell r="E58" t="str">
            <v>Mạng cấp 3</v>
          </cell>
        </row>
        <row r="59">
          <cell r="B59" t="str">
            <v>PK02 (TT. Ái Tử, Triệu Phong) - TTCMKV Triệu Phong</v>
          </cell>
          <cell r="C59" t="str">
            <v>Quảng Trị</v>
          </cell>
          <cell r="D59">
            <v>1252.7449999999999</v>
          </cell>
          <cell r="E59" t="str">
            <v>Mạng cấp 3</v>
          </cell>
        </row>
        <row r="60">
          <cell r="B60" t="str">
            <v>TTCMKV Triệu Phong - TX Quảng Trị</v>
          </cell>
          <cell r="C60" t="str">
            <v>Quảng Trị</v>
          </cell>
          <cell r="D60">
            <v>4985.6530000000002</v>
          </cell>
          <cell r="E60" t="str">
            <v>Mạng cấp 3</v>
          </cell>
        </row>
        <row r="61">
          <cell r="B61" t="str">
            <v>Đăk Rông-PC07 (Đội PCCC khu vực 6)</v>
          </cell>
          <cell r="C61" t="str">
            <v>Quảng Trị</v>
          </cell>
          <cell r="D61">
            <v>1379.527</v>
          </cell>
          <cell r="E61" t="str">
            <v>Mạng cấp 3</v>
          </cell>
        </row>
        <row r="62">
          <cell r="B62" t="str">
            <v>La Lay-PA08 (Trạm cửa khẩu La Lay)</v>
          </cell>
          <cell r="C62" t="str">
            <v>Quảng Trị</v>
          </cell>
          <cell r="D62">
            <v>11979.688</v>
          </cell>
          <cell r="E62" t="str">
            <v>Mạng cấp 3</v>
          </cell>
        </row>
        <row r="63">
          <cell r="B63" t="str">
            <v>Phòng PC07 (Đội PCCC khu vực 3)-Vĩnh Linh</v>
          </cell>
          <cell r="C63" t="str">
            <v>Quảng Trị</v>
          </cell>
          <cell r="D63">
            <v>3077.7519999999995</v>
          </cell>
          <cell r="E63" t="str">
            <v>Mạng cấp 3</v>
          </cell>
        </row>
        <row r="64">
          <cell r="B64" t="str">
            <v>Phòng PC08 (trạm Hải Lăng)-Hải Lăng</v>
          </cell>
          <cell r="C64" t="str">
            <v>Quảng Trị</v>
          </cell>
          <cell r="D64">
            <v>3898.6079999999997</v>
          </cell>
          <cell r="E64" t="str">
            <v>Mạng cấp 3</v>
          </cell>
        </row>
        <row r="65">
          <cell r="B65" t="str">
            <v>PC07 (Đội PCCC khu vực Hải lăng)-Hải Lăng</v>
          </cell>
          <cell r="C65" t="str">
            <v>Quảng Trị</v>
          </cell>
          <cell r="D65">
            <v>3384.0390000000002</v>
          </cell>
          <cell r="E65" t="str">
            <v>Mạng cấp 3</v>
          </cell>
        </row>
        <row r="66">
          <cell r="B66" t="str">
            <v>CAT TT Huế - Phú Vang</v>
          </cell>
          <cell r="C66" t="str">
            <v>Huế</v>
          </cell>
          <cell r="D66">
            <v>16950</v>
          </cell>
          <cell r="E66" t="str">
            <v>Mạng cấp 3</v>
          </cell>
        </row>
        <row r="67">
          <cell r="B67" t="str">
            <v>Phú Vang - Phú Lộc</v>
          </cell>
          <cell r="C67" t="str">
            <v>Huế</v>
          </cell>
          <cell r="D67">
            <v>46600</v>
          </cell>
          <cell r="E67" t="str">
            <v>Mạng cấp 3</v>
          </cell>
        </row>
        <row r="68">
          <cell r="B68" t="str">
            <v>Phú Lộc - Hương Thủy</v>
          </cell>
          <cell r="C68" t="str">
            <v>Huế</v>
          </cell>
          <cell r="D68">
            <v>29650</v>
          </cell>
          <cell r="E68" t="str">
            <v>Mạng cấp 3</v>
          </cell>
        </row>
        <row r="69">
          <cell r="B69" t="str">
            <v>Hương Thủy - CAT TT Huế</v>
          </cell>
          <cell r="C69" t="str">
            <v>Huế</v>
          </cell>
          <cell r="D69">
            <v>13050</v>
          </cell>
          <cell r="E69" t="str">
            <v>Mạng cấp 3</v>
          </cell>
        </row>
        <row r="70">
          <cell r="B70" t="str">
            <v>CAT TT Huế - Quảng Điền</v>
          </cell>
          <cell r="C70" t="str">
            <v>Huế</v>
          </cell>
          <cell r="D70">
            <v>25900</v>
          </cell>
          <cell r="E70" t="str">
            <v>Mạng cấp 3</v>
          </cell>
        </row>
        <row r="71">
          <cell r="B71" t="str">
            <v>Quảng Điền - Phong Điền</v>
          </cell>
          <cell r="C71" t="str">
            <v>Huế</v>
          </cell>
          <cell r="D71">
            <v>23400</v>
          </cell>
          <cell r="E71" t="str">
            <v>Mạng cấp 3</v>
          </cell>
        </row>
        <row r="72">
          <cell r="B72" t="str">
            <v>Phong Điền - CAT TT Huế</v>
          </cell>
          <cell r="C72" t="str">
            <v>Huế</v>
          </cell>
          <cell r="D72">
            <v>39750</v>
          </cell>
          <cell r="E72" t="str">
            <v>Mạng cấp 3</v>
          </cell>
        </row>
        <row r="73">
          <cell r="B73" t="str">
            <v>CAT TT Huế - PK02</v>
          </cell>
          <cell r="C73" t="str">
            <v>Huế</v>
          </cell>
          <cell r="D73">
            <v>7650</v>
          </cell>
          <cell r="E73" t="str">
            <v>Mạng cấp 3</v>
          </cell>
        </row>
        <row r="74">
          <cell r="B74" t="str">
            <v>PK02 - Nguyễn Thái Học</v>
          </cell>
          <cell r="C74" t="str">
            <v>Huế</v>
          </cell>
          <cell r="D74">
            <v>400</v>
          </cell>
          <cell r="E74" t="str">
            <v>Mạng cấp 3</v>
          </cell>
        </row>
        <row r="75">
          <cell r="B75" t="str">
            <v>Nguyễn Thái Học - Phú Xuân</v>
          </cell>
          <cell r="C75" t="str">
            <v>Huế</v>
          </cell>
          <cell r="D75">
            <v>3700</v>
          </cell>
          <cell r="E75" t="str">
            <v>Mạng cấp 3</v>
          </cell>
        </row>
        <row r="76">
          <cell r="B76" t="str">
            <v>Phú Xuân - CAT TT Huế</v>
          </cell>
          <cell r="C76" t="str">
            <v>Huế</v>
          </cell>
          <cell r="D76">
            <v>7165</v>
          </cell>
          <cell r="E76" t="str">
            <v>Mạng cấp 3</v>
          </cell>
        </row>
        <row r="77">
          <cell r="B77" t="str">
            <v>Phú Xuân - Hương Thủy</v>
          </cell>
          <cell r="C77" t="str">
            <v>Huế</v>
          </cell>
          <cell r="D77">
            <v>16260</v>
          </cell>
          <cell r="E77" t="str">
            <v>Mạng cấp 3</v>
          </cell>
        </row>
        <row r="78">
          <cell r="B78" t="str">
            <v>Hương Thủy - K02 (D2/E28)</v>
          </cell>
          <cell r="C78" t="str">
            <v>Huế</v>
          </cell>
          <cell r="D78">
            <v>38550</v>
          </cell>
          <cell r="E78" t="str">
            <v>Mạng cấp 3</v>
          </cell>
        </row>
        <row r="79">
          <cell r="B79" t="str">
            <v>K02 (D2/E28) - Phú Vang</v>
          </cell>
          <cell r="C79" t="str">
            <v>Huế</v>
          </cell>
          <cell r="D79">
            <v>43340</v>
          </cell>
          <cell r="E79" t="str">
            <v>Mạng cấp 3</v>
          </cell>
        </row>
        <row r="80">
          <cell r="B80" t="str">
            <v>CAT TT Huế - PA07</v>
          </cell>
          <cell r="C80" t="str">
            <v>Huế</v>
          </cell>
          <cell r="D80">
            <v>6085</v>
          </cell>
          <cell r="E80" t="str">
            <v>Mạng cấp 3</v>
          </cell>
        </row>
        <row r="81">
          <cell r="B81" t="str">
            <v>PA07 - PC01</v>
          </cell>
          <cell r="C81" t="str">
            <v>Huế</v>
          </cell>
          <cell r="D81">
            <v>3714</v>
          </cell>
          <cell r="E81" t="str">
            <v>Mạng cấp 3</v>
          </cell>
        </row>
        <row r="82">
          <cell r="B82" t="str">
            <v>PC01 - PC10</v>
          </cell>
          <cell r="C82" t="str">
            <v>Huế</v>
          </cell>
          <cell r="D82">
            <v>2030</v>
          </cell>
          <cell r="E82" t="str">
            <v>Mạng cấp 3</v>
          </cell>
        </row>
        <row r="83">
          <cell r="B83" t="str">
            <v>PC10 - PC11</v>
          </cell>
          <cell r="C83" t="str">
            <v>Huế</v>
          </cell>
          <cell r="D83">
            <v>12060</v>
          </cell>
          <cell r="E83" t="str">
            <v>Mạng cấp 3</v>
          </cell>
        </row>
        <row r="84">
          <cell r="B84" t="str">
            <v>PC11 - PC08 (CS1)</v>
          </cell>
          <cell r="C84" t="str">
            <v>Huế</v>
          </cell>
          <cell r="D84">
            <v>5670</v>
          </cell>
          <cell r="E84" t="str">
            <v>Mạng cấp 3</v>
          </cell>
        </row>
        <row r="85">
          <cell r="B85" t="str">
            <v>PC08 (CS1) - CAT TT Huế</v>
          </cell>
          <cell r="C85" t="str">
            <v>Huế</v>
          </cell>
          <cell r="D85">
            <v>6000</v>
          </cell>
          <cell r="E85" t="str">
            <v>Mạng cấp 3</v>
          </cell>
        </row>
        <row r="86">
          <cell r="B86" t="str">
            <v>CAT TT Huế - Trại giam Bình Điền
(C10)</v>
          </cell>
          <cell r="C86" t="str">
            <v>Huế</v>
          </cell>
          <cell r="D86">
            <v>29065</v>
          </cell>
          <cell r="E86" t="str">
            <v>Mạng cấp 3</v>
          </cell>
        </row>
        <row r="87">
          <cell r="B87" t="str">
            <v>PC06 (54 Hùng Vương) - TT Huế</v>
          </cell>
          <cell r="C87" t="str">
            <v>Huế</v>
          </cell>
          <cell r="D87">
            <v>6710</v>
          </cell>
          <cell r="E87" t="str">
            <v>Mạng cấp 3</v>
          </cell>
        </row>
        <row r="88">
          <cell r="B88" t="str">
            <v>Trung tâm SHLX PC08 - TT Huế</v>
          </cell>
          <cell r="C88" t="str">
            <v>Huế</v>
          </cell>
          <cell r="D88">
            <v>13835</v>
          </cell>
          <cell r="E88" t="str">
            <v>Mạng cấp 3</v>
          </cell>
        </row>
        <row r="89">
          <cell r="B89" t="str">
            <v>PC04 (trung tâm cái nghiện) - Phú Xuân</v>
          </cell>
          <cell r="C89" t="str">
            <v>Huế</v>
          </cell>
          <cell r="D89">
            <v>13400</v>
          </cell>
          <cell r="E89" t="str">
            <v>Mạng cấp 3</v>
          </cell>
        </row>
        <row r="90">
          <cell r="B90" t="str">
            <v>PC07 (52 Hùng Vương) - TT Huế</v>
          </cell>
          <cell r="C90" t="str">
            <v>Huế</v>
          </cell>
          <cell r="D90">
            <v>6200</v>
          </cell>
          <cell r="E90" t="str">
            <v>Mạng cấp 3</v>
          </cell>
        </row>
        <row r="91">
          <cell r="B91" t="str">
            <v>Trạm CSGT Phú Lộc - Phú Lộc</v>
          </cell>
          <cell r="C91" t="str">
            <v>Huế</v>
          </cell>
          <cell r="D91">
            <v>9600</v>
          </cell>
          <cell r="E91" t="str">
            <v>Mạng cấp 3</v>
          </cell>
        </row>
        <row r="92">
          <cell r="B92" t="str">
            <v>Nhà Ga Sân bay Phú Bài - Hương Thủy</v>
          </cell>
          <cell r="C92" t="str">
            <v>Huế</v>
          </cell>
          <cell r="D92">
            <v>4100</v>
          </cell>
          <cell r="E92" t="str">
            <v>Mạng cấp 3</v>
          </cell>
        </row>
        <row r="93">
          <cell r="B93" t="str">
            <v>TT1 Đà Nẵng - Cẩm Lệ</v>
          </cell>
          <cell r="D93">
            <v>8498</v>
          </cell>
          <cell r="E93" t="str">
            <v>Mạng cấp 3</v>
          </cell>
        </row>
        <row r="94">
          <cell r="B94" t="str">
            <v>Cẩm Lệ - Điện Bàn</v>
          </cell>
          <cell r="D94">
            <v>17334</v>
          </cell>
          <cell r="E94" t="str">
            <v>Mạng cấp 3</v>
          </cell>
        </row>
        <row r="95">
          <cell r="B95" t="str">
            <v>Điện Bàn - Hội An</v>
          </cell>
          <cell r="D95">
            <v>11027</v>
          </cell>
          <cell r="E95" t="str">
            <v>Mạng cấp 3</v>
          </cell>
        </row>
        <row r="96">
          <cell r="B96" t="str">
            <v>Hội An - Ngũ Hành Sơn</v>
          </cell>
          <cell r="D96">
            <v>20160</v>
          </cell>
          <cell r="E96" t="str">
            <v>Mạng cấp 3</v>
          </cell>
        </row>
        <row r="97">
          <cell r="B97" t="str">
            <v>Ngũ Hành Sơn - Sơn Trà</v>
          </cell>
          <cell r="D97">
            <v>6730</v>
          </cell>
          <cell r="E97" t="str">
            <v>Mạng cấp 3</v>
          </cell>
        </row>
        <row r="98">
          <cell r="B98" t="str">
            <v>Sơn Trà - TT1 Đà Nẵng</v>
          </cell>
          <cell r="D98">
            <v>8640</v>
          </cell>
          <cell r="E98" t="str">
            <v>Mạng cấp 3</v>
          </cell>
        </row>
        <row r="99">
          <cell r="B99" t="str">
            <v>TT1 Đà Nẵng - Liên Chiểu</v>
          </cell>
          <cell r="D99">
            <v>9869.9</v>
          </cell>
          <cell r="E99" t="str">
            <v>Mạng cấp 3</v>
          </cell>
        </row>
        <row r="100">
          <cell r="B100" t="str">
            <v>Liên Chiểu - Hòa Vang</v>
          </cell>
          <cell r="D100">
            <v>15870</v>
          </cell>
          <cell r="E100" t="str">
            <v>Mạng cấp 3</v>
          </cell>
        </row>
        <row r="101">
          <cell r="B101" t="str">
            <v>Hòa Vang - TT1 Đà Nẵng</v>
          </cell>
          <cell r="D101">
            <v>17654</v>
          </cell>
          <cell r="E101" t="str">
            <v>Mạng cấp 3</v>
          </cell>
        </row>
        <row r="102">
          <cell r="B102" t="str">
            <v>TT2 Tam Kỳ - CAX Tiên Sơn (Tiên Phước)</v>
          </cell>
          <cell r="D102">
            <v>28587</v>
          </cell>
          <cell r="E102" t="str">
            <v>Mạng cấp 3</v>
          </cell>
        </row>
        <row r="103">
          <cell r="B103" t="str">
            <v>CAX Tiên Sơn (Tiên Phước) - Quế Sơn</v>
          </cell>
          <cell r="D103">
            <v>20682</v>
          </cell>
          <cell r="E103" t="str">
            <v>Mạng cấp 3</v>
          </cell>
        </row>
        <row r="104">
          <cell r="B104" t="str">
            <v>Quế Sơn - Đại Lộc</v>
          </cell>
          <cell r="D104">
            <v>47832</v>
          </cell>
          <cell r="E104" t="str">
            <v>Mạng cấp 3</v>
          </cell>
        </row>
        <row r="105">
          <cell r="B105" t="str">
            <v>Đại Lộc - Phước Sơn</v>
          </cell>
          <cell r="D105">
            <v>95215</v>
          </cell>
          <cell r="E105" t="str">
            <v>Mạng cấp 3</v>
          </cell>
        </row>
        <row r="106">
          <cell r="B106" t="str">
            <v>Phước Sơn - Nam Giang</v>
          </cell>
          <cell r="D106">
            <v>55928</v>
          </cell>
          <cell r="E106" t="str">
            <v>Mạng cấp 3</v>
          </cell>
        </row>
        <row r="107">
          <cell r="B107" t="str">
            <v>Nam Giang - Đông Giang</v>
          </cell>
          <cell r="D107">
            <v>44158</v>
          </cell>
          <cell r="E107" t="str">
            <v>Mạng cấp 3</v>
          </cell>
        </row>
        <row r="108">
          <cell r="B108" t="str">
            <v>Đông Giang - Trại giam An Điềm (C10)</v>
          </cell>
          <cell r="D108">
            <v>37567</v>
          </cell>
          <cell r="E108" t="str">
            <v>Mạng cấp 3</v>
          </cell>
        </row>
        <row r="109">
          <cell r="B109" t="str">
            <v>Trại giam An Điềm (C10) - Duy Xuyên</v>
          </cell>
          <cell r="D109">
            <v>48999</v>
          </cell>
          <cell r="E109" t="str">
            <v>Mạng cấp 3</v>
          </cell>
        </row>
        <row r="110">
          <cell r="B110" t="str">
            <v>Duy Xuyên - TT2 Tam Kỳ</v>
          </cell>
          <cell r="D110">
            <v>44616</v>
          </cell>
          <cell r="E110" t="str">
            <v>Mạng cấp 3</v>
          </cell>
        </row>
        <row r="111">
          <cell r="B111" t="str">
            <v>TT2 Tam Kỳ - Thăng Bình</v>
          </cell>
          <cell r="D111">
            <v>24648</v>
          </cell>
          <cell r="E111" t="str">
            <v>Mạng cấp 3</v>
          </cell>
        </row>
        <row r="112">
          <cell r="B112" t="str">
            <v>Thăng Bình - Quế Sơn</v>
          </cell>
          <cell r="D112">
            <v>20538</v>
          </cell>
          <cell r="E112" t="str">
            <v>Mạng cấp 3</v>
          </cell>
        </row>
        <row r="113">
          <cell r="B113" t="str">
            <v>Quế Sơn - Hiệp Đức</v>
          </cell>
          <cell r="D113">
            <v>18046</v>
          </cell>
          <cell r="E113" t="str">
            <v>Mạng cấp 3</v>
          </cell>
        </row>
        <row r="114">
          <cell r="B114" t="str">
            <v>Hiệp Đức - Bắc Trà My</v>
          </cell>
          <cell r="D114">
            <v>54325</v>
          </cell>
          <cell r="E114" t="str">
            <v>Mạng cấp 3</v>
          </cell>
        </row>
        <row r="115">
          <cell r="B115" t="str">
            <v>Bắc Trà My - Phú Ninh</v>
          </cell>
          <cell r="D115">
            <v>44340</v>
          </cell>
          <cell r="E115" t="str">
            <v>Mạng cấp 3</v>
          </cell>
        </row>
        <row r="116">
          <cell r="B116" t="str">
            <v>Phú Ninh - TT2 Tam Kỳ</v>
          </cell>
          <cell r="D116">
            <v>8460</v>
          </cell>
          <cell r="E116" t="str">
            <v>Mạng cấp 3</v>
          </cell>
        </row>
        <row r="117">
          <cell r="B117" t="str">
            <v>TT1 Đà Nẵng - PK02</v>
          </cell>
          <cell r="D117">
            <v>8916</v>
          </cell>
          <cell r="E117" t="str">
            <v>Mạng cấp 3</v>
          </cell>
        </row>
        <row r="118">
          <cell r="B118" t="str">
            <v>PK02 - Trại giam CATP</v>
          </cell>
          <cell r="D118">
            <v>7007</v>
          </cell>
          <cell r="E118" t="str">
            <v>Mạng cấp 3</v>
          </cell>
        </row>
        <row r="119">
          <cell r="B119" t="str">
            <v>Trại giam CATP -Trạm CSGT Hòa Nhơn</v>
          </cell>
          <cell r="D119">
            <v>13847</v>
          </cell>
          <cell r="E119" t="str">
            <v>Mạng cấp 3</v>
          </cell>
        </row>
        <row r="120">
          <cell r="B120" t="str">
            <v>Trạm CSGT Hòa Nhơn - PC08</v>
          </cell>
          <cell r="D120">
            <v>10692</v>
          </cell>
          <cell r="E120" t="str">
            <v>Mạng cấp 3</v>
          </cell>
        </row>
        <row r="121">
          <cell r="B121" t="str">
            <v>PC08 - PC07</v>
          </cell>
          <cell r="D121">
            <v>4321</v>
          </cell>
          <cell r="E121" t="str">
            <v>Mạng cấp 3</v>
          </cell>
        </row>
        <row r="122">
          <cell r="B122" t="str">
            <v>PC07 - PX04</v>
          </cell>
          <cell r="D122">
            <v>4231</v>
          </cell>
          <cell r="E122" t="str">
            <v>Mạng cấp 3</v>
          </cell>
        </row>
        <row r="123">
          <cell r="B123" t="str">
            <v>PX04 - TT1 Đà Nẵng</v>
          </cell>
          <cell r="D123">
            <v>1344</v>
          </cell>
          <cell r="E123" t="str">
            <v>Mạng cấp 3</v>
          </cell>
        </row>
        <row r="124">
          <cell r="B124" t="str">
            <v>TT1 Đà Nẵng - PA07</v>
          </cell>
          <cell r="D124">
            <v>735</v>
          </cell>
          <cell r="E124" t="str">
            <v>Mạng cấp 3</v>
          </cell>
        </row>
        <row r="125">
          <cell r="B125" t="str">
            <v>PA07 - PA06</v>
          </cell>
          <cell r="D125">
            <v>1259</v>
          </cell>
          <cell r="E125" t="str">
            <v>Mạng cấp 3</v>
          </cell>
        </row>
        <row r="126">
          <cell r="B126" t="str">
            <v>PA06 - TT1 Đà Nẵng</v>
          </cell>
          <cell r="D126">
            <v>1805</v>
          </cell>
          <cell r="E126" t="str">
            <v>Mạng cấp 3</v>
          </cell>
        </row>
        <row r="127">
          <cell r="B127" t="str">
            <v>TTCMKV Liên Chiểu - Trạm CSGT Hòa Hiệp</v>
          </cell>
          <cell r="D127">
            <v>9517</v>
          </cell>
          <cell r="E127" t="str">
            <v>Mạng cấp 3</v>
          </cell>
        </row>
        <row r="128">
          <cell r="B128" t="str">
            <v>Trạm CSGT Hòa Hiệp - Trại giam CATP</v>
          </cell>
          <cell r="D128">
            <v>9792</v>
          </cell>
          <cell r="E128" t="str">
            <v>Mạng cấp 3</v>
          </cell>
        </row>
        <row r="129">
          <cell r="B129" t="str">
            <v>Trại giam CATP - PK02</v>
          </cell>
          <cell r="D129">
            <v>6879</v>
          </cell>
          <cell r="E129" t="str">
            <v>Mạng cấp 3</v>
          </cell>
        </row>
        <row r="130">
          <cell r="B130" t="str">
            <v>PK02 - TTCMKV Liên Chiểu</v>
          </cell>
          <cell r="D130">
            <v>5165</v>
          </cell>
          <cell r="E130" t="str">
            <v>Mạng cấp 3</v>
          </cell>
        </row>
        <row r="131">
          <cell r="B131" t="str">
            <v>TT2 Tam Kỳ - PK02</v>
          </cell>
          <cell r="C131" t="str">
            <v>Quảng Nam</v>
          </cell>
          <cell r="D131">
            <v>2457</v>
          </cell>
          <cell r="E131" t="str">
            <v>Mạng cấp 3</v>
          </cell>
        </row>
        <row r="132">
          <cell r="B132" t="str">
            <v>PK02 - PC11</v>
          </cell>
          <cell r="C132" t="str">
            <v>Quảng Nam</v>
          </cell>
          <cell r="D132">
            <v>4521</v>
          </cell>
          <cell r="E132" t="str">
            <v>Mạng cấp 3</v>
          </cell>
        </row>
        <row r="133">
          <cell r="B133" t="str">
            <v>PC11 - TT2 Tam Kỳ</v>
          </cell>
          <cell r="C133" t="str">
            <v>Quảng Nam</v>
          </cell>
          <cell r="D133">
            <v>3833</v>
          </cell>
          <cell r="E133" t="str">
            <v>Mạng cấp 3</v>
          </cell>
        </row>
        <row r="134">
          <cell r="B134" t="str">
            <v>TT2 Tam Kỳ - PC08</v>
          </cell>
          <cell r="C134" t="str">
            <v>Quảng Nam</v>
          </cell>
          <cell r="D134">
            <v>1420</v>
          </cell>
          <cell r="E134" t="str">
            <v>Mạng cấp 3</v>
          </cell>
        </row>
        <row r="135">
          <cell r="B135" t="str">
            <v>PC08 - PC06</v>
          </cell>
          <cell r="C135" t="str">
            <v>Quảng Nam</v>
          </cell>
          <cell r="D135">
            <v>3266</v>
          </cell>
          <cell r="E135" t="str">
            <v>Mạng cấp 3</v>
          </cell>
        </row>
        <row r="136">
          <cell r="B136" t="str">
            <v>PC06 - PC07</v>
          </cell>
          <cell r="C136" t="str">
            <v>Quảng Nam</v>
          </cell>
          <cell r="D136">
            <v>2005</v>
          </cell>
          <cell r="E136" t="str">
            <v>Mạng cấp 3</v>
          </cell>
        </row>
        <row r="137">
          <cell r="B137" t="str">
            <v>PC07 - PA06</v>
          </cell>
          <cell r="C137" t="str">
            <v>Quảng Nam</v>
          </cell>
          <cell r="D137">
            <v>1374</v>
          </cell>
          <cell r="E137" t="str">
            <v>Mạng cấp 3</v>
          </cell>
        </row>
        <row r="138">
          <cell r="B138" t="str">
            <v>PA06 - TT2 Tam Kỳ</v>
          </cell>
          <cell r="C138" t="str">
            <v>Quảng Nam</v>
          </cell>
          <cell r="D138">
            <v>1783</v>
          </cell>
          <cell r="E138" t="str">
            <v>Mạng cấp 3</v>
          </cell>
        </row>
        <row r="139">
          <cell r="B139" t="str">
            <v>Đồn Công an cảng hàng không (Sân bay Đà
Nẵng) - TT1 Đà Nẵng</v>
          </cell>
          <cell r="D139">
            <v>5161</v>
          </cell>
          <cell r="E139" t="str">
            <v>Mạng cấp 3</v>
          </cell>
        </row>
        <row r="140">
          <cell r="B140" t="str">
            <v>Cơ sở cai nghiện (X. Hòa Bắc, Hòa Vang) -
TTCMKV Hòa Vang</v>
          </cell>
          <cell r="D140">
            <v>27486</v>
          </cell>
          <cell r="E140" t="str">
            <v>Mạng cấp 3</v>
          </cell>
        </row>
        <row r="141">
          <cell r="B141" t="str">
            <v>Đội An ninh hàng không (TT. Núi Thành, Núi
Thành) - TTCMKV Núi Thành</v>
          </cell>
          <cell r="D141">
            <v>0</v>
          </cell>
          <cell r="E141" t="str">
            <v>Mạng cấp 3</v>
          </cell>
        </row>
        <row r="142">
          <cell r="B142" t="str">
            <v>Cơ sở cai nghiện (X. Sông Trà, Hiệp Đức) -
TTCMKV Hiệp Đức</v>
          </cell>
          <cell r="D142">
            <v>9800</v>
          </cell>
          <cell r="E142" t="str">
            <v>Mạng cấp 3</v>
          </cell>
        </row>
        <row r="143">
          <cell r="B143" t="str">
            <v>Trạm CSGT Thăng Bình (X. Bình Phục, Thăng
Bình) - TTCMKV Thăng Bình</v>
          </cell>
          <cell r="D143">
            <v>4190</v>
          </cell>
          <cell r="E143" t="str">
            <v>Mạng cấp 3</v>
          </cell>
        </row>
        <row r="144">
          <cell r="B144" t="str">
            <v>Đội CSĐT (X. Duy Nghĩa, Duyên Xuyên) -
TTCMKV Duy Xuyên</v>
          </cell>
          <cell r="D144">
            <v>21126</v>
          </cell>
          <cell r="E144" t="str">
            <v>Mạng cấp 3</v>
          </cell>
        </row>
        <row r="145">
          <cell r="B145" t="str">
            <v>TT1 Quảng Ngãi - Sơn Hà</v>
          </cell>
          <cell r="C145" t="str">
            <v>Quảng Ngãi</v>
          </cell>
          <cell r="D145">
            <v>48545</v>
          </cell>
          <cell r="E145" t="str">
            <v>Mạng cấp 3</v>
          </cell>
        </row>
        <row r="146">
          <cell r="B146" t="str">
            <v>Sơn Hà - Sơn Tây</v>
          </cell>
          <cell r="C146" t="str">
            <v>Quảng Ngãi</v>
          </cell>
          <cell r="D146">
            <v>21209</v>
          </cell>
          <cell r="E146" t="str">
            <v>Mạng cấp 3</v>
          </cell>
        </row>
        <row r="147">
          <cell r="B147" t="str">
            <v>Sơn Tây - Trà Bồng</v>
          </cell>
          <cell r="C147" t="str">
            <v>Quảng Ngãi</v>
          </cell>
          <cell r="D147">
            <v>68170</v>
          </cell>
          <cell r="E147" t="str">
            <v>Mạng cấp 3</v>
          </cell>
        </row>
        <row r="148">
          <cell r="B148" t="str">
            <v>Trà Bồng - Bình Sơn</v>
          </cell>
          <cell r="C148" t="str">
            <v>Quảng Ngãi</v>
          </cell>
          <cell r="D148">
            <v>30912</v>
          </cell>
          <cell r="E148" t="str">
            <v>Mạng cấp 3</v>
          </cell>
        </row>
        <row r="149">
          <cell r="B149" t="str">
            <v>Bình Sơn - TT1 Quảng Ngãi</v>
          </cell>
          <cell r="C149" t="str">
            <v>Quảng Ngãi</v>
          </cell>
          <cell r="D149">
            <v>25261</v>
          </cell>
          <cell r="E149" t="str">
            <v>Mạng cấp 3</v>
          </cell>
        </row>
        <row r="150">
          <cell r="B150" t="str">
            <v>TT1 Quảng Ngãi - Minh Long</v>
          </cell>
          <cell r="C150" t="str">
            <v>Quảng Ngãi</v>
          </cell>
          <cell r="D150">
            <v>45045</v>
          </cell>
          <cell r="E150" t="str">
            <v>Mạng cấp 3</v>
          </cell>
        </row>
        <row r="151">
          <cell r="B151" t="str">
            <v>Minh Long - Ba Tơ</v>
          </cell>
          <cell r="C151" t="str">
            <v>Quảng Ngãi</v>
          </cell>
          <cell r="D151">
            <v>33173</v>
          </cell>
          <cell r="E151" t="str">
            <v>Mạng cấp 3</v>
          </cell>
        </row>
        <row r="152">
          <cell r="B152" t="str">
            <v>Ba Tơ - Đức Phổ</v>
          </cell>
          <cell r="C152" t="str">
            <v>Quảng Ngãi</v>
          </cell>
          <cell r="D152">
            <v>37998</v>
          </cell>
          <cell r="E152" t="str">
            <v>Mạng cấp 3</v>
          </cell>
        </row>
        <row r="153">
          <cell r="B153" t="str">
            <v>Đức Phổ - TT1 Quảng Ngãi (mới)</v>
          </cell>
          <cell r="C153" t="str">
            <v>Quảng Ngãi</v>
          </cell>
          <cell r="D153">
            <v>45055</v>
          </cell>
          <cell r="E153" t="str">
            <v>Mạng cấp 3</v>
          </cell>
        </row>
        <row r="154">
          <cell r="B154" t="str">
            <v>TT Quảng Ngãi (mới) - TT1 Quảng Ngãi</v>
          </cell>
          <cell r="C154" t="str">
            <v>Quảng Ngãi</v>
          </cell>
          <cell r="D154">
            <v>5152</v>
          </cell>
          <cell r="E154" t="str">
            <v>Mạng cấp 3</v>
          </cell>
        </row>
        <row r="155">
          <cell r="B155" t="str">
            <v>TT2 Kon Tum - Đăk Hà</v>
          </cell>
          <cell r="D155">
            <v>19853</v>
          </cell>
          <cell r="E155" t="str">
            <v>Mạng cấp 3</v>
          </cell>
        </row>
        <row r="156">
          <cell r="B156" t="str">
            <v>Đăk Hà - Ngọc Hồi</v>
          </cell>
          <cell r="D156">
            <v>46738.3</v>
          </cell>
          <cell r="E156" t="str">
            <v>Mạng cấp 3</v>
          </cell>
        </row>
        <row r="157">
          <cell r="B157" t="str">
            <v>Ngọc Hồi - Sa Thầy</v>
          </cell>
          <cell r="D157">
            <v>51208.1</v>
          </cell>
          <cell r="E157" t="str">
            <v>Mạng cấp 3</v>
          </cell>
        </row>
        <row r="158">
          <cell r="B158" t="str">
            <v>Sa Thầy - TT2 Kon Tum</v>
          </cell>
          <cell r="D158">
            <v>30358.799999999999</v>
          </cell>
          <cell r="E158" t="str">
            <v>Mạng cấp 3</v>
          </cell>
        </row>
        <row r="159">
          <cell r="B159" t="str">
            <v>TT2 Kon Tum - Kon Rẫy</v>
          </cell>
          <cell r="D159">
            <v>29132.3</v>
          </cell>
          <cell r="E159" t="str">
            <v>Mạng cấp 3</v>
          </cell>
        </row>
        <row r="160">
          <cell r="B160" t="str">
            <v>Kon Rẫy - CAX Đăk Kôi (Kon Rẫy)</v>
          </cell>
          <cell r="D160">
            <v>7951</v>
          </cell>
          <cell r="E160" t="str">
            <v>Mạng cấp 3</v>
          </cell>
        </row>
        <row r="161">
          <cell r="B161" t="str">
            <v>CAX Đăk Kôi (Kon Rẫy) - Tu Mơ Rông</v>
          </cell>
          <cell r="D161">
            <v>96768</v>
          </cell>
          <cell r="E161" t="str">
            <v>Mạng cấp 3</v>
          </cell>
        </row>
        <row r="162">
          <cell r="B162" t="str">
            <v>Tu Mơ Rông - Đăk Tô</v>
          </cell>
          <cell r="D162">
            <v>30961</v>
          </cell>
          <cell r="E162" t="str">
            <v>Mạng cấp 3</v>
          </cell>
        </row>
        <row r="163">
          <cell r="B163" t="str">
            <v>Đăk Tô - TT2 Kon Tum</v>
          </cell>
          <cell r="D163">
            <v>43960.2</v>
          </cell>
          <cell r="E163" t="str">
            <v>Mạng cấp 3</v>
          </cell>
        </row>
        <row r="164">
          <cell r="B164" t="str">
            <v>TT1 Quảng Ngãi - PC07</v>
          </cell>
          <cell r="C164" t="str">
            <v>Quảng Ngãi</v>
          </cell>
          <cell r="D164">
            <v>1958</v>
          </cell>
          <cell r="E164" t="str">
            <v>Mạng cấp 3</v>
          </cell>
        </row>
        <row r="165">
          <cell r="B165" t="str">
            <v>PC07 - Sơn Tịnh</v>
          </cell>
          <cell r="C165" t="str">
            <v>Quảng Ngãi</v>
          </cell>
          <cell r="D165">
            <v>9134</v>
          </cell>
          <cell r="E165" t="str">
            <v>Mạng cấp 3</v>
          </cell>
        </row>
        <row r="166">
          <cell r="B166" t="str">
            <v>TT1 Quảng Ngãi - PC01</v>
          </cell>
          <cell r="C166" t="str">
            <v>Quảng Ngãi</v>
          </cell>
          <cell r="D166">
            <v>0</v>
          </cell>
          <cell r="E166" t="str">
            <v>Mạng cấp 3</v>
          </cell>
        </row>
        <row r="167">
          <cell r="B167" t="str">
            <v>PC01 - CS113</v>
          </cell>
          <cell r="C167" t="str">
            <v>Quảng Ngãi</v>
          </cell>
          <cell r="D167">
            <v>1741</v>
          </cell>
          <cell r="E167" t="str">
            <v>Mạng cấp 3</v>
          </cell>
        </row>
        <row r="168">
          <cell r="B168" t="str">
            <v>CS113 - PK02</v>
          </cell>
          <cell r="C168" t="str">
            <v>Quảng Ngãi</v>
          </cell>
          <cell r="D168">
            <v>1874</v>
          </cell>
          <cell r="E168" t="str">
            <v>Mạng cấp 3</v>
          </cell>
        </row>
        <row r="169">
          <cell r="B169" t="str">
            <v>PK02 - Trung tâm HLBD NV_PX01</v>
          </cell>
          <cell r="C169" t="str">
            <v>Quảng Ngãi</v>
          </cell>
          <cell r="D169">
            <v>136</v>
          </cell>
          <cell r="E169" t="str">
            <v>Mạng cấp 3</v>
          </cell>
        </row>
        <row r="170">
          <cell r="B170" t="str">
            <v>Trung tâm HLBD NV_PX01 - Khối Cảnh sát</v>
          </cell>
          <cell r="C170" t="str">
            <v>Quảng Ngãi</v>
          </cell>
          <cell r="D170">
            <v>3155</v>
          </cell>
          <cell r="E170" t="str">
            <v>Mạng cấp 3</v>
          </cell>
        </row>
        <row r="171">
          <cell r="B171" t="str">
            <v>Khối Cảnh sát - Khối Phòng CAT KV P.NL</v>
          </cell>
          <cell r="C171" t="str">
            <v>Quảng Ngãi</v>
          </cell>
          <cell r="D171">
            <v>1545</v>
          </cell>
          <cell r="E171" t="str">
            <v>Mạng cấp 3</v>
          </cell>
        </row>
        <row r="172">
          <cell r="B172" t="str">
            <v>Khối Phòng CAT KV P.NL
 - K02 (D3/E23)</v>
          </cell>
          <cell r="C172" t="str">
            <v>Quảng Ngãi</v>
          </cell>
          <cell r="D172">
            <v>31647</v>
          </cell>
          <cell r="E172" t="str">
            <v>Mạng cấp 3</v>
          </cell>
        </row>
        <row r="173">
          <cell r="B173" t="str">
            <v>K02 (D3/E23) - Đội CSGT Đường Thuỷ, PC08</v>
          </cell>
          <cell r="C173" t="str">
            <v>Quảng Ngãi</v>
          </cell>
          <cell r="D173">
            <v>23372</v>
          </cell>
          <cell r="E173" t="str">
            <v>Mạng cấp 3</v>
          </cell>
        </row>
        <row r="174">
          <cell r="B174" t="str">
            <v xml:space="preserve"> Đội CSGT Đường Thuỷ, PC08 - PC08</v>
          </cell>
          <cell r="C174" t="str">
            <v>Quảng Ngãi</v>
          </cell>
          <cell r="D174">
            <v>27579</v>
          </cell>
          <cell r="E174" t="str">
            <v>Mạng cấp 3</v>
          </cell>
        </row>
        <row r="175">
          <cell r="B175" t="str">
            <v>PC08 - Khối Phòng PA08, PA05</v>
          </cell>
          <cell r="C175" t="str">
            <v>Quảng Ngãi</v>
          </cell>
          <cell r="D175">
            <v>2875</v>
          </cell>
          <cell r="E175" t="str">
            <v>Mạng cấp 3</v>
          </cell>
        </row>
        <row r="176">
          <cell r="B176" t="str">
            <v>Khối Phòng PA08, PA05 - TT1 Quảng Ngãi</v>
          </cell>
          <cell r="C176" t="str">
            <v>Quảng Ngãi</v>
          </cell>
          <cell r="D176">
            <v>1769</v>
          </cell>
          <cell r="E176" t="str">
            <v>Mạng cấp 3</v>
          </cell>
        </row>
        <row r="177">
          <cell r="B177" t="str">
            <v>PA03 - PC03</v>
          </cell>
          <cell r="C177" t="str">
            <v>Quảng Ngãi</v>
          </cell>
          <cell r="D177">
            <v>2760</v>
          </cell>
          <cell r="E177" t="str">
            <v>Mạng cấp 3</v>
          </cell>
        </row>
        <row r="178">
          <cell r="B178" t="str">
            <v>PC03 - PC10</v>
          </cell>
          <cell r="C178" t="str">
            <v>Quảng Ngãi</v>
          </cell>
          <cell r="D178">
            <v>4218</v>
          </cell>
          <cell r="E178" t="str">
            <v>Mạng cấp 3</v>
          </cell>
        </row>
        <row r="179">
          <cell r="B179" t="str">
            <v>PC10 - PA06</v>
          </cell>
          <cell r="C179" t="str">
            <v>Quảng Ngãi</v>
          </cell>
          <cell r="D179">
            <v>7072</v>
          </cell>
          <cell r="E179" t="str">
            <v>Mạng cấp 3</v>
          </cell>
        </row>
        <row r="180">
          <cell r="B180" t="str">
            <v>PA06 - Công an tỉnh</v>
          </cell>
          <cell r="C180" t="str">
            <v>Quảng Ngãi</v>
          </cell>
          <cell r="D180">
            <v>2169</v>
          </cell>
          <cell r="E180" t="str">
            <v>Mạng cấp 3</v>
          </cell>
        </row>
        <row r="181">
          <cell r="B181" t="str">
            <v>Công an tỉnh - PC11 (X. Nghĩa Kỳ, H. Tư Nghĩa)</v>
          </cell>
          <cell r="C181" t="str">
            <v>Quảng Ngãi</v>
          </cell>
          <cell r="D181">
            <v>6733</v>
          </cell>
          <cell r="E181" t="str">
            <v>Mạng cấp 3</v>
          </cell>
        </row>
        <row r="182">
          <cell r="B182" t="str">
            <v>PC11 (X. Nghĩa Kỳ, H. Tư Nghĩa) - Cơ sở cai nghiện (X. Nghĩa Kỳ, H. Tư Nghĩa)</v>
          </cell>
          <cell r="C182" t="str">
            <v>Quảng Ngãi</v>
          </cell>
          <cell r="D182">
            <v>967</v>
          </cell>
          <cell r="E182" t="str">
            <v>Mạng cấp 3</v>
          </cell>
        </row>
        <row r="183">
          <cell r="B183" t="str">
            <v>Cơ sở cai nghiện (X. Nghĩa Kỳ, H. Tư Nghĩa) - TTCMKV Tư Nghĩa</v>
          </cell>
          <cell r="C183" t="str">
            <v>Quảng Ngãi</v>
          </cell>
          <cell r="D183">
            <v>12400</v>
          </cell>
          <cell r="E183" t="str">
            <v>Mạng cấp 3</v>
          </cell>
        </row>
        <row r="184">
          <cell r="B184" t="str">
            <v>TT2 Kon Tum - PC06</v>
          </cell>
          <cell r="D184">
            <v>419.4</v>
          </cell>
          <cell r="E184" t="str">
            <v>Mạng cấp 3</v>
          </cell>
        </row>
        <row r="185">
          <cell r="B185" t="str">
            <v>PC06 - PA06</v>
          </cell>
          <cell r="D185">
            <v>1631</v>
          </cell>
          <cell r="E185" t="str">
            <v>Mạng cấp 3</v>
          </cell>
        </row>
        <row r="186">
          <cell r="B186" t="str">
            <v>PA06 - PC07</v>
          </cell>
          <cell r="D186">
            <v>1262</v>
          </cell>
          <cell r="E186" t="str">
            <v>Mạng cấp 3</v>
          </cell>
        </row>
        <row r="187">
          <cell r="B187" t="str">
            <v>PC07 - Khối CS (PC01, PC02, PC03, PC04)</v>
          </cell>
          <cell r="D187">
            <v>2659</v>
          </cell>
          <cell r="E187" t="str">
            <v>Mạng cấp 3</v>
          </cell>
        </row>
        <row r="188">
          <cell r="B188" t="str">
            <v>Khối CS (PC01, PC02, PC03, PC04) - PC08</v>
          </cell>
          <cell r="D188">
            <v>8302</v>
          </cell>
          <cell r="E188" t="str">
            <v>Mạng cấp 3</v>
          </cell>
        </row>
        <row r="189">
          <cell r="B189" t="str">
            <v>PC08 - TT2 Kon Tum</v>
          </cell>
          <cell r="D189">
            <v>3161.5</v>
          </cell>
          <cell r="E189" t="str">
            <v>Mạng cấp 3</v>
          </cell>
        </row>
        <row r="190">
          <cell r="B190" t="str">
            <v>TT2 Kon Tum - PC11</v>
          </cell>
          <cell r="D190">
            <v>24687</v>
          </cell>
          <cell r="E190" t="str">
            <v>Mạng cấp 3</v>
          </cell>
        </row>
        <row r="191">
          <cell r="B191" t="str">
            <v>PC11 - PC08</v>
          </cell>
          <cell r="D191">
            <v>26952</v>
          </cell>
          <cell r="E191" t="str">
            <v>Mạng cấp 3</v>
          </cell>
        </row>
        <row r="192">
          <cell r="B192" t="str">
            <v>TT2 Kon Tum - PK02/PX03</v>
          </cell>
          <cell r="D192">
            <v>4316</v>
          </cell>
          <cell r="E192" t="str">
            <v>Mạng cấp 3</v>
          </cell>
        </row>
        <row r="193">
          <cell r="B193" t="str">
            <v>PK02/PX03 - PA05/PC10/PX05/PX06</v>
          </cell>
          <cell r="D193">
            <v>5757</v>
          </cell>
          <cell r="E193" t="str">
            <v>Mạng cấp 3</v>
          </cell>
        </row>
        <row r="194">
          <cell r="B194" t="str">
            <v>PA05/PC10/PX05/PX06 - TT2 Kon Tum</v>
          </cell>
          <cell r="D194">
            <v>640</v>
          </cell>
          <cell r="E194" t="str">
            <v>Mạng cấp 3</v>
          </cell>
        </row>
        <row r="195">
          <cell r="B195" t="str">
            <v>PC09 - PH10</v>
          </cell>
          <cell r="D195">
            <v>3108.1000000000004</v>
          </cell>
          <cell r="E195" t="str">
            <v>Mạng cấp 3</v>
          </cell>
        </row>
        <row r="196">
          <cell r="B196" t="str">
            <v>PH10 - TT2 Kon Tum</v>
          </cell>
          <cell r="D196">
            <v>413.6</v>
          </cell>
          <cell r="E196" t="str">
            <v>Mạng cấp 3</v>
          </cell>
        </row>
        <row r="197">
          <cell r="B197" t="str">
            <v>TT1 Gia Lai - Cát Tiến</v>
          </cell>
          <cell r="C197" t="str">
            <v>BD</v>
          </cell>
          <cell r="D197">
            <v>27838</v>
          </cell>
          <cell r="E197" t="str">
            <v>Mạng cấp 3</v>
          </cell>
        </row>
        <row r="198">
          <cell r="B198" t="str">
            <v>Cát Tiến - Phù Mỹ</v>
          </cell>
          <cell r="C198" t="str">
            <v>BD</v>
          </cell>
          <cell r="D198">
            <v>43217</v>
          </cell>
          <cell r="E198" t="str">
            <v>Mạng cấp 3</v>
          </cell>
        </row>
        <row r="199">
          <cell r="B199" t="str">
            <v>Phù Mỹ - Hoài Ân</v>
          </cell>
          <cell r="C199" t="str">
            <v>BD</v>
          </cell>
          <cell r="D199">
            <v>29769</v>
          </cell>
          <cell r="E199" t="str">
            <v>Mạng cấp 3</v>
          </cell>
        </row>
        <row r="200">
          <cell r="B200" t="str">
            <v>Hoài Ân - Vĩnh Kim</v>
          </cell>
          <cell r="C200" t="str">
            <v>BD</v>
          </cell>
          <cell r="D200">
            <v>141150.79999999999</v>
          </cell>
          <cell r="E200" t="str">
            <v>Mạng cấp 3</v>
          </cell>
        </row>
        <row r="201">
          <cell r="B201" t="str">
            <v>Vĩnh Kim - Vĩnh Thạnh</v>
          </cell>
          <cell r="C201" t="str">
            <v>BD</v>
          </cell>
          <cell r="D201">
            <v>35268</v>
          </cell>
          <cell r="E201" t="str">
            <v>Mạng cấp 3</v>
          </cell>
        </row>
        <row r="202">
          <cell r="B202" t="str">
            <v>Vĩnh Thạnh - Tây Sơn</v>
          </cell>
          <cell r="C202" t="str">
            <v>BD</v>
          </cell>
          <cell r="D202">
            <v>31261</v>
          </cell>
          <cell r="E202" t="str">
            <v>Mạng cấp 3</v>
          </cell>
        </row>
        <row r="203">
          <cell r="B203" t="str">
            <v>Tây Sơn - An Nhơn</v>
          </cell>
          <cell r="C203" t="str">
            <v>BD</v>
          </cell>
          <cell r="D203">
            <v>26616</v>
          </cell>
          <cell r="E203" t="str">
            <v>Mạng cấp 3</v>
          </cell>
        </row>
        <row r="204">
          <cell r="B204" t="str">
            <v>An Nhơn - TT1 Gia Lai</v>
          </cell>
          <cell r="C204" t="str">
            <v>BD</v>
          </cell>
          <cell r="D204">
            <v>23350</v>
          </cell>
          <cell r="E204" t="str">
            <v>Mạng cấp 3</v>
          </cell>
        </row>
        <row r="205">
          <cell r="B205" t="str">
            <v>TT1 Gia Lai - Vân Canh</v>
          </cell>
          <cell r="C205" t="str">
            <v>BD</v>
          </cell>
          <cell r="D205">
            <v>42208</v>
          </cell>
          <cell r="E205" t="str">
            <v>Mạng cấp 3</v>
          </cell>
        </row>
        <row r="206">
          <cell r="B206" t="str">
            <v>Vân Canh - TT1 Gia Lai</v>
          </cell>
          <cell r="C206" t="str">
            <v>BD</v>
          </cell>
          <cell r="D206">
            <v>44535</v>
          </cell>
          <cell r="E206" t="str">
            <v>Mạng cấp 3</v>
          </cell>
        </row>
        <row r="207">
          <cell r="B207" t="str">
            <v>TT2 Gia Lai - Ia Grai</v>
          </cell>
          <cell r="C207" t="str">
            <v>GL</v>
          </cell>
          <cell r="D207">
            <v>17992</v>
          </cell>
          <cell r="E207" t="str">
            <v>Mạng cấp 3</v>
          </cell>
        </row>
        <row r="208">
          <cell r="B208" t="str">
            <v>IA Grai - Đức Cơ</v>
          </cell>
          <cell r="C208" t="str">
            <v>GL</v>
          </cell>
          <cell r="D208">
            <v>39220</v>
          </cell>
          <cell r="E208" t="str">
            <v>Mạng cấp 3</v>
          </cell>
        </row>
        <row r="209">
          <cell r="B209" t="str">
            <v>Đức Cơ - Chư Prông</v>
          </cell>
          <cell r="C209" t="str">
            <v>GL</v>
          </cell>
          <cell r="D209">
            <v>40370</v>
          </cell>
          <cell r="E209" t="str">
            <v>Mạng cấp 3</v>
          </cell>
        </row>
        <row r="210">
          <cell r="B210" t="str">
            <v>Chư Prông - Chư Pưh</v>
          </cell>
          <cell r="C210" t="str">
            <v>GL</v>
          </cell>
          <cell r="D210">
            <v>55252</v>
          </cell>
          <cell r="E210" t="str">
            <v>Mạng cấp 3</v>
          </cell>
        </row>
        <row r="211">
          <cell r="B211" t="str">
            <v>Chư Pưh - Hàm Rồng</v>
          </cell>
          <cell r="C211" t="str">
            <v>GL</v>
          </cell>
          <cell r="D211">
            <v>45350</v>
          </cell>
          <cell r="E211" t="str">
            <v>Mạng cấp 3</v>
          </cell>
        </row>
        <row r="212">
          <cell r="B212" t="str">
            <v>Hàm Rồng - TT2 Gia Lai</v>
          </cell>
          <cell r="C212" t="str">
            <v>GL</v>
          </cell>
          <cell r="D212">
            <v>13475</v>
          </cell>
          <cell r="E212" t="str">
            <v>Mạng cấp 3</v>
          </cell>
        </row>
        <row r="213">
          <cell r="B213" t="str">
            <v>TT2 Gia Lai - Chư Sê</v>
          </cell>
          <cell r="C213" t="str">
            <v>GL</v>
          </cell>
          <cell r="D213">
            <v>41852</v>
          </cell>
          <cell r="E213" t="str">
            <v>Mạng cấp 3</v>
          </cell>
        </row>
        <row r="214">
          <cell r="B214" t="str">
            <v>Chư Sê - Phú Thiện</v>
          </cell>
          <cell r="C214" t="str">
            <v>GL</v>
          </cell>
          <cell r="D214">
            <v>35973</v>
          </cell>
          <cell r="E214" t="str">
            <v>Mạng cấp 3</v>
          </cell>
        </row>
        <row r="215">
          <cell r="B215" t="str">
            <v>Phú Thiện - IA Pa</v>
          </cell>
          <cell r="C215" t="str">
            <v>GL</v>
          </cell>
          <cell r="D215">
            <v>30164</v>
          </cell>
          <cell r="E215" t="str">
            <v>Mạng cấp 3</v>
          </cell>
        </row>
        <row r="216">
          <cell r="B216" t="str">
            <v>Ia Pa - Kông Chro</v>
          </cell>
          <cell r="C216" t="str">
            <v>GL</v>
          </cell>
          <cell r="D216">
            <v>46091</v>
          </cell>
          <cell r="E216" t="str">
            <v>Mạng cấp 3</v>
          </cell>
        </row>
        <row r="217">
          <cell r="B217" t="str">
            <v>Kông Chro - An Khê</v>
          </cell>
          <cell r="C217" t="str">
            <v>GL</v>
          </cell>
          <cell r="D217">
            <v>29540</v>
          </cell>
          <cell r="E217" t="str">
            <v>Mạng cấp 3</v>
          </cell>
        </row>
        <row r="218">
          <cell r="B218" t="str">
            <v>An Khê - Đak Pơ</v>
          </cell>
          <cell r="C218" t="str">
            <v>GL</v>
          </cell>
          <cell r="D218">
            <v>13001</v>
          </cell>
          <cell r="E218" t="str">
            <v>Mạng cấp 3</v>
          </cell>
        </row>
        <row r="219">
          <cell r="B219" t="str">
            <v>Đak Pơ - Mang Yang</v>
          </cell>
          <cell r="C219" t="str">
            <v>GL</v>
          </cell>
          <cell r="D219">
            <v>40793</v>
          </cell>
          <cell r="E219" t="str">
            <v>Mạng cấp 3</v>
          </cell>
        </row>
        <row r="220">
          <cell r="B220" t="str">
            <v>Mang Yang - TT2 Gia Lai</v>
          </cell>
          <cell r="C220" t="str">
            <v>GL</v>
          </cell>
          <cell r="D220">
            <v>33812</v>
          </cell>
          <cell r="E220" t="str">
            <v>Mạng cấp 3</v>
          </cell>
        </row>
        <row r="221">
          <cell r="B221" t="str">
            <v>TT1 Gia Lai - PX05</v>
          </cell>
          <cell r="C221" t="str">
            <v>BD</v>
          </cell>
          <cell r="D221">
            <v>1012</v>
          </cell>
          <cell r="E221" t="str">
            <v>Mạng cấp 3</v>
          </cell>
        </row>
        <row r="222">
          <cell r="B222" t="str">
            <v>PX05 - Khối CQ CSĐT</v>
          </cell>
          <cell r="C222" t="str">
            <v>BD</v>
          </cell>
          <cell r="D222">
            <v>3700</v>
          </cell>
          <cell r="E222" t="str">
            <v>Mạng cấp 3</v>
          </cell>
        </row>
        <row r="223">
          <cell r="B223" t="str">
            <v>Khối CQ CSĐT - PA07 cũ</v>
          </cell>
          <cell r="C223" t="str">
            <v>BD</v>
          </cell>
          <cell r="D223">
            <v>4080</v>
          </cell>
          <cell r="E223" t="str">
            <v>Mạng cấp 3</v>
          </cell>
        </row>
        <row r="224">
          <cell r="B224" t="str">
            <v>PA07 cũ - PC06</v>
          </cell>
          <cell r="C224" t="str">
            <v>BD</v>
          </cell>
          <cell r="D224">
            <v>1090</v>
          </cell>
          <cell r="E224" t="str">
            <v>Mạng cấp 3</v>
          </cell>
        </row>
        <row r="225">
          <cell r="B225" t="str">
            <v>PC06 - TT1 Gia Lai</v>
          </cell>
          <cell r="C225" t="str">
            <v>BD</v>
          </cell>
          <cell r="D225">
            <v>480</v>
          </cell>
          <cell r="E225" t="str">
            <v>Mạng cấp 3</v>
          </cell>
        </row>
        <row r="226">
          <cell r="B226" t="str">
            <v>TT1 Gia Lai - PC07</v>
          </cell>
          <cell r="C226" t="str">
            <v>BD</v>
          </cell>
          <cell r="D226">
            <v>505</v>
          </cell>
          <cell r="E226" t="str">
            <v>Mạng cấp 3</v>
          </cell>
        </row>
        <row r="227">
          <cell r="B227" t="str">
            <v>PC07 - PK02</v>
          </cell>
          <cell r="C227" t="str">
            <v>BD</v>
          </cell>
          <cell r="D227">
            <v>780</v>
          </cell>
          <cell r="E227" t="str">
            <v>Mạng cấp 3</v>
          </cell>
        </row>
        <row r="228">
          <cell r="B228" t="str">
            <v>PK02 - PC08</v>
          </cell>
          <cell r="C228" t="str">
            <v>BD</v>
          </cell>
          <cell r="D228">
            <v>11440</v>
          </cell>
          <cell r="E228" t="str">
            <v>Mạng cấp 3</v>
          </cell>
        </row>
        <row r="229">
          <cell r="B229" t="str">
            <v>PC08 - PC11B</v>
          </cell>
          <cell r="C229" t="str">
            <v>BD</v>
          </cell>
          <cell r="D229">
            <v>8300</v>
          </cell>
          <cell r="E229" t="str">
            <v>Mạng cấp 3</v>
          </cell>
        </row>
        <row r="230">
          <cell r="B230" t="str">
            <v>PC11B - K02 (E23)</v>
          </cell>
          <cell r="C230" t="str">
            <v>BD</v>
          </cell>
          <cell r="D230">
            <v>800</v>
          </cell>
          <cell r="E230" t="str">
            <v>Mạng cấp 3</v>
          </cell>
        </row>
        <row r="231">
          <cell r="B231" t="str">
            <v>K02 (E23) - TT1 Gia Lai</v>
          </cell>
          <cell r="C231" t="str">
            <v>BD</v>
          </cell>
          <cell r="D231">
            <v>17200</v>
          </cell>
          <cell r="E231" t="str">
            <v>Mạng cấp 3</v>
          </cell>
        </row>
        <row r="232">
          <cell r="B232" t="str">
            <v>Mang Yang - Trại Giam Gia Trung</v>
          </cell>
          <cell r="C232" t="str">
            <v>GL</v>
          </cell>
          <cell r="D232">
            <v>13539</v>
          </cell>
          <cell r="E232" t="str">
            <v>Mạng cấp 3</v>
          </cell>
        </row>
        <row r="233">
          <cell r="B233" t="str">
            <v>Trại Giam Gia Trung - Đak Pơ</v>
          </cell>
          <cell r="C233" t="str">
            <v>GL</v>
          </cell>
          <cell r="D233">
            <v>32045</v>
          </cell>
          <cell r="E233" t="str">
            <v>Mạng cấp 3</v>
          </cell>
        </row>
        <row r="234">
          <cell r="B234" t="str">
            <v>TT2 Gia Lai - K02 (D1/E20)</v>
          </cell>
          <cell r="C234" t="str">
            <v>GL</v>
          </cell>
          <cell r="D234">
            <v>6635</v>
          </cell>
          <cell r="E234" t="str">
            <v>Mạng cấp 3</v>
          </cell>
        </row>
        <row r="235">
          <cell r="B235" t="str">
            <v>K02 (D1/E20) - PC11A</v>
          </cell>
          <cell r="C235" t="str">
            <v>GL</v>
          </cell>
          <cell r="D235">
            <v>2516</v>
          </cell>
          <cell r="E235" t="str">
            <v>Mạng cấp 3</v>
          </cell>
        </row>
        <row r="236">
          <cell r="B236" t="str">
            <v>PC11A - Chư Sê</v>
          </cell>
          <cell r="C236" t="str">
            <v>GL</v>
          </cell>
          <cell r="D236">
            <v>35700.699999999997</v>
          </cell>
          <cell r="E236" t="str">
            <v>Mạng cấp 3</v>
          </cell>
        </row>
        <row r="237">
          <cell r="B237" t="str">
            <v>Cảng hàng không Phù Cát - TTCM An Nhơn</v>
          </cell>
          <cell r="C237" t="str">
            <v>BD</v>
          </cell>
          <cell r="D237">
            <v>12302</v>
          </cell>
          <cell r="E237" t="str">
            <v>Mạng cấp 3</v>
          </cell>
        </row>
        <row r="238">
          <cell r="B238" t="str">
            <v>Cơ sở cai nghiện ma tuý (PC04) - TT1 Gia Lai (Quy nhơn)</v>
          </cell>
          <cell r="C238" t="str">
            <v>BD</v>
          </cell>
          <cell r="D238">
            <v>16900</v>
          </cell>
          <cell r="E238" t="str">
            <v>Mạng cấp 3</v>
          </cell>
        </row>
        <row r="239">
          <cell r="B239" t="str">
            <v>TT1 Đăk Lăk - Cư M'ga</v>
          </cell>
          <cell r="C239" t="str">
            <v>Đắk Lắk</v>
          </cell>
          <cell r="D239">
            <v>18735</v>
          </cell>
          <cell r="E239" t="str">
            <v>Mạng cấp 3</v>
          </cell>
        </row>
        <row r="240">
          <cell r="B240" t="str">
            <v>Cư M'ga - Buôn Hồ</v>
          </cell>
          <cell r="C240" t="str">
            <v>Đắk Lắk</v>
          </cell>
          <cell r="D240">
            <v>38145</v>
          </cell>
          <cell r="E240" t="str">
            <v>Mạng cấp 3</v>
          </cell>
        </row>
        <row r="241">
          <cell r="B241" t="str">
            <v>Buôn Hồ - Ea H'Leo</v>
          </cell>
          <cell r="C241" t="str">
            <v>Đắk Lắk</v>
          </cell>
          <cell r="D241">
            <v>36590</v>
          </cell>
          <cell r="E241" t="str">
            <v>Mạng cấp 3</v>
          </cell>
        </row>
        <row r="242">
          <cell r="B242" t="str">
            <v>Ea H'Leo - Ea Súp</v>
          </cell>
          <cell r="C242" t="str">
            <v>Đắk Lắk</v>
          </cell>
          <cell r="D242">
            <v>51572</v>
          </cell>
          <cell r="E242" t="str">
            <v>Mạng cấp 3</v>
          </cell>
        </row>
        <row r="243">
          <cell r="B243" t="str">
            <v>Ea Súp - Buôn Đôn</v>
          </cell>
          <cell r="C243" t="str">
            <v>Đắk Lắk</v>
          </cell>
          <cell r="D243">
            <v>42662</v>
          </cell>
          <cell r="E243" t="str">
            <v>Mạng cấp 3</v>
          </cell>
        </row>
        <row r="244">
          <cell r="B244" t="str">
            <v>Buôn Đôn - TT1 Đăk Lăk</v>
          </cell>
          <cell r="C244" t="str">
            <v>Đắk Lắk</v>
          </cell>
          <cell r="D244">
            <v>26578</v>
          </cell>
          <cell r="E244" t="str">
            <v>Mạng cấp 3</v>
          </cell>
        </row>
        <row r="245">
          <cell r="B245" t="str">
            <v>TT1 Đăk Lăk - KRông Păk</v>
          </cell>
          <cell r="C245" t="str">
            <v>Đắk Lắk</v>
          </cell>
          <cell r="D245">
            <v>29188</v>
          </cell>
          <cell r="E245" t="str">
            <v>Mạng cấp 3</v>
          </cell>
        </row>
        <row r="246">
          <cell r="B246" t="str">
            <v>KRông Păk - Trại giam Đăk Tân (C10)</v>
          </cell>
          <cell r="C246" t="str">
            <v>Đắk Lắk</v>
          </cell>
          <cell r="D246">
            <v>53560</v>
          </cell>
          <cell r="E246" t="str">
            <v>Mạng cấp 3</v>
          </cell>
        </row>
        <row r="247">
          <cell r="B247" t="str">
            <v>Trại giam Đăk Tân (C10) - M' Đrăk</v>
          </cell>
          <cell r="C247" t="str">
            <v>Đắk Lắk</v>
          </cell>
          <cell r="D247">
            <v>29430</v>
          </cell>
          <cell r="E247" t="str">
            <v>Mạng cấp 3</v>
          </cell>
        </row>
        <row r="248">
          <cell r="B248" t="str">
            <v>M' Đrăk - Ea Kar</v>
          </cell>
          <cell r="C248" t="str">
            <v>Đắk Lắk</v>
          </cell>
          <cell r="D248">
            <v>31217</v>
          </cell>
          <cell r="E248" t="str">
            <v>Mạng cấp 3</v>
          </cell>
        </row>
        <row r="249">
          <cell r="B249" t="str">
            <v>Ea Kar - KRông Năng</v>
          </cell>
          <cell r="C249" t="str">
            <v>Đắk Lắk</v>
          </cell>
          <cell r="D249">
            <v>28914</v>
          </cell>
          <cell r="E249" t="str">
            <v>Mạng cấp 3</v>
          </cell>
        </row>
        <row r="250">
          <cell r="B250" t="str">
            <v>KRông Năng - TT1 Đăk Lăk</v>
          </cell>
          <cell r="C250" t="str">
            <v>Đắk Lắk</v>
          </cell>
          <cell r="D250">
            <v>51618</v>
          </cell>
          <cell r="E250" t="str">
            <v>Mạng cấp 3</v>
          </cell>
        </row>
        <row r="251">
          <cell r="B251" t="str">
            <v>TT1 Đăk Lăk - KRông Ana</v>
          </cell>
          <cell r="C251" t="str">
            <v>Đắk Lắk</v>
          </cell>
          <cell r="D251">
            <v>30666</v>
          </cell>
          <cell r="E251" t="str">
            <v>Mạng cấp 3</v>
          </cell>
        </row>
        <row r="252">
          <cell r="B252" t="str">
            <v>KRông Ana - Cư Kuin</v>
          </cell>
          <cell r="C252" t="str">
            <v>Đắk Lắk</v>
          </cell>
          <cell r="D252">
            <v>31129</v>
          </cell>
          <cell r="E252" t="str">
            <v>Mạng cấp 3</v>
          </cell>
        </row>
        <row r="253">
          <cell r="B253" t="str">
            <v>Cư Kuin - Lăk</v>
          </cell>
          <cell r="C253" t="str">
            <v>Đắk Lắk</v>
          </cell>
          <cell r="D253">
            <v>31872</v>
          </cell>
          <cell r="E253" t="str">
            <v>Mạng cấp 3</v>
          </cell>
        </row>
        <row r="254">
          <cell r="B254" t="str">
            <v>Lăk - KRông Bông</v>
          </cell>
          <cell r="C254" t="str">
            <v>Đắk Lắk</v>
          </cell>
          <cell r="D254">
            <v>25133</v>
          </cell>
          <cell r="E254" t="str">
            <v>Mạng cấp 3</v>
          </cell>
        </row>
        <row r="255">
          <cell r="B255" t="str">
            <v>KRông Bông - TT1 Đăk Lăk</v>
          </cell>
          <cell r="C255" t="str">
            <v>Đắk Lắk</v>
          </cell>
          <cell r="D255">
            <v>58272</v>
          </cell>
          <cell r="E255" t="str">
            <v>Mạng cấp 3</v>
          </cell>
        </row>
        <row r="256">
          <cell r="B256" t="str">
            <v>TT2 Tuy Hòa - Phú Hòa - Phú Hòa</v>
          </cell>
          <cell r="C256" t="str">
            <v>Phú Yên</v>
          </cell>
          <cell r="D256">
            <v>14600</v>
          </cell>
          <cell r="E256" t="str">
            <v>Mạng cấp 3</v>
          </cell>
        </row>
        <row r="257">
          <cell r="B257" t="str">
            <v>Phú Hòa - Sông Hinh</v>
          </cell>
          <cell r="C257" t="str">
            <v>Phú Yên</v>
          </cell>
          <cell r="D257">
            <v>47852</v>
          </cell>
          <cell r="E257" t="str">
            <v>Mạng cấp 3</v>
          </cell>
        </row>
        <row r="258">
          <cell r="B258" t="str">
            <v>Sông Hinh - Tây Hòa</v>
          </cell>
          <cell r="C258" t="str">
            <v>Phú Yên</v>
          </cell>
          <cell r="D258">
            <v>48546</v>
          </cell>
          <cell r="E258" t="str">
            <v>Mạng cấp 3</v>
          </cell>
        </row>
        <row r="259">
          <cell r="B259" t="str">
            <v>Tây Hòa - TT2 Tuy Hòa</v>
          </cell>
          <cell r="C259" t="str">
            <v>Phú Yên</v>
          </cell>
          <cell r="D259">
            <v>16552</v>
          </cell>
          <cell r="E259" t="str">
            <v>Mạng cấp 3</v>
          </cell>
        </row>
        <row r="260">
          <cell r="B260" t="str">
            <v>TT2 Tuy Hòa - Tuy Hòa</v>
          </cell>
          <cell r="C260" t="str">
            <v>Phú Yên</v>
          </cell>
          <cell r="D260">
            <v>0</v>
          </cell>
          <cell r="E260" t="str">
            <v>Mạng cấp 3</v>
          </cell>
        </row>
        <row r="261">
          <cell r="B261" t="str">
            <v>Tuy Hòa - Sơn Hòa</v>
          </cell>
          <cell r="C261" t="str">
            <v>Phú Yên</v>
          </cell>
          <cell r="D261">
            <v>46666</v>
          </cell>
          <cell r="E261" t="str">
            <v>Mạng cấp 3</v>
          </cell>
        </row>
        <row r="262">
          <cell r="B262" t="str">
            <v>Sơn Hòa - CAX Sơn Định (Sơn Hòa)</v>
          </cell>
          <cell r="C262" t="str">
            <v>Phú Yên</v>
          </cell>
          <cell r="D262">
            <v>38550</v>
          </cell>
          <cell r="E262" t="str">
            <v>Mạng cấp 3</v>
          </cell>
        </row>
        <row r="263">
          <cell r="B263" t="str">
            <v>CAX Sơn Định (Sơn Hòa) - Đồng Xuân</v>
          </cell>
          <cell r="C263" t="str">
            <v>Phú Yên</v>
          </cell>
          <cell r="D263">
            <v>26630</v>
          </cell>
          <cell r="E263" t="str">
            <v>Mạng cấp 3</v>
          </cell>
        </row>
        <row r="264">
          <cell r="B264" t="str">
            <v>Đồng Xuân - Sông Cầu</v>
          </cell>
          <cell r="C264" t="str">
            <v>Phú Yên</v>
          </cell>
          <cell r="D264">
            <v>51719</v>
          </cell>
          <cell r="E264" t="str">
            <v>Mạng cấp 3</v>
          </cell>
        </row>
        <row r="265">
          <cell r="B265" t="str">
            <v>Sông Cầu - TT2 Tuy Hòa</v>
          </cell>
          <cell r="C265" t="str">
            <v>Phú Yên</v>
          </cell>
          <cell r="D265">
            <v>48266</v>
          </cell>
          <cell r="E265" t="str">
            <v>Mạng cấp 3</v>
          </cell>
        </row>
        <row r="266">
          <cell r="B266" t="str">
            <v>TT2 Đăk Lăk (Tuy Hòa) - PC07</v>
          </cell>
          <cell r="C266" t="str">
            <v>Phú Yên</v>
          </cell>
          <cell r="D266">
            <v>208</v>
          </cell>
          <cell r="E266" t="str">
            <v>Mạng cấp 3</v>
          </cell>
        </row>
        <row r="267">
          <cell r="B267" t="str">
            <v>PC07 - PC11</v>
          </cell>
          <cell r="C267" t="str">
            <v>Phú Yên</v>
          </cell>
          <cell r="D267">
            <v>372</v>
          </cell>
          <cell r="E267" t="str">
            <v>Mạng cấp 3</v>
          </cell>
        </row>
        <row r="268">
          <cell r="B268" t="str">
            <v>PC11 - PC08</v>
          </cell>
          <cell r="C268" t="str">
            <v>Phú Yên</v>
          </cell>
          <cell r="D268">
            <v>3900</v>
          </cell>
          <cell r="E268" t="str">
            <v>Mạng cấp 3</v>
          </cell>
        </row>
        <row r="269">
          <cell r="B269" t="str">
            <v>PC08 - PK02</v>
          </cell>
          <cell r="C269" t="str">
            <v>Phú Yên</v>
          </cell>
          <cell r="D269">
            <v>21431</v>
          </cell>
          <cell r="E269" t="str">
            <v>Mạng cấp 3</v>
          </cell>
        </row>
        <row r="270">
          <cell r="B270" t="str">
            <v>PK02 - TT2 Đăk Lăk (Tuy Hòa)</v>
          </cell>
          <cell r="C270" t="str">
            <v>Phú Yên</v>
          </cell>
          <cell r="D270">
            <v>8305</v>
          </cell>
          <cell r="E270" t="str">
            <v>Mạng cấp 3</v>
          </cell>
        </row>
        <row r="271">
          <cell r="B271" t="str">
            <v>TT2 Đăk Lăk (Tuy Hòa) - Cơ quan điều tra
Tuy Hòa</v>
          </cell>
          <cell r="C271" t="str">
            <v>Phú Yên</v>
          </cell>
          <cell r="D271">
            <v>5050</v>
          </cell>
          <cell r="E271" t="str">
            <v>Mạng cấp 3</v>
          </cell>
        </row>
        <row r="272">
          <cell r="B272" t="str">
            <v>Cơ quan điều tra Tuy Hòa - PA08</v>
          </cell>
          <cell r="C272" t="str">
            <v>Phú Yên</v>
          </cell>
          <cell r="D272">
            <v>2270</v>
          </cell>
          <cell r="E272" t="str">
            <v>Mạng cấp 3</v>
          </cell>
        </row>
        <row r="273">
          <cell r="B273" t="str">
            <v>PA08 - PA05</v>
          </cell>
          <cell r="C273" t="str">
            <v>Phú Yên</v>
          </cell>
          <cell r="D273">
            <v>489</v>
          </cell>
          <cell r="E273" t="str">
            <v>Mạng cấp 3</v>
          </cell>
        </row>
        <row r="274">
          <cell r="B274" t="str">
            <v>PA05 - PA06</v>
          </cell>
          <cell r="C274" t="str">
            <v>Phú Yên</v>
          </cell>
          <cell r="D274">
            <v>3147</v>
          </cell>
          <cell r="E274" t="str">
            <v>Mạng cấp 3</v>
          </cell>
        </row>
        <row r="275">
          <cell r="B275" t="str">
            <v>PA06 - TT2 Đăk Lăk (Tuy Hòa)</v>
          </cell>
          <cell r="C275" t="str">
            <v>Phú Yên</v>
          </cell>
          <cell r="D275">
            <v>3877</v>
          </cell>
          <cell r="E275" t="str">
            <v>Mạng cấp 3</v>
          </cell>
        </row>
        <row r="276">
          <cell r="B276" t="str">
            <v>TT2 Đăk Lăk (Tuy Hòa) - PC06</v>
          </cell>
          <cell r="C276" t="str">
            <v>Phú Yên</v>
          </cell>
          <cell r="D276">
            <v>1960</v>
          </cell>
          <cell r="E276" t="str">
            <v>Mạng cấp 3</v>
          </cell>
        </row>
        <row r="277">
          <cell r="B277" t="str">
            <v>PC06  -  CAT(Phú Yên)</v>
          </cell>
          <cell r="C277" t="str">
            <v>Phú Yên</v>
          </cell>
          <cell r="D277">
            <v>4815</v>
          </cell>
          <cell r="E277" t="str">
            <v>Mạng cấp 3</v>
          </cell>
        </row>
        <row r="278">
          <cell r="B278" t="str">
            <v xml:space="preserve"> CAT(Phú Yên) -  Cảng hàng không Tuy Hòa</v>
          </cell>
          <cell r="C278" t="str">
            <v>Phú Yên</v>
          </cell>
          <cell r="D278">
            <v>17837</v>
          </cell>
          <cell r="E278" t="str">
            <v>Mạng cấp 3</v>
          </cell>
        </row>
        <row r="279">
          <cell r="B279" t="str">
            <v>Cảng hàng không Tuy Hòa - TTCMKV Đông Hòa</v>
          </cell>
          <cell r="C279" t="str">
            <v>Phú Yên</v>
          </cell>
          <cell r="D279">
            <v>12180</v>
          </cell>
          <cell r="E279" t="str">
            <v>Mạng cấp 3</v>
          </cell>
        </row>
        <row r="280">
          <cell r="B280" t="str">
            <v>TT1 Đăk Lăk - PC07</v>
          </cell>
          <cell r="C280" t="str">
            <v>Đắk Lắk</v>
          </cell>
          <cell r="D280">
            <v>7923</v>
          </cell>
          <cell r="E280" t="str">
            <v>Mạng cấp 3</v>
          </cell>
        </row>
        <row r="281">
          <cell r="B281" t="str">
            <v>PC07 - PK02</v>
          </cell>
          <cell r="C281" t="str">
            <v>Đắk Lắk</v>
          </cell>
          <cell r="D281">
            <v>1112</v>
          </cell>
          <cell r="E281" t="str">
            <v>Mạng cấp 3</v>
          </cell>
        </row>
        <row r="282">
          <cell r="B282" t="str">
            <v>PK02 - PC11</v>
          </cell>
          <cell r="C282" t="str">
            <v>Đắk Lắk</v>
          </cell>
          <cell r="D282">
            <v>10491</v>
          </cell>
          <cell r="E282" t="str">
            <v>Mạng cấp 3</v>
          </cell>
        </row>
        <row r="283">
          <cell r="B283" t="str">
            <v>PC11 - TTCMKV Krong Ana</v>
          </cell>
          <cell r="C283" t="str">
            <v>Đắk Lắk</v>
          </cell>
          <cell r="D283">
            <v>29192</v>
          </cell>
          <cell r="E283" t="str">
            <v>Mạng cấp 3</v>
          </cell>
        </row>
        <row r="284">
          <cell r="B284" t="str">
            <v>TT1 Đăk Lăk - PA07</v>
          </cell>
          <cell r="C284" t="str">
            <v>Đắk Lắk</v>
          </cell>
          <cell r="D284">
            <v>1147</v>
          </cell>
          <cell r="E284" t="str">
            <v>Mạng cấp 3</v>
          </cell>
        </row>
        <row r="285">
          <cell r="B285" t="str">
            <v>PA07 - PA08-PC06</v>
          </cell>
          <cell r="C285" t="str">
            <v>Đắk Lắk</v>
          </cell>
          <cell r="D285">
            <v>1680</v>
          </cell>
          <cell r="E285" t="str">
            <v>Mạng cấp 3</v>
          </cell>
        </row>
        <row r="286">
          <cell r="B286" t="str">
            <v>PA08-PC06 - PC08</v>
          </cell>
          <cell r="C286" t="str">
            <v>Đắk Lắk</v>
          </cell>
          <cell r="D286">
            <v>663</v>
          </cell>
          <cell r="E286" t="str">
            <v>Mạng cấp 3</v>
          </cell>
        </row>
        <row r="287">
          <cell r="B287" t="str">
            <v>PC08 - PC04</v>
          </cell>
          <cell r="C287" t="str">
            <v>Đắk Lắk</v>
          </cell>
          <cell r="D287">
            <v>2528</v>
          </cell>
          <cell r="E287" t="str">
            <v>Mạng cấp 3</v>
          </cell>
        </row>
        <row r="288">
          <cell r="B288" t="str">
            <v>PC04 - TT1 Đăk Lăk</v>
          </cell>
          <cell r="C288" t="str">
            <v>Đắk Lắk</v>
          </cell>
          <cell r="D288">
            <v>1343</v>
          </cell>
          <cell r="E288" t="str">
            <v>Mạng cấp 3</v>
          </cell>
        </row>
        <row r="289">
          <cell r="B289" t="str">
            <v>Trại giam Xuân Phước (C10) - TTCMKV Đồng Xuân</v>
          </cell>
          <cell r="C289" t="str">
            <v>Phú Yên</v>
          </cell>
          <cell r="D289">
            <v>14550</v>
          </cell>
          <cell r="E289" t="str">
            <v>Mạng cấp 3</v>
          </cell>
        </row>
        <row r="290">
          <cell r="B290" t="str">
            <v>Trại giam Xuân Phước (C10) - TTCMKV Sơn Hòa</v>
          </cell>
          <cell r="C290" t="str">
            <v>Phú Yên</v>
          </cell>
          <cell r="D290">
            <v>51364</v>
          </cell>
          <cell r="E290" t="str">
            <v>Mạng cấp 3</v>
          </cell>
        </row>
        <row r="291">
          <cell r="B291" t="str">
            <v>Điểm đăng ký sát hạch lái xe (PC08) - TT2 Đăk Lăk (Tuy Hòa)</v>
          </cell>
          <cell r="C291" t="str">
            <v>Phú Yên</v>
          </cell>
          <cell r="D291">
            <v>2433</v>
          </cell>
          <cell r="E291" t="str">
            <v>Mạng cấp 3</v>
          </cell>
        </row>
        <row r="292">
          <cell r="B292" t="str">
            <v>Trại tạm giam Buôn Mê Thuột  - TT1 Đăk Lăk</v>
          </cell>
          <cell r="C292" t="str">
            <v>Đắk Lắk</v>
          </cell>
          <cell r="D292">
            <v>5378</v>
          </cell>
          <cell r="E292" t="str">
            <v>Mạng cấp 3</v>
          </cell>
        </row>
        <row r="293">
          <cell r="B293" t="str">
            <v>Cơ sở cai nghiện (X. Tân Tiến, H. Kron Pắc) - TTCMKV Krong Pắc</v>
          </cell>
          <cell r="C293" t="str">
            <v>Đắk Lắk</v>
          </cell>
          <cell r="D293">
            <v>8807</v>
          </cell>
          <cell r="E293" t="str">
            <v>Mạng cấp 3</v>
          </cell>
        </row>
        <row r="294">
          <cell r="B294" t="str">
            <v>Cảng hàng không Buôn Mê Thuột - TT1 Đăk
Lăk</v>
          </cell>
          <cell r="C294" t="str">
            <v>Đắk Lắk</v>
          </cell>
          <cell r="D294">
            <v>8735</v>
          </cell>
          <cell r="E294" t="str">
            <v>Mạng cấp 3</v>
          </cell>
        </row>
        <row r="295">
          <cell r="B295" t="str">
            <v>Trung tâm huấn luyện PX01 - TT1 Đăk Lăk</v>
          </cell>
          <cell r="C295" t="str">
            <v>Đắk Lắk</v>
          </cell>
          <cell r="D295">
            <v>3352</v>
          </cell>
          <cell r="E295" t="str">
            <v>Mạng cấp 3</v>
          </cell>
        </row>
        <row r="296">
          <cell r="B296" t="str">
            <v>Tuyến cáp CAT Khánh Hòa - Diên Khánh</v>
          </cell>
          <cell r="C296" t="str">
            <v>Khánh Hòa</v>
          </cell>
          <cell r="D296">
            <v>12983</v>
          </cell>
          <cell r="E296" t="str">
            <v>Mạng cấp 3</v>
          </cell>
        </row>
        <row r="297">
          <cell r="B297" t="str">
            <v>Tuyến cáp Diên Khánh - Khánh Vĩnh</v>
          </cell>
          <cell r="C297" t="str">
            <v>Khánh Hòa</v>
          </cell>
          <cell r="D297">
            <v>24447</v>
          </cell>
          <cell r="E297" t="str">
            <v>Mạng cấp 3</v>
          </cell>
        </row>
        <row r="298">
          <cell r="B298" t="str">
            <v>Tuyến cáp Khánh Vĩnh - Ninh Hòa</v>
          </cell>
          <cell r="C298" t="str">
            <v>Khánh Hòa</v>
          </cell>
          <cell r="D298">
            <v>56245</v>
          </cell>
          <cell r="E298" t="str">
            <v>Mạng cấp 3</v>
          </cell>
        </row>
        <row r="299">
          <cell r="B299" t="str">
            <v>Tuyến cáp Ninh Hòa - Vạn Ninh</v>
          </cell>
          <cell r="C299" t="str">
            <v>Khánh Hòa</v>
          </cell>
          <cell r="D299">
            <v>27105</v>
          </cell>
          <cell r="E299" t="str">
            <v>Mạng cấp 3</v>
          </cell>
        </row>
        <row r="300">
          <cell r="B300" t="str">
            <v>Tuyến cáp Vạn Ninh - CAT Khánh Hòa</v>
          </cell>
          <cell r="C300" t="str">
            <v>Khánh Hòa</v>
          </cell>
          <cell r="D300">
            <v>64849</v>
          </cell>
          <cell r="E300" t="str">
            <v>Mạng cấp 3</v>
          </cell>
        </row>
        <row r="301">
          <cell r="B301" t="str">
            <v>Tuyến cáp CAT Khánh Hòa - Cam Lâm</v>
          </cell>
          <cell r="C301" t="str">
            <v>Khánh Hòa</v>
          </cell>
          <cell r="D301">
            <v>28796</v>
          </cell>
          <cell r="E301" t="str">
            <v>Mạng cấp 3</v>
          </cell>
        </row>
        <row r="302">
          <cell r="B302" t="str">
            <v>Tuyến cáp Cam Lâm - Cam Ranh</v>
          </cell>
          <cell r="C302" t="str">
            <v>Khánh Hòa</v>
          </cell>
          <cell r="D302">
            <v>20902</v>
          </cell>
          <cell r="E302" t="str">
            <v>Mạng cấp 3</v>
          </cell>
        </row>
        <row r="303">
          <cell r="B303" t="str">
            <v>Tuyến cáp Cam Ranh - Khánh Sơn</v>
          </cell>
          <cell r="C303" t="str">
            <v>Khánh Hòa</v>
          </cell>
          <cell r="D303">
            <v>34599</v>
          </cell>
          <cell r="E303" t="str">
            <v>Mạng cấp 3</v>
          </cell>
        </row>
        <row r="304">
          <cell r="B304" t="str">
            <v>Tuyến cáp Khánh Sơn - Cam Phước Đông</v>
          </cell>
          <cell r="C304" t="str">
            <v>Khánh Hòa</v>
          </cell>
          <cell r="D304">
            <v>25375</v>
          </cell>
          <cell r="E304" t="str">
            <v>Mạng cấp 3</v>
          </cell>
        </row>
        <row r="305">
          <cell r="B305" t="str">
            <v>Tuyến cáp Cam Phước Đông - CAT Khánh Hòa</v>
          </cell>
          <cell r="C305" t="str">
            <v>Khánh Hòa</v>
          </cell>
          <cell r="D305">
            <v>52121</v>
          </cell>
          <cell r="E305" t="str">
            <v>Mạng cấp 3</v>
          </cell>
        </row>
        <row r="306">
          <cell r="B306" t="str">
            <v>TT Phan Rang - Đông Hải</v>
          </cell>
          <cell r="C306" t="str">
            <v>Khánh Hòa</v>
          </cell>
          <cell r="D306">
            <v>6121.8</v>
          </cell>
          <cell r="E306" t="str">
            <v>Mạng cấp 3</v>
          </cell>
        </row>
        <row r="307">
          <cell r="B307" t="str">
            <v>Đông Hải - PC07 cơ sở 2</v>
          </cell>
          <cell r="C307" t="str">
            <v>Khánh Hòa</v>
          </cell>
          <cell r="D307">
            <v>1585.6</v>
          </cell>
          <cell r="E307" t="str">
            <v>Mạng cấp 3</v>
          </cell>
        </row>
        <row r="308">
          <cell r="B308" t="str">
            <v>PC07 cơ sở 2 - PC10 cơ sở 2</v>
          </cell>
          <cell r="C308" t="str">
            <v>Khánh Hòa</v>
          </cell>
          <cell r="D308">
            <v>3505.4</v>
          </cell>
          <cell r="E308" t="str">
            <v>Mạng cấp 3</v>
          </cell>
        </row>
        <row r="309">
          <cell r="B309" t="str">
            <v>PC10 cơ sở 2 - CAP Phan Rang</v>
          </cell>
          <cell r="C309" t="str">
            <v>Khánh Hòa</v>
          </cell>
          <cell r="D309">
            <v>2236.8000000000002</v>
          </cell>
          <cell r="E309" t="str">
            <v>Mạng cấp 3</v>
          </cell>
        </row>
        <row r="310">
          <cell r="B310" t="str">
            <v>TT Phan Rang 2 - Ninh Phước</v>
          </cell>
          <cell r="C310" t="str">
            <v>Khánh Hòa</v>
          </cell>
          <cell r="D310">
            <v>12379.6</v>
          </cell>
          <cell r="E310" t="str">
            <v>Mạng cấp 3</v>
          </cell>
        </row>
        <row r="311">
          <cell r="B311" t="str">
            <v>Ninh Phước - Thuận Nam</v>
          </cell>
          <cell r="C311" t="str">
            <v>Khánh Hòa</v>
          </cell>
          <cell r="D311">
            <v>8499</v>
          </cell>
          <cell r="E311" t="str">
            <v>Mạng cấp 3</v>
          </cell>
        </row>
        <row r="312">
          <cell r="B312" t="str">
            <v>Thuận Nam - PC10 cơ sở 2</v>
          </cell>
          <cell r="C312" t="str">
            <v>Khánh Hòa</v>
          </cell>
          <cell r="D312">
            <v>18266</v>
          </cell>
          <cell r="E312" t="str">
            <v>Mạng cấp 3</v>
          </cell>
        </row>
        <row r="313">
          <cell r="B313" t="str">
            <v>PC10 cơ sở 2 - CAP Phan Rang</v>
          </cell>
          <cell r="C313" t="str">
            <v>Khánh Hòa</v>
          </cell>
          <cell r="D313">
            <v>2236.8000000000002</v>
          </cell>
          <cell r="E313" t="str">
            <v>Mạng cấp 3</v>
          </cell>
        </row>
        <row r="314">
          <cell r="B314" t="str">
            <v>TT2 Phan Rang - Ninh Hải</v>
          </cell>
          <cell r="C314" t="str">
            <v>Khánh Hòa</v>
          </cell>
          <cell r="D314">
            <v>5322</v>
          </cell>
          <cell r="E314" t="str">
            <v>Mạng cấp 3</v>
          </cell>
        </row>
        <row r="315">
          <cell r="B315" t="str">
            <v>Ninh Hải - Thuận Bắc</v>
          </cell>
          <cell r="C315" t="str">
            <v>Khánh Hòa</v>
          </cell>
          <cell r="D315">
            <v>16403.2</v>
          </cell>
          <cell r="E315" t="str">
            <v>Mạng cấp 3</v>
          </cell>
        </row>
        <row r="316">
          <cell r="B316" t="str">
            <v>TT2 Phan Rang - Ninh Phước</v>
          </cell>
          <cell r="C316" t="str">
            <v>Khánh Hòa</v>
          </cell>
          <cell r="D316">
            <v>12154.2</v>
          </cell>
          <cell r="E316" t="str">
            <v>Mạng cấp 3</v>
          </cell>
        </row>
        <row r="317">
          <cell r="B317" t="str">
            <v>Ninh Phước - Ninh Sơn</v>
          </cell>
          <cell r="C317" t="str">
            <v>Khánh Hòa</v>
          </cell>
          <cell r="D317">
            <v>40114.800000000003</v>
          </cell>
          <cell r="E317" t="str">
            <v>Mạng cấp 3</v>
          </cell>
        </row>
        <row r="318">
          <cell r="B318" t="str">
            <v>Ninh Sơn - Bác Ái</v>
          </cell>
          <cell r="C318" t="str">
            <v>Khánh Hòa</v>
          </cell>
          <cell r="D318">
            <v>22864</v>
          </cell>
          <cell r="E318" t="str">
            <v>Mạng cấp 3</v>
          </cell>
        </row>
        <row r="319">
          <cell r="B319" t="str">
            <v>Bác Ái - Thuận Bắc</v>
          </cell>
          <cell r="C319" t="str">
            <v>Khánh Hòa</v>
          </cell>
          <cell r="D319">
            <v>45181</v>
          </cell>
          <cell r="E319" t="str">
            <v>Mạng cấp 3</v>
          </cell>
        </row>
        <row r="320">
          <cell r="B320" t="str">
            <v>Thuận Bắc - Bảo An</v>
          </cell>
          <cell r="C320" t="str">
            <v>Khánh Hòa</v>
          </cell>
          <cell r="D320">
            <v>22377</v>
          </cell>
          <cell r="E320" t="str">
            <v>Mạng cấp 3</v>
          </cell>
        </row>
        <row r="321">
          <cell r="B321" t="str">
            <v>Ninh Sơn - Đội CSPCCC Ninh Sơn</v>
          </cell>
          <cell r="C321" t="str">
            <v>Khánh Hòa</v>
          </cell>
          <cell r="D321">
            <v>2169.9</v>
          </cell>
          <cell r="E321" t="str">
            <v>Mạng cấp 3</v>
          </cell>
        </row>
        <row r="322">
          <cell r="B322" t="str">
            <v>Đội CSPCCC Ninh Sơn - Trại giam Sông Cái</v>
          </cell>
          <cell r="C322" t="str">
            <v>Khánh Hòa</v>
          </cell>
          <cell r="D322">
            <v>9792</v>
          </cell>
          <cell r="E322" t="str">
            <v>Mạng cấp 3</v>
          </cell>
        </row>
        <row r="323">
          <cell r="B323" t="str">
            <v>Trại giam Sông Cái - TTCM Bắc Ái</v>
          </cell>
          <cell r="C323" t="str">
            <v>Khánh Hòa</v>
          </cell>
          <cell r="D323">
            <v>16681</v>
          </cell>
          <cell r="E323" t="str">
            <v>Mạng cấp 3</v>
          </cell>
        </row>
        <row r="324">
          <cell r="B324" t="str">
            <v>TTCM Bắc Ái - PC11B</v>
          </cell>
          <cell r="C324" t="str">
            <v>Khánh Hòa</v>
          </cell>
          <cell r="D324">
            <v>33257</v>
          </cell>
          <cell r="E324" t="str">
            <v>Mạng cấp 3</v>
          </cell>
        </row>
        <row r="325">
          <cell r="B325" t="str">
            <v>PC11B - Trạm CSGT 15/1</v>
          </cell>
          <cell r="C325" t="str">
            <v>Khánh Hòa</v>
          </cell>
          <cell r="D325">
            <v>14538.1</v>
          </cell>
          <cell r="E325" t="str">
            <v>Mạng cấp 3</v>
          </cell>
        </row>
        <row r="326">
          <cell r="B326" t="str">
            <v>Trạm CSGT 15/1 - Thuận Bắc</v>
          </cell>
          <cell r="C326" t="str">
            <v>Khánh Hòa</v>
          </cell>
          <cell r="D326">
            <v>13100.2</v>
          </cell>
          <cell r="E326" t="str">
            <v>Mạng cấp 3</v>
          </cell>
        </row>
        <row r="327">
          <cell r="B327" t="str">
            <v>Tuyến cáp CAT Khánh Hòa - CATP Nha Trang cũ</v>
          </cell>
          <cell r="C327" t="str">
            <v>Khánh Hòa</v>
          </cell>
          <cell r="D327">
            <v>2476</v>
          </cell>
          <cell r="E327" t="str">
            <v>Mạng cấp 3</v>
          </cell>
        </row>
        <row r="328">
          <cell r="B328" t="str">
            <v>Tuyến cáp CATP Nha trang cũ - PC06</v>
          </cell>
          <cell r="C328" t="str">
            <v>Khánh Hòa</v>
          </cell>
          <cell r="D328">
            <v>143</v>
          </cell>
          <cell r="E328" t="str">
            <v>Mạng cấp 3</v>
          </cell>
        </row>
        <row r="329">
          <cell r="B329" t="str">
            <v>Tuyến cáp PC06 - PA08</v>
          </cell>
          <cell r="C329" t="str">
            <v>Khánh Hòa</v>
          </cell>
          <cell r="D329">
            <v>65</v>
          </cell>
          <cell r="E329" t="str">
            <v>Mạng cấp 3</v>
          </cell>
        </row>
        <row r="330">
          <cell r="B330" t="str">
            <v>Tuyến cáp PA08 - PA06 cs1</v>
          </cell>
          <cell r="C330" t="str">
            <v>Khánh Hòa</v>
          </cell>
          <cell r="D330">
            <v>1163</v>
          </cell>
          <cell r="E330" t="str">
            <v>Mạng cấp 3</v>
          </cell>
        </row>
        <row r="331">
          <cell r="B331" t="str">
            <v>Tuyến cáp PA06 cs1 - PC08 csc</v>
          </cell>
          <cell r="C331" t="str">
            <v>Khánh Hòa</v>
          </cell>
          <cell r="D331">
            <v>1439</v>
          </cell>
          <cell r="E331" t="str">
            <v>Mạng cấp 3</v>
          </cell>
        </row>
        <row r="332">
          <cell r="B332" t="str">
            <v>Tuyến cáp PC08 csc - CAT Khánh Hòa</v>
          </cell>
          <cell r="C332" t="str">
            <v>Khánh Hòa</v>
          </cell>
          <cell r="D332">
            <v>3510</v>
          </cell>
          <cell r="E332" t="str">
            <v>Mạng cấp 3</v>
          </cell>
        </row>
        <row r="333">
          <cell r="B333" t="str">
            <v>Tuyến cáp PA06 cs1 - Nhà nghỉ dưỡng 378 BCA</v>
          </cell>
          <cell r="C333" t="str">
            <v>Khánh Hòa</v>
          </cell>
          <cell r="D333">
            <v>843</v>
          </cell>
          <cell r="E333" t="str">
            <v>Mạng cấp 3</v>
          </cell>
        </row>
        <row r="334">
          <cell r="B334" t="str">
            <v>Tuyến cáp PC08 csc - PC08 (xử lý vi phạm)</v>
          </cell>
          <cell r="C334" t="str">
            <v>Khánh Hòa</v>
          </cell>
          <cell r="D334">
            <v>252</v>
          </cell>
          <cell r="E334" t="str">
            <v>Mạng cấp 3</v>
          </cell>
        </row>
        <row r="335">
          <cell r="B335" t="str">
            <v>Tuyến cáp Khánh Vĩnh - Nhà tạm giam Diên Khánh</v>
          </cell>
          <cell r="C335" t="str">
            <v>Khánh Hòa</v>
          </cell>
          <cell r="D335">
            <v>20905</v>
          </cell>
          <cell r="E335" t="str">
            <v>Mạng cấp 3</v>
          </cell>
        </row>
        <row r="336">
          <cell r="B336" t="str">
            <v>Tuyến cáp Nhà tạm giam Diên Khánh - Trại giam A2</v>
          </cell>
          <cell r="C336" t="str">
            <v>Khánh Hòa</v>
          </cell>
          <cell r="D336">
            <v>15027</v>
          </cell>
          <cell r="E336" t="str">
            <v>Mạng cấp 3</v>
          </cell>
        </row>
        <row r="337">
          <cell r="B337" t="str">
            <v>Tuyến cáp Trại giam A2 - CATP Nha trang cũ</v>
          </cell>
          <cell r="C337" t="str">
            <v>Khánh Hòa</v>
          </cell>
          <cell r="D337">
            <v>29275</v>
          </cell>
          <cell r="E337" t="str">
            <v>Mạng cấp 3</v>
          </cell>
        </row>
        <row r="338">
          <cell r="B338" t="str">
            <v>Tuyến cáp CATP Nha trang cũ - PC07</v>
          </cell>
          <cell r="C338" t="str">
            <v>Khánh Hòa</v>
          </cell>
          <cell r="D338">
            <v>1374</v>
          </cell>
          <cell r="E338" t="str">
            <v>Mạng cấp 3</v>
          </cell>
        </row>
        <row r="339">
          <cell r="B339" t="str">
            <v>Tuyến cáp PC07 - PA06 cs2</v>
          </cell>
          <cell r="C339" t="str">
            <v>Khánh Hòa</v>
          </cell>
          <cell r="D339">
            <v>470</v>
          </cell>
          <cell r="E339" t="str">
            <v>Mạng cấp 3</v>
          </cell>
        </row>
        <row r="340">
          <cell r="B340" t="str">
            <v>Tuyến cáp PA06 cs2 - PC11a</v>
          </cell>
          <cell r="C340" t="str">
            <v>Khánh Hòa</v>
          </cell>
          <cell r="D340">
            <v>9113</v>
          </cell>
          <cell r="E340" t="str">
            <v>Mạng cấp 3</v>
          </cell>
        </row>
        <row r="341">
          <cell r="B341" t="str">
            <v>Tuyến cáp PC11a - PC02</v>
          </cell>
          <cell r="C341" t="str">
            <v>Khánh Hòa</v>
          </cell>
          <cell r="D341">
            <v>7493</v>
          </cell>
          <cell r="E341" t="str">
            <v>Mạng cấp 3</v>
          </cell>
        </row>
        <row r="342">
          <cell r="B342" t="str">
            <v>Tuyến cáp PC02 - CAT Khánh Hòa</v>
          </cell>
          <cell r="C342" t="str">
            <v>Khánh Hòa</v>
          </cell>
          <cell r="D342">
            <v>2029</v>
          </cell>
          <cell r="E342" t="str">
            <v>Mạng cấp 3</v>
          </cell>
        </row>
        <row r="343">
          <cell r="B343" t="str">
            <v>Tuyến cáp PC02 - PC08 (CSGT đường thủy)</v>
          </cell>
          <cell r="C343" t="str">
            <v>Khánh Hòa</v>
          </cell>
          <cell r="D343">
            <v>225</v>
          </cell>
          <cell r="E343" t="str">
            <v>Mạng cấp 3</v>
          </cell>
        </row>
        <row r="344">
          <cell r="B344" t="str">
            <v>Tuyến cáp CAT Khánh Hòa - PK02 cs1</v>
          </cell>
          <cell r="C344" t="str">
            <v>Khánh Hòa</v>
          </cell>
          <cell r="D344">
            <v>7555</v>
          </cell>
          <cell r="E344" t="str">
            <v>Mạng cấp 3</v>
          </cell>
        </row>
        <row r="345">
          <cell r="B345" t="str">
            <v>Tuyến cáp PK02 cs1 - Trung đoàn CSCĐ-E23</v>
          </cell>
          <cell r="C345" t="str">
            <v>Khánh Hòa</v>
          </cell>
          <cell r="D345">
            <v>3553</v>
          </cell>
          <cell r="E345" t="str">
            <v>Mạng cấp 3</v>
          </cell>
        </row>
        <row r="346">
          <cell r="B346" t="str">
            <v>Tuyến cáp Trung đoàn CSCĐ-E23 - PK02 cs2</v>
          </cell>
          <cell r="C346" t="str">
            <v>Khánh Hòa</v>
          </cell>
          <cell r="D346">
            <v>8780</v>
          </cell>
          <cell r="E346" t="str">
            <v>Mạng cấp 3</v>
          </cell>
        </row>
        <row r="347">
          <cell r="B347" t="str">
            <v>Tuyến cáp PK02 cs2 - Trạm CSGT Ninh An cũ</v>
          </cell>
          <cell r="C347" t="str">
            <v>Khánh Hòa</v>
          </cell>
          <cell r="D347">
            <v>29700</v>
          </cell>
          <cell r="E347" t="str">
            <v>Mạng cấp 3</v>
          </cell>
        </row>
        <row r="348">
          <cell r="B348" t="str">
            <v>Tuyến cáp Trạm CSGT Ninh An cũ - Ninh Hòa</v>
          </cell>
          <cell r="C348" t="str">
            <v>Khánh Hòa</v>
          </cell>
          <cell r="D348">
            <v>7571</v>
          </cell>
          <cell r="E348" t="str">
            <v>Mạng cấp 3</v>
          </cell>
        </row>
        <row r="349">
          <cell r="B349" t="str">
            <v>Tuyến cáp PK02 cs1 - NTG Nha Trang cũ</v>
          </cell>
          <cell r="C349" t="str">
            <v>Khánh Hòa</v>
          </cell>
          <cell r="D349">
            <v>289</v>
          </cell>
          <cell r="E349" t="str">
            <v>Mạng cấp 3</v>
          </cell>
        </row>
        <row r="350">
          <cell r="B350" t="str">
            <v>Tuyến cáp Trung đoàn CSCĐ-E23 - Cục Trang bị và Kho vận</v>
          </cell>
          <cell r="C350" t="str">
            <v>Khánh Hòa</v>
          </cell>
          <cell r="D350">
            <v>2203</v>
          </cell>
          <cell r="E350" t="str">
            <v>Mạng cấp 3</v>
          </cell>
        </row>
        <row r="351">
          <cell r="B351" t="str">
            <v>Ninh Sơn - Trại giam Sông Cái</v>
          </cell>
          <cell r="C351" t="str">
            <v>Khánh Hòa</v>
          </cell>
          <cell r="D351">
            <v>9623</v>
          </cell>
          <cell r="E351" t="str">
            <v>Mạng cấp 3</v>
          </cell>
        </row>
        <row r="352">
          <cell r="B352" t="str">
            <v>Trại giam Sông Cái - Bác Ái</v>
          </cell>
          <cell r="C352" t="str">
            <v>Khánh Hòa</v>
          </cell>
          <cell r="D352">
            <v>16681</v>
          </cell>
          <cell r="E352" t="str">
            <v>Mạng cấp 3</v>
          </cell>
        </row>
        <row r="353">
          <cell r="B353" t="str">
            <v>Bác Ái - PC11B</v>
          </cell>
          <cell r="C353" t="str">
            <v>Khánh Hòa</v>
          </cell>
          <cell r="D353">
            <v>33257</v>
          </cell>
          <cell r="E353" t="str">
            <v>Mạng cấp 3</v>
          </cell>
        </row>
        <row r="354">
          <cell r="B354" t="str">
            <v>PC11B - Thuận Bắc</v>
          </cell>
          <cell r="C354" t="str">
            <v>Khánh Hòa</v>
          </cell>
          <cell r="D354">
            <v>7411</v>
          </cell>
          <cell r="E354" t="str">
            <v>Mạng cấp 3</v>
          </cell>
        </row>
        <row r="355">
          <cell r="B355" t="str">
            <v>TT2 Lâm Đồng - Đắk Mil</v>
          </cell>
          <cell r="D355">
            <v>62549</v>
          </cell>
          <cell r="E355" t="str">
            <v>Mạng cấp 3</v>
          </cell>
        </row>
        <row r="356">
          <cell r="B356" t="str">
            <v>Đắk Mil - Cư Jut</v>
          </cell>
          <cell r="D356">
            <v>37338</v>
          </cell>
          <cell r="E356" t="str">
            <v>Mạng cấp 3</v>
          </cell>
        </row>
        <row r="357">
          <cell r="B357" t="str">
            <v>Cư Jut - K Rông Nô</v>
          </cell>
          <cell r="D357">
            <v>18115</v>
          </cell>
          <cell r="E357" t="str">
            <v>Mạng cấp 3</v>
          </cell>
        </row>
        <row r="358">
          <cell r="B358" t="str">
            <v>K Rông Nô - Quảng Sơn</v>
          </cell>
          <cell r="D358">
            <v>56780</v>
          </cell>
          <cell r="E358" t="str">
            <v>Mạng cấp 3</v>
          </cell>
        </row>
        <row r="359">
          <cell r="B359" t="str">
            <v>Quảng Sơn - PC11</v>
          </cell>
          <cell r="D359">
            <v>28603</v>
          </cell>
          <cell r="E359" t="str">
            <v>Mạng cấp 3</v>
          </cell>
        </row>
        <row r="360">
          <cell r="B360" t="str">
            <v>PC11- PC07</v>
          </cell>
          <cell r="D360">
            <v>1437</v>
          </cell>
          <cell r="E360" t="str">
            <v>Mạng cấp 3</v>
          </cell>
        </row>
        <row r="361">
          <cell r="B361" t="str">
            <v>PC07-TT2 Lâm Đồng</v>
          </cell>
          <cell r="D361">
            <v>6703</v>
          </cell>
          <cell r="E361" t="str">
            <v>Mạng cấp 3</v>
          </cell>
        </row>
        <row r="362">
          <cell r="B362" t="str">
            <v>TT2 Lâm Đồng - Đắk Song</v>
          </cell>
          <cell r="D362">
            <v>36246</v>
          </cell>
          <cell r="E362" t="str">
            <v>Mạng cấp 3</v>
          </cell>
        </row>
        <row r="363">
          <cell r="B363" t="str">
            <v>Đắk Song - Tuy Đức</v>
          </cell>
          <cell r="D363">
            <v>25369</v>
          </cell>
          <cell r="E363" t="str">
            <v>Mạng cấp 3</v>
          </cell>
        </row>
        <row r="364">
          <cell r="B364" t="str">
            <v>Tuy Đức - Đắk R'Lấp</v>
          </cell>
          <cell r="D364">
            <v>33023</v>
          </cell>
          <cell r="E364" t="str">
            <v>Mạng cấp 3</v>
          </cell>
        </row>
        <row r="365">
          <cell r="B365" t="str">
            <v>Đắk R'Lấp - TT2 Lâm Đồng</v>
          </cell>
          <cell r="D365">
            <v>26650</v>
          </cell>
          <cell r="E365" t="str">
            <v>Mạng cấp 3</v>
          </cell>
        </row>
        <row r="366">
          <cell r="B366" t="str">
            <v>TT2 Lâm Đồng (Đắc Nông) - PC08 (Đắc Nông)</v>
          </cell>
          <cell r="D366">
            <v>3975</v>
          </cell>
          <cell r="E366" t="str">
            <v>Mạng cấp 3</v>
          </cell>
        </row>
        <row r="367">
          <cell r="B367" t="str">
            <v>PC08 (Đắc Nông) - TT Huấn Luyện PX01</v>
          </cell>
          <cell r="D367">
            <v>6091</v>
          </cell>
          <cell r="E367" t="str">
            <v>Mạng cấp 3</v>
          </cell>
        </row>
        <row r="368">
          <cell r="B368" t="str">
            <v>TT Huấn Luyện PX01 - PC10 (Đắc Nông)</v>
          </cell>
          <cell r="D368">
            <v>870</v>
          </cell>
          <cell r="E368" t="str">
            <v>Mạng cấp 3</v>
          </cell>
        </row>
        <row r="369">
          <cell r="B369" t="str">
            <v>PC10 (Đắc Nông) - PK02 (Đắc Nông)</v>
          </cell>
          <cell r="D369">
            <v>7286</v>
          </cell>
          <cell r="E369" t="str">
            <v>Mạng cấp 3</v>
          </cell>
        </row>
        <row r="370">
          <cell r="B370" t="str">
            <v>PK02 (Đắc Nông) - PA06 (Đắc Nông)</v>
          </cell>
          <cell r="D370">
            <v>1981</v>
          </cell>
          <cell r="E370" t="str">
            <v>Mạng cấp 3</v>
          </cell>
        </row>
        <row r="371">
          <cell r="B371" t="str">
            <v>PA06 (Đắc Nông) - TT2 Lâm Đồng (Đắc Nông)</v>
          </cell>
          <cell r="D371">
            <v>4920</v>
          </cell>
          <cell r="E371" t="str">
            <v>Mạng cấp 3</v>
          </cell>
        </row>
        <row r="372">
          <cell r="B372" t="str">
            <v>TTCMKV Vĩnh Linh-Vĩnh Linh</v>
          </cell>
          <cell r="C372" t="str">
            <v>Quảng Trị</v>
          </cell>
          <cell r="E372" t="str">
            <v>Mạng cấp 4</v>
          </cell>
        </row>
        <row r="373">
          <cell r="B373" t="str">
            <v>Vĩnh Linh-Vĩnh Hoàng</v>
          </cell>
          <cell r="C373" t="str">
            <v>Quảng Trị</v>
          </cell>
          <cell r="D373">
            <v>4946.7089999999998</v>
          </cell>
          <cell r="E373" t="str">
            <v>Mạng cấp 4</v>
          </cell>
        </row>
        <row r="374">
          <cell r="B374" t="str">
            <v>Vĩnh Hoàng-Bến Quan</v>
          </cell>
          <cell r="C374" t="str">
            <v>Quảng Trị</v>
          </cell>
          <cell r="D374">
            <v>24307.358</v>
          </cell>
          <cell r="E374" t="str">
            <v>Mạng cấp 4</v>
          </cell>
        </row>
        <row r="375">
          <cell r="B375" t="str">
            <v>Bến Quan-Cồn Tiên</v>
          </cell>
          <cell r="C375" t="str">
            <v>Quảng Trị</v>
          </cell>
          <cell r="D375">
            <v>22834.636999999999</v>
          </cell>
          <cell r="E375" t="str">
            <v>Mạng cấp 4</v>
          </cell>
        </row>
        <row r="376">
          <cell r="B376" t="str">
            <v>Cồn Tiên-TTCMKV Cam Lộ</v>
          </cell>
          <cell r="C376" t="str">
            <v>Quảng Trị</v>
          </cell>
          <cell r="D376">
            <v>16054.729999999998</v>
          </cell>
          <cell r="E376" t="str">
            <v>Mạng cấp 4</v>
          </cell>
        </row>
        <row r="377">
          <cell r="B377" t="str">
            <v>TTCMKV Vĩnh Linh-Cửa Tùng</v>
          </cell>
          <cell r="C377" t="str">
            <v>Quảng Trị</v>
          </cell>
          <cell r="D377">
            <v>11903.996999999999</v>
          </cell>
          <cell r="E377" t="str">
            <v>Mạng cấp 4</v>
          </cell>
        </row>
        <row r="378">
          <cell r="B378" t="str">
            <v>Cửa Việt-Hiếu Giang</v>
          </cell>
          <cell r="C378" t="str">
            <v>Quảng Trị</v>
          </cell>
          <cell r="D378">
            <v>22654.578000000005</v>
          </cell>
          <cell r="E378" t="str">
            <v>Mạng cấp 4</v>
          </cell>
        </row>
        <row r="379">
          <cell r="B379" t="str">
            <v>Hiếu Giang-CA Công an Quảng Trị</v>
          </cell>
          <cell r="C379" t="str">
            <v>Quảng Trị</v>
          </cell>
          <cell r="D379">
            <v>8378.6169999999984</v>
          </cell>
          <cell r="E379" t="str">
            <v>Mạng cấp 4</v>
          </cell>
        </row>
        <row r="380">
          <cell r="B380" t="str">
            <v>Cửa Tùng-Phòng PH10 (Nhà Nghỉ dưỡng Cửa Việt)</v>
          </cell>
          <cell r="C380" t="str">
            <v>Quảng Trị</v>
          </cell>
          <cell r="D380">
            <v>21485.168000000001</v>
          </cell>
          <cell r="E380" t="str">
            <v>Mạng cấp 4</v>
          </cell>
        </row>
        <row r="381">
          <cell r="B381" t="str">
            <v>Phòng PH10 (Nhà Nghỉ dưỡng Cửa Việt)-Cửa Việt</v>
          </cell>
          <cell r="C381" t="str">
            <v>Quảng Trị</v>
          </cell>
          <cell r="D381">
            <v>1673.7919999999999</v>
          </cell>
          <cell r="E381" t="str">
            <v>Mạng cấp 4</v>
          </cell>
        </row>
        <row r="382">
          <cell r="B382" t="str">
            <v>TTCMKV Vĩnh Linh-Vĩnh Thủy</v>
          </cell>
          <cell r="C382" t="str">
            <v>Quảng Trị</v>
          </cell>
          <cell r="D382">
            <v>10666.606</v>
          </cell>
          <cell r="E382" t="str">
            <v>Mạng cấp 4</v>
          </cell>
        </row>
        <row r="383">
          <cell r="B383" t="str">
            <v>Vĩnh Thủy-Bến Hải</v>
          </cell>
          <cell r="C383" t="str">
            <v>Quảng Trị</v>
          </cell>
          <cell r="D383">
            <v>11591.893</v>
          </cell>
          <cell r="E383" t="str">
            <v>Mạng cấp 4</v>
          </cell>
        </row>
        <row r="384">
          <cell r="B384" t="str">
            <v>Bến Hải-PC07 (Đội PCCC khu vực 4)</v>
          </cell>
          <cell r="C384" t="str">
            <v>Quảng Trị</v>
          </cell>
          <cell r="D384">
            <v>12900.144</v>
          </cell>
          <cell r="E384" t="str">
            <v>Mạng cấp 4</v>
          </cell>
        </row>
        <row r="385">
          <cell r="B385" t="str">
            <v>PC11A Phân Trại Gio Linh-Gio Linh</v>
          </cell>
          <cell r="C385" t="str">
            <v>Quảng Trị</v>
          </cell>
          <cell r="D385">
            <v>262.42500000000001</v>
          </cell>
          <cell r="E385" t="str">
            <v>Mạng cấp 4</v>
          </cell>
        </row>
        <row r="386">
          <cell r="B386" t="str">
            <v>PC11A Phân Trại Gio Linh-PC07 (Đội PCCC khu vực 4)</v>
          </cell>
          <cell r="C386" t="str">
            <v>Quảng Trị</v>
          </cell>
          <cell r="D386">
            <v>1628.663</v>
          </cell>
          <cell r="E386" t="str">
            <v>Mạng cấp 4</v>
          </cell>
        </row>
        <row r="387">
          <cell r="B387" t="str">
            <v>Gio Linh-Đông Hà</v>
          </cell>
          <cell r="C387" t="str">
            <v>Quảng Trị</v>
          </cell>
          <cell r="D387">
            <v>16852.661000000004</v>
          </cell>
          <cell r="E387" t="str">
            <v>Mạng cấp 4</v>
          </cell>
        </row>
        <row r="388">
          <cell r="B388" t="str">
            <v>Đông Hà-CA Công an Quảng Trị</v>
          </cell>
          <cell r="C388" t="str">
            <v>Quảng Trị</v>
          </cell>
          <cell r="D388">
            <v>6113.5149999999994</v>
          </cell>
          <cell r="E388" t="str">
            <v>Mạng cấp 4</v>
          </cell>
        </row>
        <row r="389">
          <cell r="B389" t="str">
            <v>TTCMKV Hải Lăng-Diên Sanh</v>
          </cell>
          <cell r="C389" t="str">
            <v>Quảng Trị</v>
          </cell>
          <cell r="E389" t="str">
            <v>Mạng cấp 4</v>
          </cell>
        </row>
        <row r="390">
          <cell r="B390" t="str">
            <v>Diên Sanh-Nam Hải Lăng</v>
          </cell>
          <cell r="C390" t="str">
            <v>Quảng Trị</v>
          </cell>
          <cell r="D390">
            <v>10531.88</v>
          </cell>
          <cell r="E390" t="str">
            <v>Mạng cấp 4</v>
          </cell>
        </row>
        <row r="391">
          <cell r="B391" t="str">
            <v>Nam Hải Lăng-Mỹ Thủy</v>
          </cell>
          <cell r="C391" t="str">
            <v>Quảng Trị</v>
          </cell>
          <cell r="D391">
            <v>17872.247000000003</v>
          </cell>
          <cell r="E391" t="str">
            <v>Mạng cấp 4</v>
          </cell>
        </row>
        <row r="392">
          <cell r="B392" t="str">
            <v>Mỹ Thủy-Vĩnh Định</v>
          </cell>
          <cell r="C392" t="str">
            <v>Quảng Trị</v>
          </cell>
          <cell r="D392">
            <v>17456.237000000001</v>
          </cell>
          <cell r="E392" t="str">
            <v>Mạng cấp 4</v>
          </cell>
        </row>
        <row r="393">
          <cell r="B393" t="str">
            <v>Vĩnh Định-TTCMKV TX Quảng Trị</v>
          </cell>
          <cell r="C393" t="str">
            <v>Quảng Trị</v>
          </cell>
          <cell r="D393">
            <v>6088.1580000000013</v>
          </cell>
          <cell r="E393" t="str">
            <v>Mạng cấp 4</v>
          </cell>
        </row>
        <row r="394">
          <cell r="B394" t="str">
            <v>CA Công an Quảng Trị-Triệu Bình</v>
          </cell>
          <cell r="C394" t="str">
            <v>Quảng Trị</v>
          </cell>
          <cell r="D394">
            <v>10523.164000000001</v>
          </cell>
          <cell r="E394" t="str">
            <v>Mạng cấp 4</v>
          </cell>
        </row>
        <row r="395">
          <cell r="B395" t="str">
            <v>Triệu Bình-Nam Cửa Việt</v>
          </cell>
          <cell r="C395" t="str">
            <v>Quảng Trị</v>
          </cell>
          <cell r="D395">
            <v>12871.486000000003</v>
          </cell>
          <cell r="E395" t="str">
            <v>Mạng cấp 4</v>
          </cell>
        </row>
        <row r="396">
          <cell r="B396" t="str">
            <v>Nam Cửa Việt-Triệu Cơ</v>
          </cell>
          <cell r="C396" t="str">
            <v>Quảng Trị</v>
          </cell>
          <cell r="D396">
            <v>18357.006000000001</v>
          </cell>
          <cell r="E396" t="str">
            <v>Mạng cấp 4</v>
          </cell>
        </row>
        <row r="397">
          <cell r="B397" t="str">
            <v>PC07 (Đội PCCC khu vực 5)-Triệu Cơ</v>
          </cell>
          <cell r="C397" t="str">
            <v>Quảng Trị</v>
          </cell>
          <cell r="D397">
            <v>6079.4979999999996</v>
          </cell>
          <cell r="E397" t="str">
            <v>Mạng cấp 4</v>
          </cell>
        </row>
        <row r="398">
          <cell r="B398" t="str">
            <v>Quảng Trị-PC07 (Đội PCCC khu vực 5)</v>
          </cell>
          <cell r="C398" t="str">
            <v>Quảng Trị</v>
          </cell>
          <cell r="D398">
            <v>3177.616</v>
          </cell>
          <cell r="E398" t="str">
            <v>Mạng cấp 4</v>
          </cell>
        </row>
        <row r="399">
          <cell r="B399" t="str">
            <v>Quảng Trị-TTCMKV TX Quảng Trị</v>
          </cell>
          <cell r="C399" t="str">
            <v>Quảng Trị</v>
          </cell>
          <cell r="E399" t="str">
            <v>Mạng cấp 4</v>
          </cell>
        </row>
        <row r="400">
          <cell r="B400" t="str">
            <v>TTCMKV Cam Lộ-Cam Lộ</v>
          </cell>
          <cell r="C400" t="str">
            <v>Quảng Trị</v>
          </cell>
          <cell r="E400" t="str">
            <v>Mạng cấp 4</v>
          </cell>
        </row>
        <row r="401">
          <cell r="B401" t="str">
            <v>Cam Lộ-Nam Đông Hà</v>
          </cell>
          <cell r="C401" t="str">
            <v>Quảng Trị</v>
          </cell>
          <cell r="D401">
            <v>14105.838</v>
          </cell>
          <cell r="E401" t="str">
            <v>Mạng cấp 4</v>
          </cell>
        </row>
        <row r="402">
          <cell r="B402" t="str">
            <v>Nam Đông Hà-CA Công an Quảng Trị</v>
          </cell>
          <cell r="C402" t="str">
            <v>Quảng Trị</v>
          </cell>
          <cell r="D402">
            <v>4285.1750000000002</v>
          </cell>
          <cell r="E402" t="str">
            <v>Mạng cấp 4</v>
          </cell>
        </row>
        <row r="403">
          <cell r="B403" t="str">
            <v>CA Công an Quảng Trị-Triệu Phong</v>
          </cell>
          <cell r="C403" t="str">
            <v>Quảng Trị</v>
          </cell>
          <cell r="D403">
            <v>8659.753999999999</v>
          </cell>
          <cell r="E403" t="str">
            <v>Mạng cấp 4</v>
          </cell>
        </row>
        <row r="404">
          <cell r="B404" t="str">
            <v>Triệu Phong-Ái Tử</v>
          </cell>
          <cell r="C404" t="str">
            <v>Quảng Trị</v>
          </cell>
          <cell r="D404">
            <v>3473.6949999999997</v>
          </cell>
          <cell r="E404" t="str">
            <v>Mạng cấp 4</v>
          </cell>
        </row>
        <row r="405">
          <cell r="B405" t="str">
            <v>Ái Tử-TTCMKV TX Quảng Trị</v>
          </cell>
          <cell r="C405" t="str">
            <v>Quảng Trị</v>
          </cell>
          <cell r="D405">
            <v>7901.1620000000003</v>
          </cell>
          <cell r="E405" t="str">
            <v>Mạng cấp 4</v>
          </cell>
        </row>
        <row r="406">
          <cell r="B406" t="str">
            <v>TTCMKV TX Quảng Trị-Hải Lăng</v>
          </cell>
          <cell r="C406" t="str">
            <v>Quảng Trị</v>
          </cell>
          <cell r="D406">
            <v>2958.13</v>
          </cell>
          <cell r="E406" t="str">
            <v>Mạng cấp 4</v>
          </cell>
        </row>
        <row r="407">
          <cell r="B407" t="str">
            <v>Hải Lăng-TTCMKV Hải Lăng</v>
          </cell>
          <cell r="C407" t="str">
            <v>Quảng Trị</v>
          </cell>
          <cell r="D407">
            <v>6822.3589999999995</v>
          </cell>
          <cell r="E407" t="str">
            <v>Mạng cấp 4</v>
          </cell>
        </row>
        <row r="408">
          <cell r="B408" t="str">
            <v>TTCMKV Đa Krông-Hướng Hiệp</v>
          </cell>
          <cell r="C408" t="str">
            <v>Quảng Trị</v>
          </cell>
          <cell r="E408" t="str">
            <v>Mạng cấp 4</v>
          </cell>
        </row>
        <row r="409">
          <cell r="B409" t="str">
            <v>Hướng Hiệp-Ba Lòng</v>
          </cell>
          <cell r="C409" t="str">
            <v>Quảng Trị</v>
          </cell>
          <cell r="D409">
            <v>9487.6380000000008</v>
          </cell>
          <cell r="E409" t="str">
            <v>Mạng cấp 4</v>
          </cell>
        </row>
        <row r="410">
          <cell r="B410" t="str">
            <v>Ba Lòng-TTCMKV Đa Krông</v>
          </cell>
          <cell r="C410" t="str">
            <v>Quảng Trị</v>
          </cell>
          <cell r="D410">
            <v>9605.59</v>
          </cell>
          <cell r="E410" t="str">
            <v>Mạng cấp 4</v>
          </cell>
        </row>
        <row r="411">
          <cell r="B411" t="str">
            <v>TTCMKV Đa Krông-Đakrông</v>
          </cell>
          <cell r="C411" t="str">
            <v>Quảng Trị</v>
          </cell>
          <cell r="D411">
            <v>11544.849</v>
          </cell>
          <cell r="E411" t="str">
            <v>Mạng cấp 4</v>
          </cell>
        </row>
        <row r="412">
          <cell r="B412" t="str">
            <v>Đakrông-Hướng Phùng</v>
          </cell>
          <cell r="C412" t="str">
            <v>Quảng Trị</v>
          </cell>
          <cell r="D412">
            <v>35460.567000000003</v>
          </cell>
          <cell r="E412" t="str">
            <v>Mạng cấp 4</v>
          </cell>
        </row>
        <row r="413">
          <cell r="B413" t="str">
            <v>Hướng Phùng-Hướng Lập</v>
          </cell>
          <cell r="C413" t="str">
            <v>Quảng Trị</v>
          </cell>
          <cell r="D413">
            <v>28564.816999999999</v>
          </cell>
          <cell r="E413" t="str">
            <v>Mạng cấp 4</v>
          </cell>
        </row>
        <row r="414">
          <cell r="B414" t="str">
            <v>Hướng Lập-Hướng Việt</v>
          </cell>
          <cell r="C414" t="str">
            <v>Quảng Trị</v>
          </cell>
          <cell r="D414">
            <v>9699.4970000000012</v>
          </cell>
          <cell r="E414" t="str">
            <v>Mạng cấp 4</v>
          </cell>
        </row>
        <row r="415">
          <cell r="B415" t="str">
            <v>Hướng Việt-Hướng Phùng</v>
          </cell>
          <cell r="C415" t="str">
            <v>Quảng Trị</v>
          </cell>
          <cell r="D415">
            <v>19060.618000000002</v>
          </cell>
          <cell r="E415" t="str">
            <v>Mạng cấp 4</v>
          </cell>
        </row>
        <row r="416">
          <cell r="B416" t="str">
            <v>Hướng Phùng-Tân Lập</v>
          </cell>
          <cell r="C416" t="str">
            <v>Quảng Trị</v>
          </cell>
          <cell r="D416">
            <v>30391.055</v>
          </cell>
          <cell r="E416" t="str">
            <v>Mạng cấp 4</v>
          </cell>
        </row>
        <row r="417">
          <cell r="B417" t="str">
            <v>Tân Lập-TTCMKV Đa Krông</v>
          </cell>
          <cell r="C417" t="str">
            <v>Quảng Trị</v>
          </cell>
          <cell r="D417">
            <v>27826.027000000002</v>
          </cell>
          <cell r="E417" t="str">
            <v>Mạng cấp 4</v>
          </cell>
        </row>
        <row r="418">
          <cell r="B418" t="str">
            <v>TTCMKV Đa Krông-Lao Bảo</v>
          </cell>
          <cell r="C418" t="str">
            <v>Quảng Trị</v>
          </cell>
          <cell r="D418">
            <v>37866.147999999994</v>
          </cell>
          <cell r="E418" t="str">
            <v>Mạng cấp 4</v>
          </cell>
        </row>
        <row r="419">
          <cell r="B419" t="str">
            <v>Lìa-A Dơi</v>
          </cell>
          <cell r="C419" t="str">
            <v>Quảng Trị</v>
          </cell>
          <cell r="D419">
            <v>6280.0550000000003</v>
          </cell>
          <cell r="E419" t="str">
            <v>Mạng cấp 4</v>
          </cell>
        </row>
        <row r="420">
          <cell r="B420" t="str">
            <v>A Dơi-Ba Tầng</v>
          </cell>
          <cell r="C420" t="str">
            <v>Quảng Trị</v>
          </cell>
          <cell r="D420">
            <v>10115.746000000001</v>
          </cell>
          <cell r="E420" t="str">
            <v>Mạng cấp 4</v>
          </cell>
        </row>
        <row r="421">
          <cell r="B421" t="str">
            <v>Ba Tầng-Khe Sanh</v>
          </cell>
          <cell r="C421" t="str">
            <v>Quảng Trị</v>
          </cell>
          <cell r="D421">
            <v>31250.18</v>
          </cell>
          <cell r="E421" t="str">
            <v>Mạng cấp 4</v>
          </cell>
        </row>
        <row r="422">
          <cell r="B422" t="str">
            <v>Khe Sanh-TTCMKV Đa Krông</v>
          </cell>
          <cell r="C422" t="str">
            <v>Quảng Trị</v>
          </cell>
          <cell r="D422">
            <v>22980.807000000001</v>
          </cell>
          <cell r="E422" t="str">
            <v>Mạng cấp 4</v>
          </cell>
        </row>
        <row r="423">
          <cell r="B423" t="str">
            <v>Lìa-PA08 (Trạm cửa khẩu Lao Bảo)</v>
          </cell>
          <cell r="C423" t="str">
            <v>Quảng Trị</v>
          </cell>
          <cell r="D423">
            <v>27275.567000000003</v>
          </cell>
          <cell r="E423" t="str">
            <v>Mạng cấp 4</v>
          </cell>
        </row>
        <row r="424">
          <cell r="B424" t="str">
            <v>PA08 (Trạm cửa khẩu Lao Bảo)-PC07 (Đội PCCC Khu vực 2)</v>
          </cell>
          <cell r="C424" t="str">
            <v>Quảng Trị</v>
          </cell>
          <cell r="D424">
            <v>2199.2260000000001</v>
          </cell>
          <cell r="E424" t="str">
            <v>Mạng cấp 4</v>
          </cell>
        </row>
        <row r="425">
          <cell r="B425" t="str">
            <v>PC07 (Đội PCCC Khu vực 2)-Lao Bảo</v>
          </cell>
          <cell r="C425" t="str">
            <v>Quảng Trị</v>
          </cell>
          <cell r="D425">
            <v>3912.2040000000006</v>
          </cell>
          <cell r="E425" t="str">
            <v>Mạng cấp 4</v>
          </cell>
        </row>
        <row r="426">
          <cell r="B426" t="str">
            <v>TTCMKV Đa Krông-Húc Nghì</v>
          </cell>
          <cell r="C426" t="str">
            <v>Quảng Trị</v>
          </cell>
          <cell r="D426">
            <v>38636.692000000003</v>
          </cell>
          <cell r="E426" t="str">
            <v>Mạng cấp 4</v>
          </cell>
        </row>
        <row r="427">
          <cell r="B427" t="str">
            <v>Húc Nghì-Tà Rụt</v>
          </cell>
          <cell r="C427" t="str">
            <v>Quảng Trị</v>
          </cell>
          <cell r="D427">
            <v>17060.067999999999</v>
          </cell>
          <cell r="E427" t="str">
            <v>Mạng cấp 4</v>
          </cell>
        </row>
        <row r="428">
          <cell r="B428" t="str">
            <v>Tà Rụt-La Lay</v>
          </cell>
          <cell r="C428" t="str">
            <v>Quảng Trị</v>
          </cell>
          <cell r="D428">
            <v>3302.1890000000003</v>
          </cell>
          <cell r="E428" t="str">
            <v>Mạng cấp 4</v>
          </cell>
        </row>
        <row r="429">
          <cell r="B429" t="str">
            <v>La Lay-Đak Rong (CS2-Tà Long)</v>
          </cell>
          <cell r="C429" t="str">
            <v>Quảng Trị</v>
          </cell>
          <cell r="D429">
            <v>28183.628000000004</v>
          </cell>
          <cell r="E429" t="str">
            <v>Mạng cấp 4</v>
          </cell>
        </row>
        <row r="430">
          <cell r="B430" t="str">
            <v>Đak Rong (CS2-Tà Long)-CAH Đa Krông</v>
          </cell>
          <cell r="C430" t="str">
            <v>Quảng Trị</v>
          </cell>
          <cell r="D430">
            <v>28851.736000000001</v>
          </cell>
          <cell r="E430" t="str">
            <v>Mạng cấp 4</v>
          </cell>
        </row>
        <row r="431">
          <cell r="B431" t="str">
            <v>TTCMKV Quảng Ninh - CA xã Trường Ninh</v>
          </cell>
          <cell r="C431" t="str">
            <v>Quảng Trị</v>
          </cell>
          <cell r="D431">
            <v>13145</v>
          </cell>
          <cell r="E431" t="str">
            <v>Mạng cấp 4</v>
          </cell>
        </row>
        <row r="432">
          <cell r="B432" t="str">
            <v>CA xã Trường Ninh - CA xã Lệ Ninh</v>
          </cell>
          <cell r="C432" t="str">
            <v>Quảng Trị</v>
          </cell>
          <cell r="D432">
            <v>16001</v>
          </cell>
          <cell r="E432" t="str">
            <v>Mạng cấp 4</v>
          </cell>
        </row>
        <row r="433">
          <cell r="B433" t="str">
            <v>CA xã Lệ Ninh - CA xã Trường Phú</v>
          </cell>
          <cell r="C433" t="str">
            <v>Quảng Trị</v>
          </cell>
          <cell r="D433">
            <v>20584</v>
          </cell>
          <cell r="E433" t="str">
            <v>Mạng cấp 4</v>
          </cell>
        </row>
        <row r="434">
          <cell r="B434" t="str">
            <v>CA xã Trường Phú - TTCMKV Lệ Thủy</v>
          </cell>
          <cell r="C434" t="str">
            <v>Quảng Trị</v>
          </cell>
          <cell r="D434">
            <v>12859</v>
          </cell>
          <cell r="E434" t="str">
            <v>Mạng cấp 4</v>
          </cell>
        </row>
        <row r="435">
          <cell r="B435" t="str">
            <v>TTCMKV Đồng Hới - CA xã Trường Sơn</v>
          </cell>
          <cell r="C435" t="str">
            <v>Quảng Trị</v>
          </cell>
          <cell r="D435">
            <v>54643</v>
          </cell>
          <cell r="E435" t="str">
            <v>Mạng cấp 4</v>
          </cell>
        </row>
        <row r="436">
          <cell r="B436" t="str">
            <v>CA xã Trường Sơn - CA xã Kim Ngân</v>
          </cell>
          <cell r="C436" t="str">
            <v>Quảng Trị</v>
          </cell>
          <cell r="D436">
            <v>51854</v>
          </cell>
          <cell r="E436" t="str">
            <v>Mạng cấp 4</v>
          </cell>
        </row>
        <row r="437">
          <cell r="B437" t="str">
            <v>CA xã Kim Ngân - TTCMKV Lệ Thủy</v>
          </cell>
          <cell r="C437" t="str">
            <v>Quảng Trị</v>
          </cell>
          <cell r="D437">
            <v>18137</v>
          </cell>
          <cell r="E437" t="str">
            <v>Mạng cấp 4</v>
          </cell>
        </row>
        <row r="438">
          <cell r="B438" t="str">
            <v>TTCMKV Lệ Thủy - CA xã Lệ Thủy</v>
          </cell>
          <cell r="C438" t="str">
            <v>Quảng Trị</v>
          </cell>
          <cell r="D438">
            <v>0</v>
          </cell>
          <cell r="E438" t="str">
            <v>Mạng cấp 4</v>
          </cell>
        </row>
        <row r="439">
          <cell r="B439" t="str">
            <v>CA xã Lệ Thủy - CA xã Cam Hồng</v>
          </cell>
          <cell r="C439" t="str">
            <v>Quảng Trị</v>
          </cell>
          <cell r="D439">
            <v>6957</v>
          </cell>
          <cell r="E439" t="str">
            <v>Mạng cấp 4</v>
          </cell>
        </row>
        <row r="440">
          <cell r="B440" t="str">
            <v>CA xã Cam Hồng - CA xã Tân Mỹ</v>
          </cell>
          <cell r="C440" t="str">
            <v>Quảng Trị</v>
          </cell>
          <cell r="D440">
            <v>6736</v>
          </cell>
          <cell r="E440" t="str">
            <v>Mạng cấp 4</v>
          </cell>
        </row>
        <row r="441">
          <cell r="B441" t="str">
            <v>CA xã Tân Mỹ - CA xã Sen Ngư</v>
          </cell>
          <cell r="C441" t="str">
            <v>Quảng Trị</v>
          </cell>
          <cell r="D441">
            <v>18526</v>
          </cell>
          <cell r="E441" t="str">
            <v>Mạng cấp 4</v>
          </cell>
        </row>
        <row r="442">
          <cell r="B442" t="str">
            <v>CA xã Sen Ngư - CA xã Ninh Châu</v>
          </cell>
          <cell r="C442" t="str">
            <v>Quảng Trị</v>
          </cell>
          <cell r="D442">
            <v>44648</v>
          </cell>
          <cell r="E442" t="str">
            <v>Mạng cấp 4</v>
          </cell>
        </row>
        <row r="443">
          <cell r="B443" t="str">
            <v>CA xã Ninh Châu - TTCMKV Quảng Ninh</v>
          </cell>
          <cell r="C443" t="str">
            <v>Quảng Trị</v>
          </cell>
          <cell r="D443">
            <v>13837</v>
          </cell>
          <cell r="E443" t="str">
            <v>Mạng cấp 4</v>
          </cell>
        </row>
        <row r="444">
          <cell r="B444" t="str">
            <v>TTCMKV Quảng Ninh - CA xã Quảng Ninh</v>
          </cell>
          <cell r="C444" t="str">
            <v>Quảng Trị</v>
          </cell>
          <cell r="D444">
            <v>2805</v>
          </cell>
          <cell r="E444" t="str">
            <v>Mạng cấp 4</v>
          </cell>
        </row>
        <row r="445">
          <cell r="B445" t="str">
            <v>CA xã Quảng Ninh - CA phường Đồng Hới</v>
          </cell>
          <cell r="C445" t="str">
            <v>Quảng Trị</v>
          </cell>
          <cell r="D445">
            <v>8198</v>
          </cell>
          <cell r="E445" t="str">
            <v>Mạng cấp 4</v>
          </cell>
        </row>
        <row r="446">
          <cell r="B446" t="str">
            <v>CA phường Đồng Hới - CA phường Đồng Sơn</v>
          </cell>
          <cell r="C446" t="str">
            <v>Quảng Trị</v>
          </cell>
          <cell r="D446">
            <v>6336</v>
          </cell>
          <cell r="E446" t="str">
            <v>Mạng cấp 4</v>
          </cell>
        </row>
        <row r="447">
          <cell r="B447" t="str">
            <v>CA phường Đồng Sơn - CA phường Đồng Thuận</v>
          </cell>
          <cell r="C447" t="str">
            <v>Quảng Trị</v>
          </cell>
          <cell r="D447">
            <v>9451</v>
          </cell>
          <cell r="E447" t="str">
            <v>Mạng cấp 4</v>
          </cell>
        </row>
        <row r="448">
          <cell r="B448" t="str">
            <v>CA phường Đồng Thuận - TTCMKV Đồng Hới</v>
          </cell>
          <cell r="C448" t="str">
            <v>Quảng Trị</v>
          </cell>
          <cell r="D448">
            <v>7681</v>
          </cell>
          <cell r="E448" t="str">
            <v>Mạng cấp 4</v>
          </cell>
        </row>
        <row r="449">
          <cell r="B449" t="str">
            <v>TTCMKV  Ba Đồn - CA xã Nam Ba Đồn</v>
          </cell>
          <cell r="C449" t="str">
            <v>Quảng Trị</v>
          </cell>
          <cell r="D449">
            <v>11240</v>
          </cell>
          <cell r="E449" t="str">
            <v>Mạng cấp 4</v>
          </cell>
        </row>
        <row r="450">
          <cell r="B450" t="str">
            <v>CA xã Nam Ba Đồn - CA xã Nam Gianh</v>
          </cell>
          <cell r="C450" t="str">
            <v>Quảng Trị</v>
          </cell>
          <cell r="D450">
            <v>0</v>
          </cell>
          <cell r="E450" t="str">
            <v>Mạng cấp 4</v>
          </cell>
        </row>
        <row r="451">
          <cell r="B451" t="str">
            <v>CA xã Nam Gianh - CA xã Phong Nha</v>
          </cell>
          <cell r="C451" t="str">
            <v>Quảng Trị</v>
          </cell>
          <cell r="D451">
            <v>27242</v>
          </cell>
          <cell r="E451" t="str">
            <v>Mạng cấp 4</v>
          </cell>
        </row>
        <row r="452">
          <cell r="B452" t="str">
            <v>CA xã Phong Nha - CA xã Thượng Trạch</v>
          </cell>
          <cell r="C452" t="str">
            <v>Quảng Trị</v>
          </cell>
          <cell r="D452">
            <v>41096</v>
          </cell>
          <cell r="E452" t="str">
            <v>Mạng cấp 4</v>
          </cell>
        </row>
        <row r="453">
          <cell r="B453" t="str">
            <v>CA xã Thượng Trạch - CA xã Bố Trạch</v>
          </cell>
          <cell r="C453" t="str">
            <v>Quảng Trị</v>
          </cell>
          <cell r="D453">
            <v>48386</v>
          </cell>
          <cell r="E453" t="str">
            <v>Mạng cấp 4</v>
          </cell>
        </row>
        <row r="454">
          <cell r="B454" t="str">
            <v>CA xã Bố Trạch - TTCMKV Bố Trạch</v>
          </cell>
          <cell r="C454" t="str">
            <v>Quảng Trị</v>
          </cell>
          <cell r="D454">
            <v>22296</v>
          </cell>
          <cell r="E454" t="str">
            <v>Mạng cấp 4</v>
          </cell>
        </row>
        <row r="455">
          <cell r="B455" t="str">
            <v>TTCMKV Bố Trạch - CA xã Hoàn Lão</v>
          </cell>
          <cell r="C455" t="str">
            <v>Quảng Trị</v>
          </cell>
          <cell r="D455">
            <v>0</v>
          </cell>
          <cell r="E455" t="str">
            <v>Mạng cấp 4</v>
          </cell>
        </row>
        <row r="456">
          <cell r="B456" t="str">
            <v>CA xã Hoàn Lão - CA xã Nam Trạch</v>
          </cell>
          <cell r="C456" t="str">
            <v>Quảng Trị</v>
          </cell>
          <cell r="D456">
            <v>10176</v>
          </cell>
          <cell r="E456" t="str">
            <v>Mạng cấp 4</v>
          </cell>
        </row>
        <row r="457">
          <cell r="B457" t="str">
            <v>CA xã Nam Trạch - CA xã Đông Trạch</v>
          </cell>
          <cell r="C457" t="str">
            <v>Quảng Trị</v>
          </cell>
          <cell r="D457">
            <v>16016</v>
          </cell>
          <cell r="E457" t="str">
            <v>Mạng cấp 4</v>
          </cell>
        </row>
        <row r="458">
          <cell r="B458" t="str">
            <v>CA xã Đông Trạch - CA xã Bắc Trạch</v>
          </cell>
          <cell r="C458" t="str">
            <v>Quảng Trị</v>
          </cell>
          <cell r="D458">
            <v>14576</v>
          </cell>
          <cell r="E458" t="str">
            <v>Mạng cấp 4</v>
          </cell>
        </row>
        <row r="459">
          <cell r="B459" t="str">
            <v>CA xã Bắc Trạch - TTCMKV  Ba Đồn</v>
          </cell>
          <cell r="C459" t="str">
            <v>Quảng Trị</v>
          </cell>
          <cell r="D459">
            <v>6964</v>
          </cell>
          <cell r="E459" t="str">
            <v>Mạng cấp 4</v>
          </cell>
        </row>
        <row r="460">
          <cell r="B460" t="str">
            <v>PC07_Đội KV8 - CA Phường Ba Đồn</v>
          </cell>
          <cell r="C460" t="str">
            <v>Quảng Trị</v>
          </cell>
          <cell r="D460">
            <v>1416</v>
          </cell>
          <cell r="E460" t="str">
            <v>Mạng cấp 4</v>
          </cell>
        </row>
        <row r="461">
          <cell r="B461" t="str">
            <v>TTCMKV  Ba Đồn - CA phường Ba Đồn</v>
          </cell>
          <cell r="C461" t="str">
            <v>Quảng Trị</v>
          </cell>
          <cell r="D461">
            <v>5237</v>
          </cell>
          <cell r="E461" t="str">
            <v>Mạng cấp 4</v>
          </cell>
        </row>
        <row r="462">
          <cell r="B462" t="str">
            <v>CA phường Ba Đồn - CA xã Tân Gianh</v>
          </cell>
          <cell r="C462" t="str">
            <v>Quảng Trị</v>
          </cell>
          <cell r="D462">
            <v>2157</v>
          </cell>
          <cell r="E462" t="str">
            <v>Mạng cấp 4</v>
          </cell>
        </row>
        <row r="463">
          <cell r="B463" t="str">
            <v>CA xã Tân Gianh - CA xã Tuyên Hóa</v>
          </cell>
          <cell r="C463" t="str">
            <v>Quảng Trị</v>
          </cell>
          <cell r="D463">
            <v>19467</v>
          </cell>
          <cell r="E463" t="str">
            <v>Mạng cấp 4</v>
          </cell>
        </row>
        <row r="464">
          <cell r="B464" t="str">
            <v>CA xã Tuyên Hóa - CA xã Tuyên Bình</v>
          </cell>
          <cell r="C464" t="str">
            <v>Quảng Trị</v>
          </cell>
          <cell r="D464">
            <v>4506</v>
          </cell>
          <cell r="E464" t="str">
            <v>Mạng cấp 4</v>
          </cell>
        </row>
        <row r="465">
          <cell r="B465" t="str">
            <v>CA xã Tuyên Bình - CA xã Tuyên Phú</v>
          </cell>
          <cell r="C465" t="str">
            <v>Quảng Trị</v>
          </cell>
          <cell r="D465">
            <v>12717</v>
          </cell>
          <cell r="E465" t="str">
            <v>Mạng cấp 4</v>
          </cell>
        </row>
        <row r="466">
          <cell r="B466" t="str">
            <v>CA xã Tuyên Phú - TTCMKV Tuyên Hóa</v>
          </cell>
          <cell r="C466" t="str">
            <v>Quảng Trị</v>
          </cell>
          <cell r="D466">
            <v>9430</v>
          </cell>
          <cell r="E466" t="str">
            <v>Mạng cấp 4</v>
          </cell>
        </row>
        <row r="467">
          <cell r="B467" t="str">
            <v>TTCMKV  Ba Đồn - CA phường Bắc Gianh</v>
          </cell>
          <cell r="C467" t="str">
            <v>Quảng Trị</v>
          </cell>
          <cell r="D467">
            <v>0</v>
          </cell>
          <cell r="E467" t="str">
            <v>Mạng cấp 4</v>
          </cell>
        </row>
        <row r="468">
          <cell r="B468" t="str">
            <v>CA phường Bắc Gianh - CA xã Hòa Trạch</v>
          </cell>
          <cell r="C468" t="str">
            <v>Quảng Trị</v>
          </cell>
          <cell r="D468">
            <v>18012</v>
          </cell>
          <cell r="E468" t="str">
            <v>Mạng cấp 4</v>
          </cell>
        </row>
        <row r="469">
          <cell r="B469" t="str">
            <v>CA xã Hòa Trạch - CA xã Phú Trạch</v>
          </cell>
          <cell r="C469" t="str">
            <v>Quảng Trị</v>
          </cell>
          <cell r="D469">
            <v>10021</v>
          </cell>
          <cell r="E469" t="str">
            <v>Mạng cấp 4</v>
          </cell>
        </row>
        <row r="470">
          <cell r="B470" t="str">
            <v>CA xã Phú Trạch - CA xã Trung Thuần</v>
          </cell>
          <cell r="C470" t="str">
            <v>Quảng Trị</v>
          </cell>
          <cell r="D470">
            <v>20417</v>
          </cell>
          <cell r="E470" t="str">
            <v>Mạng cấp 4</v>
          </cell>
        </row>
        <row r="471">
          <cell r="B471" t="str">
            <v>CA xã Trung Thuần - CA xã Quảng Trạch</v>
          </cell>
          <cell r="C471" t="str">
            <v>Quảng Trị</v>
          </cell>
          <cell r="D471">
            <v>10847</v>
          </cell>
          <cell r="E471" t="str">
            <v>Mạng cấp 4</v>
          </cell>
        </row>
        <row r="472">
          <cell r="B472" t="str">
            <v>CA xã Quảng Trạch - TTCMKV  Ba Đồn</v>
          </cell>
          <cell r="C472" t="str">
            <v>Quảng Trị</v>
          </cell>
          <cell r="D472">
            <v>8862</v>
          </cell>
          <cell r="E472" t="str">
            <v>Mạng cấp 4</v>
          </cell>
        </row>
        <row r="473">
          <cell r="B473" t="str">
            <v>TTCMKV Minh Hóa - CA xã Minh Hóa</v>
          </cell>
          <cell r="C473" t="str">
            <v>Quảng Trị</v>
          </cell>
          <cell r="D473">
            <v>2008</v>
          </cell>
          <cell r="E473" t="str">
            <v>Mạng cấp 4</v>
          </cell>
        </row>
        <row r="474">
          <cell r="B474" t="str">
            <v>CA xã Minh Hóa - CA xã Kim Phú</v>
          </cell>
          <cell r="C474" t="str">
            <v>Quảng Trị</v>
          </cell>
          <cell r="D474">
            <v>8711</v>
          </cell>
          <cell r="E474" t="str">
            <v>Mạng cấp 4</v>
          </cell>
        </row>
        <row r="475">
          <cell r="B475" t="str">
            <v>CA xã Kim Phú - CA xã Kim Điền</v>
          </cell>
          <cell r="C475" t="str">
            <v>Quảng Trị</v>
          </cell>
          <cell r="D475">
            <v>21630</v>
          </cell>
          <cell r="E475" t="str">
            <v>Mạng cấp 4</v>
          </cell>
        </row>
        <row r="476">
          <cell r="B476" t="str">
            <v>CA xã Kim Điền - CA Xã Tân Thành</v>
          </cell>
          <cell r="C476" t="str">
            <v>Quảng Trị</v>
          </cell>
          <cell r="D476">
            <v>23456</v>
          </cell>
          <cell r="E476" t="str">
            <v>Mạng cấp 4</v>
          </cell>
        </row>
        <row r="477">
          <cell r="B477" t="str">
            <v>CA Xã Tân Thành - TTCMKV Tuyên Hóa</v>
          </cell>
          <cell r="C477" t="str">
            <v>Quảng Trị</v>
          </cell>
          <cell r="D477">
            <v>52733</v>
          </cell>
          <cell r="E477" t="str">
            <v>Mạng cấp 4</v>
          </cell>
        </row>
        <row r="478">
          <cell r="B478" t="str">
            <v>TTCMKV Tuyên Hóa - CA xã Đồng Lê</v>
          </cell>
          <cell r="C478" t="str">
            <v>Quảng Trị</v>
          </cell>
          <cell r="D478">
            <v>0</v>
          </cell>
          <cell r="E478" t="str">
            <v>Mạng cấp 4</v>
          </cell>
        </row>
        <row r="479">
          <cell r="B479" t="str">
            <v>CA xã Đồng Lê - CA xã Tuyên Sơn</v>
          </cell>
          <cell r="C479" t="str">
            <v>Quảng Trị</v>
          </cell>
          <cell r="D479">
            <v>27547</v>
          </cell>
          <cell r="E479" t="str">
            <v>Mạng cấp 4</v>
          </cell>
        </row>
        <row r="480">
          <cell r="B480" t="str">
            <v>CA xã Tuyên Sơn - CA xã Tuyên Lâm</v>
          </cell>
          <cell r="C480" t="str">
            <v>Quảng Trị</v>
          </cell>
          <cell r="D480">
            <v>19372</v>
          </cell>
          <cell r="E480" t="str">
            <v>Mạng cấp 4</v>
          </cell>
        </row>
        <row r="481">
          <cell r="B481" t="str">
            <v>CA xã Tuyên Lâm - CA xã Dân Hóa</v>
          </cell>
          <cell r="C481" t="str">
            <v>Quảng Trị</v>
          </cell>
          <cell r="D481">
            <v>20766</v>
          </cell>
          <cell r="E481" t="str">
            <v>Mạng cấp 4</v>
          </cell>
        </row>
        <row r="482">
          <cell r="B482" t="str">
            <v>CA xã Dân Hóa - TTCMKV Minh Hóa</v>
          </cell>
          <cell r="C482" t="str">
            <v>Quảng Trị</v>
          </cell>
          <cell r="D482">
            <v>45522</v>
          </cell>
          <cell r="E482" t="str">
            <v>Mạng cấp 4</v>
          </cell>
        </row>
        <row r="483">
          <cell r="B483" t="str">
            <v>TTCMKV Phú Vang-Phú Vinh</v>
          </cell>
          <cell r="C483" t="str">
            <v>Huế</v>
          </cell>
          <cell r="D483">
            <v>9660</v>
          </cell>
          <cell r="E483" t="str">
            <v>Mạng cấp 4</v>
          </cell>
        </row>
        <row r="484">
          <cell r="B484" t="str">
            <v>Phú Vinh-Vinh Lộc</v>
          </cell>
          <cell r="C484" t="str">
            <v>Huế</v>
          </cell>
          <cell r="D484">
            <v>14300</v>
          </cell>
          <cell r="E484" t="str">
            <v>Mạng cấp 4</v>
          </cell>
        </row>
        <row r="485">
          <cell r="B485" t="str">
            <v>Vinh Lộc-Chân Mây_Lăng Cô</v>
          </cell>
          <cell r="C485" t="str">
            <v>Huế</v>
          </cell>
          <cell r="D485">
            <v>34360</v>
          </cell>
          <cell r="E485" t="str">
            <v>Mạng cấp 4</v>
          </cell>
        </row>
        <row r="486">
          <cell r="B486" t="str">
            <v>Chân Mây_Lăng Cô-Phú Lộc</v>
          </cell>
          <cell r="C486" t="str">
            <v>Huế</v>
          </cell>
          <cell r="D486">
            <v>28873</v>
          </cell>
          <cell r="E486" t="str">
            <v>Mạng cấp 4</v>
          </cell>
        </row>
        <row r="487">
          <cell r="B487" t="str">
            <v>Phú Lộc-CA TTCMKV Phú Lộc</v>
          </cell>
          <cell r="C487" t="str">
            <v>Huế</v>
          </cell>
          <cell r="D487">
            <v>0</v>
          </cell>
          <cell r="E487" t="str">
            <v>Mạng cấp 4</v>
          </cell>
        </row>
        <row r="488">
          <cell r="B488" t="str">
            <v>TTCMKV TX Hương Thủy-Phú Bài</v>
          </cell>
          <cell r="C488" t="str">
            <v>Huế</v>
          </cell>
          <cell r="D488">
            <v>0</v>
          </cell>
          <cell r="E488" t="str">
            <v>Mạng cấp 4</v>
          </cell>
        </row>
        <row r="489">
          <cell r="B489" t="str">
            <v>Phú Bài-Hưng Lộc</v>
          </cell>
          <cell r="C489" t="str">
            <v>Huế</v>
          </cell>
          <cell r="D489">
            <v>23891</v>
          </cell>
          <cell r="E489" t="str">
            <v>Mạng cấp 4</v>
          </cell>
        </row>
        <row r="490">
          <cell r="B490" t="str">
            <v>Hưng Lộc-Lộc An</v>
          </cell>
          <cell r="C490" t="str">
            <v>Huế</v>
          </cell>
          <cell r="D490">
            <v>23961</v>
          </cell>
          <cell r="E490" t="str">
            <v>Mạng cấp 4</v>
          </cell>
        </row>
        <row r="491">
          <cell r="B491" t="str">
            <v>Lộc An-CA TTCMKV Phú Lộc</v>
          </cell>
          <cell r="C491" t="str">
            <v>Huế</v>
          </cell>
          <cell r="D491">
            <v>11710</v>
          </cell>
          <cell r="E491" t="str">
            <v>Mạng cấp 4</v>
          </cell>
        </row>
        <row r="492">
          <cell r="B492" t="str">
            <v>TTCMKV Phong Điền-Phong Điền</v>
          </cell>
          <cell r="C492" t="str">
            <v>Huế</v>
          </cell>
          <cell r="D492">
            <v>0</v>
          </cell>
          <cell r="E492" t="str">
            <v>Mạng cấp 4</v>
          </cell>
        </row>
        <row r="493">
          <cell r="B493" t="str">
            <v>Phong Điền-Phong Dinh</v>
          </cell>
          <cell r="C493" t="str">
            <v>Huế</v>
          </cell>
          <cell r="D493">
            <v>13475</v>
          </cell>
          <cell r="E493" t="str">
            <v>Mạng cấp 4</v>
          </cell>
        </row>
        <row r="494">
          <cell r="B494" t="str">
            <v>Phong Dinh-TTCMKV Quảng Điền</v>
          </cell>
          <cell r="C494" t="str">
            <v>Huế</v>
          </cell>
          <cell r="D494">
            <v>20000</v>
          </cell>
          <cell r="E494" t="str">
            <v>Mạng cấp 4</v>
          </cell>
        </row>
        <row r="495">
          <cell r="B495" t="str">
            <v>TTCMKV Phong Điền-Phong Phú</v>
          </cell>
          <cell r="C495" t="str">
            <v>Huế</v>
          </cell>
          <cell r="D495">
            <v>22115</v>
          </cell>
          <cell r="E495" t="str">
            <v>Mạng cấp 4</v>
          </cell>
        </row>
        <row r="496">
          <cell r="B496" t="str">
            <v>Phong Phú-Phong Quảng</v>
          </cell>
          <cell r="C496" t="str">
            <v>Huế</v>
          </cell>
          <cell r="D496">
            <v>15744</v>
          </cell>
          <cell r="E496" t="str">
            <v>Mạng cấp 4</v>
          </cell>
        </row>
        <row r="497">
          <cell r="B497" t="str">
            <v>Phong Quảng-TTCMKV Quảng
Điền</v>
          </cell>
          <cell r="C497" t="str">
            <v>Huế</v>
          </cell>
          <cell r="D497">
            <v>31960</v>
          </cell>
          <cell r="E497" t="str">
            <v>Mạng cấp 4</v>
          </cell>
        </row>
        <row r="498">
          <cell r="B498" t="str">
            <v>TTCMKV Phong Điền-Phong Thái</v>
          </cell>
          <cell r="C498" t="str">
            <v>Huế</v>
          </cell>
          <cell r="D498">
            <v>10450</v>
          </cell>
          <cell r="E498" t="str">
            <v>Mạng cấp 4</v>
          </cell>
        </row>
        <row r="499">
          <cell r="B499" t="str">
            <v>Phong Thái-Hương Trà</v>
          </cell>
          <cell r="C499" t="str">
            <v>Huế</v>
          </cell>
          <cell r="D499">
            <v>5926</v>
          </cell>
          <cell r="E499" t="str">
            <v>Mạng cấp 4</v>
          </cell>
        </row>
        <row r="500">
          <cell r="B500" t="str">
            <v>Hương Trà-Đan Điền</v>
          </cell>
          <cell r="C500" t="str">
            <v>Huế</v>
          </cell>
          <cell r="D500">
            <v>3203</v>
          </cell>
          <cell r="E500" t="str">
            <v>Mạng cấp 4</v>
          </cell>
        </row>
        <row r="501">
          <cell r="B501" t="str">
            <v>Đan Điền-Quảng Điền</v>
          </cell>
          <cell r="C501" t="str">
            <v>Huế</v>
          </cell>
          <cell r="D501">
            <v>8022</v>
          </cell>
          <cell r="E501" t="str">
            <v>Mạng cấp 4</v>
          </cell>
        </row>
        <row r="502">
          <cell r="B502" t="str">
            <v>Quảng Điền-TTCMKV Quảng Điền</v>
          </cell>
          <cell r="C502" t="str">
            <v>Huế</v>
          </cell>
          <cell r="D502">
            <v>0</v>
          </cell>
          <cell r="E502" t="str">
            <v>Mạng cấp 4</v>
          </cell>
        </row>
        <row r="503">
          <cell r="B503" t="str">
            <v>TTCMKV Quảng Điền-Kim Trà</v>
          </cell>
          <cell r="C503" t="str">
            <v>Huế</v>
          </cell>
          <cell r="D503">
            <v>15519</v>
          </cell>
          <cell r="E503" t="str">
            <v>Mạng cấp 4</v>
          </cell>
        </row>
        <row r="504">
          <cell r="B504" t="str">
            <v>Kim Trà-Hương An</v>
          </cell>
          <cell r="C504" t="str">
            <v>Huế</v>
          </cell>
          <cell r="D504">
            <v>4275</v>
          </cell>
          <cell r="E504" t="str">
            <v>Mạng cấp 4</v>
          </cell>
        </row>
        <row r="505">
          <cell r="B505" t="str">
            <v>Hương An-Kim Long</v>
          </cell>
          <cell r="C505" t="str">
            <v>Huế</v>
          </cell>
          <cell r="D505">
            <v>5600</v>
          </cell>
          <cell r="E505" t="str">
            <v>Mạng cấp 4</v>
          </cell>
        </row>
        <row r="506">
          <cell r="B506" t="str">
            <v>Kim Long-CAT Thừa Thiên Huế</v>
          </cell>
          <cell r="C506" t="str">
            <v>Huế</v>
          </cell>
          <cell r="D506">
            <v>17965</v>
          </cell>
          <cell r="E506" t="str">
            <v>Mạng cấp 4</v>
          </cell>
        </row>
        <row r="507">
          <cell r="B507" t="str">
            <v>TTCMKV Quảng Điền-Hóa Châu</v>
          </cell>
          <cell r="C507" t="str">
            <v>Huế</v>
          </cell>
          <cell r="D507">
            <v>10955</v>
          </cell>
          <cell r="E507" t="str">
            <v>Mạng cấp 4</v>
          </cell>
        </row>
        <row r="508">
          <cell r="B508" t="str">
            <v>Hóa Châu-Mỹ Thượng</v>
          </cell>
          <cell r="C508" t="str">
            <v>Huế</v>
          </cell>
          <cell r="D508">
            <v>15695</v>
          </cell>
          <cell r="E508" t="str">
            <v>Mạng cấp 4</v>
          </cell>
        </row>
        <row r="509">
          <cell r="B509" t="str">
            <v>Mỹ Thượng-Phú Xuân</v>
          </cell>
          <cell r="C509" t="str">
            <v>Huế</v>
          </cell>
          <cell r="D509">
            <v>5811</v>
          </cell>
          <cell r="E509" t="str">
            <v>Mạng cấp 4</v>
          </cell>
        </row>
        <row r="510">
          <cell r="B510" t="str">
            <v>Phú Xuân-CAT Thừa Thiên Huế</v>
          </cell>
          <cell r="C510" t="str">
            <v>Huế</v>
          </cell>
          <cell r="D510">
            <v>7165</v>
          </cell>
          <cell r="E510" t="str">
            <v>Mạng cấp 4</v>
          </cell>
        </row>
        <row r="511">
          <cell r="B511" t="str">
            <v>CAT Thừa Thiên Huế-Dương Nỗ</v>
          </cell>
          <cell r="C511" t="str">
            <v>Huế</v>
          </cell>
          <cell r="D511">
            <v>7792</v>
          </cell>
          <cell r="E511" t="str">
            <v>Mạng cấp 4</v>
          </cell>
        </row>
        <row r="512">
          <cell r="B512" t="str">
            <v>Dương Nỗ-Thuận An</v>
          </cell>
          <cell r="C512" t="str">
            <v>Huế</v>
          </cell>
          <cell r="D512">
            <v>5999</v>
          </cell>
          <cell r="E512" t="str">
            <v>Mạng cấp 4</v>
          </cell>
        </row>
        <row r="513">
          <cell r="B513" t="str">
            <v>Thuận An-TTCMKV Phú Vang</v>
          </cell>
          <cell r="C513" t="str">
            <v>Huế</v>
          </cell>
          <cell r="D513">
            <v>33013</v>
          </cell>
          <cell r="E513" t="str">
            <v>Mạng cấp 4</v>
          </cell>
        </row>
        <row r="514">
          <cell r="B514" t="str">
            <v>CAT Thừa Thiên Huế-Thuận Hóa</v>
          </cell>
          <cell r="C514" t="str">
            <v>Huế</v>
          </cell>
          <cell r="D514">
            <v>10596</v>
          </cell>
          <cell r="E514" t="str">
            <v>Mạng cấp 4</v>
          </cell>
        </row>
        <row r="515">
          <cell r="B515" t="str">
            <v>Thuận Hóa-An Cựu</v>
          </cell>
          <cell r="C515" t="str">
            <v>Huế</v>
          </cell>
          <cell r="D515">
            <v>3592</v>
          </cell>
          <cell r="E515" t="str">
            <v>Mạng cấp 4</v>
          </cell>
        </row>
        <row r="516">
          <cell r="B516" t="str">
            <v>An Cựu-Phú Hồ</v>
          </cell>
          <cell r="C516" t="str">
            <v>Huế</v>
          </cell>
          <cell r="D516">
            <v>12200</v>
          </cell>
          <cell r="E516" t="str">
            <v>Mạng cấp 4</v>
          </cell>
        </row>
        <row r="517">
          <cell r="B517" t="str">
            <v>Phú Hồ-Phú Vang</v>
          </cell>
          <cell r="C517" t="str">
            <v>Huế</v>
          </cell>
          <cell r="D517">
            <v>7650</v>
          </cell>
          <cell r="E517" t="str">
            <v>Mạng cấp 4</v>
          </cell>
        </row>
        <row r="518">
          <cell r="B518" t="str">
            <v>Phú Vang-TTCMKV Phú Vang</v>
          </cell>
          <cell r="C518" t="str">
            <v>Huế</v>
          </cell>
          <cell r="D518">
            <v>0</v>
          </cell>
          <cell r="E518" t="str">
            <v>Mạng cấp 4</v>
          </cell>
        </row>
        <row r="519">
          <cell r="B519" t="str">
            <v>CAT Thừa Thiên Huế-Vỹ Dạ</v>
          </cell>
          <cell r="C519" t="str">
            <v>Huế</v>
          </cell>
          <cell r="D519">
            <v>4452</v>
          </cell>
          <cell r="E519" t="str">
            <v>Mạng cấp 4</v>
          </cell>
        </row>
        <row r="520">
          <cell r="B520" t="str">
            <v>Vỹ Dạ-Thanh Thủy (CS1)</v>
          </cell>
          <cell r="C520" t="str">
            <v>Huế</v>
          </cell>
          <cell r="D520">
            <v>6300</v>
          </cell>
          <cell r="E520" t="str">
            <v>Mạng cấp 4</v>
          </cell>
        </row>
        <row r="521">
          <cell r="B521" t="str">
            <v>Thanh Thủy (CS1)-Thanh Thủy
(CS2)</v>
          </cell>
          <cell r="C521" t="str">
            <v>Huế</v>
          </cell>
          <cell r="D521">
            <v>800</v>
          </cell>
          <cell r="E521" t="str">
            <v>Mạng cấp 4</v>
          </cell>
        </row>
        <row r="522">
          <cell r="B522" t="str">
            <v>Thanh Thủy (CS2)-Hương Thủy</v>
          </cell>
          <cell r="C522" t="str">
            <v>Huế</v>
          </cell>
          <cell r="D522">
            <v>6500</v>
          </cell>
          <cell r="E522" t="str">
            <v>Mạng cấp 4</v>
          </cell>
        </row>
        <row r="523">
          <cell r="B523" t="str">
            <v>Hương Thủy-TTCMKV TX Hương
Thủy</v>
          </cell>
          <cell r="C523" t="str">
            <v>Huế</v>
          </cell>
          <cell r="D523">
            <v>4030</v>
          </cell>
          <cell r="E523" t="str">
            <v>Mạng cấp 4</v>
          </cell>
        </row>
        <row r="524">
          <cell r="B524" t="str">
            <v>CAT Thừa Thiên Huế-Thủy Xuân</v>
          </cell>
          <cell r="C524" t="str">
            <v>Huế</v>
          </cell>
          <cell r="D524">
            <v>17462</v>
          </cell>
          <cell r="E524" t="str">
            <v>Mạng cấp 4</v>
          </cell>
        </row>
        <row r="525">
          <cell r="B525" t="str">
            <v>Thủy Xuân-TTCMKV TX Hương
Thủy</v>
          </cell>
          <cell r="C525" t="str">
            <v>Huế</v>
          </cell>
          <cell r="D525">
            <v>21050</v>
          </cell>
          <cell r="E525" t="str">
            <v>Mạng cấp 4</v>
          </cell>
        </row>
        <row r="526">
          <cell r="B526" t="str">
            <v>CAT Thừa Thiên Huế-Bình Điền</v>
          </cell>
          <cell r="C526" t="str">
            <v>Huế</v>
          </cell>
          <cell r="D526">
            <v>29700</v>
          </cell>
          <cell r="E526" t="str">
            <v>Mạng cấp 4</v>
          </cell>
        </row>
        <row r="527">
          <cell r="B527" t="str">
            <v>Bình Điền-A Lưới 5</v>
          </cell>
          <cell r="C527" t="str">
            <v>Huế</v>
          </cell>
          <cell r="D527">
            <v>22650</v>
          </cell>
          <cell r="E527" t="str">
            <v>Mạng cấp 4</v>
          </cell>
        </row>
        <row r="528">
          <cell r="B528" t="str">
            <v>A Lưới 5-A Lưới 2</v>
          </cell>
          <cell r="C528" t="str">
            <v>Huế</v>
          </cell>
          <cell r="D528">
            <v>18500</v>
          </cell>
          <cell r="E528" t="str">
            <v>Mạng cấp 4</v>
          </cell>
        </row>
        <row r="529">
          <cell r="B529" t="str">
            <v>A Lưới 2-A Lưới 1</v>
          </cell>
          <cell r="C529" t="str">
            <v>Huế</v>
          </cell>
          <cell r="D529">
            <v>6600</v>
          </cell>
          <cell r="E529" t="str">
            <v>Mạng cấp 4</v>
          </cell>
        </row>
        <row r="530">
          <cell r="B530" t="str">
            <v>A Lưới 1-A Lưới 4</v>
          </cell>
          <cell r="C530" t="str">
            <v>Huế</v>
          </cell>
          <cell r="D530">
            <v>30300</v>
          </cell>
          <cell r="E530" t="str">
            <v>Mạng cấp 4</v>
          </cell>
        </row>
        <row r="531">
          <cell r="B531" t="str">
            <v>A Lưới 4-A Lưới 3</v>
          </cell>
          <cell r="C531" t="str">
            <v>Huế</v>
          </cell>
          <cell r="D531">
            <v>17450</v>
          </cell>
          <cell r="E531" t="str">
            <v>Mạng cấp 4</v>
          </cell>
        </row>
        <row r="532">
          <cell r="B532" t="str">
            <v>A Lưới 3-Bình Điền</v>
          </cell>
          <cell r="C532" t="str">
            <v>Huế</v>
          </cell>
          <cell r="D532">
            <v>36150</v>
          </cell>
          <cell r="E532" t="str">
            <v>Mạng cấp 4</v>
          </cell>
        </row>
        <row r="533">
          <cell r="B533" t="str">
            <v>Bình Điền-TTCMKV TX Hương
Thủy</v>
          </cell>
          <cell r="C533" t="str">
            <v>Huế</v>
          </cell>
          <cell r="D533">
            <v>27200</v>
          </cell>
          <cell r="E533" t="str">
            <v>Mạng cấp 4</v>
          </cell>
        </row>
        <row r="534">
          <cell r="B534" t="str">
            <v>TTCMKV TX Hương Thủy-Khe
Tre</v>
          </cell>
          <cell r="C534" t="str">
            <v>Huế</v>
          </cell>
          <cell r="D534">
            <v>32255</v>
          </cell>
          <cell r="E534" t="str">
            <v>Mạng cấp 4</v>
          </cell>
        </row>
        <row r="535">
          <cell r="B535" t="str">
            <v>Khe Tre-Nam Đông</v>
          </cell>
          <cell r="C535" t="str">
            <v>Huế</v>
          </cell>
          <cell r="D535">
            <v>1939</v>
          </cell>
          <cell r="E535" t="str">
            <v>Mạng cấp 4</v>
          </cell>
        </row>
        <row r="536">
          <cell r="B536" t="str">
            <v>Nam Đông-Long Quảng</v>
          </cell>
          <cell r="C536" t="str">
            <v>Huế</v>
          </cell>
          <cell r="D536">
            <v>11750</v>
          </cell>
          <cell r="E536" t="str">
            <v>Mạng cấp 4</v>
          </cell>
        </row>
        <row r="537">
          <cell r="B537" t="str">
            <v>Long Quảng-Hương Phú</v>
          </cell>
          <cell r="C537" t="str">
            <v>Huế</v>
          </cell>
          <cell r="D537">
            <v>15725</v>
          </cell>
          <cell r="E537" t="str">
            <v>Mạng cấp 4</v>
          </cell>
        </row>
        <row r="538">
          <cell r="B538" t="str">
            <v>Hương Phú-TTCMKV Phú Lộc</v>
          </cell>
          <cell r="C538" t="str">
            <v>Huế</v>
          </cell>
          <cell r="D538">
            <v>35570</v>
          </cell>
          <cell r="E538" t="str">
            <v>Mạng cấp 4</v>
          </cell>
        </row>
        <row r="539">
          <cell r="B539" t="str">
            <v>TTCMKV Sơn Trà-An Hải</v>
          </cell>
          <cell r="D539">
            <v>1393</v>
          </cell>
          <cell r="E539" t="str">
            <v>Mạng cấp 4</v>
          </cell>
        </row>
        <row r="540">
          <cell r="B540" t="str">
            <v>An Hải-Sơn Trà</v>
          </cell>
          <cell r="D540">
            <v>3025</v>
          </cell>
          <cell r="E540" t="str">
            <v>Mạng cấp 4</v>
          </cell>
        </row>
        <row r="541">
          <cell r="B541" t="str">
            <v>Sơn Trà-TT1 Đà Nẵng</v>
          </cell>
          <cell r="D541">
            <v>5391</v>
          </cell>
          <cell r="E541" t="str">
            <v>Mạng cấp 4</v>
          </cell>
        </row>
        <row r="542">
          <cell r="B542" t="str">
            <v>TTCMKV Ngũ Hành Sơn-Ngũ
Hành Sơn</v>
          </cell>
          <cell r="D542">
            <v>3051.3</v>
          </cell>
          <cell r="E542" t="str">
            <v>Mạng cấp 4</v>
          </cell>
        </row>
        <row r="543">
          <cell r="B543" t="str">
            <v>Ngũ Hành Sơn-Cẩm Lệ</v>
          </cell>
          <cell r="D543">
            <v>6432</v>
          </cell>
          <cell r="E543" t="str">
            <v>Mạng cấp 4</v>
          </cell>
        </row>
        <row r="544">
          <cell r="B544" t="str">
            <v>Cẩm Lệ-TTCMKV Cẩm Lệ</v>
          </cell>
          <cell r="D544">
            <v>1013</v>
          </cell>
          <cell r="E544" t="str">
            <v>Mạng cấp 4</v>
          </cell>
        </row>
        <row r="545">
          <cell r="B545" t="str">
            <v>TTCMKV Ngũ Hành Sơn-Hòa
Xuân</v>
          </cell>
          <cell r="D545">
            <v>8433</v>
          </cell>
          <cell r="E545" t="str">
            <v>Mạng cấp 4</v>
          </cell>
        </row>
        <row r="546">
          <cell r="B546" t="str">
            <v>Hòa Xuân-TTCMKV Cẩm Lệ</v>
          </cell>
          <cell r="D546">
            <v>4736</v>
          </cell>
          <cell r="E546" t="str">
            <v>Mạng cấp 4</v>
          </cell>
        </row>
        <row r="547">
          <cell r="B547" t="str">
            <v>TTCMKV Hòa Vang-Hòa Vang</v>
          </cell>
          <cell r="D547">
            <v>0</v>
          </cell>
          <cell r="E547" t="str">
            <v>Mạng cấp 4</v>
          </cell>
        </row>
        <row r="548">
          <cell r="B548" t="str">
            <v>Hòa Vang-Hòa Tiến</v>
          </cell>
          <cell r="D548">
            <v>7134</v>
          </cell>
          <cell r="E548" t="str">
            <v>Mạng cấp 4</v>
          </cell>
        </row>
        <row r="549">
          <cell r="B549" t="str">
            <v>Hòa Tiến-Bà Nà</v>
          </cell>
          <cell r="D549">
            <v>10684</v>
          </cell>
          <cell r="E549" t="str">
            <v>Mạng cấp 4</v>
          </cell>
        </row>
        <row r="550">
          <cell r="B550" t="str">
            <v>Bà Nà-TTCMKV Liên Chiểu</v>
          </cell>
          <cell r="D550">
            <v>14329</v>
          </cell>
          <cell r="E550" t="str">
            <v>Mạng cấp 4</v>
          </cell>
        </row>
        <row r="551">
          <cell r="B551" t="str">
            <v>TT1 Đà Nẵng-Hải Vân</v>
          </cell>
          <cell r="D551">
            <v>14760</v>
          </cell>
          <cell r="E551" t="str">
            <v>Mạng cấp 4</v>
          </cell>
        </row>
        <row r="552">
          <cell r="B552" t="str">
            <v>Hải Vân-Liên Chiểu</v>
          </cell>
          <cell r="D552">
            <v>5961</v>
          </cell>
          <cell r="E552" t="str">
            <v>Mạng cấp 4</v>
          </cell>
        </row>
        <row r="553">
          <cell r="B553" t="str">
            <v>Liên Chiểu-TTCMKV Liên Chiểu</v>
          </cell>
          <cell r="D553">
            <v>2187</v>
          </cell>
          <cell r="E553" t="str">
            <v>Mạng cấp 4</v>
          </cell>
        </row>
        <row r="554">
          <cell r="B554" t="str">
            <v>TTCMKV Liên Chiểu-Hòa Khánh</v>
          </cell>
          <cell r="D554">
            <v>1916</v>
          </cell>
          <cell r="E554" t="str">
            <v>Mạng cấp 4</v>
          </cell>
        </row>
        <row r="555">
          <cell r="B555" t="str">
            <v>Hòa Khánh-An Khê</v>
          </cell>
          <cell r="D555">
            <v>3619</v>
          </cell>
          <cell r="E555" t="str">
            <v>Mạng cấp 4</v>
          </cell>
        </row>
        <row r="556">
          <cell r="B556" t="str">
            <v>An Khê-Thanh Khê</v>
          </cell>
          <cell r="D556">
            <v>2495</v>
          </cell>
          <cell r="E556" t="str">
            <v>Mạng cấp 4</v>
          </cell>
        </row>
        <row r="557">
          <cell r="B557" t="str">
            <v>Thanh Khê-TT1 Đà Nẵng</v>
          </cell>
          <cell r="D557">
            <v>3380</v>
          </cell>
          <cell r="E557" t="str">
            <v>Mạng cấp 4</v>
          </cell>
        </row>
        <row r="558">
          <cell r="B558" t="str">
            <v>TT1 Đà Nẵng-Hải Châu</v>
          </cell>
          <cell r="D558">
            <v>516</v>
          </cell>
          <cell r="E558" t="str">
            <v>Mạng cấp 4</v>
          </cell>
        </row>
        <row r="559">
          <cell r="B559" t="str">
            <v>Hải Châu-Hòa Cường</v>
          </cell>
          <cell r="D559">
            <v>6210</v>
          </cell>
          <cell r="E559" t="str">
            <v>Mạng cấp 4</v>
          </cell>
        </row>
        <row r="560">
          <cell r="B560" t="str">
            <v>Hòa Cường-TTCMKV Cẩm Lệ</v>
          </cell>
          <cell r="D560">
            <v>4480</v>
          </cell>
          <cell r="E560" t="str">
            <v>Mạng cấp 4</v>
          </cell>
        </row>
        <row r="561">
          <cell r="B561" t="str">
            <v>TTCMKV Điện Bàn - An Thắng</v>
          </cell>
          <cell r="D561">
            <v>8124</v>
          </cell>
          <cell r="E561" t="str">
            <v>Mạng cấp 4</v>
          </cell>
        </row>
        <row r="562">
          <cell r="B562" t="str">
            <v>An Thắng - Điện Bàn Đông</v>
          </cell>
          <cell r="D562">
            <v>7818</v>
          </cell>
          <cell r="E562" t="str">
            <v>Mạng cấp 4</v>
          </cell>
        </row>
        <row r="563">
          <cell r="B563" t="str">
            <v>Điện Bàn Đông - Hội An Tây</v>
          </cell>
          <cell r="D563">
            <v>11548</v>
          </cell>
          <cell r="E563" t="str">
            <v>Mạng cấp 4</v>
          </cell>
        </row>
        <row r="564">
          <cell r="B564" t="str">
            <v>Hội An Tây - Hội An</v>
          </cell>
          <cell r="D564">
            <v>3945</v>
          </cell>
          <cell r="E564" t="str">
            <v>Mạng cấp 4</v>
          </cell>
        </row>
        <row r="565">
          <cell r="B565" t="str">
            <v>Hội An - TTCMKV Hội An</v>
          </cell>
          <cell r="D565">
            <v>0</v>
          </cell>
          <cell r="E565" t="str">
            <v>Mạng cấp 4</v>
          </cell>
        </row>
        <row r="566">
          <cell r="B566" t="str">
            <v>TTCMKV Điện Bàn - Điện Bàn</v>
          </cell>
          <cell r="D566">
            <v>0</v>
          </cell>
          <cell r="E566" t="str">
            <v>Mạng cấp 4</v>
          </cell>
        </row>
        <row r="567">
          <cell r="B567" t="str">
            <v>Điện Bàn - Điện Bàn Tây</v>
          </cell>
          <cell r="D567">
            <v>12833</v>
          </cell>
          <cell r="E567" t="str">
            <v>Mạng cấp 4</v>
          </cell>
        </row>
        <row r="568">
          <cell r="B568" t="str">
            <v>Điện Bàn Tây - Điện Bàn Bắc</v>
          </cell>
          <cell r="D568">
            <v>6269</v>
          </cell>
          <cell r="E568" t="str">
            <v>Mạng cấp 4</v>
          </cell>
        </row>
        <row r="569">
          <cell r="B569" t="str">
            <v>Điện Bàn Bắc - TTCMKV Hội An</v>
          </cell>
          <cell r="D569">
            <v>31427</v>
          </cell>
          <cell r="E569" t="str">
            <v>Mạng cấp 4</v>
          </cell>
        </row>
        <row r="570">
          <cell r="B570" t="str">
            <v>TTCMKV Đại Lộc - Đại Lộc</v>
          </cell>
          <cell r="D570">
            <v>0</v>
          </cell>
          <cell r="E570" t="str">
            <v>Mạng cấp 4</v>
          </cell>
        </row>
        <row r="571">
          <cell r="B571" t="str">
            <v>Đại Lộc - Thu Bồn</v>
          </cell>
          <cell r="D571">
            <v>6986</v>
          </cell>
          <cell r="E571" t="str">
            <v>Mạng cấp 4</v>
          </cell>
        </row>
        <row r="572">
          <cell r="B572" t="str">
            <v>Thu Bồn - Gò Nổi</v>
          </cell>
          <cell r="D572">
            <v>10567</v>
          </cell>
          <cell r="E572" t="str">
            <v>Mạng cấp 4</v>
          </cell>
        </row>
        <row r="573">
          <cell r="B573" t="str">
            <v>Gò Nổi - TTCMKV Duy Xuyên</v>
          </cell>
          <cell r="D573">
            <v>15999</v>
          </cell>
          <cell r="E573" t="str">
            <v>Mạng cấp 4</v>
          </cell>
        </row>
        <row r="574">
          <cell r="B574" t="str">
            <v>TTCMKV Quế Sơn - Nông Sơn</v>
          </cell>
          <cell r="D574">
            <v>21769</v>
          </cell>
          <cell r="E574" t="str">
            <v>Mạng cấp 4</v>
          </cell>
        </row>
        <row r="575">
          <cell r="B575" t="str">
            <v>Nông Sơn - Quế Phước</v>
          </cell>
          <cell r="D575">
            <v>5819</v>
          </cell>
          <cell r="E575" t="str">
            <v>Mạng cấp 4</v>
          </cell>
        </row>
        <row r="576">
          <cell r="B576" t="str">
            <v>Quế Phước - Phước Trà</v>
          </cell>
          <cell r="D576">
            <v>36843</v>
          </cell>
          <cell r="E576" t="str">
            <v>Mạng cấp 4</v>
          </cell>
        </row>
        <row r="577">
          <cell r="B577" t="str">
            <v>Phước Trà - TTCMKV Hiệp Đức</v>
          </cell>
          <cell r="D577">
            <v>10159</v>
          </cell>
          <cell r="E577" t="str">
            <v>Mạng cấp 4</v>
          </cell>
        </row>
        <row r="578">
          <cell r="B578" t="str">
            <v>TTCMKV Đại Lộc - Hà Nha</v>
          </cell>
          <cell r="D578">
            <v>7514</v>
          </cell>
          <cell r="E578" t="str">
            <v>Mạng cấp 4</v>
          </cell>
        </row>
        <row r="579">
          <cell r="B579" t="str">
            <v>Hà Nha - Thượng Đức</v>
          </cell>
          <cell r="D579">
            <v>18037</v>
          </cell>
          <cell r="E579" t="str">
            <v>Mạng cấp 4</v>
          </cell>
        </row>
        <row r="580">
          <cell r="B580" t="str">
            <v>Thượng Đức - Thạnh Mỹ</v>
          </cell>
          <cell r="D580">
            <v>23355</v>
          </cell>
          <cell r="E580" t="str">
            <v>Mạng cấp 4</v>
          </cell>
        </row>
        <row r="581">
          <cell r="B581" t="str">
            <v>Thạnh Mỹ - TTCMKV Nam Giang</v>
          </cell>
          <cell r="D581">
            <v>0</v>
          </cell>
          <cell r="E581" t="str">
            <v>Mạng cấp 4</v>
          </cell>
        </row>
        <row r="582">
          <cell r="B582" t="str">
            <v>TTCMKV Đại Lộc - Vu Gia</v>
          </cell>
          <cell r="D582">
            <v>8630</v>
          </cell>
          <cell r="E582" t="str">
            <v>Mạng cấp 4</v>
          </cell>
        </row>
        <row r="583">
          <cell r="B583" t="str">
            <v>Vu Gia - Phú Thuận</v>
          </cell>
          <cell r="D583">
            <v>12833</v>
          </cell>
          <cell r="E583" t="str">
            <v>Mạng cấp 4</v>
          </cell>
        </row>
        <row r="584">
          <cell r="B584" t="str">
            <v>Phú Thuận - Duy Xuyên</v>
          </cell>
          <cell r="D584">
            <v>30079</v>
          </cell>
          <cell r="E584" t="str">
            <v>Mạng cấp 4</v>
          </cell>
        </row>
        <row r="585">
          <cell r="B585" t="str">
            <v>Duy Xuyên - TTCMKV Duy Xuyên</v>
          </cell>
          <cell r="E585" t="str">
            <v>Mạng cấp 4</v>
          </cell>
        </row>
        <row r="586">
          <cell r="B586" t="str">
            <v>TTCMKV Điện Bàn - Nam Phước</v>
          </cell>
          <cell r="D586">
            <v>11981</v>
          </cell>
          <cell r="E586" t="str">
            <v>Mạng cấp 4</v>
          </cell>
        </row>
        <row r="587">
          <cell r="B587" t="str">
            <v>Nam Phước - Xuân Phú</v>
          </cell>
          <cell r="D587">
            <v>11410</v>
          </cell>
          <cell r="E587" t="str">
            <v>Mạng cấp 4</v>
          </cell>
        </row>
        <row r="588">
          <cell r="B588" t="str">
            <v>Xuân Phú - E28</v>
          </cell>
          <cell r="D588">
            <v>2846</v>
          </cell>
          <cell r="E588" t="str">
            <v>Mạng cấp 4</v>
          </cell>
        </row>
        <row r="589">
          <cell r="B589" t="str">
            <v>E28 - Thăng An</v>
          </cell>
          <cell r="D589">
            <v>7880</v>
          </cell>
          <cell r="E589" t="str">
            <v>Mạng cấp 4</v>
          </cell>
        </row>
        <row r="590">
          <cell r="B590" t="str">
            <v>Thăng An - Duy Nghĩa</v>
          </cell>
          <cell r="D590">
            <v>17539</v>
          </cell>
          <cell r="E590" t="str">
            <v>Mạng cấp 4</v>
          </cell>
        </row>
        <row r="591">
          <cell r="B591" t="str">
            <v>Duy Nghĩa - Hội An Đông</v>
          </cell>
          <cell r="D591">
            <v>5889</v>
          </cell>
          <cell r="E591" t="str">
            <v>Mạng cấp 4</v>
          </cell>
        </row>
        <row r="592">
          <cell r="B592" t="str">
            <v>Hội An Đông - TTCMKV Hội An</v>
          </cell>
          <cell r="D592">
            <v>5120</v>
          </cell>
          <cell r="E592" t="str">
            <v>Mạng cấp 4</v>
          </cell>
        </row>
        <row r="593">
          <cell r="B593" t="str">
            <v>TTCMKV Quế Sơn - Quế Sơn</v>
          </cell>
          <cell r="D593">
            <v>0</v>
          </cell>
          <cell r="E593" t="str">
            <v>Mạng cấp 4</v>
          </cell>
        </row>
        <row r="594">
          <cell r="B594" t="str">
            <v>Quế Sơn - Quế Sơn Trung</v>
          </cell>
          <cell r="D594">
            <v>12003</v>
          </cell>
          <cell r="E594" t="str">
            <v>Mạng cấp 4</v>
          </cell>
        </row>
        <row r="595">
          <cell r="B595" t="str">
            <v>Quế Sơn Trung - TTCMKV Thăng
Bình</v>
          </cell>
          <cell r="D595">
            <v>9570</v>
          </cell>
          <cell r="E595" t="str">
            <v>Mạng cấp 4</v>
          </cell>
        </row>
        <row r="596">
          <cell r="B596" t="str">
            <v>TTCMKV Quế Sơn - Việt An</v>
          </cell>
          <cell r="D596">
            <v>10374</v>
          </cell>
          <cell r="E596" t="str">
            <v>Mạng cấp 4</v>
          </cell>
        </row>
        <row r="597">
          <cell r="B597" t="str">
            <v>Việt An - Sơn Cẩm Hà</v>
          </cell>
          <cell r="D597">
            <v>17093</v>
          </cell>
          <cell r="E597" t="str">
            <v>Mạng cấp 4</v>
          </cell>
        </row>
        <row r="598">
          <cell r="B598" t="str">
            <v>Sơn Cẩm Hà - TTCMKV Phú Ninh</v>
          </cell>
          <cell r="D598">
            <v>20060</v>
          </cell>
          <cell r="E598" t="str">
            <v>Mạng cấp 4</v>
          </cell>
        </row>
        <row r="599">
          <cell r="B599" t="str">
            <v>TTCMKV Hiệp Đức - Hiệp Đức</v>
          </cell>
          <cell r="D599">
            <v>0</v>
          </cell>
          <cell r="E599" t="str">
            <v>Mạng cấp 4</v>
          </cell>
        </row>
        <row r="600">
          <cell r="B600" t="str">
            <v>Hiệp Đức - Đồng Dương</v>
          </cell>
          <cell r="D600">
            <v>25826</v>
          </cell>
          <cell r="E600" t="str">
            <v>Mạng cấp 4</v>
          </cell>
        </row>
        <row r="601">
          <cell r="B601" t="str">
            <v>Đồng Dương - TTCMKV Thăng
Bình</v>
          </cell>
          <cell r="D601">
            <v>10185</v>
          </cell>
          <cell r="E601" t="str">
            <v>Mạng cấp 4</v>
          </cell>
        </row>
        <row r="602">
          <cell r="B602" t="str">
            <v>TTCMKV Thăng Bình - Thăng Bình</v>
          </cell>
          <cell r="D602">
            <v>0</v>
          </cell>
          <cell r="E602" t="str">
            <v>Mạng cấp 4</v>
          </cell>
        </row>
        <row r="603">
          <cell r="B603" t="str">
            <v>Thăng Bình - Thăng Phú</v>
          </cell>
          <cell r="D603">
            <v>16556</v>
          </cell>
          <cell r="E603" t="str">
            <v>Mạng cấp 4</v>
          </cell>
        </row>
        <row r="604">
          <cell r="B604" t="str">
            <v>Thăng Phú - Tây Hồ</v>
          </cell>
          <cell r="D604">
            <v>5541</v>
          </cell>
          <cell r="E604" t="str">
            <v>Mạng cấp 4</v>
          </cell>
        </row>
        <row r="605">
          <cell r="B605" t="str">
            <v>Tây Hồ - Thăng Điền</v>
          </cell>
          <cell r="D605">
            <v>4337</v>
          </cell>
          <cell r="E605" t="str">
            <v>Mạng cấp 4</v>
          </cell>
        </row>
        <row r="606">
          <cell r="B606" t="str">
            <v>Thăng Điền - TT2 Đà Nẵng (Tam
Kỳ)</v>
          </cell>
          <cell r="D606">
            <v>11889</v>
          </cell>
          <cell r="E606" t="str">
            <v>Mạng cấp 4</v>
          </cell>
        </row>
        <row r="607">
          <cell r="B607" t="str">
            <v>TTCMKV Thăng Bình - Thăng
Trường</v>
          </cell>
          <cell r="D607">
            <v>20261</v>
          </cell>
          <cell r="E607" t="str">
            <v>Mạng cấp 4</v>
          </cell>
        </row>
        <row r="608">
          <cell r="B608" t="str">
            <v>Thăng Trường - Quảng Phú</v>
          </cell>
          <cell r="D608">
            <v>9484</v>
          </cell>
          <cell r="E608" t="str">
            <v>Mạng cấp 4</v>
          </cell>
        </row>
        <row r="609">
          <cell r="B609" t="str">
            <v>Quảng Phú - Bàn Thạch</v>
          </cell>
          <cell r="D609">
            <v>10067</v>
          </cell>
          <cell r="E609" t="str">
            <v>Mạng cấp 4</v>
          </cell>
        </row>
        <row r="610">
          <cell r="B610" t="str">
            <v>Bàn Thạch - TT2 Đà Nẵng (Tam
Kỳ)</v>
          </cell>
          <cell r="D610">
            <v>428</v>
          </cell>
          <cell r="E610" t="str">
            <v>Mạng cấp 4</v>
          </cell>
        </row>
        <row r="611">
          <cell r="B611" t="str">
            <v>TTCMKV Bắc Trà My - Lãnh Ngọc</v>
          </cell>
          <cell r="D611">
            <v>25274</v>
          </cell>
          <cell r="E611" t="str">
            <v>Mạng cấp 4</v>
          </cell>
        </row>
        <row r="612">
          <cell r="B612" t="str">
            <v>Lãnh Ngọc - Thạnh Bình</v>
          </cell>
          <cell r="D612">
            <v>19696</v>
          </cell>
          <cell r="E612" t="str">
            <v>Mạng cấp 4</v>
          </cell>
        </row>
        <row r="613">
          <cell r="B613" t="str">
            <v>Thạnh Bình - Tiên Phước</v>
          </cell>
          <cell r="D613">
            <v>11355</v>
          </cell>
          <cell r="E613" t="str">
            <v>Mạng cấp 4</v>
          </cell>
        </row>
        <row r="614">
          <cell r="B614" t="str">
            <v>Tiên Phước - TTCMKV Phú Ninh</v>
          </cell>
          <cell r="D614">
            <v>16948</v>
          </cell>
          <cell r="E614" t="str">
            <v>Mạng cấp 4</v>
          </cell>
        </row>
        <row r="615">
          <cell r="B615" t="str">
            <v>TTCMKV Phú Ninh - Chiên Đàn</v>
          </cell>
          <cell r="D615">
            <v>0</v>
          </cell>
          <cell r="E615" t="str">
            <v>Mạng cấp 4</v>
          </cell>
        </row>
        <row r="616">
          <cell r="B616" t="str">
            <v>Chiên Đàn - Phú Ninh</v>
          </cell>
          <cell r="D616">
            <v>4981</v>
          </cell>
          <cell r="E616" t="str">
            <v>Mạng cấp 4</v>
          </cell>
        </row>
        <row r="617">
          <cell r="B617" t="str">
            <v>Phú Ninh - Hương Trà</v>
          </cell>
          <cell r="D617">
            <v>9713</v>
          </cell>
          <cell r="E617" t="str">
            <v>Mạng cấp 4</v>
          </cell>
        </row>
        <row r="618">
          <cell r="B618" t="str">
            <v>Hương Trà - Tam Kỳ</v>
          </cell>
          <cell r="D618">
            <v>5225</v>
          </cell>
          <cell r="E618" t="str">
            <v>Mạng cấp 4</v>
          </cell>
        </row>
        <row r="619">
          <cell r="B619" t="str">
            <v>Tam Kỳ - TT2 Đà Nẵng (Tam Kỳ)</v>
          </cell>
          <cell r="D619">
            <v>1811</v>
          </cell>
          <cell r="E619" t="str">
            <v>Mạng cấp 4</v>
          </cell>
        </row>
        <row r="620">
          <cell r="B620" t="str">
            <v>TT2 Đà Nẵng (Tam Kỳ) - Tam Xuân</v>
          </cell>
          <cell r="D620">
            <v>6926</v>
          </cell>
          <cell r="E620" t="str">
            <v>Mạng cấp 4</v>
          </cell>
        </row>
        <row r="621">
          <cell r="B621" t="str">
            <v>Tam Xuân - Tam Anh</v>
          </cell>
          <cell r="D621">
            <v>15099</v>
          </cell>
          <cell r="E621" t="str">
            <v>Mạng cấp 4</v>
          </cell>
        </row>
        <row r="622">
          <cell r="B622" t="str">
            <v>Tam Anh - Núi Thành</v>
          </cell>
          <cell r="D622">
            <v>14798</v>
          </cell>
          <cell r="E622" t="str">
            <v>Mạng cấp 4</v>
          </cell>
        </row>
        <row r="623">
          <cell r="B623" t="str">
            <v>Núi Thành - Tam Mỹ</v>
          </cell>
          <cell r="D623">
            <v>4236</v>
          </cell>
          <cell r="E623" t="str">
            <v>Mạng cấp 4</v>
          </cell>
        </row>
        <row r="624">
          <cell r="B624" t="str">
            <v>Tam Mỹ - Đức Phú</v>
          </cell>
          <cell r="D624">
            <v>20340</v>
          </cell>
          <cell r="E624" t="str">
            <v>Mạng cấp 4</v>
          </cell>
        </row>
        <row r="625">
          <cell r="B625" t="str">
            <v>Đức Phú - TTCMKV Phú Ninh</v>
          </cell>
          <cell r="D625">
            <v>39067</v>
          </cell>
          <cell r="E625" t="str">
            <v>Mạng cấp 4</v>
          </cell>
        </row>
        <row r="626">
          <cell r="B626" t="str">
            <v>TTCMKV Đông Giang - Sông Kôn</v>
          </cell>
          <cell r="D626">
            <v>21194</v>
          </cell>
          <cell r="E626" t="str">
            <v>Mạng cấp 4</v>
          </cell>
        </row>
        <row r="627">
          <cell r="B627" t="str">
            <v>Sông Kôn - Sông Vàng</v>
          </cell>
          <cell r="D627">
            <v>12720</v>
          </cell>
          <cell r="E627" t="str">
            <v>Mạng cấp 4</v>
          </cell>
        </row>
        <row r="628">
          <cell r="B628" t="str">
            <v>Sông Vàng - TTCMKV Đại Lộc</v>
          </cell>
          <cell r="D628">
            <v>38832</v>
          </cell>
          <cell r="E628" t="str">
            <v>Mạng cấp 4</v>
          </cell>
        </row>
        <row r="629">
          <cell r="B629" t="str">
            <v>TTCMKV Phước Sơn - Phước Hiệp</v>
          </cell>
          <cell r="D629">
            <v>21101</v>
          </cell>
          <cell r="E629" t="str">
            <v>Mạng cấp 4</v>
          </cell>
        </row>
        <row r="630">
          <cell r="B630" t="str">
            <v>Phước Hiệp - TTCMKV Phước Sơn</v>
          </cell>
          <cell r="D630">
            <v>21101</v>
          </cell>
          <cell r="E630" t="str">
            <v>Mạng cấp 4</v>
          </cell>
        </row>
        <row r="631">
          <cell r="B631" t="str">
            <v>TTCMKV Phước Sơn - Phước Năng</v>
          </cell>
          <cell r="D631">
            <v>5032</v>
          </cell>
          <cell r="E631" t="str">
            <v>Mạng cấp 4</v>
          </cell>
        </row>
        <row r="632">
          <cell r="B632" t="str">
            <v>Phước Năng - Phước Chánh</v>
          </cell>
          <cell r="D632">
            <v>23315</v>
          </cell>
          <cell r="E632" t="str">
            <v>Mạng cấp 4</v>
          </cell>
        </row>
        <row r="633">
          <cell r="B633" t="str">
            <v>Phước Chánh - Phước Thành</v>
          </cell>
          <cell r="D633">
            <v>23459</v>
          </cell>
          <cell r="E633" t="str">
            <v>Mạng cấp 4</v>
          </cell>
        </row>
        <row r="634">
          <cell r="B634" t="str">
            <v>Phước Thành - Khâm Đức</v>
          </cell>
          <cell r="D634">
            <v>27751</v>
          </cell>
          <cell r="E634" t="str">
            <v>Mạng cấp 4</v>
          </cell>
        </row>
        <row r="635">
          <cell r="B635" t="str">
            <v>Khâm Đức - TTCMKV Phước Sơn</v>
          </cell>
          <cell r="D635">
            <v>0</v>
          </cell>
          <cell r="E635" t="str">
            <v>Mạng cấp 4</v>
          </cell>
        </row>
        <row r="636">
          <cell r="B636" t="str">
            <v>TTCMKV Đông Giang - A Vương</v>
          </cell>
          <cell r="D636">
            <v>16904</v>
          </cell>
          <cell r="E636" t="str">
            <v>Mạng cấp 4</v>
          </cell>
        </row>
        <row r="637">
          <cell r="B637" t="str">
            <v>A Vương - Hùng Sơn</v>
          </cell>
          <cell r="D637">
            <v>32908</v>
          </cell>
          <cell r="E637" t="str">
            <v>Mạng cấp 4</v>
          </cell>
        </row>
        <row r="638">
          <cell r="B638" t="str">
            <v>Hùng Sơn - Tây Giang</v>
          </cell>
          <cell r="D638">
            <v>24357</v>
          </cell>
          <cell r="E638" t="str">
            <v>Mạng cấp 4</v>
          </cell>
        </row>
        <row r="639">
          <cell r="B639" t="str">
            <v>Tây Giang - TTCMKV Đông Giang</v>
          </cell>
          <cell r="D639">
            <v>26069</v>
          </cell>
          <cell r="E639" t="str">
            <v>Mạng cấp 4</v>
          </cell>
        </row>
        <row r="640">
          <cell r="B640" t="str">
            <v>TTCMKV Đông Giang - Đông
Giang</v>
          </cell>
          <cell r="D640">
            <v>0</v>
          </cell>
          <cell r="E640" t="str">
            <v>Mạng cấp 4</v>
          </cell>
        </row>
        <row r="641">
          <cell r="B641" t="str">
            <v>Đông Giang - Bến Hiên</v>
          </cell>
          <cell r="D641">
            <v>13831</v>
          </cell>
          <cell r="E641" t="str">
            <v>Mạng cấp 4</v>
          </cell>
        </row>
        <row r="642">
          <cell r="B642" t="str">
            <v>Bến Hiên - Thạnh Mỹ</v>
          </cell>
          <cell r="D642">
            <v>32331</v>
          </cell>
          <cell r="E642" t="str">
            <v>Mạng cấp 4</v>
          </cell>
        </row>
        <row r="643">
          <cell r="B643" t="str">
            <v>Thạnh Mỹ - TTKV Nam Giang</v>
          </cell>
          <cell r="D643">
            <v>0</v>
          </cell>
          <cell r="E643" t="str">
            <v>Mạng cấp 4</v>
          </cell>
        </row>
        <row r="644">
          <cell r="B644" t="str">
            <v>TTCMKV Nam Giang - Bến Giằng</v>
          </cell>
          <cell r="D644">
            <v>10357</v>
          </cell>
          <cell r="E644" t="str">
            <v>Mạng cấp 4</v>
          </cell>
        </row>
        <row r="645">
          <cell r="B645" t="str">
            <v>Bến Giằng - Đắc Pring</v>
          </cell>
          <cell r="D645">
            <v>44665</v>
          </cell>
          <cell r="E645" t="str">
            <v>Mạng cấp 4</v>
          </cell>
        </row>
        <row r="646">
          <cell r="B646" t="str">
            <v>Đắc Pring - La Dêê</v>
          </cell>
          <cell r="D646">
            <v>14533</v>
          </cell>
          <cell r="E646" t="str">
            <v>Mạng cấp 4</v>
          </cell>
        </row>
        <row r="647">
          <cell r="B647" t="str">
            <v>La Dêê - La Êê</v>
          </cell>
          <cell r="D647">
            <v>24900</v>
          </cell>
          <cell r="E647" t="str">
            <v>Mạng cấp 4</v>
          </cell>
        </row>
        <row r="648">
          <cell r="B648" t="str">
            <v>La Êê - Nam Giang</v>
          </cell>
          <cell r="D648">
            <v>47004</v>
          </cell>
          <cell r="E648" t="str">
            <v>Mạng cấp 4</v>
          </cell>
        </row>
        <row r="649">
          <cell r="B649" t="str">
            <v>Nam Giang - Bến Giằng</v>
          </cell>
          <cell r="D649">
            <v>39595</v>
          </cell>
          <cell r="E649" t="str">
            <v>Mạng cấp 4</v>
          </cell>
        </row>
        <row r="650">
          <cell r="B650" t="str">
            <v>Bến Giằng - TTCMKV Nam Giang</v>
          </cell>
          <cell r="D650">
            <v>11455</v>
          </cell>
          <cell r="E650" t="str">
            <v>Mạng cấp 4</v>
          </cell>
        </row>
        <row r="651">
          <cell r="B651" t="str">
            <v>TTCMKV Bắc Trà My - Trà My</v>
          </cell>
          <cell r="D651">
            <v>0</v>
          </cell>
          <cell r="E651" t="str">
            <v>Mạng cấp 4</v>
          </cell>
        </row>
        <row r="652">
          <cell r="B652" t="str">
            <v>Trà My - Trà Đốc</v>
          </cell>
          <cell r="D652">
            <v>11294</v>
          </cell>
          <cell r="E652" t="str">
            <v>Mạng cấp 4</v>
          </cell>
        </row>
        <row r="653">
          <cell r="B653" t="str">
            <v>Trà Đốc - TTCMKV Bắc Trà My</v>
          </cell>
          <cell r="D653">
            <v>13813</v>
          </cell>
          <cell r="E653" t="str">
            <v>Mạng cấp 4</v>
          </cell>
        </row>
        <row r="654">
          <cell r="B654" t="str">
            <v>TTCMKV Bắc Trà My - Trà Giáp</v>
          </cell>
          <cell r="D654">
            <v>34685</v>
          </cell>
          <cell r="E654" t="str">
            <v>Mạng cấp 4</v>
          </cell>
        </row>
        <row r="655">
          <cell r="B655" t="str">
            <v>Trà Giáp - Trà Tân</v>
          </cell>
          <cell r="D655">
            <v>10190</v>
          </cell>
          <cell r="E655" t="str">
            <v>Mạng cấp 4</v>
          </cell>
        </row>
        <row r="656">
          <cell r="B656" t="str">
            <v>Trà Tân - Trà Vân</v>
          </cell>
          <cell r="D656">
            <v>27595</v>
          </cell>
          <cell r="E656" t="str">
            <v>Mạng cấp 4</v>
          </cell>
        </row>
        <row r="657">
          <cell r="B657" t="str">
            <v>Trà Vân - Trà Mai</v>
          </cell>
          <cell r="D657">
            <v>11115</v>
          </cell>
          <cell r="E657" t="str">
            <v>Mạng cấp 4</v>
          </cell>
        </row>
        <row r="658">
          <cell r="B658" t="str">
            <v>Trà Mai - Trà Linh</v>
          </cell>
          <cell r="D658">
            <v>18009</v>
          </cell>
          <cell r="E658" t="str">
            <v>Mạng cấp 4</v>
          </cell>
        </row>
        <row r="659">
          <cell r="B659" t="str">
            <v>Trà Linh - Trà Tập</v>
          </cell>
          <cell r="D659">
            <v>20346</v>
          </cell>
          <cell r="E659" t="str">
            <v>Mạng cấp 4</v>
          </cell>
        </row>
        <row r="660">
          <cell r="B660" t="str">
            <v>Trà Tập - Trà Leng</v>
          </cell>
          <cell r="D660">
            <v>18193</v>
          </cell>
          <cell r="E660" t="str">
            <v>Mạng cấp 4</v>
          </cell>
        </row>
        <row r="661">
          <cell r="B661" t="str">
            <v>Trà Leng - TTCMKV Bắc Trà My</v>
          </cell>
          <cell r="D661">
            <v>29994</v>
          </cell>
          <cell r="E661" t="str">
            <v>Mạng cấp 4</v>
          </cell>
        </row>
        <row r="662">
          <cell r="B662" t="str">
            <v>TTCMKV Bắc Trà My - Trà Liên</v>
          </cell>
          <cell r="D662">
            <v>19100</v>
          </cell>
          <cell r="E662" t="str">
            <v>Mạng cấp 4</v>
          </cell>
        </row>
        <row r="663">
          <cell r="B663" t="str">
            <v>Trà Liên - TTCMKV Bắc Trà My</v>
          </cell>
          <cell r="D663">
            <v>18605</v>
          </cell>
          <cell r="E663" t="str">
            <v>Mạng cấp 4</v>
          </cell>
        </row>
        <row r="664">
          <cell r="B664" t="str">
            <v>CAT Kon Tum - Đăk BLa</v>
          </cell>
          <cell r="C664" t="str">
            <v>Quảng Ngãi</v>
          </cell>
          <cell r="D664">
            <v>9589</v>
          </cell>
          <cell r="E664" t="str">
            <v>Mạng cấp 4</v>
          </cell>
        </row>
        <row r="665">
          <cell r="B665" t="str">
            <v>Đăk BLa - Ia Chim</v>
          </cell>
          <cell r="C665" t="str">
            <v>Quảng Ngãi</v>
          </cell>
          <cell r="D665">
            <v>20282</v>
          </cell>
          <cell r="E665" t="str">
            <v>Mạng cấp 4</v>
          </cell>
        </row>
        <row r="666">
          <cell r="B666" t="str">
            <v>Ia Chim - Đăk Rơ Wa</v>
          </cell>
          <cell r="C666" t="str">
            <v>Quảng Ngãi</v>
          </cell>
          <cell r="D666">
            <v>17221</v>
          </cell>
          <cell r="E666" t="str">
            <v>Mạng cấp 4</v>
          </cell>
        </row>
        <row r="667">
          <cell r="B667" t="str">
            <v>Đăk Rơ Wa - Kon Tum</v>
          </cell>
          <cell r="C667" t="str">
            <v>Quảng Ngãi</v>
          </cell>
          <cell r="D667">
            <v>5409</v>
          </cell>
          <cell r="E667" t="str">
            <v>Mạng cấp 4</v>
          </cell>
        </row>
        <row r="668">
          <cell r="B668" t="str">
            <v>Kon Tum - CAT Kon Tum</v>
          </cell>
          <cell r="C668" t="str">
            <v>Quảng Ngãi</v>
          </cell>
          <cell r="D668">
            <v>0</v>
          </cell>
          <cell r="E668" t="str">
            <v>Mạng cấp 4</v>
          </cell>
        </row>
        <row r="669">
          <cell r="B669" t="str">
            <v>TTCMKV Kon Rẫy - Đăk Rve</v>
          </cell>
          <cell r="C669" t="str">
            <v>Quảng Ngãi</v>
          </cell>
          <cell r="D669">
            <v>11575</v>
          </cell>
          <cell r="E669" t="str">
            <v>Mạng cấp 4</v>
          </cell>
        </row>
        <row r="670">
          <cell r="B670" t="str">
            <v>Đăk Rve - Đăk Tăng</v>
          </cell>
          <cell r="C670" t="str">
            <v>Quảng Ngãi</v>
          </cell>
          <cell r="D670">
            <v>41766</v>
          </cell>
          <cell r="E670" t="str">
            <v>Mạng cấp 4</v>
          </cell>
        </row>
        <row r="671">
          <cell r="B671" t="str">
            <v>Đăk Tăng - Măng Bút</v>
          </cell>
          <cell r="C671" t="str">
            <v>Quảng Ngãi</v>
          </cell>
          <cell r="D671">
            <v>20239</v>
          </cell>
          <cell r="E671" t="str">
            <v>Mạng cấp 4</v>
          </cell>
        </row>
        <row r="672">
          <cell r="B672" t="str">
            <v>Măng Bút - Đăk Nên</v>
          </cell>
          <cell r="C672" t="str">
            <v>Quảng Ngãi</v>
          </cell>
          <cell r="D672">
            <v>9913</v>
          </cell>
          <cell r="E672" t="str">
            <v>Mạng cấp 4</v>
          </cell>
        </row>
        <row r="673">
          <cell r="B673" t="str">
            <v>Đăk Nên - Ngọk Tem</v>
          </cell>
          <cell r="C673" t="str">
            <v>Quảng Ngãi</v>
          </cell>
          <cell r="D673">
            <v>30992</v>
          </cell>
          <cell r="E673" t="str">
            <v>Mạng cấp 4</v>
          </cell>
        </row>
        <row r="674">
          <cell r="B674" t="str">
            <v>Ngọk Tem - Kon Plông</v>
          </cell>
          <cell r="C674" t="str">
            <v>Quảng Ngãi</v>
          </cell>
          <cell r="D674">
            <v>36416</v>
          </cell>
          <cell r="E674" t="str">
            <v>Mạng cấp 4</v>
          </cell>
        </row>
        <row r="675">
          <cell r="B675" t="str">
            <v>Kon Plông - Măng đen</v>
          </cell>
          <cell r="C675" t="str">
            <v>Quảng Ngãi</v>
          </cell>
          <cell r="D675">
            <v>20356</v>
          </cell>
          <cell r="E675" t="str">
            <v>Mạng cấp 4</v>
          </cell>
        </row>
        <row r="676">
          <cell r="B676" t="str">
            <v>Măng đen - Kon Braih</v>
          </cell>
          <cell r="C676" t="str">
            <v>Quảng Ngãi</v>
          </cell>
          <cell r="D676">
            <v>27274</v>
          </cell>
          <cell r="E676" t="str">
            <v>Mạng cấp 4</v>
          </cell>
        </row>
        <row r="677">
          <cell r="B677" t="str">
            <v>Kon Braih - TTCMKV Kon Rẫy</v>
          </cell>
          <cell r="C677" t="str">
            <v>Quảng Ngãi</v>
          </cell>
          <cell r="D677">
            <v>0</v>
          </cell>
          <cell r="E677" t="str">
            <v>Mạng cấp 4</v>
          </cell>
        </row>
        <row r="678">
          <cell r="B678" t="str">
            <v>TTCMKV Kon Rẫy - Đăk Kôi</v>
          </cell>
          <cell r="C678" t="str">
            <v>Quảng Ngãi</v>
          </cell>
          <cell r="D678">
            <v>7920</v>
          </cell>
          <cell r="E678" t="str">
            <v>Mạng cấp 4</v>
          </cell>
        </row>
        <row r="679">
          <cell r="B679" t="str">
            <v>Đăk Kôi - CAX Đăk Kôi (Kon Rẫy)</v>
          </cell>
          <cell r="C679" t="str">
            <v>Quảng Ngãi</v>
          </cell>
          <cell r="D679">
            <v>0</v>
          </cell>
          <cell r="E679" t="str">
            <v>Mạng cấp 4</v>
          </cell>
        </row>
        <row r="680">
          <cell r="B680" t="str">
            <v>CAT Kon Tum - Đăk Cấm</v>
          </cell>
          <cell r="C680" t="str">
            <v>Quảng Ngãi</v>
          </cell>
          <cell r="D680">
            <v>3412</v>
          </cell>
          <cell r="E680" t="str">
            <v>Mạng cấp 4</v>
          </cell>
        </row>
        <row r="681">
          <cell r="B681" t="str">
            <v>Đăk Cấm - Ngọk Réo</v>
          </cell>
          <cell r="C681" t="str">
            <v>Quảng Ngãi</v>
          </cell>
          <cell r="D681">
            <v>15943</v>
          </cell>
          <cell r="E681" t="str">
            <v>Mạng cấp 4</v>
          </cell>
        </row>
        <row r="682">
          <cell r="B682" t="str">
            <v>Ngọk Réo - TTCMKV Đăk Hà</v>
          </cell>
          <cell r="C682" t="str">
            <v>Quảng Ngãi</v>
          </cell>
          <cell r="D682">
            <v>17181</v>
          </cell>
          <cell r="E682" t="str">
            <v>Mạng cấp 4</v>
          </cell>
        </row>
        <row r="683">
          <cell r="B683" t="str">
            <v>TTCMKV Đăk Hà - Đăk Hà</v>
          </cell>
          <cell r="C683" t="str">
            <v>Quảng Ngãi</v>
          </cell>
          <cell r="D683">
            <v>0</v>
          </cell>
          <cell r="E683" t="str">
            <v>Mạng cấp 4</v>
          </cell>
        </row>
        <row r="684">
          <cell r="B684" t="str">
            <v>Đăk Hà - Đăk Ui</v>
          </cell>
          <cell r="C684" t="str">
            <v>Quảng Ngãi</v>
          </cell>
          <cell r="D684">
            <v>5801</v>
          </cell>
          <cell r="E684" t="str">
            <v>Mạng cấp 4</v>
          </cell>
        </row>
        <row r="685">
          <cell r="B685" t="str">
            <v>Đăk Ui - Đăk Mar</v>
          </cell>
          <cell r="C685" t="str">
            <v>Quảng Ngãi</v>
          </cell>
          <cell r="D685">
            <v>4383</v>
          </cell>
          <cell r="E685" t="str">
            <v>Mạng cấp 4</v>
          </cell>
        </row>
        <row r="686">
          <cell r="B686" t="str">
            <v>Đăk Mar - Ngọk Tụ</v>
          </cell>
          <cell r="C686" t="str">
            <v>Quảng Ngãi</v>
          </cell>
          <cell r="D686">
            <v>30866</v>
          </cell>
          <cell r="E686" t="str">
            <v>Mạng cấp 4</v>
          </cell>
        </row>
        <row r="687">
          <cell r="B687" t="str">
            <v>Ngọk Tụ - TTCMKV Ngọc Hồi</v>
          </cell>
          <cell r="C687" t="str">
            <v>Quảng Ngãi</v>
          </cell>
          <cell r="D687">
            <v>17304</v>
          </cell>
          <cell r="E687" t="str">
            <v>Mạng cấp 4</v>
          </cell>
        </row>
        <row r="688">
          <cell r="B688" t="str">
            <v>TTCMKV Đăk Tô - Đăk Tô</v>
          </cell>
          <cell r="C688" t="str">
            <v>Quảng Ngãi</v>
          </cell>
          <cell r="D688">
            <v>0</v>
          </cell>
          <cell r="E688" t="str">
            <v>Mạng cấp 4</v>
          </cell>
        </row>
        <row r="689">
          <cell r="B689" t="str">
            <v>Đăk Tô - Đăk Pxi</v>
          </cell>
          <cell r="C689" t="str">
            <v>Quảng Ngãi</v>
          </cell>
          <cell r="D689">
            <v>29556</v>
          </cell>
          <cell r="E689" t="str">
            <v>Mạng cấp 4</v>
          </cell>
        </row>
        <row r="690">
          <cell r="B690" t="str">
            <v>Đăk Pxi - CAT Kon Tum</v>
          </cell>
          <cell r="C690" t="str">
            <v>Quảng Ngãi</v>
          </cell>
          <cell r="D690">
            <v>37418</v>
          </cell>
          <cell r="E690" t="str">
            <v>Mạng cấp 4</v>
          </cell>
        </row>
        <row r="691">
          <cell r="B691" t="str">
            <v>TTCMKV Đăk Tô - Kon Đào</v>
          </cell>
          <cell r="C691" t="str">
            <v>Quảng Ngãi</v>
          </cell>
          <cell r="D691">
            <v>4997</v>
          </cell>
          <cell r="E691" t="str">
            <v>Mạng cấp 4</v>
          </cell>
        </row>
        <row r="692">
          <cell r="B692" t="str">
            <v>Kon Đào - Đăk Sao</v>
          </cell>
          <cell r="C692" t="str">
            <v>Quảng Ngãi</v>
          </cell>
          <cell r="D692">
            <v>37130</v>
          </cell>
          <cell r="E692" t="str">
            <v>Mạng cấp 4</v>
          </cell>
        </row>
        <row r="693">
          <cell r="B693" t="str">
            <v>Đăk Sao - Đăk Tờ Kan</v>
          </cell>
          <cell r="C693" t="str">
            <v>Quảng Ngãi</v>
          </cell>
          <cell r="D693">
            <v>18030</v>
          </cell>
          <cell r="E693" t="str">
            <v>Mạng cấp 4</v>
          </cell>
        </row>
        <row r="694">
          <cell r="B694" t="str">
            <v>Đăk Tờ Kan - Tu Mơ Rông</v>
          </cell>
          <cell r="C694" t="str">
            <v>Quảng Ngãi</v>
          </cell>
          <cell r="D694">
            <v>22272</v>
          </cell>
          <cell r="E694" t="str">
            <v>Mạng cấp 4</v>
          </cell>
        </row>
        <row r="695">
          <cell r="B695" t="str">
            <v>Tu Mơ Rông - TTCMKV Tu Mơ Rông</v>
          </cell>
          <cell r="C695" t="str">
            <v>Quảng Ngãi</v>
          </cell>
          <cell r="D695">
            <v>0</v>
          </cell>
          <cell r="E695" t="str">
            <v>Mạng cấp 4</v>
          </cell>
        </row>
        <row r="696">
          <cell r="B696" t="str">
            <v>TTCMKV Ngọc Hồi - Sa Loong</v>
          </cell>
          <cell r="C696" t="str">
            <v>Quảng Ngãi</v>
          </cell>
          <cell r="D696">
            <v>16400</v>
          </cell>
          <cell r="E696" t="str">
            <v>Mạng cấp 4</v>
          </cell>
        </row>
        <row r="697">
          <cell r="B697" t="str">
            <v>Sa Loong - Rờ Kơi</v>
          </cell>
          <cell r="C697" t="str">
            <v>Quảng Ngãi</v>
          </cell>
          <cell r="D697">
            <v>24732</v>
          </cell>
          <cell r="E697" t="str">
            <v>Mạng cấp 4</v>
          </cell>
        </row>
        <row r="698">
          <cell r="B698" t="str">
            <v>Rờ Kơi - TTCMKV Sa Thầy</v>
          </cell>
          <cell r="C698" t="str">
            <v>Quảng Ngãi</v>
          </cell>
          <cell r="D698">
            <v>17060</v>
          </cell>
          <cell r="E698" t="str">
            <v>Mạng cấp 4</v>
          </cell>
        </row>
        <row r="699">
          <cell r="B699" t="str">
            <v>CAT Kon Tum - Ngọk Bay</v>
          </cell>
          <cell r="C699" t="str">
            <v>Quảng Ngãi</v>
          </cell>
          <cell r="D699">
            <v>4367</v>
          </cell>
          <cell r="E699" t="str">
            <v>Mạng cấp 4</v>
          </cell>
        </row>
        <row r="700">
          <cell r="B700" t="str">
            <v>Ngọk Bay - Ya Ly</v>
          </cell>
          <cell r="C700" t="str">
            <v>Quảng Ngãi</v>
          </cell>
          <cell r="D700">
            <v>31995</v>
          </cell>
          <cell r="E700" t="str">
            <v>Mạng cấp 4</v>
          </cell>
        </row>
        <row r="701">
          <cell r="B701" t="str">
            <v>Ya Ly - Sa Thầy</v>
          </cell>
          <cell r="C701" t="str">
            <v>Quảng Ngãi</v>
          </cell>
          <cell r="D701">
            <v>4949</v>
          </cell>
          <cell r="E701" t="str">
            <v>Mạng cấp 4</v>
          </cell>
        </row>
        <row r="702">
          <cell r="B702" t="str">
            <v>Sa Thầy - TTCMKV Sa Thầy</v>
          </cell>
          <cell r="C702" t="str">
            <v>Quảng Ngãi</v>
          </cell>
          <cell r="D702">
            <v>0</v>
          </cell>
          <cell r="E702" t="str">
            <v>Mạng cấp 4</v>
          </cell>
        </row>
        <row r="703">
          <cell r="B703" t="str">
            <v>TTCMKV Sa Thầy - Sa Bình</v>
          </cell>
          <cell r="C703" t="str">
            <v>Quảng Ngãi</v>
          </cell>
          <cell r="D703">
            <v>21300</v>
          </cell>
          <cell r="E703" t="str">
            <v>Mạng cấp 4</v>
          </cell>
        </row>
        <row r="704">
          <cell r="B704" t="str">
            <v>Sa Bình - Pô Kô</v>
          </cell>
          <cell r="C704" t="str">
            <v>Quảng Ngãi</v>
          </cell>
          <cell r="D704">
            <v>15698</v>
          </cell>
          <cell r="E704" t="str">
            <v>Mạng cấp 4</v>
          </cell>
        </row>
        <row r="705">
          <cell r="B705" t="str">
            <v>Pô Kô - TTCMKV Ngọc Hồi</v>
          </cell>
          <cell r="C705" t="str">
            <v>Quảng Ngãi</v>
          </cell>
          <cell r="D705">
            <v>30842</v>
          </cell>
          <cell r="E705" t="str">
            <v>Mạng cấp 4</v>
          </cell>
        </row>
        <row r="706">
          <cell r="B706" t="str">
            <v>TTCMKV Sa Thầy - Mô Rai</v>
          </cell>
          <cell r="C706" t="str">
            <v>Quảng Ngãi</v>
          </cell>
          <cell r="D706">
            <v>61260</v>
          </cell>
          <cell r="E706" t="str">
            <v>Mạng cấp 4</v>
          </cell>
        </row>
        <row r="707">
          <cell r="B707" t="str">
            <v>Mô Rai - Ia Tơi</v>
          </cell>
          <cell r="C707" t="str">
            <v>Quảng Ngãi</v>
          </cell>
          <cell r="D707">
            <v>37795</v>
          </cell>
          <cell r="E707" t="str">
            <v>Mạng cấp 4</v>
          </cell>
        </row>
        <row r="708">
          <cell r="B708" t="str">
            <v>Ia Tơi - Ia Đal</v>
          </cell>
          <cell r="C708" t="str">
            <v>Quảng Ngãi</v>
          </cell>
          <cell r="D708">
            <v>16014</v>
          </cell>
          <cell r="E708" t="str">
            <v>Mạng cấp 4</v>
          </cell>
        </row>
        <row r="709">
          <cell r="B709" t="str">
            <v>Ia Đal - Mô Rai 2</v>
          </cell>
          <cell r="C709" t="str">
            <v>Quảng Ngãi</v>
          </cell>
          <cell r="D709">
            <v>40586</v>
          </cell>
          <cell r="E709" t="str">
            <v>Mạng cấp 4</v>
          </cell>
        </row>
        <row r="710">
          <cell r="B710" t="str">
            <v>Mô Rai 2 - TTCMKV Sa Thầy</v>
          </cell>
          <cell r="C710" t="str">
            <v>Quảng Ngãi</v>
          </cell>
          <cell r="D710">
            <v>61260</v>
          </cell>
          <cell r="E710" t="str">
            <v>Mạng cấp 4</v>
          </cell>
        </row>
        <row r="711">
          <cell r="B711" t="str">
            <v>TTCMKV Đăk Tô - Dục Nông</v>
          </cell>
          <cell r="C711" t="str">
            <v>Quảng Ngãi</v>
          </cell>
          <cell r="D711">
            <v>30332</v>
          </cell>
          <cell r="E711" t="str">
            <v>Mạng cấp 4</v>
          </cell>
        </row>
        <row r="712">
          <cell r="B712" t="str">
            <v>Dục Nông - Đăk Long</v>
          </cell>
          <cell r="C712" t="str">
            <v>Quảng Ngãi</v>
          </cell>
          <cell r="D712">
            <v>29492</v>
          </cell>
          <cell r="E712" t="str">
            <v>Mạng cấp 4</v>
          </cell>
        </row>
        <row r="713">
          <cell r="B713" t="str">
            <v>Đăk Long - Đăk Kroong</v>
          </cell>
          <cell r="C713" t="str">
            <v>Quảng Ngãi</v>
          </cell>
          <cell r="D713">
            <v>27861</v>
          </cell>
          <cell r="E713" t="str">
            <v>Mạng cấp 4</v>
          </cell>
        </row>
        <row r="714">
          <cell r="B714" t="str">
            <v>Đăk Kroong - Đăk Pék</v>
          </cell>
          <cell r="C714" t="str">
            <v>Quảng Ngãi</v>
          </cell>
          <cell r="D714">
            <v>13316</v>
          </cell>
          <cell r="E714" t="str">
            <v>Mạng cấp 4</v>
          </cell>
        </row>
        <row r="715">
          <cell r="B715" t="str">
            <v>Đăk Pék - Xốp 2</v>
          </cell>
          <cell r="C715" t="str">
            <v>Quảng Ngãi</v>
          </cell>
          <cell r="D715">
            <v>18359</v>
          </cell>
          <cell r="E715" t="str">
            <v>Mạng cấp 4</v>
          </cell>
        </row>
        <row r="716">
          <cell r="B716" t="str">
            <v>Xốp 2 - Ngọc Linh</v>
          </cell>
          <cell r="C716" t="str">
            <v>Quảng Ngãi</v>
          </cell>
          <cell r="D716">
            <v>22324</v>
          </cell>
          <cell r="E716" t="str">
            <v>Mạng cấp 4</v>
          </cell>
        </row>
        <row r="717">
          <cell r="B717" t="str">
            <v>Ngọc Linh - Măng Ri (Cũ)</v>
          </cell>
          <cell r="C717" t="str">
            <v>Quảng Ngãi</v>
          </cell>
          <cell r="D717">
            <v>22059</v>
          </cell>
          <cell r="E717" t="str">
            <v>Mạng cấp 4</v>
          </cell>
        </row>
        <row r="718">
          <cell r="B718" t="str">
            <v>Măng Ri (Cũ) - TTCMKV Tu mơ rông</v>
          </cell>
          <cell r="C718" t="str">
            <v>Quảng Ngãi</v>
          </cell>
          <cell r="D718">
            <v>23247</v>
          </cell>
          <cell r="E718" t="str">
            <v>Mạng cấp 4</v>
          </cell>
        </row>
        <row r="719">
          <cell r="B719" t="str">
            <v>TTCMKV Đăk Tô - Bờ Y</v>
          </cell>
          <cell r="C719" t="str">
            <v>Quảng Ngãi</v>
          </cell>
          <cell r="D719">
            <v>22756</v>
          </cell>
          <cell r="E719" t="str">
            <v>Mạng cấp 4</v>
          </cell>
        </row>
        <row r="720">
          <cell r="B720" t="str">
            <v>Bờ Y - Đăk Môn</v>
          </cell>
          <cell r="C720" t="str">
            <v>Quảng Ngãi</v>
          </cell>
          <cell r="D720">
            <v>21480</v>
          </cell>
          <cell r="E720" t="str">
            <v>Mạng cấp 4</v>
          </cell>
        </row>
        <row r="721">
          <cell r="B721" t="str">
            <v>Đăk Môn - Đăk Nhoong</v>
          </cell>
          <cell r="C721" t="str">
            <v>Quảng Ngãi</v>
          </cell>
          <cell r="D721">
            <v>27767</v>
          </cell>
          <cell r="E721" t="str">
            <v>Mạng cấp 4</v>
          </cell>
        </row>
        <row r="722">
          <cell r="B722" t="str">
            <v>Đăk Nhoong - Đăk Plô</v>
          </cell>
          <cell r="C722" t="str">
            <v>Quảng Ngãi</v>
          </cell>
          <cell r="D722">
            <v>24130</v>
          </cell>
          <cell r="E722" t="str">
            <v>Mạng cấp 4</v>
          </cell>
        </row>
        <row r="723">
          <cell r="B723" t="str">
            <v>Đăk Plô - Xốp</v>
          </cell>
          <cell r="C723" t="str">
            <v>Quảng Ngãi</v>
          </cell>
          <cell r="D723">
            <v>17376</v>
          </cell>
          <cell r="E723" t="str">
            <v>Mạng cấp 4</v>
          </cell>
        </row>
        <row r="724">
          <cell r="B724" t="str">
            <v>Xốp - Mường Hoong</v>
          </cell>
          <cell r="C724" t="str">
            <v>Quảng Ngãi</v>
          </cell>
          <cell r="D724">
            <v>22462</v>
          </cell>
          <cell r="E724" t="str">
            <v>Mạng cấp 4</v>
          </cell>
        </row>
        <row r="725">
          <cell r="B725" t="str">
            <v>Mường Hoong - Măng Ri</v>
          </cell>
          <cell r="C725" t="str">
            <v>Quảng Ngãi</v>
          </cell>
          <cell r="D725">
            <v>22059</v>
          </cell>
          <cell r="E725" t="str">
            <v>Mạng cấp 4</v>
          </cell>
        </row>
        <row r="726">
          <cell r="B726" t="str">
            <v>Măng Ri - TTCMKV Tu mơ rông</v>
          </cell>
          <cell r="C726" t="str">
            <v>Quảng Ngãi</v>
          </cell>
          <cell r="D726">
            <v>21228</v>
          </cell>
          <cell r="E726" t="str">
            <v>Mạng cấp 4</v>
          </cell>
        </row>
        <row r="727">
          <cell r="B727" t="str">
            <v>TTCMKV Bình Sơn - Vạn Tường</v>
          </cell>
          <cell r="C727" t="str">
            <v>Quảng Ngãi</v>
          </cell>
          <cell r="D727">
            <v>11608</v>
          </cell>
          <cell r="E727" t="str">
            <v>Mạng cấp 4</v>
          </cell>
        </row>
        <row r="728">
          <cell r="B728" t="str">
            <v>Vạn Tường - Đông Sơn</v>
          </cell>
          <cell r="C728" t="str">
            <v>Quảng Ngãi</v>
          </cell>
          <cell r="D728">
            <v>18962</v>
          </cell>
          <cell r="E728" t="str">
            <v>Mạng cấp 4</v>
          </cell>
        </row>
        <row r="729">
          <cell r="B729" t="str">
            <v>Đông Sơn - Tịnh Khê</v>
          </cell>
          <cell r="C729" t="str">
            <v>Quảng Ngãi</v>
          </cell>
          <cell r="D729">
            <v>7199</v>
          </cell>
          <cell r="E729" t="str">
            <v>Mạng cấp 4</v>
          </cell>
        </row>
        <row r="730">
          <cell r="B730" t="str">
            <v>Tịnh Khê - An Phú</v>
          </cell>
          <cell r="C730" t="str">
            <v>Quảng Ngãi</v>
          </cell>
          <cell r="D730">
            <v>21468</v>
          </cell>
          <cell r="E730" t="str">
            <v>Mạng cấp 4</v>
          </cell>
        </row>
        <row r="731">
          <cell r="B731" t="str">
            <v>An Phú - TT1 QUẢNG NGÃI</v>
          </cell>
          <cell r="C731" t="str">
            <v>Quảng Ngãi</v>
          </cell>
          <cell r="D731">
            <v>11091</v>
          </cell>
          <cell r="E731" t="str">
            <v>Mạng cấp 4</v>
          </cell>
        </row>
        <row r="732">
          <cell r="B732" t="str">
            <v>TTCMKV Bình Sơn - Bình Minh</v>
          </cell>
          <cell r="C732" t="str">
            <v>Quảng Ngãi</v>
          </cell>
          <cell r="D732">
            <v>8498</v>
          </cell>
          <cell r="E732" t="str">
            <v>Mạng cấp 4</v>
          </cell>
        </row>
        <row r="733">
          <cell r="B733" t="str">
            <v>Bình Minh - Bình Chương</v>
          </cell>
          <cell r="C733" t="str">
            <v>Quảng Ngãi</v>
          </cell>
          <cell r="D733">
            <v>3593</v>
          </cell>
          <cell r="E733" t="str">
            <v>Mạng cấp 4</v>
          </cell>
        </row>
        <row r="734">
          <cell r="B734" t="str">
            <v>Bình Chương - Sơn Tịnh</v>
          </cell>
          <cell r="C734" t="str">
            <v>Quảng Ngãi</v>
          </cell>
          <cell r="D734">
            <v>16984</v>
          </cell>
          <cell r="E734" t="str">
            <v>Mạng cấp 4</v>
          </cell>
        </row>
        <row r="735">
          <cell r="B735" t="str">
            <v>Sơn Tịnh - TT1 QUẢNG NGÃI</v>
          </cell>
          <cell r="C735" t="str">
            <v>Quảng Ngãi</v>
          </cell>
          <cell r="D735">
            <v>12047</v>
          </cell>
          <cell r="E735" t="str">
            <v>Mạng cấp 4</v>
          </cell>
        </row>
        <row r="736">
          <cell r="B736" t="str">
            <v>TTCMKV Bình Sơn - Bình Sơn</v>
          </cell>
          <cell r="C736" t="str">
            <v>Quảng Ngãi</v>
          </cell>
          <cell r="D736">
            <v>1191</v>
          </cell>
          <cell r="E736" t="str">
            <v>Mạng cấp 4</v>
          </cell>
        </row>
        <row r="737">
          <cell r="B737" t="str">
            <v>Bình Sơn - Thọ Phong</v>
          </cell>
          <cell r="C737" t="str">
            <v>Quảng Ngãi</v>
          </cell>
          <cell r="D737">
            <v>16503</v>
          </cell>
          <cell r="E737" t="str">
            <v>Mạng cấp 4</v>
          </cell>
        </row>
        <row r="738">
          <cell r="B738" t="str">
            <v>Thọ Phong - Trương Quang Trọng</v>
          </cell>
          <cell r="C738" t="str">
            <v>Quảng Ngãi</v>
          </cell>
          <cell r="D738">
            <v>10209</v>
          </cell>
          <cell r="E738" t="str">
            <v>Mạng cấp 4</v>
          </cell>
        </row>
        <row r="739">
          <cell r="B739" t="str">
            <v>Trương Quang Trọng - TT1 QUẢNG NGÃI</v>
          </cell>
          <cell r="C739" t="str">
            <v>Quảng Ngãi</v>
          </cell>
          <cell r="D739">
            <v>5264</v>
          </cell>
          <cell r="E739" t="str">
            <v>Mạng cấp 4</v>
          </cell>
        </row>
        <row r="740">
          <cell r="B740" t="str">
            <v>TTCMKV Bình Sơn - Đông Trà Bồng</v>
          </cell>
          <cell r="C740" t="str">
            <v>Quảng Ngãi</v>
          </cell>
          <cell r="D740">
            <v>23524</v>
          </cell>
          <cell r="E740" t="str">
            <v>Mạng cấp 4</v>
          </cell>
        </row>
        <row r="741">
          <cell r="B741" t="str">
            <v>Đông Trà Bồng - Trà Bồng</v>
          </cell>
          <cell r="C741" t="str">
            <v>Quảng Ngãi</v>
          </cell>
          <cell r="D741">
            <v>7301</v>
          </cell>
          <cell r="E741" t="str">
            <v>Mạng cấp 4</v>
          </cell>
        </row>
        <row r="742">
          <cell r="B742" t="str">
            <v>Trà Bồng - TTCMKV Trà Bồng</v>
          </cell>
          <cell r="C742" t="str">
            <v>Quảng Ngãi</v>
          </cell>
          <cell r="D742">
            <v>0</v>
          </cell>
          <cell r="E742" t="str">
            <v>Mạng cấp 4</v>
          </cell>
        </row>
        <row r="743">
          <cell r="B743" t="str">
            <v>TTCMKV Trà Bồng - Thanh Bồng</v>
          </cell>
          <cell r="C743" t="str">
            <v>Quảng Ngãi</v>
          </cell>
          <cell r="D743">
            <v>13331</v>
          </cell>
          <cell r="E743" t="str">
            <v>Mạng cấp 4</v>
          </cell>
        </row>
        <row r="744">
          <cell r="B744" t="str">
            <v>Thanh Bồng - Tây Trà Bồng</v>
          </cell>
          <cell r="C744" t="str">
            <v>Quảng Ngãi</v>
          </cell>
          <cell r="D744">
            <v>30281</v>
          </cell>
          <cell r="E744" t="str">
            <v>Mạng cấp 4</v>
          </cell>
        </row>
        <row r="745">
          <cell r="B745" t="str">
            <v>Tây Trà Bồng - Tây Trà</v>
          </cell>
          <cell r="C745" t="str">
            <v>Quảng Ngãi</v>
          </cell>
          <cell r="D745">
            <v>14056</v>
          </cell>
          <cell r="E745" t="str">
            <v>Mạng cấp 4</v>
          </cell>
        </row>
        <row r="746">
          <cell r="B746" t="str">
            <v>Tây Trà - TTCMKV Sơn Hà</v>
          </cell>
          <cell r="C746" t="str">
            <v>Quảng Ngãi</v>
          </cell>
          <cell r="D746">
            <v>40644</v>
          </cell>
          <cell r="E746" t="str">
            <v>Mạng cấp 4</v>
          </cell>
        </row>
        <row r="747">
          <cell r="B747" t="str">
            <v>TTCMKV Sơn Hà - Sơn Hà</v>
          </cell>
          <cell r="C747" t="str">
            <v>Quảng Ngãi</v>
          </cell>
          <cell r="D747">
            <v>0</v>
          </cell>
          <cell r="E747" t="str">
            <v>Mạng cấp 4</v>
          </cell>
        </row>
        <row r="748">
          <cell r="B748" t="str">
            <v>Sơn Hà - Sơn Tây Hạ</v>
          </cell>
          <cell r="C748" t="str">
            <v>Quảng Ngãi</v>
          </cell>
          <cell r="D748">
            <v>21991</v>
          </cell>
          <cell r="E748" t="str">
            <v>Mạng cấp 4</v>
          </cell>
        </row>
        <row r="749">
          <cell r="B749" t="str">
            <v>Sơn Tây Hạ - Sơn Tây</v>
          </cell>
          <cell r="C749" t="str">
            <v>Quảng Ngãi</v>
          </cell>
          <cell r="D749">
            <v>20974</v>
          </cell>
          <cell r="E749" t="str">
            <v>Mạng cấp 4</v>
          </cell>
        </row>
        <row r="750">
          <cell r="B750" t="str">
            <v>Sơn Tây - Sơn Tây Thượng</v>
          </cell>
          <cell r="C750" t="str">
            <v>Quảng Ngãi</v>
          </cell>
          <cell r="D750">
            <v>3917</v>
          </cell>
          <cell r="E750" t="str">
            <v>Mạng cấp 4</v>
          </cell>
        </row>
        <row r="751">
          <cell r="B751" t="str">
            <v>Sơn Tây Thượng - TTCMKV Sơn Tây</v>
          </cell>
          <cell r="C751" t="str">
            <v>Quảng Ngãi</v>
          </cell>
          <cell r="D751">
            <v>0</v>
          </cell>
          <cell r="E751" t="str">
            <v>Mạng cấp 4</v>
          </cell>
        </row>
        <row r="752">
          <cell r="B752" t="str">
            <v>TTCMKV Sơn Hà - Sơn Thủy</v>
          </cell>
          <cell r="C752" t="str">
            <v>Quảng Ngãi</v>
          </cell>
          <cell r="D752">
            <v>8888</v>
          </cell>
          <cell r="E752" t="str">
            <v>Mạng cấp 4</v>
          </cell>
        </row>
        <row r="753">
          <cell r="B753" t="str">
            <v>Sơn Thủy - Sơn Linh</v>
          </cell>
          <cell r="C753" t="str">
            <v>Quảng Ngãi</v>
          </cell>
          <cell r="D753">
            <v>13768</v>
          </cell>
          <cell r="E753" t="str">
            <v>Mạng cấp 4</v>
          </cell>
        </row>
        <row r="754">
          <cell r="B754" t="str">
            <v>Sơn Linh - Trường Giang</v>
          </cell>
          <cell r="C754" t="str">
            <v>Quảng Ngãi</v>
          </cell>
          <cell r="D754">
            <v>25137</v>
          </cell>
          <cell r="E754" t="str">
            <v>Mạng cấp 4</v>
          </cell>
        </row>
        <row r="755">
          <cell r="B755" t="str">
            <v>Trường Giang - TT1 QUẢNG NGÃI</v>
          </cell>
          <cell r="C755" t="str">
            <v>Quảng Ngãi</v>
          </cell>
          <cell r="D755">
            <v>22302</v>
          </cell>
          <cell r="E755" t="str">
            <v>Mạng cấp 4</v>
          </cell>
        </row>
        <row r="756">
          <cell r="B756" t="str">
            <v>TTCMKV Sơn Hà - Sơn Hạ</v>
          </cell>
          <cell r="C756" t="str">
            <v>Quảng Ngãi</v>
          </cell>
          <cell r="D756">
            <v>15813</v>
          </cell>
          <cell r="E756" t="str">
            <v>Mạng cấp 4</v>
          </cell>
        </row>
        <row r="757">
          <cell r="B757" t="str">
            <v>Sơn Hạ - Cà Đam</v>
          </cell>
          <cell r="C757" t="str">
            <v>Quảng Ngãi</v>
          </cell>
          <cell r="D757">
            <v>12202</v>
          </cell>
          <cell r="E757" t="str">
            <v>Mạng cấp 4</v>
          </cell>
        </row>
        <row r="758">
          <cell r="B758" t="str">
            <v>Cà Đam - Ba Gia</v>
          </cell>
          <cell r="C758" t="str">
            <v>Quảng Ngãi</v>
          </cell>
          <cell r="D758">
            <v>20011</v>
          </cell>
          <cell r="E758" t="str">
            <v>Mạng cấp 4</v>
          </cell>
        </row>
        <row r="759">
          <cell r="B759" t="str">
            <v>Ba Gia - TT1 QUẢNG NGÃI</v>
          </cell>
          <cell r="C759" t="str">
            <v>Quảng Ngãi</v>
          </cell>
          <cell r="D759">
            <v>20206</v>
          </cell>
          <cell r="E759" t="str">
            <v>Mạng cấp 4</v>
          </cell>
        </row>
        <row r="760">
          <cell r="B760" t="str">
            <v>TTCMKV Ba Tơ - Ba Dinh</v>
          </cell>
          <cell r="C760" t="str">
            <v>Quảng Ngãi</v>
          </cell>
          <cell r="D760">
            <v>7417</v>
          </cell>
          <cell r="E760" t="str">
            <v>Mạng cấp 4</v>
          </cell>
        </row>
        <row r="761">
          <cell r="B761" t="str">
            <v>Ba Dinh - Ba Tô</v>
          </cell>
          <cell r="C761" t="str">
            <v>Quảng Ngãi</v>
          </cell>
          <cell r="D761">
            <v>7194</v>
          </cell>
          <cell r="E761" t="str">
            <v>Mạng cấp 4</v>
          </cell>
        </row>
        <row r="762">
          <cell r="B762" t="str">
            <v>Ba Tô - Ba Vì</v>
          </cell>
          <cell r="C762" t="str">
            <v>Quảng Ngãi</v>
          </cell>
          <cell r="D762">
            <v>8022</v>
          </cell>
          <cell r="E762" t="str">
            <v>Mạng cấp 4</v>
          </cell>
        </row>
        <row r="763">
          <cell r="B763" t="str">
            <v>Ba Vì - Ba Xa</v>
          </cell>
          <cell r="C763" t="str">
            <v>Quảng Ngãi</v>
          </cell>
          <cell r="D763">
            <v>3688</v>
          </cell>
          <cell r="E763" t="str">
            <v>Mạng cấp 4</v>
          </cell>
        </row>
        <row r="764">
          <cell r="B764" t="str">
            <v>Ba Xa - Sơn Kỳ</v>
          </cell>
          <cell r="C764" t="str">
            <v>Quảng Ngãi</v>
          </cell>
          <cell r="D764">
            <v>30711</v>
          </cell>
          <cell r="E764" t="str">
            <v>Mạng cấp 4</v>
          </cell>
        </row>
        <row r="765">
          <cell r="B765" t="str">
            <v>Sơn Kỳ - TTCMKV Minh Long</v>
          </cell>
          <cell r="C765" t="str">
            <v>Quảng Ngãi</v>
          </cell>
          <cell r="D765">
            <v>24685</v>
          </cell>
          <cell r="E765" t="str">
            <v>Mạng cấp 4</v>
          </cell>
        </row>
        <row r="766">
          <cell r="B766" t="str">
            <v>TTCMKV Ba Tơ - Ba Vinh</v>
          </cell>
          <cell r="C766" t="str">
            <v>Quảng Ngãi</v>
          </cell>
          <cell r="D766">
            <v>13212</v>
          </cell>
          <cell r="E766" t="str">
            <v>Mạng cấp 4</v>
          </cell>
        </row>
        <row r="767">
          <cell r="B767" t="str">
            <v>Ba Vinh - Minh Long</v>
          </cell>
          <cell r="C767" t="str">
            <v>Quảng Ngãi</v>
          </cell>
          <cell r="D767">
            <v>19737</v>
          </cell>
          <cell r="E767" t="str">
            <v>Mạng cấp 4</v>
          </cell>
        </row>
        <row r="768">
          <cell r="B768" t="str">
            <v>Minh Long - TTCMKV Minh Long</v>
          </cell>
          <cell r="C768" t="str">
            <v>Quảng Ngãi</v>
          </cell>
          <cell r="D768">
            <v>0</v>
          </cell>
          <cell r="E768" t="str">
            <v>Mạng cấp 4</v>
          </cell>
        </row>
        <row r="769">
          <cell r="B769" t="str">
            <v>TTCMKV Ba Tơ - Ba Động</v>
          </cell>
          <cell r="C769" t="str">
            <v>Quảng Ngãi</v>
          </cell>
          <cell r="D769">
            <v>7929</v>
          </cell>
          <cell r="E769" t="str">
            <v>Mạng cấp 4</v>
          </cell>
        </row>
        <row r="770">
          <cell r="B770" t="str">
            <v>Ba Động - Thiện Tín</v>
          </cell>
          <cell r="C770" t="str">
            <v>Quảng Ngãi</v>
          </cell>
          <cell r="D770">
            <v>20136</v>
          </cell>
          <cell r="E770" t="str">
            <v>Mạng cấp 4</v>
          </cell>
        </row>
        <row r="771">
          <cell r="B771" t="str">
            <v>Thiện Tín - TTCMKV Minh Long</v>
          </cell>
          <cell r="C771" t="str">
            <v>Quảng Ngãi</v>
          </cell>
          <cell r="D771">
            <v>10921</v>
          </cell>
          <cell r="E771" t="str">
            <v>Mạng cấp 4</v>
          </cell>
        </row>
        <row r="772">
          <cell r="B772" t="str">
            <v>TTCMKV Minh Long - Đình Cương</v>
          </cell>
          <cell r="C772" t="str">
            <v>Quảng Ngãi</v>
          </cell>
          <cell r="D772">
            <v>19981</v>
          </cell>
          <cell r="E772" t="str">
            <v>Mạng cấp 4</v>
          </cell>
        </row>
        <row r="773">
          <cell r="B773" t="str">
            <v>Đình Cương - Nghĩa Hành</v>
          </cell>
          <cell r="C773" t="str">
            <v>Quảng Ngãi</v>
          </cell>
          <cell r="D773">
            <v>7745</v>
          </cell>
          <cell r="E773" t="str">
            <v>Mạng cấp 4</v>
          </cell>
        </row>
        <row r="774">
          <cell r="B774" t="str">
            <v>Nghĩa Hành - Nghĩa Lộ</v>
          </cell>
          <cell r="C774" t="str">
            <v>Quảng Ngãi</v>
          </cell>
          <cell r="D774">
            <v>13734</v>
          </cell>
          <cell r="E774" t="str">
            <v>Mạng cấp 4</v>
          </cell>
        </row>
        <row r="775">
          <cell r="B775" t="str">
            <v>Nghĩa Lộ - TT1 QUẢNG NGÃI</v>
          </cell>
          <cell r="C775" t="str">
            <v>Quảng Ngãi</v>
          </cell>
          <cell r="D775">
            <v>610</v>
          </cell>
          <cell r="E775" t="str">
            <v>Mạng cấp 4</v>
          </cell>
        </row>
        <row r="776">
          <cell r="B776" t="str">
            <v>TTCMKV Minh Long - Sơn Mai</v>
          </cell>
          <cell r="C776" t="str">
            <v>Quảng Ngãi</v>
          </cell>
          <cell r="D776">
            <v>9698</v>
          </cell>
          <cell r="E776" t="str">
            <v>Mạng cấp 4</v>
          </cell>
        </row>
        <row r="777">
          <cell r="B777" t="str">
            <v>Sơn Mai - Phước Giang</v>
          </cell>
          <cell r="C777" t="str">
            <v>Quảng Ngãi</v>
          </cell>
          <cell r="D777">
            <v>6750</v>
          </cell>
          <cell r="E777" t="str">
            <v>Mạng cấp 4</v>
          </cell>
        </row>
        <row r="778">
          <cell r="B778" t="str">
            <v>Phước Giang - Trà Giang</v>
          </cell>
          <cell r="C778" t="str">
            <v>Quảng Ngãi</v>
          </cell>
          <cell r="D778">
            <v>15189</v>
          </cell>
          <cell r="E778" t="str">
            <v>Mạng cấp 4</v>
          </cell>
        </row>
        <row r="779">
          <cell r="B779" t="str">
            <v>Trà Giang - Nghĩa Giang</v>
          </cell>
          <cell r="C779" t="str">
            <v>Quảng Ngãi</v>
          </cell>
          <cell r="D779">
            <v>10778</v>
          </cell>
          <cell r="E779" t="str">
            <v>Mạng cấp 4</v>
          </cell>
        </row>
        <row r="780">
          <cell r="B780" t="str">
            <v>Nghĩa Giang - TT1 QUẢNG NGÃI</v>
          </cell>
          <cell r="C780" t="str">
            <v>Quảng Ngãi</v>
          </cell>
          <cell r="D780">
            <v>4782</v>
          </cell>
          <cell r="E780" t="str">
            <v>Mạng cấp 4</v>
          </cell>
        </row>
        <row r="781">
          <cell r="B781" t="str">
            <v>TTCMKV Ba Tơ - Ba Tơ</v>
          </cell>
          <cell r="C781" t="str">
            <v>Quảng Ngãi</v>
          </cell>
          <cell r="D781">
            <v>0</v>
          </cell>
          <cell r="E781" t="str">
            <v>Mạng cấp 4</v>
          </cell>
        </row>
        <row r="782">
          <cell r="B782" t="str">
            <v>Ba Tơ - Đặng Thùy Trâm</v>
          </cell>
          <cell r="C782" t="str">
            <v>Quảng Ngãi</v>
          </cell>
          <cell r="D782">
            <v>20677</v>
          </cell>
          <cell r="E782" t="str">
            <v>Mạng cấp 4</v>
          </cell>
        </row>
        <row r="783">
          <cell r="B783" t="str">
            <v>Đặng Thùy Trâm - Nguyễn Nghiêm</v>
          </cell>
          <cell r="C783" t="str">
            <v>Quảng Ngãi</v>
          </cell>
          <cell r="D783">
            <v>27688</v>
          </cell>
          <cell r="E783" t="str">
            <v>Mạng cấp 4</v>
          </cell>
        </row>
        <row r="784">
          <cell r="B784" t="str">
            <v>Nguyễn Nghiêm - TTCMKV TX Đức Phổ</v>
          </cell>
          <cell r="C784" t="str">
            <v>Quảng Ngãi</v>
          </cell>
          <cell r="D784">
            <v>15649</v>
          </cell>
          <cell r="E784" t="str">
            <v>Mạng cấp 4</v>
          </cell>
        </row>
        <row r="785">
          <cell r="B785" t="str">
            <v>TTCMKV TX Đức Phổ - Khánh Cường</v>
          </cell>
          <cell r="C785" t="str">
            <v>Quảng Ngãi</v>
          </cell>
          <cell r="D785">
            <v>13756</v>
          </cell>
          <cell r="E785" t="str">
            <v>Mạng cấp 4</v>
          </cell>
        </row>
        <row r="786">
          <cell r="B786" t="str">
            <v>Khánh Cường - Sa Huỳnh</v>
          </cell>
          <cell r="C786" t="str">
            <v>Quảng Ngãi</v>
          </cell>
          <cell r="D786">
            <v>10777</v>
          </cell>
          <cell r="E786" t="str">
            <v>Mạng cấp 4</v>
          </cell>
        </row>
        <row r="787">
          <cell r="B787" t="str">
            <v>Sa Huỳnh - Trạm csgt Đức Phổ, PC08</v>
          </cell>
          <cell r="C787" t="str">
            <v>Quảng Ngãi</v>
          </cell>
          <cell r="D787">
            <v>16722</v>
          </cell>
          <cell r="E787" t="str">
            <v>Mạng cấp 4</v>
          </cell>
        </row>
        <row r="788">
          <cell r="B788" t="str">
            <v>Trạm csgt Đức Phổ, PC08 - TTCMKV TX Đức Phổ</v>
          </cell>
          <cell r="C788" t="str">
            <v>Quảng Ngãi</v>
          </cell>
          <cell r="D788">
            <v>6537</v>
          </cell>
          <cell r="E788" t="str">
            <v>Mạng cấp 4</v>
          </cell>
        </row>
        <row r="789">
          <cell r="B789" t="str">
            <v>TTCMKV TX Đức Phổ - Đức Phổ</v>
          </cell>
          <cell r="C789" t="str">
            <v>Quảng Ngãi</v>
          </cell>
          <cell r="D789">
            <v>919</v>
          </cell>
          <cell r="E789" t="str">
            <v>Mạng cấp 4</v>
          </cell>
        </row>
        <row r="790">
          <cell r="B790" t="str">
            <v>Đức Phổ - Trà Câu</v>
          </cell>
          <cell r="C790" t="str">
            <v>Quảng Ngãi</v>
          </cell>
          <cell r="D790">
            <v>9212</v>
          </cell>
          <cell r="E790" t="str">
            <v>Mạng cấp 4</v>
          </cell>
        </row>
        <row r="791">
          <cell r="B791" t="str">
            <v>Trà Câu - Mộ Đức</v>
          </cell>
          <cell r="C791" t="str">
            <v>Quảng Ngãi</v>
          </cell>
          <cell r="D791">
            <v>12470</v>
          </cell>
          <cell r="E791" t="str">
            <v>Mạng cấp 4</v>
          </cell>
        </row>
        <row r="792">
          <cell r="B792" t="str">
            <v>Mộ Đức - Vệ Giang</v>
          </cell>
          <cell r="C792" t="str">
            <v>Quảng Ngãi</v>
          </cell>
          <cell r="D792">
            <v>17908</v>
          </cell>
          <cell r="E792" t="str">
            <v>Mạng cấp 4</v>
          </cell>
        </row>
        <row r="793">
          <cell r="B793" t="str">
            <v>Vệ Giang - Cẩm Thành</v>
          </cell>
          <cell r="C793" t="str">
            <v>Quảng Ngãi</v>
          </cell>
          <cell r="D793">
            <v>11173</v>
          </cell>
          <cell r="E793" t="str">
            <v>Mạng cấp 4</v>
          </cell>
        </row>
        <row r="794">
          <cell r="B794" t="str">
            <v>Cẩm Thành - TT1 QUẢNG NGÃI</v>
          </cell>
          <cell r="C794" t="str">
            <v>Quảng Ngãi</v>
          </cell>
          <cell r="D794">
            <v>3118</v>
          </cell>
          <cell r="E794" t="str">
            <v>Mạng cấp 4</v>
          </cell>
        </row>
        <row r="795">
          <cell r="B795" t="str">
            <v>TTCMKV TX Đức Phổ - Lân Phong</v>
          </cell>
          <cell r="C795" t="str">
            <v>Quảng Ngãi</v>
          </cell>
          <cell r="D795">
            <v>20709</v>
          </cell>
          <cell r="E795" t="str">
            <v>Mạng cấp 4</v>
          </cell>
        </row>
        <row r="796">
          <cell r="B796" t="str">
            <v>Lân Phong - Mỏ Cày</v>
          </cell>
          <cell r="C796" t="str">
            <v>Quảng Ngãi</v>
          </cell>
          <cell r="D796">
            <v>8477</v>
          </cell>
          <cell r="E796" t="str">
            <v>Mạng cấp 4</v>
          </cell>
        </row>
        <row r="797">
          <cell r="B797" t="str">
            <v>Mỏ Cày - Long Phụng</v>
          </cell>
          <cell r="C797" t="str">
            <v>Quảng Ngãi</v>
          </cell>
          <cell r="D797">
            <v>11798</v>
          </cell>
          <cell r="E797" t="str">
            <v>Mạng cấp 4</v>
          </cell>
        </row>
        <row r="798">
          <cell r="B798" t="str">
            <v>Long Phụng - Tư Nghĩa</v>
          </cell>
          <cell r="C798" t="str">
            <v>Quảng Ngãi</v>
          </cell>
          <cell r="D798">
            <v>11252</v>
          </cell>
          <cell r="E798" t="str">
            <v>Mạng cấp 4</v>
          </cell>
        </row>
        <row r="799">
          <cell r="B799" t="str">
            <v>Tư Nghĩa - TT1 QUẢNG NGÃI</v>
          </cell>
          <cell r="C799" t="str">
            <v>Quảng Ngãi</v>
          </cell>
          <cell r="D799">
            <v>7335</v>
          </cell>
          <cell r="E799" t="str">
            <v>Mạng cấp 4</v>
          </cell>
        </row>
        <row r="800">
          <cell r="B800" t="str">
            <v>Tuyến cáp từ TT 2 Gia Lai (Pleiku) đến Gào</v>
          </cell>
          <cell r="C800" t="str">
            <v>Gia Lai</v>
          </cell>
          <cell r="D800">
            <v>17113</v>
          </cell>
          <cell r="E800" t="str">
            <v>Mạng cấp 4</v>
          </cell>
        </row>
        <row r="801">
          <cell r="B801" t="str">
            <v>Tuyến cáp từ Gào đến Bàu Cạn</v>
          </cell>
          <cell r="C801" t="str">
            <v>Gia Lai</v>
          </cell>
          <cell r="D801">
            <v>13101</v>
          </cell>
          <cell r="E801" t="str">
            <v>Mạng cấp 4</v>
          </cell>
        </row>
        <row r="802">
          <cell r="B802" t="str">
            <v>Tuyến cáp từ Bàu Cạn đến Ia Krêl</v>
          </cell>
          <cell r="C802" t="str">
            <v>Gia Lai</v>
          </cell>
          <cell r="D802">
            <v>10055</v>
          </cell>
          <cell r="E802" t="str">
            <v>Mạng cấp 4</v>
          </cell>
        </row>
        <row r="803">
          <cell r="B803" t="str">
            <v>Tuyến cáp từ Ia Krêl đến Đức Cơ</v>
          </cell>
          <cell r="C803" t="str">
            <v>Gia Lai</v>
          </cell>
          <cell r="D803">
            <v>14699</v>
          </cell>
          <cell r="E803" t="str">
            <v>Mạng cấp 4</v>
          </cell>
        </row>
        <row r="804">
          <cell r="B804" t="str">
            <v>Tuyến cáp từ Đức Cơ đến TTCMKV Đức Cơ</v>
          </cell>
          <cell r="C804" t="str">
            <v>Gia Lai</v>
          </cell>
          <cell r="D804">
            <v>0</v>
          </cell>
          <cell r="E804" t="str">
            <v>Mạng cấp 4</v>
          </cell>
        </row>
        <row r="805">
          <cell r="B805" t="str">
            <v>Tuyến cáp từ TT2 Gia Lai (Pleiku) đến Diên Hồng</v>
          </cell>
          <cell r="C805" t="str">
            <v>Gia Lai</v>
          </cell>
          <cell r="D805">
            <v>2495</v>
          </cell>
          <cell r="E805" t="str">
            <v>Mạng cấp 4</v>
          </cell>
        </row>
        <row r="806">
          <cell r="B806" t="str">
            <v>Tuyến cáp từ Diên Hồng đến Thống Nhất</v>
          </cell>
          <cell r="C806" t="str">
            <v>Gia Lai</v>
          </cell>
          <cell r="D806">
            <v>6847</v>
          </cell>
          <cell r="E806" t="str">
            <v>Mạng cấp 4</v>
          </cell>
        </row>
        <row r="807">
          <cell r="B807" t="str">
            <v>Tuyến cáp từ Thống Nhất đến Ia Hrung</v>
          </cell>
          <cell r="C807" t="str">
            <v>Gia Lai</v>
          </cell>
          <cell r="D807">
            <v>15583</v>
          </cell>
          <cell r="E807" t="str">
            <v>Mạng cấp 4</v>
          </cell>
        </row>
        <row r="808">
          <cell r="B808" t="str">
            <v>Tuyến cáp từ Ia Hrung đến Ia Grai</v>
          </cell>
          <cell r="C808" t="str">
            <v>Gia Lai</v>
          </cell>
          <cell r="D808">
            <v>20735</v>
          </cell>
          <cell r="E808" t="str">
            <v>Mạng cấp 4</v>
          </cell>
        </row>
        <row r="809">
          <cell r="B809" t="str">
            <v>Tuyến cáp từ Ia Grai đến TTCMKV Ia Grai</v>
          </cell>
          <cell r="C809" t="str">
            <v>Gia Lai</v>
          </cell>
          <cell r="D809">
            <v>0</v>
          </cell>
          <cell r="E809" t="str">
            <v>Mạng cấp 4</v>
          </cell>
        </row>
        <row r="810">
          <cell r="B810" t="str">
            <v>Tuyến cáp từ TT2 Gia Lai (Pleiku) đến Pleiku</v>
          </cell>
          <cell r="C810" t="str">
            <v>Gia Lai</v>
          </cell>
          <cell r="D810">
            <v>1745</v>
          </cell>
          <cell r="E810" t="str">
            <v>Mạng cấp 4</v>
          </cell>
        </row>
        <row r="811">
          <cell r="B811" t="str">
            <v>Tuyến cáp từ Pleiku đến Biển Hồ</v>
          </cell>
          <cell r="C811" t="str">
            <v>Gia Lai</v>
          </cell>
          <cell r="D811">
            <v>12652</v>
          </cell>
          <cell r="E811" t="str">
            <v>Mạng cấp 4</v>
          </cell>
        </row>
        <row r="812">
          <cell r="B812" t="str">
            <v>Tuyến cáp từ Biển Hồ đến Kon Gang</v>
          </cell>
          <cell r="C812" t="str">
            <v>Gia Lai</v>
          </cell>
          <cell r="D812">
            <v>7004</v>
          </cell>
          <cell r="E812" t="str">
            <v>Mạng cấp 4</v>
          </cell>
        </row>
        <row r="813">
          <cell r="B813" t="str">
            <v>Tuyến cáp từ Kon Gang đến TTCMKV Mang Yang</v>
          </cell>
          <cell r="C813" t="str">
            <v>Gia Lai</v>
          </cell>
          <cell r="D813">
            <v>30113</v>
          </cell>
          <cell r="E813" t="str">
            <v>Mạng cấp 4</v>
          </cell>
        </row>
        <row r="814">
          <cell r="B814" t="str">
            <v>Tuyến cáp từ TT2 Gia Lai (Pleiku) đến Hội Phú</v>
          </cell>
          <cell r="C814" t="str">
            <v>Gia Lai</v>
          </cell>
          <cell r="D814">
            <v>7988</v>
          </cell>
          <cell r="E814" t="str">
            <v>Mạng cấp 4</v>
          </cell>
        </row>
        <row r="815">
          <cell r="B815" t="str">
            <v>Tuyến cáp từ Hội Phú đến Ia Băng</v>
          </cell>
          <cell r="C815" t="str">
            <v>Gia Lai</v>
          </cell>
          <cell r="D815">
            <v>15797</v>
          </cell>
          <cell r="E815" t="str">
            <v>Mạng cấp 4</v>
          </cell>
        </row>
        <row r="816">
          <cell r="B816" t="str">
            <v>Tuyến cáp từ Ia Băng đến Đăk Đoa</v>
          </cell>
          <cell r="C816" t="str">
            <v>Gia Lai</v>
          </cell>
          <cell r="D816">
            <v>16540</v>
          </cell>
          <cell r="E816" t="str">
            <v>Mạng cấp 4</v>
          </cell>
        </row>
        <row r="817">
          <cell r="B817" t="str">
            <v>Tuyến cáp từ Đăk Đoa đến TTCMKV Mang Yang</v>
          </cell>
          <cell r="C817" t="str">
            <v>Gia Lai</v>
          </cell>
          <cell r="D817">
            <v>19928.599999999999</v>
          </cell>
          <cell r="E817" t="str">
            <v>Mạng cấp 4</v>
          </cell>
        </row>
        <row r="818">
          <cell r="B818" t="str">
            <v>Tuyến cáp từ TT 2 Gia Lai (Pleiku) đến Chư Pah</v>
          </cell>
          <cell r="C818" t="str">
            <v>Gia Lai</v>
          </cell>
          <cell r="D818">
            <v>16666</v>
          </cell>
          <cell r="E818" t="str">
            <v>Mạng cấp 4</v>
          </cell>
        </row>
        <row r="819">
          <cell r="B819" t="str">
            <v>Tuyến cáp từ chư Pah đến Ia Phí</v>
          </cell>
          <cell r="C819" t="str">
            <v>Gia Lai</v>
          </cell>
          <cell r="D819">
            <v>10362</v>
          </cell>
          <cell r="E819" t="str">
            <v>Mạng cấp 4</v>
          </cell>
        </row>
        <row r="820">
          <cell r="B820" t="str">
            <v>Tuyến cáp từ Ia Phí đến Ia Ly</v>
          </cell>
          <cell r="C820" t="str">
            <v>Gia Lai</v>
          </cell>
          <cell r="D820">
            <v>10849</v>
          </cell>
          <cell r="E820" t="str">
            <v>Mạng cấp 4</v>
          </cell>
        </row>
        <row r="821">
          <cell r="B821" t="str">
            <v>Tuyến cáp từ Ia Ly đến Ia Khươl</v>
          </cell>
          <cell r="C821" t="str">
            <v>Gia Lai</v>
          </cell>
          <cell r="D821">
            <v>30176</v>
          </cell>
          <cell r="E821" t="str">
            <v>Mạng cấp 4</v>
          </cell>
        </row>
        <row r="822">
          <cell r="B822" t="str">
            <v>Tuyến cáp từ Ia Khươl đến Đăk Sơ Mei</v>
          </cell>
          <cell r="C822" t="str">
            <v>Gia Lai</v>
          </cell>
          <cell r="D822">
            <v>13259</v>
          </cell>
          <cell r="E822" t="str">
            <v>Mạng cấp 4</v>
          </cell>
        </row>
        <row r="823">
          <cell r="B823" t="str">
            <v>Tuyến cáp từ Đăk Sơ Mei đến TTCMKV Mang Yang</v>
          </cell>
          <cell r="C823" t="str">
            <v>Gia Lai</v>
          </cell>
          <cell r="D823">
            <v>23313</v>
          </cell>
          <cell r="E823" t="str">
            <v>Mạng cấp 4</v>
          </cell>
        </row>
        <row r="824">
          <cell r="B824" t="str">
            <v>Tuyến cáp từ TTCMKV IaGrai đến Ia Krái</v>
          </cell>
          <cell r="C824" t="str">
            <v>Gia Lai</v>
          </cell>
          <cell r="D824">
            <v>13388</v>
          </cell>
          <cell r="E824" t="str">
            <v>Mạng cấp 4</v>
          </cell>
        </row>
        <row r="825">
          <cell r="B825" t="str">
            <v>Tuyến cáp từ Ia Krái đến Ia O</v>
          </cell>
          <cell r="C825" t="str">
            <v>Gia Lai</v>
          </cell>
          <cell r="D825">
            <v>29850</v>
          </cell>
          <cell r="E825" t="str">
            <v>Mạng cấp 4</v>
          </cell>
        </row>
        <row r="826">
          <cell r="B826" t="str">
            <v>Tuyến cáp từ Ia O đến Ia Chía</v>
          </cell>
          <cell r="C826" t="str">
            <v>Gia Lai</v>
          </cell>
          <cell r="D826">
            <v>27230</v>
          </cell>
          <cell r="E826" t="str">
            <v>Mạng cấp 4</v>
          </cell>
        </row>
        <row r="827">
          <cell r="B827" t="str">
            <v>Tuyến cáp từ Ia Chía đến Ia Đơk</v>
          </cell>
          <cell r="C827" t="str">
            <v>Gia Lai</v>
          </cell>
          <cell r="D827">
            <v>18173</v>
          </cell>
          <cell r="E827" t="str">
            <v>Mạng cấp 4</v>
          </cell>
        </row>
        <row r="828">
          <cell r="B828" t="str">
            <v>Tuyến cáp từ Ia Đơk đến TTCMKV Đức Cơ</v>
          </cell>
          <cell r="C828" t="str">
            <v>Gia Lai</v>
          </cell>
          <cell r="D828">
            <v>4503</v>
          </cell>
          <cell r="E828" t="str">
            <v>Mạng cấp 4</v>
          </cell>
        </row>
        <row r="829">
          <cell r="B829" t="str">
            <v>Tuyến cáp từ TTCMKV Đức Cơ đến Ia Dom</v>
          </cell>
          <cell r="C829" t="str">
            <v>Gia Lai</v>
          </cell>
          <cell r="D829">
            <v>8043</v>
          </cell>
          <cell r="E829" t="str">
            <v>Mạng cấp 4</v>
          </cell>
        </row>
        <row r="830">
          <cell r="B830" t="str">
            <v>Tuyến cáp từ Ia Dom đến Ia Pnon</v>
          </cell>
          <cell r="C830" t="str">
            <v>Gia Lai</v>
          </cell>
          <cell r="D830">
            <v>5504</v>
          </cell>
          <cell r="E830" t="str">
            <v>Mạng cấp 4</v>
          </cell>
        </row>
        <row r="831">
          <cell r="B831" t="str">
            <v>Tuyến cáp từ Ia Pnon đến Ia Nan</v>
          </cell>
          <cell r="C831" t="str">
            <v>Gia Lai</v>
          </cell>
          <cell r="D831">
            <v>8321</v>
          </cell>
          <cell r="E831" t="str">
            <v>Mạng cấp 4</v>
          </cell>
        </row>
        <row r="832">
          <cell r="B832" t="str">
            <v>Tuyến cáp từ Ia Nan đến Ia Púch</v>
          </cell>
          <cell r="C832" t="str">
            <v>Gia Lai</v>
          </cell>
          <cell r="D832">
            <v>29526</v>
          </cell>
          <cell r="E832" t="str">
            <v>Mạng cấp 4</v>
          </cell>
        </row>
        <row r="833">
          <cell r="B833" t="str">
            <v>Tuyến cáp từ Ia Púch đến Ia Bòong</v>
          </cell>
          <cell r="C833" t="str">
            <v>Gia Lai</v>
          </cell>
          <cell r="D833">
            <v>24610</v>
          </cell>
          <cell r="E833" t="str">
            <v>Mạng cấp 4</v>
          </cell>
        </row>
        <row r="834">
          <cell r="B834" t="str">
            <v>Tuyến cáp từ Ia Bòong đến TTCMKV Chư Prong</v>
          </cell>
          <cell r="C834" t="str">
            <v>Gia Lai</v>
          </cell>
          <cell r="D834">
            <v>20977</v>
          </cell>
          <cell r="E834" t="str">
            <v>Mạng cấp 4</v>
          </cell>
        </row>
        <row r="835">
          <cell r="B835" t="str">
            <v>Tuyến cáp từ TTCMKV Chư Prong đến Ia Pia</v>
          </cell>
          <cell r="C835" t="str">
            <v>Gia Lai</v>
          </cell>
          <cell r="D835">
            <v>28684</v>
          </cell>
          <cell r="E835" t="str">
            <v>Mạng cấp 4</v>
          </cell>
        </row>
        <row r="836">
          <cell r="B836" t="str">
            <v>Tuyến cáp từ Ia Pia đến Ia Mơ</v>
          </cell>
          <cell r="C836" t="str">
            <v>Gia Lai</v>
          </cell>
          <cell r="D836">
            <v>21806</v>
          </cell>
          <cell r="E836" t="str">
            <v>Mạng cấp 4</v>
          </cell>
        </row>
        <row r="837">
          <cell r="B837" t="str">
            <v>Tuyến cáp từ Ia Mơ đến Ia Lâu</v>
          </cell>
          <cell r="C837" t="str">
            <v>Gia Lai</v>
          </cell>
          <cell r="D837">
            <v>29407</v>
          </cell>
          <cell r="E837" t="str">
            <v>Mạng cấp 4</v>
          </cell>
        </row>
        <row r="838">
          <cell r="B838" t="str">
            <v>Tuyến cáp từ Ia Lâu đến Ia Le</v>
          </cell>
          <cell r="C838" t="str">
            <v>Gia Lai</v>
          </cell>
          <cell r="D838">
            <v>37641</v>
          </cell>
          <cell r="E838" t="str">
            <v>Mạng cấp 4</v>
          </cell>
        </row>
        <row r="839">
          <cell r="B839" t="str">
            <v>Tuyến cáp từ Ia Le đến TTCMKV Chư Pưh</v>
          </cell>
          <cell r="C839" t="str">
            <v>Gia Lai</v>
          </cell>
          <cell r="D839">
            <v>11573</v>
          </cell>
          <cell r="E839" t="str">
            <v>Mạng cấp 4</v>
          </cell>
        </row>
        <row r="840">
          <cell r="B840" t="str">
            <v>Tuyến cáp từ TTCMKV Chư Prong đến Chư Prong</v>
          </cell>
          <cell r="C840" t="str">
            <v>Gia Lai</v>
          </cell>
          <cell r="D840">
            <v>2469</v>
          </cell>
          <cell r="E840" t="str">
            <v>Mạng cấp 4</v>
          </cell>
        </row>
        <row r="841">
          <cell r="B841" t="str">
            <v>Tuyến cáp từ Chư Prong đến Ia Tôr</v>
          </cell>
          <cell r="C841" t="str">
            <v>Gia Lai</v>
          </cell>
          <cell r="D841">
            <v>10759</v>
          </cell>
          <cell r="E841" t="str">
            <v>Mạng cấp 4</v>
          </cell>
        </row>
        <row r="842">
          <cell r="B842" t="str">
            <v>Tuyến cáp từ Ia Tôr đến Ia Ko</v>
          </cell>
          <cell r="C842" t="str">
            <v>Gia Lai</v>
          </cell>
          <cell r="D842">
            <v>26329</v>
          </cell>
          <cell r="E842" t="str">
            <v>Mạng cấp 4</v>
          </cell>
        </row>
        <row r="843">
          <cell r="B843" t="str">
            <v>Tuyến cáp từ Ia Ko đến Ia Hrú</v>
          </cell>
          <cell r="C843" t="str">
            <v>Gia Lai</v>
          </cell>
          <cell r="D843">
            <v>17145</v>
          </cell>
          <cell r="E843" t="str">
            <v>Mạng cấp 4</v>
          </cell>
        </row>
        <row r="844">
          <cell r="B844" t="str">
            <v>Tuyến cáp từ Ia Hrú đến Chư Pưh</v>
          </cell>
          <cell r="C844" t="str">
            <v>Gia Lai</v>
          </cell>
          <cell r="D844">
            <v>9471</v>
          </cell>
          <cell r="E844" t="str">
            <v>Mạng cấp 4</v>
          </cell>
        </row>
        <row r="845">
          <cell r="B845" t="str">
            <v>Tuyến cáp từ Chư Pưh đến TTCMKV Chư Pưh</v>
          </cell>
          <cell r="C845" t="str">
            <v>Gia Lai</v>
          </cell>
          <cell r="D845">
            <v>0</v>
          </cell>
          <cell r="E845" t="str">
            <v>Mạng cấp 4</v>
          </cell>
        </row>
        <row r="846">
          <cell r="B846" t="str">
            <v>Tuyến cáp từ TTCMKV Chư Sê đến Chư A Thai</v>
          </cell>
          <cell r="C846" t="str">
            <v>Gia Lai</v>
          </cell>
          <cell r="D846">
            <v>37037</v>
          </cell>
          <cell r="E846" t="str">
            <v>Mạng cấp 4</v>
          </cell>
        </row>
        <row r="847">
          <cell r="B847" t="str">
            <v>Tuyến cáp từ Chư A Thai đến Phú Thiện</v>
          </cell>
          <cell r="C847" t="str">
            <v>Gia Lai</v>
          </cell>
          <cell r="D847">
            <v>10131</v>
          </cell>
          <cell r="E847" t="str">
            <v>Mạng cấp 4</v>
          </cell>
        </row>
        <row r="848">
          <cell r="B848" t="str">
            <v>Tuyến cáp từ Phú Thiện đến TTCMKV Phú Thiện</v>
          </cell>
          <cell r="C848" t="str">
            <v>Gia Lai</v>
          </cell>
          <cell r="D848">
            <v>0</v>
          </cell>
          <cell r="E848" t="str">
            <v>Mạng cấp 4</v>
          </cell>
        </row>
        <row r="849">
          <cell r="B849" t="str">
            <v>Tuyến cáp từ TTCMKV Mang Yang đến Kdang</v>
          </cell>
          <cell r="C849" t="str">
            <v>Gia Lai</v>
          </cell>
          <cell r="D849">
            <v>12229</v>
          </cell>
          <cell r="E849" t="str">
            <v>Mạng cấp 4</v>
          </cell>
        </row>
        <row r="850">
          <cell r="B850" t="str">
            <v>Tuyến cáp từ Kdang đến Bờ Ngoong</v>
          </cell>
          <cell r="C850" t="str">
            <v>Gia Lai</v>
          </cell>
          <cell r="D850">
            <v>28402</v>
          </cell>
          <cell r="E850" t="str">
            <v>Mạng cấp 4</v>
          </cell>
        </row>
        <row r="851">
          <cell r="B851" t="str">
            <v>Tuyến cáp từ Bờ Ngoong đến AlBá</v>
          </cell>
          <cell r="C851" t="str">
            <v>Gia Lai</v>
          </cell>
          <cell r="D851">
            <v>11806</v>
          </cell>
          <cell r="E851" t="str">
            <v>Mạng cấp 4</v>
          </cell>
        </row>
        <row r="852">
          <cell r="B852" t="str">
            <v>Tuyến cáp từ AlBá đến Chư Sê</v>
          </cell>
          <cell r="C852" t="str">
            <v>Gia Lai</v>
          </cell>
          <cell r="D852">
            <v>12125</v>
          </cell>
          <cell r="E852" t="str">
            <v>Mạng cấp 4</v>
          </cell>
        </row>
        <row r="853">
          <cell r="B853" t="str">
            <v>Tuyến cáp từ Chư Sê đến TTCMKV Chư Sê</v>
          </cell>
          <cell r="C853" t="str">
            <v>Gia Lai</v>
          </cell>
          <cell r="D853">
            <v>0</v>
          </cell>
          <cell r="E853" t="str">
            <v>Mạng cấp 4</v>
          </cell>
        </row>
        <row r="854">
          <cell r="B854" t="str">
            <v>TTCMKV Mang Yang - Lơ Pang</v>
          </cell>
          <cell r="C854" t="str">
            <v>Gia Lai</v>
          </cell>
          <cell r="D854">
            <v>15926</v>
          </cell>
          <cell r="E854" t="str">
            <v>Mạng cấp 4</v>
          </cell>
        </row>
        <row r="855">
          <cell r="B855" t="str">
            <v>Lơ Pang - Kon Chiêng</v>
          </cell>
          <cell r="C855" t="str">
            <v>Gia Lai</v>
          </cell>
          <cell r="D855">
            <v>25223</v>
          </cell>
          <cell r="E855" t="str">
            <v>Mạng cấp 4</v>
          </cell>
        </row>
        <row r="856">
          <cell r="B856" t="str">
            <v>Kon Chiêng - Pờ Tó</v>
          </cell>
          <cell r="C856" t="str">
            <v>Gia Lai</v>
          </cell>
          <cell r="D856">
            <v>34640.199999999997</v>
          </cell>
          <cell r="E856" t="str">
            <v>Mạng cấp 4</v>
          </cell>
        </row>
        <row r="857">
          <cell r="B857" t="str">
            <v>Pờ Tó - TTCMKV Ia Pa</v>
          </cell>
          <cell r="C857" t="str">
            <v>Gia Lai</v>
          </cell>
          <cell r="D857">
            <v>10182.200000000001</v>
          </cell>
          <cell r="E857" t="str">
            <v>Mạng cấp 4</v>
          </cell>
        </row>
        <row r="858">
          <cell r="B858" t="str">
            <v>TTCMKV Mang Yang - Mang Yang</v>
          </cell>
          <cell r="C858" t="str">
            <v>Gia Lai</v>
          </cell>
          <cell r="D858">
            <v>0</v>
          </cell>
          <cell r="E858" t="str">
            <v>Mạng cấp 4</v>
          </cell>
        </row>
        <row r="859">
          <cell r="B859" t="str">
            <v>Mang Yang - Ayun</v>
          </cell>
          <cell r="C859" t="str">
            <v>Gia Lai</v>
          </cell>
          <cell r="D859">
            <v>13497.300000000001</v>
          </cell>
          <cell r="E859" t="str">
            <v>Mạng cấp 4</v>
          </cell>
        </row>
        <row r="860">
          <cell r="B860" t="str">
            <v>Ayun - Hra</v>
          </cell>
          <cell r="C860" t="str">
            <v>Gia Lai</v>
          </cell>
          <cell r="D860">
            <v>17736</v>
          </cell>
          <cell r="E860" t="str">
            <v>Mạng cấp 4</v>
          </cell>
        </row>
        <row r="861">
          <cell r="B861" t="str">
            <v>Hra - TTCMKV Đak Pơ</v>
          </cell>
          <cell r="C861" t="str">
            <v>Gia Lai</v>
          </cell>
          <cell r="D861">
            <v>23076</v>
          </cell>
          <cell r="E861" t="str">
            <v>Mạng cấp 4</v>
          </cell>
        </row>
        <row r="862">
          <cell r="B862" t="str">
            <v>TTCMKV Đak Pơ - An Bình</v>
          </cell>
          <cell r="C862" t="str">
            <v>Gia Lai</v>
          </cell>
          <cell r="D862">
            <v>8391</v>
          </cell>
          <cell r="E862" t="str">
            <v>Mạng cấp 4</v>
          </cell>
        </row>
        <row r="863">
          <cell r="B863" t="str">
            <v>An Bình - An Khê</v>
          </cell>
          <cell r="C863" t="str">
            <v>Gia Lai</v>
          </cell>
          <cell r="D863">
            <v>4839</v>
          </cell>
          <cell r="E863" t="str">
            <v>Mạng cấp 4</v>
          </cell>
        </row>
        <row r="864">
          <cell r="B864" t="str">
            <v>An Khê - TTCMKV An Khê</v>
          </cell>
          <cell r="C864" t="str">
            <v>Gia Lai</v>
          </cell>
          <cell r="D864">
            <v>0</v>
          </cell>
          <cell r="E864" t="str">
            <v>Mạng cấp 4</v>
          </cell>
        </row>
        <row r="865">
          <cell r="B865" t="str">
            <v>TTCMKV Đak Pơ - Kông Bơ La</v>
          </cell>
          <cell r="C865" t="str">
            <v>Gia Lai</v>
          </cell>
          <cell r="D865">
            <v>22803</v>
          </cell>
          <cell r="E865" t="str">
            <v>Mạng cấp 4</v>
          </cell>
        </row>
        <row r="866">
          <cell r="B866" t="str">
            <v>Kông Bơ La - An Khê</v>
          </cell>
          <cell r="C866" t="str">
            <v>Gia Lai</v>
          </cell>
          <cell r="D866">
            <v>13316</v>
          </cell>
          <cell r="E866" t="str">
            <v>Mạng cấp 4</v>
          </cell>
        </row>
        <row r="867">
          <cell r="B867" t="str">
            <v>An Khê - TTCMKV An Khê</v>
          </cell>
          <cell r="C867" t="str">
            <v>Gia Lai</v>
          </cell>
          <cell r="D867">
            <v>0</v>
          </cell>
          <cell r="E867" t="str">
            <v>Mạng cấp 4</v>
          </cell>
        </row>
        <row r="868">
          <cell r="B868" t="str">
            <v>TTCMKV Đak Pơ - Tơ Tung</v>
          </cell>
          <cell r="C868" t="str">
            <v>Gia Lai</v>
          </cell>
          <cell r="D868">
            <v>11623</v>
          </cell>
          <cell r="E868" t="str">
            <v>Mạng cấp 4</v>
          </cell>
        </row>
        <row r="869">
          <cell r="B869" t="str">
            <v>Tơ Tung - Lơ Ku</v>
          </cell>
          <cell r="C869" t="str">
            <v>Gia Lai</v>
          </cell>
          <cell r="D869">
            <v>24097.4</v>
          </cell>
          <cell r="E869" t="str">
            <v>Mạng cấp 4</v>
          </cell>
        </row>
        <row r="870">
          <cell r="B870" t="str">
            <v>Lơ Ku - Krong</v>
          </cell>
          <cell r="C870" t="str">
            <v>Gia Lai</v>
          </cell>
          <cell r="D870">
            <v>27922</v>
          </cell>
          <cell r="E870" t="str">
            <v>Mạng cấp 4</v>
          </cell>
        </row>
        <row r="871">
          <cell r="B871" t="str">
            <v>Krong - Đak Rong</v>
          </cell>
          <cell r="C871" t="str">
            <v>Gia Lai</v>
          </cell>
          <cell r="D871">
            <v>21977</v>
          </cell>
          <cell r="E871" t="str">
            <v>Mạng cấp 4</v>
          </cell>
        </row>
        <row r="872">
          <cell r="B872" t="str">
            <v>Đak Rong - Sơn Lang</v>
          </cell>
          <cell r="C872" t="str">
            <v>Gia Lai</v>
          </cell>
          <cell r="D872">
            <v>33174</v>
          </cell>
          <cell r="E872" t="str">
            <v>Mạng cấp 4</v>
          </cell>
        </row>
        <row r="873">
          <cell r="B873" t="str">
            <v>Sơn Lang - Kbang</v>
          </cell>
          <cell r="C873" t="str">
            <v>Gia Lai</v>
          </cell>
          <cell r="D873">
            <v>18739</v>
          </cell>
          <cell r="E873" t="str">
            <v>Mạng cấp 4</v>
          </cell>
        </row>
        <row r="874">
          <cell r="B874" t="str">
            <v>Kbang - Cửu An</v>
          </cell>
          <cell r="C874" t="str">
            <v>Gia Lai</v>
          </cell>
          <cell r="D874">
            <v>26428</v>
          </cell>
          <cell r="E874" t="str">
            <v>Mạng cấp 4</v>
          </cell>
        </row>
        <row r="875">
          <cell r="B875" t="str">
            <v>Cửu An - TTCMKV An Khê</v>
          </cell>
          <cell r="C875" t="str">
            <v>Gia Lai</v>
          </cell>
          <cell r="D875">
            <v>7394</v>
          </cell>
          <cell r="E875" t="str">
            <v>Mạng cấp 4</v>
          </cell>
        </row>
        <row r="876">
          <cell r="B876" t="str">
            <v>TTCMKV Đak Pơ - Đak Pơ</v>
          </cell>
          <cell r="C876" t="str">
            <v>Gia Lai</v>
          </cell>
          <cell r="D876">
            <v>0</v>
          </cell>
          <cell r="E876" t="str">
            <v>Mạng cấp 4</v>
          </cell>
        </row>
        <row r="877">
          <cell r="B877" t="str">
            <v>Đak Pơ - Chư Krey</v>
          </cell>
          <cell r="C877" t="str">
            <v>Gia Lai</v>
          </cell>
          <cell r="D877">
            <v>24723</v>
          </cell>
          <cell r="E877" t="str">
            <v>Mạng cấp 4</v>
          </cell>
        </row>
        <row r="878">
          <cell r="B878" t="str">
            <v>Chư Krey - TTCMKV Kông Chro</v>
          </cell>
          <cell r="C878" t="str">
            <v>Gia Lai</v>
          </cell>
          <cell r="D878">
            <v>19179</v>
          </cell>
          <cell r="E878" t="str">
            <v>Mạng cấp 4</v>
          </cell>
        </row>
        <row r="879">
          <cell r="B879" t="str">
            <v>TTCMKV An Khê - Ya Hội</v>
          </cell>
          <cell r="C879" t="str">
            <v>Gia Lai</v>
          </cell>
          <cell r="D879">
            <v>5889.8</v>
          </cell>
          <cell r="E879" t="str">
            <v>Mạng cấp 4</v>
          </cell>
        </row>
        <row r="880">
          <cell r="B880" t="str">
            <v>Ya Hội - Ya Ma</v>
          </cell>
          <cell r="C880" t="str">
            <v>Gia Lai</v>
          </cell>
          <cell r="D880">
            <v>24009</v>
          </cell>
          <cell r="E880" t="str">
            <v>Mạng cấp 4</v>
          </cell>
        </row>
        <row r="881">
          <cell r="B881" t="str">
            <v>Ya Ma - Sró</v>
          </cell>
          <cell r="C881" t="str">
            <v>Gia Lai</v>
          </cell>
          <cell r="D881">
            <v>11647</v>
          </cell>
          <cell r="E881" t="str">
            <v>Mạng cấp 4</v>
          </cell>
        </row>
        <row r="882">
          <cell r="B882" t="str">
            <v>Sró - Đăk Song</v>
          </cell>
          <cell r="C882" t="str">
            <v>Gia Lai</v>
          </cell>
          <cell r="D882">
            <v>21855</v>
          </cell>
          <cell r="E882" t="str">
            <v>Mạng cấp 4</v>
          </cell>
        </row>
        <row r="883">
          <cell r="B883" t="str">
            <v>Đăk Song - TTCMKV Kông Chro</v>
          </cell>
          <cell r="C883" t="str">
            <v>Gia Lai</v>
          </cell>
          <cell r="D883">
            <v>38431</v>
          </cell>
          <cell r="E883" t="str">
            <v>Mạng cấp 4</v>
          </cell>
        </row>
        <row r="884">
          <cell r="B884" t="str">
            <v>TTCMKV Kông Chro - Kông Chro</v>
          </cell>
          <cell r="C884" t="str">
            <v>Gia Lai</v>
          </cell>
          <cell r="D884">
            <v>0</v>
          </cell>
          <cell r="E884" t="str">
            <v>Mạng cấp 4</v>
          </cell>
        </row>
        <row r="885">
          <cell r="B885" t="str">
            <v>Kông Chro - Chơ Long</v>
          </cell>
          <cell r="C885" t="str">
            <v>Gia Lai</v>
          </cell>
          <cell r="D885">
            <v>13535</v>
          </cell>
          <cell r="E885" t="str">
            <v>Mạng cấp 4</v>
          </cell>
        </row>
        <row r="886">
          <cell r="B886" t="str">
            <v>Chơ Long - TTCMKV Ia Pa</v>
          </cell>
          <cell r="C886" t="str">
            <v>Gia Lai</v>
          </cell>
          <cell r="D886">
            <v>45587</v>
          </cell>
          <cell r="E886" t="str">
            <v>Mạng cấp 4</v>
          </cell>
        </row>
        <row r="887">
          <cell r="B887" t="str">
            <v>TTCMKV Phú Thiện - Ia Rbol</v>
          </cell>
          <cell r="C887" t="str">
            <v>Gia Lai</v>
          </cell>
          <cell r="D887">
            <v>25049</v>
          </cell>
          <cell r="E887" t="str">
            <v>Mạng cấp 4</v>
          </cell>
        </row>
        <row r="888">
          <cell r="B888" t="str">
            <v>Ia Rbol - Ia Rsai</v>
          </cell>
          <cell r="C888" t="str">
            <v>Gia Lai</v>
          </cell>
          <cell r="D888">
            <v>27644</v>
          </cell>
          <cell r="E888" t="str">
            <v>Mạng cấp 4</v>
          </cell>
        </row>
        <row r="889">
          <cell r="B889" t="str">
            <v>Ia Rsai - Phú túc</v>
          </cell>
          <cell r="C889" t="str">
            <v>Gia Lai</v>
          </cell>
          <cell r="D889">
            <v>15992</v>
          </cell>
          <cell r="E889" t="str">
            <v>Mạng cấp 4</v>
          </cell>
        </row>
        <row r="890">
          <cell r="B890" t="str">
            <v>Phú túc - Ia Dreh</v>
          </cell>
          <cell r="C890" t="str">
            <v>Gia Lai</v>
          </cell>
          <cell r="D890">
            <v>10549</v>
          </cell>
          <cell r="E890" t="str">
            <v>Mạng cấp 4</v>
          </cell>
        </row>
        <row r="891">
          <cell r="B891" t="str">
            <v>Ia Dreh - Uar</v>
          </cell>
          <cell r="C891" t="str">
            <v>Gia Lai</v>
          </cell>
          <cell r="D891">
            <v>30220</v>
          </cell>
          <cell r="E891" t="str">
            <v>Mạng cấp 4</v>
          </cell>
        </row>
        <row r="892">
          <cell r="B892" t="str">
            <v>Uar - Ia Sao</v>
          </cell>
          <cell r="C892" t="str">
            <v>Gia Lai</v>
          </cell>
          <cell r="D892">
            <v>18300</v>
          </cell>
          <cell r="E892" t="str">
            <v>Mạng cấp 4</v>
          </cell>
        </row>
        <row r="893">
          <cell r="B893" t="str">
            <v>Ia Sao - TTCMKV Ia Pa</v>
          </cell>
          <cell r="C893" t="str">
            <v>Gia Lai</v>
          </cell>
          <cell r="D893">
            <v>19472</v>
          </cell>
          <cell r="E893" t="str">
            <v>Mạng cấp 4</v>
          </cell>
        </row>
        <row r="894">
          <cell r="B894" t="str">
            <v>TTCMKV Ia Pa - Ia Pa</v>
          </cell>
          <cell r="C894" t="str">
            <v>Gia Lai</v>
          </cell>
          <cell r="D894">
            <v>0</v>
          </cell>
          <cell r="E894" t="str">
            <v>Mạng cấp 4</v>
          </cell>
        </row>
        <row r="895">
          <cell r="B895" t="str">
            <v>Ia Pa - Ia Tul</v>
          </cell>
          <cell r="C895" t="str">
            <v>Gia Lai</v>
          </cell>
          <cell r="D895">
            <v>9774</v>
          </cell>
          <cell r="E895" t="str">
            <v>Mạng cấp 4</v>
          </cell>
        </row>
        <row r="896">
          <cell r="B896" t="str">
            <v>Ia Tul - Ayun Pa</v>
          </cell>
          <cell r="C896" t="str">
            <v>Gia Lai</v>
          </cell>
          <cell r="D896">
            <v>8381.9</v>
          </cell>
          <cell r="E896" t="str">
            <v>Mạng cấp 4</v>
          </cell>
        </row>
        <row r="897">
          <cell r="B897" t="str">
            <v>Ayun Pa - Ia Hiao</v>
          </cell>
          <cell r="C897" t="str">
            <v>Gia Lai</v>
          </cell>
          <cell r="D897">
            <v>8616.2000000000007</v>
          </cell>
          <cell r="E897" t="str">
            <v>Mạng cấp 4</v>
          </cell>
        </row>
        <row r="898">
          <cell r="B898" t="str">
            <v>Ia Hiao - TTCMKV Phú Thiện</v>
          </cell>
          <cell r="C898" t="str">
            <v>Gia Lai</v>
          </cell>
          <cell r="D898">
            <v>14296</v>
          </cell>
          <cell r="E898" t="str">
            <v>Mạng cấp 4</v>
          </cell>
        </row>
        <row r="899">
          <cell r="B899" t="str">
            <v>CA Công an tỉnh - Quy Nhơn Nam</v>
          </cell>
          <cell r="C899" t="str">
            <v>Gia Lai</v>
          </cell>
          <cell r="D899">
            <v>4436</v>
          </cell>
          <cell r="E899" t="str">
            <v>Mạng cấp 4</v>
          </cell>
        </row>
        <row r="900">
          <cell r="B900" t="str">
            <v>Quy Nhơn Nam - Quy Nhơn</v>
          </cell>
          <cell r="C900" t="str">
            <v>Gia Lai</v>
          </cell>
          <cell r="D900">
            <v>3287</v>
          </cell>
          <cell r="E900" t="str">
            <v>Mạng cấp 4</v>
          </cell>
        </row>
        <row r="901">
          <cell r="B901" t="str">
            <v>Quy Nhơn - Quy Nhơn Bắc</v>
          </cell>
          <cell r="C901" t="str">
            <v>Gia Lai</v>
          </cell>
          <cell r="D901">
            <v>11886</v>
          </cell>
          <cell r="E901" t="str">
            <v>Mạng cấp 4</v>
          </cell>
        </row>
        <row r="902">
          <cell r="B902" t="str">
            <v>Quy Nhơn Bắc - TTCMKV An Nhơn</v>
          </cell>
          <cell r="C902" t="str">
            <v>Gia Lai</v>
          </cell>
          <cell r="D902">
            <v>13548.5</v>
          </cell>
          <cell r="E902" t="str">
            <v>Mạng cấp 4</v>
          </cell>
        </row>
        <row r="903">
          <cell r="B903" t="str">
            <v>TTCMKV Vân Canh - Vân Canh</v>
          </cell>
          <cell r="C903" t="str">
            <v>Gia Lai</v>
          </cell>
          <cell r="D903">
            <v>0</v>
          </cell>
          <cell r="E903" t="str">
            <v>Mạng cấp 4</v>
          </cell>
        </row>
        <row r="904">
          <cell r="B904" t="str">
            <v>Vân Canh - Canh Vinh</v>
          </cell>
          <cell r="C904" t="str">
            <v>Gia Lai</v>
          </cell>
          <cell r="D904">
            <v>17678</v>
          </cell>
          <cell r="E904" t="str">
            <v>Mạng cấp 4</v>
          </cell>
        </row>
        <row r="905">
          <cell r="B905" t="str">
            <v>Canh Vinh - Quy Nhơn Tây</v>
          </cell>
          <cell r="C905" t="str">
            <v>Gia Lai</v>
          </cell>
          <cell r="D905">
            <v>9706</v>
          </cell>
          <cell r="E905" t="str">
            <v>Mạng cấp 4</v>
          </cell>
        </row>
        <row r="906">
          <cell r="B906" t="str">
            <v>Quy Nhơn Tây - CA Công an tỉnh</v>
          </cell>
          <cell r="C906" t="str">
            <v>Gia Lai</v>
          </cell>
          <cell r="D906">
            <v>15549.5</v>
          </cell>
          <cell r="E906" t="str">
            <v>Mạng cấp 4</v>
          </cell>
        </row>
        <row r="907">
          <cell r="B907" t="str">
            <v>TTCMKV Vân Canh - Canh Liên</v>
          </cell>
          <cell r="C907" t="str">
            <v>Gia Lai</v>
          </cell>
          <cell r="D907">
            <v>22315</v>
          </cell>
          <cell r="E907" t="str">
            <v>Mạng cấp 4</v>
          </cell>
        </row>
        <row r="908">
          <cell r="B908" t="str">
            <v>Canh Liên - TTCMKV Vân Canh
(chung tuyến trên)</v>
          </cell>
          <cell r="C908" t="str">
            <v>Gia Lai</v>
          </cell>
          <cell r="D908">
            <v>22315</v>
          </cell>
          <cell r="E908" t="str">
            <v>Mạng cấp 4</v>
          </cell>
        </row>
        <row r="909">
          <cell r="B909" t="str">
            <v>CA Tỉnh - Quy Nhơn Đông</v>
          </cell>
          <cell r="C909" t="str">
            <v>Gia Lai</v>
          </cell>
          <cell r="D909">
            <v>11122</v>
          </cell>
          <cell r="E909" t="str">
            <v>Mạng cấp 4</v>
          </cell>
        </row>
        <row r="910">
          <cell r="B910" t="str">
            <v>Quy Nhơn Đông - Cát Tiến</v>
          </cell>
          <cell r="C910" t="str">
            <v>Gia Lai</v>
          </cell>
          <cell r="D910">
            <v>15775</v>
          </cell>
          <cell r="E910" t="str">
            <v>Mạng cấp 4</v>
          </cell>
        </row>
        <row r="911">
          <cell r="B911" t="str">
            <v>Cát Tiến - Đề Gi</v>
          </cell>
          <cell r="C911" t="str">
            <v>Gia Lai</v>
          </cell>
          <cell r="D911">
            <v>22579</v>
          </cell>
          <cell r="E911" t="str">
            <v>Mạng cấp 4</v>
          </cell>
        </row>
        <row r="912">
          <cell r="B912" t="str">
            <v>Đề Gi - An Lương</v>
          </cell>
          <cell r="C912" t="str">
            <v>Gia Lai</v>
          </cell>
          <cell r="D912">
            <v>10460</v>
          </cell>
          <cell r="E912" t="str">
            <v>Mạng cấp 4</v>
          </cell>
        </row>
        <row r="913">
          <cell r="B913" t="str">
            <v>An Lương - Phù Mỹ Nam</v>
          </cell>
          <cell r="C913" t="str">
            <v>Gia Lai</v>
          </cell>
          <cell r="D913">
            <v>14146</v>
          </cell>
          <cell r="E913" t="str">
            <v>Mạng cấp 4</v>
          </cell>
        </row>
        <row r="914">
          <cell r="B914" t="str">
            <v>Phù Mỹ Nam - TTCMKV Phù Mỹ</v>
          </cell>
          <cell r="C914" t="str">
            <v>Gia Lai</v>
          </cell>
          <cell r="D914">
            <v>6692</v>
          </cell>
          <cell r="E914" t="str">
            <v>Mạng cấp 4</v>
          </cell>
        </row>
        <row r="915">
          <cell r="B915" t="str">
            <v>CA Tỉnh - Tuy Phước Tây</v>
          </cell>
          <cell r="C915" t="str">
            <v>Gia Lai</v>
          </cell>
          <cell r="D915">
            <v>19421</v>
          </cell>
          <cell r="E915" t="str">
            <v>Mạng cấp 4</v>
          </cell>
        </row>
        <row r="916">
          <cell r="B916" t="str">
            <v>Tuy Phước Tây - An Nhơn Nam</v>
          </cell>
          <cell r="C916" t="str">
            <v>Gia Lai</v>
          </cell>
          <cell r="D916">
            <v>20443</v>
          </cell>
          <cell r="E916" t="str">
            <v>Mạng cấp 4</v>
          </cell>
        </row>
        <row r="917">
          <cell r="B917" t="str">
            <v>An Nhơn Nam - An Nhơn Tây</v>
          </cell>
          <cell r="C917" t="str">
            <v>Gia Lai</v>
          </cell>
          <cell r="D917">
            <v>7775</v>
          </cell>
          <cell r="E917" t="str">
            <v>Mạng cấp 4</v>
          </cell>
        </row>
        <row r="918">
          <cell r="B918" t="str">
            <v>An Nhơn Tây - An Nhơn Đông</v>
          </cell>
          <cell r="C918" t="str">
            <v>Gia Lai</v>
          </cell>
          <cell r="D918">
            <v>10296</v>
          </cell>
          <cell r="E918" t="str">
            <v>Mạng cấp 4</v>
          </cell>
        </row>
        <row r="919">
          <cell r="B919" t="str">
            <v>An Nhơn Đông - An Nhơn</v>
          </cell>
          <cell r="C919" t="str">
            <v>Gia Lai</v>
          </cell>
          <cell r="D919">
            <v>5913</v>
          </cell>
          <cell r="E919" t="str">
            <v>Mạng cấp 4</v>
          </cell>
        </row>
        <row r="920">
          <cell r="B920" t="str">
            <v>An Nhơn - An Nhơn Bắc</v>
          </cell>
          <cell r="C920" t="str">
            <v>Gia Lai</v>
          </cell>
          <cell r="D920">
            <v>8455.5</v>
          </cell>
          <cell r="E920" t="str">
            <v>Mạng cấp 4</v>
          </cell>
        </row>
        <row r="921">
          <cell r="B921" t="str">
            <v>An Nhơn Bắc - TTCMKV An Nhơn</v>
          </cell>
          <cell r="C921" t="str">
            <v>Gia Lai</v>
          </cell>
          <cell r="D921">
            <v>11781</v>
          </cell>
          <cell r="E921" t="str">
            <v>Mạng cấp 4</v>
          </cell>
        </row>
        <row r="922">
          <cell r="B922" t="str">
            <v>CA Tỉnh - Tuy Phước</v>
          </cell>
          <cell r="C922" t="str">
            <v>Gia Lai</v>
          </cell>
          <cell r="D922">
            <v>10697</v>
          </cell>
          <cell r="E922" t="str">
            <v>Mạng cấp 4</v>
          </cell>
        </row>
        <row r="923">
          <cell r="B923" t="str">
            <v>Tuy Phước - Tuy Phước Đông</v>
          </cell>
          <cell r="C923" t="str">
            <v>Gia Lai</v>
          </cell>
          <cell r="D923">
            <v>7607</v>
          </cell>
          <cell r="E923" t="str">
            <v>Mạng cấp 4</v>
          </cell>
        </row>
        <row r="924">
          <cell r="B924" t="str">
            <v>Tuy Phước Đông - Tuy Phước Bắc</v>
          </cell>
          <cell r="C924" t="str">
            <v>Gia Lai</v>
          </cell>
          <cell r="D924">
            <v>11050</v>
          </cell>
          <cell r="E924" t="str">
            <v>Mạng cấp 4</v>
          </cell>
        </row>
        <row r="925">
          <cell r="B925" t="str">
            <v>Tuy Phước Bắc - Bình Định</v>
          </cell>
          <cell r="C925" t="str">
            <v>Gia Lai</v>
          </cell>
          <cell r="D925">
            <v>4615</v>
          </cell>
          <cell r="E925" t="str">
            <v>Mạng cấp 4</v>
          </cell>
        </row>
        <row r="926">
          <cell r="B926" t="str">
            <v>Bình Định - TTCMKV An Nhơn</v>
          </cell>
          <cell r="C926" t="str">
            <v>Gia Lai</v>
          </cell>
          <cell r="D926">
            <v>0</v>
          </cell>
          <cell r="E926" t="str">
            <v>Mạng cấp 4</v>
          </cell>
        </row>
        <row r="927">
          <cell r="B927" t="str">
            <v>TTCMKV Tây Sơn - Tây Sơn</v>
          </cell>
          <cell r="C927" t="str">
            <v>Gia Lai</v>
          </cell>
          <cell r="D927">
            <v>0</v>
          </cell>
          <cell r="E927" t="str">
            <v>Mạng cấp 4</v>
          </cell>
        </row>
        <row r="928">
          <cell r="B928" t="str">
            <v>Tây Sơn - Bình Phú</v>
          </cell>
          <cell r="C928" t="str">
            <v>Gia Lai</v>
          </cell>
          <cell r="D928">
            <v>1476</v>
          </cell>
          <cell r="E928" t="str">
            <v>Mạng cấp 4</v>
          </cell>
        </row>
        <row r="929">
          <cell r="B929" t="str">
            <v>Bình Phú - Bình Khê</v>
          </cell>
          <cell r="C929" t="str">
            <v>Gia Lai</v>
          </cell>
          <cell r="D929">
            <v>15620</v>
          </cell>
          <cell r="E929" t="str">
            <v>Mạng cấp 4</v>
          </cell>
        </row>
        <row r="930">
          <cell r="B930" t="str">
            <v>Bình Khê - Vĩnh Quang</v>
          </cell>
          <cell r="C930" t="str">
            <v>Gia Lai</v>
          </cell>
          <cell r="D930">
            <v>10919</v>
          </cell>
          <cell r="E930" t="str">
            <v>Mạng cấp 4</v>
          </cell>
        </row>
        <row r="931">
          <cell r="B931" t="str">
            <v>Vĩnh Quang - Vĩnh Thịnh</v>
          </cell>
          <cell r="C931" t="str">
            <v>Gia Lai</v>
          </cell>
          <cell r="D931">
            <v>9094</v>
          </cell>
          <cell r="E931" t="str">
            <v>Mạng cấp 4</v>
          </cell>
        </row>
        <row r="932">
          <cell r="B932" t="str">
            <v>Vĩnh Thịnh - Vĩnh Thạnh</v>
          </cell>
          <cell r="C932" t="str">
            <v>Gia Lai</v>
          </cell>
          <cell r="D932">
            <v>5165</v>
          </cell>
          <cell r="E932" t="str">
            <v>Mạng cấp 4</v>
          </cell>
        </row>
        <row r="933">
          <cell r="B933" t="str">
            <v>Vĩnh Thạnh - TTCMKV Vĩnh Thạnh</v>
          </cell>
          <cell r="C933" t="str">
            <v>Gia Lai</v>
          </cell>
          <cell r="D933">
            <v>0</v>
          </cell>
          <cell r="E933" t="str">
            <v>Mạng cấp 4</v>
          </cell>
        </row>
        <row r="934">
          <cell r="B934" t="str">
            <v>TTCMKV Vĩnh Thạnh - Vĩnh Sơn</v>
          </cell>
          <cell r="C934" t="str">
            <v>Gia Lai</v>
          </cell>
          <cell r="D934">
            <v>35425</v>
          </cell>
          <cell r="E934" t="str">
            <v>Mạng cấp 4</v>
          </cell>
        </row>
        <row r="935">
          <cell r="B935" t="str">
            <v>Vĩnh Sơn - TTCMKV Vĩnh Thạnh
(trùng tuyến trên)</v>
          </cell>
          <cell r="C935" t="str">
            <v>Gia Lai</v>
          </cell>
          <cell r="D935">
            <v>35425</v>
          </cell>
          <cell r="E935" t="str">
            <v>Mạng cấp 4</v>
          </cell>
        </row>
        <row r="936">
          <cell r="B936" t="str">
            <v>TTCMKV Tây Sơn - Bình An</v>
          </cell>
          <cell r="C936" t="str">
            <v>Gia Lai</v>
          </cell>
          <cell r="D936">
            <v>7691</v>
          </cell>
          <cell r="E936" t="str">
            <v>Mạng cấp 4</v>
          </cell>
        </row>
        <row r="937">
          <cell r="B937" t="str">
            <v>Bình An - Bình Hiệp</v>
          </cell>
          <cell r="C937" t="str">
            <v>Gia Lai</v>
          </cell>
          <cell r="D937">
            <v>6761</v>
          </cell>
          <cell r="E937" t="str">
            <v>Mạng cấp 4</v>
          </cell>
        </row>
        <row r="938">
          <cell r="B938" t="str">
            <v>Bình Hiệp - Hội Sơn</v>
          </cell>
          <cell r="C938" t="str">
            <v>Gia Lai</v>
          </cell>
          <cell r="D938">
            <v>20603.400000000001</v>
          </cell>
          <cell r="E938" t="str">
            <v>Mạng cấp 4</v>
          </cell>
        </row>
        <row r="939">
          <cell r="B939" t="str">
            <v>Hội Sơn - Hòa Hội</v>
          </cell>
          <cell r="C939" t="str">
            <v>Gia Lai</v>
          </cell>
          <cell r="D939">
            <v>13807</v>
          </cell>
          <cell r="E939" t="str">
            <v>Mạng cấp 4</v>
          </cell>
        </row>
        <row r="940">
          <cell r="B940" t="str">
            <v>Hòa Hội - Phù Cát</v>
          </cell>
          <cell r="C940" t="str">
            <v>Gia Lai</v>
          </cell>
          <cell r="D940">
            <v>11384</v>
          </cell>
          <cell r="E940" t="str">
            <v>Mạng cấp 4</v>
          </cell>
        </row>
        <row r="941">
          <cell r="B941" t="str">
            <v>Phù Cát - Xuân An</v>
          </cell>
          <cell r="C941" t="str">
            <v>Gia Lai</v>
          </cell>
          <cell r="D941">
            <v>6817</v>
          </cell>
          <cell r="E941" t="str">
            <v>Mạng cấp 4</v>
          </cell>
        </row>
        <row r="942">
          <cell r="B942" t="str">
            <v>Xuân An - Ngô Mây</v>
          </cell>
          <cell r="C942" t="str">
            <v>Gia Lai</v>
          </cell>
          <cell r="D942">
            <v>10715</v>
          </cell>
          <cell r="E942" t="str">
            <v>Mạng cấp 4</v>
          </cell>
        </row>
        <row r="943">
          <cell r="B943" t="str">
            <v>Ngô Mây - TTCMKV An Nhơn</v>
          </cell>
          <cell r="C943" t="str">
            <v>Gia Lai</v>
          </cell>
          <cell r="D943">
            <v>12893</v>
          </cell>
          <cell r="E943" t="str">
            <v>Mạng cấp 4</v>
          </cell>
        </row>
        <row r="944">
          <cell r="B944" t="str">
            <v>TTCMKV Phù Mỹ - Phù Mỹ</v>
          </cell>
          <cell r="C944" t="str">
            <v>Gia Lai</v>
          </cell>
          <cell r="D944">
            <v>0</v>
          </cell>
          <cell r="E944" t="str">
            <v>Mạng cấp 4</v>
          </cell>
        </row>
        <row r="945">
          <cell r="B945" t="str">
            <v>Phù Mỹ - Phù Mỹ Tây</v>
          </cell>
          <cell r="C945" t="str">
            <v>Gia Lai</v>
          </cell>
          <cell r="D945">
            <v>6611.1</v>
          </cell>
          <cell r="E945" t="str">
            <v>Mạng cấp 4</v>
          </cell>
        </row>
        <row r="946">
          <cell r="B946" t="str">
            <v>Phù Mỹ Tây - Phù Mỹ Đông</v>
          </cell>
          <cell r="C946" t="str">
            <v>Gia Lai</v>
          </cell>
          <cell r="D946">
            <v>21694.6</v>
          </cell>
          <cell r="E946" t="str">
            <v>Mạng cấp 4</v>
          </cell>
        </row>
        <row r="947">
          <cell r="B947" t="str">
            <v>Phù Mỹ Đông - Bình Dương</v>
          </cell>
          <cell r="C947" t="str">
            <v>Gia Lai</v>
          </cell>
          <cell r="D947">
            <v>14202</v>
          </cell>
          <cell r="E947" t="str">
            <v>Mạng cấp 4</v>
          </cell>
        </row>
        <row r="948">
          <cell r="B948" t="str">
            <v>Bình Dương - Phù Mỹ Bắc</v>
          </cell>
          <cell r="C948" t="str">
            <v>Gia Lai</v>
          </cell>
          <cell r="D948">
            <v>1681</v>
          </cell>
          <cell r="E948" t="str">
            <v>Mạng cấp 4</v>
          </cell>
        </row>
        <row r="949">
          <cell r="B949" t="str">
            <v>Phù Mỹ Bắc - TTCMKV Hoài Ân</v>
          </cell>
          <cell r="C949" t="str">
            <v>Gia Lai</v>
          </cell>
          <cell r="D949">
            <v>22564</v>
          </cell>
          <cell r="E949" t="str">
            <v>Mạng cấp 4</v>
          </cell>
        </row>
        <row r="950">
          <cell r="B950" t="str">
            <v>TTCMKV Hoài Ân - Ân Tường</v>
          </cell>
          <cell r="C950" t="str">
            <v>Gia Lai</v>
          </cell>
          <cell r="D950">
            <v>9558.5999999999985</v>
          </cell>
          <cell r="E950" t="str">
            <v>Mạng cấp 4</v>
          </cell>
        </row>
        <row r="951">
          <cell r="B951" t="str">
            <v>Ân Tường - Kim Sơn</v>
          </cell>
          <cell r="C951" t="str">
            <v>Gia Lai</v>
          </cell>
          <cell r="D951">
            <v>6054</v>
          </cell>
          <cell r="E951" t="str">
            <v>Mạng cấp 4</v>
          </cell>
        </row>
        <row r="952">
          <cell r="B952" t="str">
            <v>Kim Sơn - Hoài Ân</v>
          </cell>
          <cell r="C952" t="str">
            <v>Gia Lai</v>
          </cell>
          <cell r="D952">
            <v>13719</v>
          </cell>
          <cell r="E952" t="str">
            <v>Mạng cấp 4</v>
          </cell>
        </row>
        <row r="953">
          <cell r="B953" t="str">
            <v>Hoài Ân - Vạn Đức</v>
          </cell>
          <cell r="C953" t="str">
            <v>Gia Lai</v>
          </cell>
          <cell r="D953">
            <v>10163.799999999999</v>
          </cell>
          <cell r="E953" t="str">
            <v>Mạng cấp 4</v>
          </cell>
        </row>
        <row r="954">
          <cell r="B954" t="str">
            <v>Vạn Đức - Ân Hảo</v>
          </cell>
          <cell r="C954" t="str">
            <v>Gia Lai</v>
          </cell>
          <cell r="D954">
            <v>8635</v>
          </cell>
          <cell r="E954" t="str">
            <v>Mạng cấp 4</v>
          </cell>
        </row>
        <row r="955">
          <cell r="B955" t="str">
            <v>Ân Hảo - Bồng Sơn</v>
          </cell>
          <cell r="C955" t="str">
            <v>Gia Lai</v>
          </cell>
          <cell r="D955">
            <v>7339</v>
          </cell>
          <cell r="E955" t="str">
            <v>Mạng cấp 4</v>
          </cell>
        </row>
        <row r="956">
          <cell r="B956" t="str">
            <v>Bồng Sơn - TTCMKV Hoài Ân</v>
          </cell>
          <cell r="C956" t="str">
            <v>Gia Lai</v>
          </cell>
          <cell r="D956">
            <v>12158</v>
          </cell>
          <cell r="E956" t="str">
            <v>Mạng cấp 4</v>
          </cell>
        </row>
        <row r="957">
          <cell r="B957" t="str">
            <v>TTCMKV Hoài Ân - Hoài Nhơn Nam</v>
          </cell>
          <cell r="C957" t="str">
            <v>Gia Lai</v>
          </cell>
          <cell r="D957">
            <v>15995.3</v>
          </cell>
          <cell r="E957" t="str">
            <v>Mạng cấp 4</v>
          </cell>
        </row>
        <row r="958">
          <cell r="B958" t="str">
            <v>Hoài Nhơn Nam - Hoài Nhơn</v>
          </cell>
          <cell r="C958" t="str">
            <v>Gia Lai</v>
          </cell>
          <cell r="D958">
            <v>11244</v>
          </cell>
          <cell r="E958" t="str">
            <v>Mạng cấp 4</v>
          </cell>
        </row>
        <row r="959">
          <cell r="B959" t="str">
            <v>Hoài Nhơn - Hoài Nhơn Tây</v>
          </cell>
          <cell r="C959" t="str">
            <v>Gia Lai</v>
          </cell>
          <cell r="D959">
            <v>7855</v>
          </cell>
          <cell r="E959" t="str">
            <v>Mạng cấp 4</v>
          </cell>
        </row>
        <row r="960">
          <cell r="B960" t="str">
            <v>Hoài Nhơn Tây - Tam Quan</v>
          </cell>
          <cell r="C960" t="str">
            <v>Gia Lai</v>
          </cell>
          <cell r="D960">
            <v>6532</v>
          </cell>
          <cell r="E960" t="str">
            <v>Mạng cấp 4</v>
          </cell>
        </row>
        <row r="961">
          <cell r="B961" t="str">
            <v>Tam Quan - Hoài Nhơn Bắc</v>
          </cell>
          <cell r="C961" t="str">
            <v>Gia Lai</v>
          </cell>
          <cell r="D961">
            <v>2112</v>
          </cell>
          <cell r="E961" t="str">
            <v>Mạng cấp 4</v>
          </cell>
        </row>
        <row r="962">
          <cell r="B962" t="str">
            <v>Hoài Nhơn Bắc - Hoài Nhơn Đông</v>
          </cell>
          <cell r="C962" t="str">
            <v>Gia Lai</v>
          </cell>
          <cell r="D962">
            <v>10628.5</v>
          </cell>
          <cell r="E962" t="str">
            <v>Mạng cấp 4</v>
          </cell>
        </row>
        <row r="963">
          <cell r="B963" t="str">
            <v>Hoài Nhơn Đông - TTCMKV Hoài Ân</v>
          </cell>
          <cell r="C963" t="str">
            <v>Gia Lai</v>
          </cell>
          <cell r="D963">
            <v>24589.600000000002</v>
          </cell>
          <cell r="E963" t="str">
            <v>Mạng cấp 4</v>
          </cell>
        </row>
        <row r="964">
          <cell r="B964" t="str">
            <v>TTCMKV Hoài Ân - An Vinh</v>
          </cell>
          <cell r="C964" t="str">
            <v>Gia Lai</v>
          </cell>
          <cell r="D964">
            <v>42056.6</v>
          </cell>
          <cell r="E964" t="str">
            <v>Mạng cấp 4</v>
          </cell>
        </row>
        <row r="965">
          <cell r="B965" t="str">
            <v>An Vinh - An Lão</v>
          </cell>
          <cell r="C965" t="str">
            <v>Gia Lai</v>
          </cell>
          <cell r="D965">
            <v>6469.6</v>
          </cell>
          <cell r="E965" t="str">
            <v>Mạng cấp 4</v>
          </cell>
        </row>
        <row r="966">
          <cell r="B966" t="str">
            <v>An Lão - An Hòa</v>
          </cell>
          <cell r="C966" t="str">
            <v>Gia Lai</v>
          </cell>
          <cell r="D966">
            <v>6740</v>
          </cell>
          <cell r="E966" t="str">
            <v>Mạng cấp 4</v>
          </cell>
        </row>
        <row r="967">
          <cell r="B967" t="str">
            <v>An Hòa - TTCMKV Hoài Ân</v>
          </cell>
          <cell r="C967" t="str">
            <v>Gia Lai</v>
          </cell>
          <cell r="D967">
            <v>29870.5</v>
          </cell>
          <cell r="E967" t="str">
            <v>Mạng cấp 4</v>
          </cell>
        </row>
        <row r="968">
          <cell r="B968" t="str">
            <v>TTCMKV Hoài Ân - Ân Hảo Tây</v>
          </cell>
          <cell r="C968" t="str">
            <v>Gia Lai</v>
          </cell>
          <cell r="D968">
            <v>18349.8</v>
          </cell>
          <cell r="E968" t="str">
            <v>Mạng cấp 4</v>
          </cell>
        </row>
        <row r="969">
          <cell r="B969" t="str">
            <v>Ân Hảo Tây - An Toàn</v>
          </cell>
          <cell r="C969" t="str">
            <v>Gia Lai</v>
          </cell>
          <cell r="D969">
            <v>36314</v>
          </cell>
          <cell r="E969" t="str">
            <v>Mạng cấp 4</v>
          </cell>
        </row>
        <row r="970">
          <cell r="B970" t="str">
            <v>An Toàn - An Quang</v>
          </cell>
          <cell r="C970" t="str">
            <v>Gia Lai</v>
          </cell>
          <cell r="D970">
            <v>22118</v>
          </cell>
          <cell r="E970" t="str">
            <v>Mạng cấp 4</v>
          </cell>
        </row>
        <row r="971">
          <cell r="B971" t="str">
            <v>An Quang - TTCMKV Hoài Ân</v>
          </cell>
          <cell r="C971" t="str">
            <v>Gia Lai</v>
          </cell>
          <cell r="D971">
            <v>34148.6</v>
          </cell>
          <cell r="E971" t="str">
            <v>Mạng cấp 4</v>
          </cell>
        </row>
        <row r="972">
          <cell r="B972" t="str">
            <v>CAT Đắk Lắk - Tân Lập</v>
          </cell>
          <cell r="C972" t="str">
            <v>Đắk Lắk</v>
          </cell>
          <cell r="D972">
            <v>12104</v>
          </cell>
          <cell r="E972" t="str">
            <v>Mạng cấp 4</v>
          </cell>
        </row>
        <row r="973">
          <cell r="B973" t="str">
            <v>Tân Lập - Ea Knuếc</v>
          </cell>
          <cell r="C973" t="str">
            <v>Đắk Lắk</v>
          </cell>
          <cell r="D973">
            <v>13657</v>
          </cell>
          <cell r="E973" t="str">
            <v>Mạng cấp 4</v>
          </cell>
        </row>
        <row r="974">
          <cell r="B974" t="str">
            <v>Ea Knuếc - Krông Pắc</v>
          </cell>
          <cell r="C974" t="str">
            <v>Đắk Lắk</v>
          </cell>
          <cell r="D974">
            <v>16985</v>
          </cell>
          <cell r="E974" t="str">
            <v>Mạng cấp 4</v>
          </cell>
        </row>
        <row r="975">
          <cell r="B975" t="str">
            <v>Krông Pắc - TTCMKV Krông
Pắc</v>
          </cell>
          <cell r="C975" t="str">
            <v>Đắk Lắk</v>
          </cell>
          <cell r="E975" t="str">
            <v>Mạng cấp 4</v>
          </cell>
        </row>
        <row r="976">
          <cell r="B976" t="str">
            <v>CAT Đắk Lắk - Ea Kao</v>
          </cell>
          <cell r="C976" t="str">
            <v>Đắk Lắk</v>
          </cell>
          <cell r="D976">
            <v>4133</v>
          </cell>
          <cell r="E976" t="str">
            <v>Mạng cấp 4</v>
          </cell>
        </row>
        <row r="977">
          <cell r="B977" t="str">
            <v>Ea Kao - Ea Ktur</v>
          </cell>
          <cell r="C977" t="str">
            <v>Đắk Lắk</v>
          </cell>
          <cell r="D977">
            <v>19509</v>
          </cell>
          <cell r="E977" t="str">
            <v>Mạng cấp 4</v>
          </cell>
        </row>
        <row r="978">
          <cell r="B978" t="str">
            <v>Ea Ktur - Ea Ning</v>
          </cell>
          <cell r="C978" t="str">
            <v>Đắk Lắk</v>
          </cell>
          <cell r="D978">
            <v>10302</v>
          </cell>
          <cell r="E978" t="str">
            <v>Mạng cấp 4</v>
          </cell>
        </row>
        <row r="979">
          <cell r="B979" t="str">
            <v>Ea Ning - TTCMKV Cư Kuin</v>
          </cell>
          <cell r="C979" t="str">
            <v>Đắk Lắk</v>
          </cell>
          <cell r="D979">
            <v>11569</v>
          </cell>
          <cell r="E979" t="str">
            <v>Mạng cấp 4</v>
          </cell>
        </row>
        <row r="980">
          <cell r="B980" t="str">
            <v>TTCMKV Cư Kuin - Hòa Sơn</v>
          </cell>
          <cell r="C980" t="str">
            <v>Đắk Lắk</v>
          </cell>
          <cell r="D980">
            <v>11905</v>
          </cell>
          <cell r="E980" t="str">
            <v>Mạng cấp 4</v>
          </cell>
        </row>
        <row r="981">
          <cell r="B981" t="str">
            <v>Hòa Sơn - Krông Bông</v>
          </cell>
          <cell r="C981" t="str">
            <v>Đắk Lắk</v>
          </cell>
          <cell r="D981">
            <v>14200</v>
          </cell>
          <cell r="E981" t="str">
            <v>Mạng cấp 4</v>
          </cell>
        </row>
        <row r="982">
          <cell r="B982" t="str">
            <v>Krông Bông - TTCMKV Krông
Bông</v>
          </cell>
          <cell r="C982" t="str">
            <v>Đắk Lắk</v>
          </cell>
          <cell r="E982" t="str">
            <v>Mạng cấp 4</v>
          </cell>
        </row>
        <row r="983">
          <cell r="B983" t="str">
            <v>TTCMKV Cư Kuin - Dang Kang</v>
          </cell>
          <cell r="C983" t="str">
            <v>Đắk Lắk</v>
          </cell>
          <cell r="D983">
            <v>24331</v>
          </cell>
          <cell r="E983" t="str">
            <v>Mạng cấp 4</v>
          </cell>
        </row>
        <row r="984">
          <cell r="B984" t="str">
            <v>Dang Kang - TTCMKV Krông
Bông</v>
          </cell>
          <cell r="C984" t="str">
            <v>Đắk Lắk</v>
          </cell>
          <cell r="D984">
            <v>10562</v>
          </cell>
          <cell r="E984" t="str">
            <v>Mạng cấp 4</v>
          </cell>
        </row>
        <row r="985">
          <cell r="B985" t="str">
            <v>TTCMKV Ea Kar - Ea Păl</v>
          </cell>
          <cell r="C985" t="str">
            <v>Đắk Lắk</v>
          </cell>
          <cell r="D985">
            <v>16909</v>
          </cell>
          <cell r="E985" t="str">
            <v>Mạng cấp 4</v>
          </cell>
        </row>
        <row r="986">
          <cell r="B986" t="str">
            <v>Ea Păl - Cư Yang</v>
          </cell>
          <cell r="C986" t="str">
            <v>Đắk Lắk</v>
          </cell>
          <cell r="D986">
            <v>11724</v>
          </cell>
          <cell r="E986" t="str">
            <v>Mạng cấp 4</v>
          </cell>
        </row>
        <row r="987">
          <cell r="B987" t="str">
            <v>Cư Yang - Krông Á</v>
          </cell>
          <cell r="C987" t="str">
            <v>Đắk Lắk</v>
          </cell>
          <cell r="D987">
            <v>42891</v>
          </cell>
          <cell r="E987" t="str">
            <v>Mạng cấp 4</v>
          </cell>
        </row>
        <row r="988">
          <cell r="B988" t="str">
            <v>Krông Á - Ea Trang</v>
          </cell>
          <cell r="C988" t="str">
            <v>Đắk Lắk</v>
          </cell>
          <cell r="D988">
            <v>26044</v>
          </cell>
          <cell r="E988" t="str">
            <v>Mạng cấp 4</v>
          </cell>
        </row>
        <row r="989">
          <cell r="B989" t="str">
            <v>Ea Trang - Cư M'ta</v>
          </cell>
          <cell r="C989" t="str">
            <v>Đắk Lắk</v>
          </cell>
          <cell r="D989">
            <v>16468</v>
          </cell>
          <cell r="E989" t="str">
            <v>Mạng cấp 4</v>
          </cell>
        </row>
        <row r="990">
          <cell r="B990" t="str">
            <v>Cư M'ta - Ea Riêng</v>
          </cell>
          <cell r="C990" t="str">
            <v>Đắk Lắk</v>
          </cell>
          <cell r="D990">
            <v>8123</v>
          </cell>
          <cell r="E990" t="str">
            <v>Mạng cấp 4</v>
          </cell>
        </row>
        <row r="991">
          <cell r="B991" t="str">
            <v>Ea Riêng - TTCMKV M'Đrắk</v>
          </cell>
          <cell r="C991" t="str">
            <v>Đắk Lắk</v>
          </cell>
          <cell r="D991">
            <v>9837</v>
          </cell>
          <cell r="E991" t="str">
            <v>Mạng cấp 4</v>
          </cell>
        </row>
        <row r="992">
          <cell r="B992" t="str">
            <v>TTCMKV Krông Bông - Cư Pui</v>
          </cell>
          <cell r="C992" t="str">
            <v>Đắk Lắk</v>
          </cell>
          <cell r="D992">
            <v>24187</v>
          </cell>
          <cell r="E992" t="str">
            <v>Mạng cấp 4</v>
          </cell>
        </row>
        <row r="993">
          <cell r="B993" t="str">
            <v>Cư Pui - Yang Mao</v>
          </cell>
          <cell r="C993" t="str">
            <v>Đắk Lắk</v>
          </cell>
          <cell r="D993">
            <v>11381</v>
          </cell>
          <cell r="E993" t="str">
            <v>Mạng cấp 4</v>
          </cell>
        </row>
        <row r="994">
          <cell r="B994" t="str">
            <v>Yang Mao - TTCMKV Krông Bông</v>
          </cell>
          <cell r="C994" t="str">
            <v>Đắk Lắk</v>
          </cell>
          <cell r="D994">
            <v>40900</v>
          </cell>
          <cell r="E994" t="str">
            <v>Mạng cấp 4</v>
          </cell>
        </row>
        <row r="995">
          <cell r="B995" t="str">
            <v>TTCMKV Krông Pắc - Ea Phê</v>
          </cell>
          <cell r="C995" t="str">
            <v>Đắk Lắk</v>
          </cell>
          <cell r="D995">
            <v>7393</v>
          </cell>
          <cell r="E995" t="str">
            <v>Mạng cấp 4</v>
          </cell>
        </row>
        <row r="996">
          <cell r="B996" t="str">
            <v>Ea Phê - Ea Kly</v>
          </cell>
          <cell r="C996" t="str">
            <v>Đắk Lắk</v>
          </cell>
          <cell r="D996">
            <v>14612</v>
          </cell>
          <cell r="E996" t="str">
            <v>Mạng cấp 4</v>
          </cell>
        </row>
        <row r="997">
          <cell r="B997" t="str">
            <v>Ea Kly - Ea Kar</v>
          </cell>
          <cell r="C997" t="str">
            <v>Đắk Lắk</v>
          </cell>
          <cell r="D997">
            <v>12216</v>
          </cell>
          <cell r="E997" t="str">
            <v>Mạng cấp 4</v>
          </cell>
        </row>
        <row r="998">
          <cell r="B998" t="str">
            <v>Ea Kar - TTCMKV Ea Kar</v>
          </cell>
          <cell r="C998" t="str">
            <v>Đắk Lắk</v>
          </cell>
          <cell r="E998" t="str">
            <v>Mạng cấp 4</v>
          </cell>
        </row>
        <row r="999">
          <cell r="B999" t="str">
            <v>TTCMKV Krông Pắc - Tân Tiến</v>
          </cell>
          <cell r="C999" t="str">
            <v>Đắk Lắk</v>
          </cell>
          <cell r="D999">
            <v>13247</v>
          </cell>
          <cell r="E999" t="str">
            <v>Mạng cấp 4</v>
          </cell>
        </row>
        <row r="1000">
          <cell r="B1000" t="str">
            <v>Tân Tiến - Vụ Bổn</v>
          </cell>
          <cell r="C1000" t="str">
            <v>Đắk Lắk</v>
          </cell>
          <cell r="D1000">
            <v>8491</v>
          </cell>
          <cell r="E1000" t="str">
            <v>Mạng cấp 4</v>
          </cell>
        </row>
        <row r="1001">
          <cell r="B1001" t="str">
            <v>Vụ Bổn - Ea Ô</v>
          </cell>
          <cell r="C1001" t="str">
            <v>Đắk Lắk</v>
          </cell>
          <cell r="D1001">
            <v>9202</v>
          </cell>
          <cell r="E1001" t="str">
            <v>Mạng cấp 4</v>
          </cell>
        </row>
        <row r="1002">
          <cell r="B1002" t="str">
            <v>Ea Ô - TTCMKV Ea Kar</v>
          </cell>
          <cell r="C1002" t="str">
            <v>Đắk Lắk</v>
          </cell>
          <cell r="D1002">
            <v>15553</v>
          </cell>
          <cell r="E1002" t="str">
            <v>Mạng cấp 4</v>
          </cell>
        </row>
        <row r="1003">
          <cell r="B1003" t="str">
            <v>TTCMKV Cư Kuin - Dray Bhăng</v>
          </cell>
          <cell r="C1003" t="str">
            <v>Đắk Lắk</v>
          </cell>
          <cell r="E1003" t="str">
            <v>Mạng cấp 4</v>
          </cell>
        </row>
        <row r="1004">
          <cell r="B1004" t="str">
            <v>Dray Bhăng - Dur Kmăl</v>
          </cell>
          <cell r="C1004" t="str">
            <v>Đắk Lắk</v>
          </cell>
          <cell r="D1004">
            <v>21860</v>
          </cell>
          <cell r="E1004" t="str">
            <v>Mạng cấp 4</v>
          </cell>
        </row>
        <row r="1005">
          <cell r="B1005" t="str">
            <v>Dur Kmăl - TTCMKV Krông A
Na</v>
          </cell>
          <cell r="C1005" t="str">
            <v>Đắk Lắk</v>
          </cell>
          <cell r="D1005">
            <v>8588</v>
          </cell>
          <cell r="E1005" t="str">
            <v>Mạng cấp 4</v>
          </cell>
        </row>
        <row r="1006">
          <cell r="B1006" t="str">
            <v>TTCMKV Krông A Na - Krông
Ana</v>
          </cell>
          <cell r="C1006" t="str">
            <v>Đắk Lắk</v>
          </cell>
          <cell r="D1006">
            <v>0</v>
          </cell>
          <cell r="E1006" t="str">
            <v>Mạng cấp 4</v>
          </cell>
        </row>
        <row r="1007">
          <cell r="B1007" t="str">
            <v>Krông Ana - Đắk Liêng</v>
          </cell>
          <cell r="C1007" t="str">
            <v>Đắk Lắk</v>
          </cell>
          <cell r="D1007">
            <v>31543</v>
          </cell>
          <cell r="E1007" t="str">
            <v>Mạng cấp 4</v>
          </cell>
        </row>
        <row r="1008">
          <cell r="B1008" t="str">
            <v>Đắk Liêng - Liên Sơn Lắk</v>
          </cell>
          <cell r="C1008" t="str">
            <v>Đắk Lắk</v>
          </cell>
          <cell r="D1008">
            <v>3363</v>
          </cell>
          <cell r="E1008" t="str">
            <v>Mạng cấp 4</v>
          </cell>
        </row>
        <row r="1009">
          <cell r="B1009" t="str">
            <v>Liên Sơn Lắk - TTCMKV Lắk</v>
          </cell>
          <cell r="C1009" t="str">
            <v>Đắk Lắk</v>
          </cell>
          <cell r="D1009">
            <v>0</v>
          </cell>
          <cell r="E1009" t="str">
            <v>Mạng cấp 4</v>
          </cell>
        </row>
        <row r="1010">
          <cell r="B1010" t="str">
            <v>CAT Đắk Lắk - Hòa Phú</v>
          </cell>
          <cell r="C1010" t="str">
            <v>Đắk Lắk</v>
          </cell>
          <cell r="D1010">
            <v>15731</v>
          </cell>
          <cell r="E1010" t="str">
            <v>Mạng cấp 4</v>
          </cell>
        </row>
        <row r="1011">
          <cell r="B1011" t="str">
            <v>Hòa Phú - Ea Na</v>
          </cell>
          <cell r="C1011" t="str">
            <v>Đắk Lắk</v>
          </cell>
          <cell r="D1011">
            <v>19419</v>
          </cell>
          <cell r="E1011" t="str">
            <v>Mạng cấp 4</v>
          </cell>
        </row>
        <row r="1012">
          <cell r="B1012" t="str">
            <v>Ea Na - TTCMKV Krông A Na</v>
          </cell>
          <cell r="C1012" t="str">
            <v>Đắk Lắk</v>
          </cell>
          <cell r="D1012">
            <v>5724</v>
          </cell>
          <cell r="E1012" t="str">
            <v>Mạng cấp 4</v>
          </cell>
        </row>
        <row r="1013">
          <cell r="B1013" t="str">
            <v>CAT Đắk Lắk - Thành Nhất</v>
          </cell>
          <cell r="C1013" t="str">
            <v>Đắk Lắk</v>
          </cell>
          <cell r="D1013">
            <v>4242</v>
          </cell>
          <cell r="E1013" t="str">
            <v>Mạng cấp 4</v>
          </cell>
        </row>
        <row r="1014">
          <cell r="B1014" t="str">
            <v>Thành Nhất - Ea Nuôl</v>
          </cell>
          <cell r="C1014" t="str">
            <v>Đắk Lắk</v>
          </cell>
          <cell r="D1014">
            <v>7931</v>
          </cell>
          <cell r="E1014" t="str">
            <v>Mạng cấp 4</v>
          </cell>
        </row>
        <row r="1015">
          <cell r="B1015" t="str">
            <v>Ea Nuôl - Ea Wer</v>
          </cell>
          <cell r="C1015" t="str">
            <v>Đắk Lắk</v>
          </cell>
          <cell r="D1015">
            <v>14492</v>
          </cell>
          <cell r="E1015" t="str">
            <v>Mạng cấp 4</v>
          </cell>
        </row>
        <row r="1016">
          <cell r="B1016" t="str">
            <v>Ea Wer - TTCMKV Buôn Đôn</v>
          </cell>
          <cell r="E1016" t="str">
            <v>Mạng cấp 4</v>
          </cell>
        </row>
        <row r="1017">
          <cell r="B1017" t="str">
            <v>CAT Đắk Lắk - Tân An</v>
          </cell>
          <cell r="C1017" t="str">
            <v>Đắk Lắk</v>
          </cell>
          <cell r="D1017">
            <v>3086</v>
          </cell>
          <cell r="E1017" t="str">
            <v>Mạng cấp 4</v>
          </cell>
        </row>
        <row r="1018">
          <cell r="B1018" t="str">
            <v>Tân An - Cuôr Đăng</v>
          </cell>
          <cell r="C1018" t="str">
            <v>Đắk Lắk</v>
          </cell>
          <cell r="D1018">
            <v>13172</v>
          </cell>
          <cell r="E1018" t="str">
            <v>Mạng cấp 4</v>
          </cell>
        </row>
        <row r="1019">
          <cell r="B1019" t="str">
            <v>Cuôr Đăng - Cư Bao</v>
          </cell>
          <cell r="C1019" t="str">
            <v>Đắk Lắk</v>
          </cell>
          <cell r="D1019">
            <v>15755</v>
          </cell>
          <cell r="E1019" t="str">
            <v>Mạng cấp 4</v>
          </cell>
        </row>
        <row r="1020">
          <cell r="B1020" t="str">
            <v>Cư Bao - Ea Drông</v>
          </cell>
          <cell r="C1020" t="str">
            <v>Đắk Lắk</v>
          </cell>
          <cell r="D1020">
            <v>15976</v>
          </cell>
          <cell r="E1020" t="str">
            <v>Mạng cấp 4</v>
          </cell>
        </row>
        <row r="1021">
          <cell r="B1021" t="str">
            <v>Ea Drông - TTCMKV Thị xã Buôn
Hồ</v>
          </cell>
          <cell r="C1021" t="str">
            <v>Đắk Lắk</v>
          </cell>
          <cell r="D1021">
            <v>12771</v>
          </cell>
          <cell r="E1021" t="str">
            <v>Mạng cấp 4</v>
          </cell>
        </row>
        <row r="1022">
          <cell r="B1022" t="str">
            <v>TTCMKV Buôn Đôn - Buôn Đôn</v>
          </cell>
          <cell r="C1022" t="str">
            <v>Đắk Lắk</v>
          </cell>
          <cell r="D1022">
            <v>16284</v>
          </cell>
          <cell r="E1022" t="str">
            <v>Mạng cấp 4</v>
          </cell>
        </row>
        <row r="1023">
          <cell r="B1023" t="str">
            <v>Buôn Đôn - Ea Súp</v>
          </cell>
          <cell r="C1023" t="str">
            <v>Đắk Lắk</v>
          </cell>
          <cell r="D1023">
            <v>26461</v>
          </cell>
          <cell r="E1023" t="str">
            <v>Mạng cấp 4</v>
          </cell>
        </row>
        <row r="1024">
          <cell r="B1024" t="str">
            <v>Ea Súp - TTCMKV Ea Súp</v>
          </cell>
          <cell r="C1024" t="str">
            <v>Đắk Lắk</v>
          </cell>
          <cell r="D1024">
            <v>0</v>
          </cell>
          <cell r="E1024" t="str">
            <v>Mạng cấp 4</v>
          </cell>
        </row>
        <row r="1025">
          <cell r="B1025" t="str">
            <v>TTCMKV Cư M'gar - Quảng Phú</v>
          </cell>
          <cell r="C1025" t="str">
            <v>Đắk Lắk</v>
          </cell>
          <cell r="E1025" t="str">
            <v>Mạng cấp 4</v>
          </cell>
        </row>
        <row r="1026">
          <cell r="B1026" t="str">
            <v>Quảng Phú - Ea M’Droh</v>
          </cell>
          <cell r="C1026" t="str">
            <v>Đắk Lắk</v>
          </cell>
          <cell r="D1026">
            <v>14443</v>
          </cell>
          <cell r="E1026" t="str">
            <v>Mạng cấp 4</v>
          </cell>
        </row>
        <row r="1027">
          <cell r="B1027" t="str">
            <v>Ea M’Droh - Ea Kiết</v>
          </cell>
          <cell r="C1027" t="str">
            <v>Đắk Lắk</v>
          </cell>
          <cell r="D1027">
            <v>13020</v>
          </cell>
          <cell r="E1027" t="str">
            <v>Mạng cấp 4</v>
          </cell>
        </row>
        <row r="1028">
          <cell r="B1028" t="str">
            <v>Ea Kiết - TTCMKV Ea Súp</v>
          </cell>
          <cell r="C1028" t="str">
            <v>Đắk Lắk</v>
          </cell>
          <cell r="D1028">
            <v>28195</v>
          </cell>
          <cell r="E1028" t="str">
            <v>Mạng cấp 4</v>
          </cell>
        </row>
        <row r="1029">
          <cell r="B1029" t="str">
            <v>TTCMKV Cư M'gar - Cư M’gar</v>
          </cell>
          <cell r="C1029" t="str">
            <v>Đắk Lắk</v>
          </cell>
          <cell r="D1029">
            <v>4640</v>
          </cell>
          <cell r="E1029" t="str">
            <v>Mạng cấp 4</v>
          </cell>
        </row>
        <row r="1030">
          <cell r="B1030" t="str">
            <v>Cư M’gar - Ea Tul</v>
          </cell>
          <cell r="C1030" t="str">
            <v>Đắk Lắk</v>
          </cell>
          <cell r="D1030">
            <v>19067</v>
          </cell>
          <cell r="E1030" t="str">
            <v>Mạng cấp 4</v>
          </cell>
        </row>
        <row r="1031">
          <cell r="B1031" t="str">
            <v>Ea Tul - Buôn Hồ</v>
          </cell>
          <cell r="C1031" t="str">
            <v>Đắk Lắk</v>
          </cell>
          <cell r="D1031">
            <v>13703</v>
          </cell>
          <cell r="E1031" t="str">
            <v>Mạng cấp 4</v>
          </cell>
        </row>
        <row r="1032">
          <cell r="B1032" t="str">
            <v>Buôn Hồ - TTCMKV Thị xã Buôn Hồ</v>
          </cell>
          <cell r="C1032" t="str">
            <v>Đắk Lắk</v>
          </cell>
          <cell r="E1032" t="str">
            <v>Mạng cấp 4</v>
          </cell>
        </row>
        <row r="1033">
          <cell r="B1033" t="str">
            <v>TTCMKV Thị xã Buôn Hồ - Pơng
Drang</v>
          </cell>
          <cell r="C1033" t="str">
            <v>Đắk Lắk</v>
          </cell>
          <cell r="D1033">
            <v>6988</v>
          </cell>
          <cell r="E1033" t="str">
            <v>Mạng cấp 4</v>
          </cell>
        </row>
        <row r="1034">
          <cell r="B1034" t="str">
            <v>Pơng Drang - Cư Pơng</v>
          </cell>
          <cell r="C1034" t="str">
            <v>Đắk Lắk</v>
          </cell>
          <cell r="D1034">
            <v>16252</v>
          </cell>
          <cell r="E1034" t="str">
            <v>Mạng cấp 4</v>
          </cell>
        </row>
        <row r="1035">
          <cell r="B1035" t="str">
            <v>Cư Pơng - Krông Búk</v>
          </cell>
          <cell r="C1035" t="str">
            <v>Đắk Lắk</v>
          </cell>
          <cell r="D1035">
            <v>11002</v>
          </cell>
          <cell r="E1035" t="str">
            <v>Mạng cấp 4</v>
          </cell>
        </row>
        <row r="1036">
          <cell r="B1036" t="str">
            <v>Krông Búk - Ea Khăl</v>
          </cell>
          <cell r="C1036" t="str">
            <v>Đắk Lắk</v>
          </cell>
          <cell r="D1036">
            <v>24032</v>
          </cell>
          <cell r="E1036" t="str">
            <v>Mạng cấp 4</v>
          </cell>
        </row>
        <row r="1037">
          <cell r="B1037" t="str">
            <v>Ea Khăl - Ea Drăng</v>
          </cell>
          <cell r="C1037" t="str">
            <v>Đắk Lắk</v>
          </cell>
          <cell r="D1037">
            <v>6424</v>
          </cell>
          <cell r="E1037" t="str">
            <v>Mạng cấp 4</v>
          </cell>
        </row>
        <row r="1038">
          <cell r="B1038" t="str">
            <v>Ea Drăng - TTCMKV Ea H'leo</v>
          </cell>
          <cell r="C1038" t="str">
            <v>Đắk Lắk</v>
          </cell>
          <cell r="E1038" t="str">
            <v>Mạng cấp 4</v>
          </cell>
        </row>
        <row r="1039">
          <cell r="B1039" t="str">
            <v>TTCMKV Ea Kar - Phú Xuân</v>
          </cell>
          <cell r="C1039" t="str">
            <v>Đắk Lắk</v>
          </cell>
          <cell r="D1039">
            <v>23257</v>
          </cell>
          <cell r="E1039" t="str">
            <v>Mạng cấp 4</v>
          </cell>
        </row>
        <row r="1040">
          <cell r="B1040" t="str">
            <v>Phú Xuân - Krông Năng</v>
          </cell>
          <cell r="C1040" t="str">
            <v>Đắk Lắk</v>
          </cell>
          <cell r="D1040">
            <v>14527</v>
          </cell>
          <cell r="E1040" t="str">
            <v>Mạng cấp 4</v>
          </cell>
        </row>
        <row r="1041">
          <cell r="B1041" t="str">
            <v>Krông Năng - TTCMKV Krông
Năng</v>
          </cell>
          <cell r="C1041" t="str">
            <v>Đắk Lắk</v>
          </cell>
          <cell r="E1041" t="str">
            <v>Mạng cấp 4</v>
          </cell>
        </row>
        <row r="1042">
          <cell r="B1042" t="str">
            <v>TTCMKV Buôn Hồ - Dliê Ya</v>
          </cell>
          <cell r="C1042" t="str">
            <v>Đắk Lắk</v>
          </cell>
          <cell r="D1042">
            <v>30356</v>
          </cell>
          <cell r="E1042" t="str">
            <v>Mạng cấp 4</v>
          </cell>
        </row>
        <row r="1043">
          <cell r="B1043" t="str">
            <v>Dliê Ya - Ea Hiao</v>
          </cell>
          <cell r="C1043" t="str">
            <v>Đắk Lắk</v>
          </cell>
          <cell r="D1043">
            <v>26677</v>
          </cell>
          <cell r="E1043" t="str">
            <v>Mạng cấp 4</v>
          </cell>
        </row>
        <row r="1044">
          <cell r="B1044" t="str">
            <v>Ea Hiao - TTCMKV Ea H'leo</v>
          </cell>
          <cell r="C1044" t="str">
            <v>Đắk Lắk</v>
          </cell>
          <cell r="D1044">
            <v>17753</v>
          </cell>
          <cell r="E1044" t="str">
            <v>Mạng cấp 4</v>
          </cell>
        </row>
        <row r="1045">
          <cell r="B1045" t="str">
            <v>TTCMKV Krông Năng - Tam
Giang</v>
          </cell>
          <cell r="C1045" t="str">
            <v>Đắk Lắk</v>
          </cell>
          <cell r="D1045">
            <v>23165</v>
          </cell>
          <cell r="E1045" t="str">
            <v>Mạng cấp 4</v>
          </cell>
        </row>
        <row r="1046">
          <cell r="B1046" t="str">
            <v>Tam Giang - TTCMKV Krông
Năng</v>
          </cell>
          <cell r="C1046" t="str">
            <v>Đắk Lắk</v>
          </cell>
          <cell r="D1046">
            <v>31901</v>
          </cell>
          <cell r="E1046" t="str">
            <v>Mạng cấp 4</v>
          </cell>
        </row>
        <row r="1047">
          <cell r="B1047" t="str">
            <v>TTCMKV Ea Súp - Ea Bung</v>
          </cell>
          <cell r="C1047" t="str">
            <v>Đắk Lắk</v>
          </cell>
          <cell r="D1047">
            <v>4597</v>
          </cell>
          <cell r="E1047" t="str">
            <v>Mạng cấp 4</v>
          </cell>
        </row>
        <row r="1048">
          <cell r="B1048" t="str">
            <v>Ea Bung - Ya Tờ Mốt</v>
          </cell>
          <cell r="C1048" t="str">
            <v>Đắk Lắk</v>
          </cell>
          <cell r="D1048">
            <v>5976</v>
          </cell>
          <cell r="E1048" t="str">
            <v>Mạng cấp 4</v>
          </cell>
        </row>
        <row r="1049">
          <cell r="B1049" t="str">
            <v>Ya Tờ Mốt - Ia Rvê</v>
          </cell>
          <cell r="C1049" t="str">
            <v>Đắk Lắk</v>
          </cell>
          <cell r="D1049">
            <v>33588</v>
          </cell>
          <cell r="E1049" t="str">
            <v>Mạng cấp 4</v>
          </cell>
        </row>
        <row r="1050">
          <cell r="B1050" t="str">
            <v>Ia Rvê - Ia Lốp</v>
          </cell>
          <cell r="C1050" t="str">
            <v>Đắk Lắk</v>
          </cell>
          <cell r="D1050">
            <v>14178</v>
          </cell>
          <cell r="E1050" t="str">
            <v>Mạng cấp 4</v>
          </cell>
        </row>
        <row r="1051">
          <cell r="B1051" t="str">
            <v>Ia Lốp - Ea Rốk</v>
          </cell>
          <cell r="C1051" t="str">
            <v>Đắk Lắk</v>
          </cell>
          <cell r="D1051">
            <v>21265</v>
          </cell>
          <cell r="E1051" t="str">
            <v>Mạng cấp 4</v>
          </cell>
        </row>
        <row r="1052">
          <cell r="B1052" t="str">
            <v>Ea Rốk - Ea Wy</v>
          </cell>
          <cell r="C1052" t="str">
            <v>Đắk Lắk</v>
          </cell>
          <cell r="D1052">
            <v>32662</v>
          </cell>
          <cell r="E1052" t="str">
            <v>Mạng cấp 4</v>
          </cell>
        </row>
        <row r="1053">
          <cell r="B1053" t="str">
            <v>Ea Wy - Ea H’leo</v>
          </cell>
          <cell r="C1053" t="str">
            <v>Đắk Lắk</v>
          </cell>
          <cell r="D1053">
            <v>26595</v>
          </cell>
          <cell r="E1053" t="str">
            <v>Mạng cấp 4</v>
          </cell>
        </row>
        <row r="1054">
          <cell r="B1054" t="str">
            <v>Ea H’leo - TTCMKV Ea H'leo</v>
          </cell>
          <cell r="C1054" t="str">
            <v>Đắk Lắk</v>
          </cell>
          <cell r="D1054">
            <v>20040</v>
          </cell>
          <cell r="E1054" t="str">
            <v>Mạng cấp 4</v>
          </cell>
        </row>
        <row r="1055">
          <cell r="B1055" t="str">
            <v>TTCMKV Lắk - Đắk Phơi</v>
          </cell>
          <cell r="C1055" t="str">
            <v>Đắk Lắk</v>
          </cell>
          <cell r="D1055">
            <v>6919</v>
          </cell>
          <cell r="E1055" t="str">
            <v>Mạng cấp 4</v>
          </cell>
        </row>
        <row r="1056">
          <cell r="B1056" t="str">
            <v>Đắk Phơi - Krông Nô</v>
          </cell>
          <cell r="C1056" t="str">
            <v>Đắk Lắk</v>
          </cell>
          <cell r="D1056">
            <v>25525</v>
          </cell>
          <cell r="E1056" t="str">
            <v>Mạng cấp 4</v>
          </cell>
        </row>
        <row r="1057">
          <cell r="B1057" t="str">
            <v>Krông Nô - Nam Ka</v>
          </cell>
          <cell r="C1057" t="str">
            <v>Đắk Lắk</v>
          </cell>
          <cell r="D1057">
            <v>21279</v>
          </cell>
          <cell r="E1057" t="str">
            <v>Mạng cấp 4</v>
          </cell>
        </row>
        <row r="1058">
          <cell r="B1058" t="str">
            <v>Nam Ka - TTCMKV Lắk</v>
          </cell>
          <cell r="C1058" t="str">
            <v>Đắk Lắk</v>
          </cell>
          <cell r="D1058">
            <v>32556</v>
          </cell>
          <cell r="E1058" t="str">
            <v>Mạng cấp 4</v>
          </cell>
        </row>
        <row r="1059">
          <cell r="B1059" t="str">
            <v>CAT Đắk Lắk - Buôn Ma Thuột</v>
          </cell>
          <cell r="C1059" t="str">
            <v>Đắk Lắk</v>
          </cell>
          <cell r="D1059">
            <v>5414</v>
          </cell>
          <cell r="E1059" t="str">
            <v>Mạng cấp 4</v>
          </cell>
        </row>
        <row r="1060">
          <cell r="B1060" t="str">
            <v>Buôn Ma Thuột - TTCMKV Cư
M'gar</v>
          </cell>
          <cell r="C1060" t="str">
            <v>Đắk Lắk</v>
          </cell>
          <cell r="D1060">
            <v>13458</v>
          </cell>
          <cell r="E1060" t="str">
            <v>Mạng cấp 4</v>
          </cell>
        </row>
        <row r="1061">
          <cell r="B1061" t="str">
            <v>TTCMKV M'Đrắk - M’Drắk</v>
          </cell>
          <cell r="C1061" t="str">
            <v>Đắk Lắk</v>
          </cell>
          <cell r="E1061" t="str">
            <v>Mạng cấp 4</v>
          </cell>
        </row>
        <row r="1062">
          <cell r="B1062" t="str">
            <v>M’Drắk - Cư Prao</v>
          </cell>
          <cell r="C1062" t="str">
            <v>Đắk Lắk</v>
          </cell>
          <cell r="D1062">
            <v>31597</v>
          </cell>
          <cell r="E1062" t="str">
            <v>Mạng cấp 4</v>
          </cell>
        </row>
        <row r="1063">
          <cell r="B1063" t="str">
            <v>Cư Prao - Ea Knốp</v>
          </cell>
          <cell r="C1063" t="str">
            <v>Đắk Lắk</v>
          </cell>
          <cell r="D1063">
            <v>31968</v>
          </cell>
          <cell r="E1063" t="str">
            <v>Mạng cấp 4</v>
          </cell>
        </row>
        <row r="1064">
          <cell r="B1064" t="str">
            <v>Ea Knốp - TTCMKV Ea Kar</v>
          </cell>
          <cell r="C1064" t="str">
            <v>Đắk Lắk</v>
          </cell>
          <cell r="D1064">
            <v>7010</v>
          </cell>
          <cell r="E1064" t="str">
            <v>Mạng cấp 4</v>
          </cell>
        </row>
        <row r="1065">
          <cell r="B1065" t="str">
            <v>CAT Phú Yên - Bình Kiến</v>
          </cell>
          <cell r="C1065" t="str">
            <v>Phú Yên</v>
          </cell>
          <cell r="D1065">
            <v>0</v>
          </cell>
          <cell r="E1065" t="str">
            <v>Mạng cấp 4</v>
          </cell>
        </row>
        <row r="1066">
          <cell r="B1066" t="str">
            <v>Bình Kiến - Tuy Hòa</v>
          </cell>
          <cell r="C1066" t="str">
            <v>Phú Yên</v>
          </cell>
          <cell r="D1066">
            <v>5233</v>
          </cell>
          <cell r="E1066" t="str">
            <v>Mạng cấp 4</v>
          </cell>
        </row>
        <row r="1067">
          <cell r="B1067" t="str">
            <v>Tuy Hòa - CATP Tuy Hòa</v>
          </cell>
          <cell r="C1067" t="str">
            <v>Phú Yên</v>
          </cell>
          <cell r="D1067">
            <v>0</v>
          </cell>
          <cell r="E1067" t="str">
            <v>Mạng cấp 4</v>
          </cell>
        </row>
        <row r="1068">
          <cell r="B1068" t="str">
            <v>TTCMKV TX Sông Cầu - Xuân
Cảnh</v>
          </cell>
          <cell r="C1068" t="str">
            <v>Phú Yên</v>
          </cell>
          <cell r="D1068">
            <v>18549</v>
          </cell>
          <cell r="E1068" t="str">
            <v>Mạng cấp 4</v>
          </cell>
        </row>
        <row r="1069">
          <cell r="B1069" t="str">
            <v>Xuân Cảnh - Xuân Lộc</v>
          </cell>
          <cell r="C1069" t="str">
            <v>Phú Yên</v>
          </cell>
          <cell r="D1069">
            <v>5063</v>
          </cell>
          <cell r="E1069" t="str">
            <v>Mạng cấp 4</v>
          </cell>
        </row>
        <row r="1070">
          <cell r="B1070" t="str">
            <v>Xuân Lộc - Sông Cầu</v>
          </cell>
          <cell r="C1070" t="str">
            <v>Phú Yên</v>
          </cell>
          <cell r="D1070">
            <v>25199</v>
          </cell>
          <cell r="E1070" t="str">
            <v>Mạng cấp 4</v>
          </cell>
        </row>
        <row r="1071">
          <cell r="B1071" t="str">
            <v>Sông Cầu - TTCMKV TX Sông
Cầu</v>
          </cell>
          <cell r="C1071" t="str">
            <v>Phú Yên</v>
          </cell>
          <cell r="D1071">
            <v>0</v>
          </cell>
          <cell r="E1071" t="str">
            <v>Mạng cấp 4</v>
          </cell>
        </row>
        <row r="1072">
          <cell r="B1072" t="str">
            <v>TTCMKV TX Sông Cầu - Xuân
Lãnh</v>
          </cell>
          <cell r="C1072" t="str">
            <v>Phú Yên</v>
          </cell>
          <cell r="D1072">
            <v>34374</v>
          </cell>
          <cell r="E1072" t="str">
            <v>Mạng cấp 4</v>
          </cell>
        </row>
        <row r="1073">
          <cell r="B1073" t="str">
            <v>Xuân Lãnh - Đồng Xuân</v>
          </cell>
          <cell r="C1073" t="str">
            <v>Phú Yên</v>
          </cell>
          <cell r="D1073">
            <v>16410</v>
          </cell>
          <cell r="E1073" t="str">
            <v>Mạng cấp 4</v>
          </cell>
        </row>
        <row r="1074">
          <cell r="B1074" t="str">
            <v>Đồng Xuân  - TTCMKV Đồng
Xuân</v>
          </cell>
          <cell r="C1074" t="str">
            <v>Phú Yên</v>
          </cell>
          <cell r="D1074">
            <v>0</v>
          </cell>
          <cell r="E1074" t="str">
            <v>Mạng cấp 4</v>
          </cell>
        </row>
        <row r="1075">
          <cell r="B1075" t="str">
            <v>CAT Phú Yên - Tuy An Nam</v>
          </cell>
          <cell r="C1075" t="str">
            <v>Phú Yên</v>
          </cell>
          <cell r="D1075">
            <v>8385</v>
          </cell>
          <cell r="E1075" t="str">
            <v>Mạng cấp 4</v>
          </cell>
        </row>
        <row r="1076">
          <cell r="B1076" t="str">
            <v>Tuy An Nam - Ô Loan</v>
          </cell>
          <cell r="C1076" t="str">
            <v>Phú Yên</v>
          </cell>
          <cell r="D1076">
            <v>8791</v>
          </cell>
          <cell r="E1076" t="str">
            <v>Mạng cấp 4</v>
          </cell>
        </row>
        <row r="1077">
          <cell r="B1077" t="str">
            <v>Ô Loan - Tuy An Đông</v>
          </cell>
          <cell r="C1077" t="str">
            <v>Phú Yên</v>
          </cell>
          <cell r="D1077">
            <v>20734</v>
          </cell>
          <cell r="E1077" t="str">
            <v>Mạng cấp 4</v>
          </cell>
        </row>
        <row r="1078">
          <cell r="B1078" t="str">
            <v>Tuy An Đông - TTCMKV TX Sông Cầu</v>
          </cell>
          <cell r="C1078" t="str">
            <v>Phú Yên</v>
          </cell>
          <cell r="D1078">
            <v>25989</v>
          </cell>
          <cell r="E1078" t="str">
            <v>Mạng cấp 4</v>
          </cell>
        </row>
        <row r="1079">
          <cell r="B1079" t="str">
            <v>TTCMKV TX Sông Cầu - Xuân
Thọ</v>
          </cell>
          <cell r="C1079" t="str">
            <v>Phú Yên</v>
          </cell>
          <cell r="D1079">
            <v>6241</v>
          </cell>
          <cell r="E1079" t="str">
            <v>Mạng cấp 4</v>
          </cell>
        </row>
        <row r="1080">
          <cell r="B1080" t="str">
            <v>Xuân Thọ - Xuân Đài</v>
          </cell>
          <cell r="C1080" t="str">
            <v>Phú Yên</v>
          </cell>
          <cell r="D1080">
            <v>1815</v>
          </cell>
          <cell r="E1080" t="str">
            <v>Mạng cấp 4</v>
          </cell>
        </row>
        <row r="1081">
          <cell r="B1081" t="str">
            <v>Xuân Đài (Khu phố Triều Sơn
Đông, P.Xuân Đài) - Tuy An
Bắc (Thôn Chí Thạnh, X.Tuy An
Bắc)</v>
          </cell>
          <cell r="C1081" t="str">
            <v>Phú Yên</v>
          </cell>
          <cell r="D1081">
            <v>23843</v>
          </cell>
          <cell r="E1081" t="str">
            <v>Mạng cấp 4</v>
          </cell>
        </row>
        <row r="1082">
          <cell r="B1082" t="str">
            <v>Tuy An Bắc - Tuy An Tây</v>
          </cell>
          <cell r="C1082" t="str">
            <v>Phú Yên</v>
          </cell>
          <cell r="D1082">
            <v>11901</v>
          </cell>
          <cell r="E1082" t="str">
            <v>Mạng cấp 4</v>
          </cell>
        </row>
        <row r="1083">
          <cell r="B1083" t="str">
            <v>Tuy An Tây - TTCMKV Đồng
Xuân</v>
          </cell>
          <cell r="C1083" t="str">
            <v>Phú Yên</v>
          </cell>
          <cell r="D1083">
            <v>23285</v>
          </cell>
          <cell r="E1083" t="str">
            <v>Mạng cấp 4</v>
          </cell>
        </row>
        <row r="1084">
          <cell r="B1084" t="str">
            <v>TTCMKV Đồng Xuân - Phú Mỡ</v>
          </cell>
          <cell r="C1084" t="str">
            <v>Phú Yên</v>
          </cell>
          <cell r="D1084">
            <v>20726</v>
          </cell>
          <cell r="E1084" t="str">
            <v>Mạng cấp 4</v>
          </cell>
        </row>
        <row r="1085">
          <cell r="B1085" t="str">
            <v>Phú Mỡ - Xuân Phước</v>
          </cell>
          <cell r="C1085" t="str">
            <v>Phú Yên</v>
          </cell>
          <cell r="D1085">
            <v>12504</v>
          </cell>
          <cell r="E1085" t="str">
            <v>Mạng cấp 4</v>
          </cell>
        </row>
        <row r="1086">
          <cell r="B1086" t="str">
            <v>Xuân Phước - Vân Hòa</v>
          </cell>
          <cell r="C1086" t="str">
            <v>Phú Yên</v>
          </cell>
          <cell r="D1086">
            <v>29954</v>
          </cell>
          <cell r="E1086" t="str">
            <v>Mạng cấp 4</v>
          </cell>
        </row>
        <row r="1087">
          <cell r="B1087" t="str">
            <v>Vân Hòa - Tây Sơn</v>
          </cell>
          <cell r="C1087" t="str">
            <v>Phú Yên</v>
          </cell>
          <cell r="D1087">
            <v>27009</v>
          </cell>
          <cell r="E1087" t="str">
            <v>Mạng cấp 4</v>
          </cell>
        </row>
        <row r="1088">
          <cell r="B1088" t="str">
            <v>Tây Sơn - Suối Trai</v>
          </cell>
          <cell r="C1088" t="str">
            <v>Phú Yên</v>
          </cell>
          <cell r="D1088">
            <v>21426</v>
          </cell>
          <cell r="E1088" t="str">
            <v>Mạng cấp 4</v>
          </cell>
        </row>
        <row r="1089">
          <cell r="B1089" t="str">
            <v>Suối Trai - Sơn Hòa</v>
          </cell>
          <cell r="C1089" t="str">
            <v>Phú Yên</v>
          </cell>
          <cell r="D1089">
            <v>14349</v>
          </cell>
          <cell r="E1089" t="str">
            <v>Mạng cấp 4</v>
          </cell>
        </row>
        <row r="1090">
          <cell r="B1090" t="str">
            <v>Sơn Hòa - TTCMKV Sơn Hòa</v>
          </cell>
          <cell r="C1090" t="str">
            <v>Phú Yên</v>
          </cell>
          <cell r="D1090">
            <v>0</v>
          </cell>
          <cell r="E1090" t="str">
            <v>Mạng cấp 4</v>
          </cell>
        </row>
        <row r="1091">
          <cell r="B1091" t="str">
            <v>TTCMKV Sông Hinh - Ea Bá</v>
          </cell>
          <cell r="C1091" t="str">
            <v>Phú Yên</v>
          </cell>
          <cell r="D1091">
            <v>13300</v>
          </cell>
          <cell r="E1091" t="str">
            <v>Mạng cấp 4</v>
          </cell>
        </row>
        <row r="1092">
          <cell r="B1092" t="str">
            <v>Ea Bá - Ea Ly</v>
          </cell>
          <cell r="C1092" t="str">
            <v>Phú Yên</v>
          </cell>
          <cell r="D1092">
            <v>6351</v>
          </cell>
          <cell r="E1092" t="str">
            <v>Mạng cấp 4</v>
          </cell>
        </row>
        <row r="1093">
          <cell r="B1093" t="str">
            <v>Ea Ly  - TTCMKV Sông Hinh</v>
          </cell>
          <cell r="C1093" t="str">
            <v>Phú Yên</v>
          </cell>
          <cell r="D1093">
            <v>29081</v>
          </cell>
          <cell r="E1093" t="str">
            <v>Mạng cấp 4</v>
          </cell>
        </row>
        <row r="1094">
          <cell r="B1094" t="str">
            <v>TTCMKV Sông Hinh - Sông
Hinh</v>
          </cell>
          <cell r="C1094" t="str">
            <v>Phú Yên</v>
          </cell>
          <cell r="D1094">
            <v>0</v>
          </cell>
          <cell r="E1094" t="str">
            <v>Mạng cấp 4</v>
          </cell>
        </row>
        <row r="1095">
          <cell r="B1095" t="str">
            <v>Sông Hinh - Đức Bình</v>
          </cell>
          <cell r="C1095" t="str">
            <v>Phú Yên</v>
          </cell>
          <cell r="D1095">
            <v>10532</v>
          </cell>
          <cell r="E1095" t="str">
            <v>Mạng cấp 4</v>
          </cell>
        </row>
        <row r="1096">
          <cell r="B1096" t="str">
            <v>Đức Bình - Sơn Thành</v>
          </cell>
          <cell r="C1096" t="str">
            <v>Phú Yên</v>
          </cell>
          <cell r="D1096">
            <v>27662</v>
          </cell>
          <cell r="E1096" t="str">
            <v>Mạng cấp 4</v>
          </cell>
        </row>
        <row r="1097">
          <cell r="B1097" t="str">
            <v>Sơn Thành - Hòa Mỹ</v>
          </cell>
          <cell r="C1097" t="str">
            <v>Phú Yên</v>
          </cell>
          <cell r="D1097">
            <v>11445</v>
          </cell>
          <cell r="E1097" t="str">
            <v>Mạng cấp 4</v>
          </cell>
        </row>
        <row r="1098">
          <cell r="B1098" t="str">
            <v>Hòa Mỹ - Hòa Thịnh</v>
          </cell>
          <cell r="C1098" t="str">
            <v>Phú Yên</v>
          </cell>
          <cell r="D1098">
            <v>13688</v>
          </cell>
          <cell r="E1098" t="str">
            <v>Mạng cấp 4</v>
          </cell>
        </row>
        <row r="1099">
          <cell r="B1099" t="str">
            <v>Hòa Thịnh - TTCMKV Tây Hòa</v>
          </cell>
          <cell r="C1099" t="str">
            <v>Phú Yên</v>
          </cell>
          <cell r="D1099">
            <v>10246</v>
          </cell>
          <cell r="E1099" t="str">
            <v>Mạng cấp 4</v>
          </cell>
        </row>
        <row r="1100">
          <cell r="B1100" t="str">
            <v>TTCMKV Tây Hòa - Tây Hòa</v>
          </cell>
          <cell r="C1100" t="str">
            <v>Phú Yên</v>
          </cell>
          <cell r="E1100" t="str">
            <v>Mạng cấp 4</v>
          </cell>
        </row>
        <row r="1101">
          <cell r="B1101" t="str">
            <v>Tây Hòa - Phú Hòa 1</v>
          </cell>
          <cell r="C1101" t="str">
            <v>Phú Yên</v>
          </cell>
          <cell r="D1101">
            <v>8015</v>
          </cell>
          <cell r="E1101" t="str">
            <v>Mạng cấp 4</v>
          </cell>
        </row>
        <row r="1102">
          <cell r="B1102" t="str">
            <v>Phú Hòa 1 - TTCMKV Phú Hòa</v>
          </cell>
          <cell r="C1102" t="str">
            <v>Phú Yên</v>
          </cell>
          <cell r="E1102" t="str">
            <v>Mạng cấp 4</v>
          </cell>
        </row>
        <row r="1103">
          <cell r="B1103" t="str">
            <v>TTCMKV Phú Hòa - Phú Hòa 2</v>
          </cell>
          <cell r="C1103" t="str">
            <v>Phú Yên</v>
          </cell>
          <cell r="D1103">
            <v>14364</v>
          </cell>
          <cell r="E1103" t="str">
            <v>Mạng cấp 4</v>
          </cell>
        </row>
        <row r="1104">
          <cell r="B1104" t="str">
            <v>Phú Hòa 2 - Phú Yên</v>
          </cell>
          <cell r="C1104" t="str">
            <v>Phú Yên</v>
          </cell>
          <cell r="D1104">
            <v>20921</v>
          </cell>
          <cell r="E1104" t="str">
            <v>Mạng cấp 4</v>
          </cell>
        </row>
        <row r="1105">
          <cell r="B1105" t="str">
            <v>Phú Yên - CAT Phú Yên</v>
          </cell>
          <cell r="C1105" t="str">
            <v>Phú Yên</v>
          </cell>
          <cell r="D1105">
            <v>9904</v>
          </cell>
          <cell r="E1105" t="str">
            <v>Mạng cấp 4</v>
          </cell>
        </row>
        <row r="1106">
          <cell r="B1106" t="str">
            <v>TTCMKV Tây Hòa - Đông Hòa</v>
          </cell>
          <cell r="C1106" t="str">
            <v>Phú Yên</v>
          </cell>
          <cell r="D1106">
            <v>10177</v>
          </cell>
          <cell r="E1106" t="str">
            <v>Mạng cấp 4</v>
          </cell>
        </row>
        <row r="1107">
          <cell r="B1107" t="str">
            <v>Đông Hòa - Hòa Xuân</v>
          </cell>
          <cell r="C1107" t="str">
            <v>Phú Yên</v>
          </cell>
          <cell r="D1107">
            <v>11543</v>
          </cell>
          <cell r="E1107" t="str">
            <v>Mạng cấp 4</v>
          </cell>
        </row>
        <row r="1108">
          <cell r="B1108" t="str">
            <v>Hòa Xuân - Hòa Hiệp</v>
          </cell>
          <cell r="C1108" t="str">
            <v>Phú Yên</v>
          </cell>
          <cell r="D1108">
            <v>15784</v>
          </cell>
          <cell r="E1108" t="str">
            <v>Mạng cấp 4</v>
          </cell>
        </row>
        <row r="1109">
          <cell r="B1109" t="str">
            <v>Hòa Hiệp - Hòa Hiệp CS2</v>
          </cell>
          <cell r="C1109" t="str">
            <v>Phú Yên</v>
          </cell>
          <cell r="D1109">
            <v>3616</v>
          </cell>
          <cell r="E1109" t="str">
            <v>Mạng cấp 4</v>
          </cell>
        </row>
        <row r="1110">
          <cell r="B1110" t="str">
            <v>Hòa Hiệp CS2 - CAT Phú Yên</v>
          </cell>
          <cell r="C1110" t="str">
            <v>Phú Yên</v>
          </cell>
          <cell r="D1110">
            <v>23792</v>
          </cell>
          <cell r="E1110" t="str">
            <v>Mạng cấp 4</v>
          </cell>
        </row>
        <row r="1111">
          <cell r="B1111" t="str">
            <v>TT Phan Rang - Đông Hải</v>
          </cell>
          <cell r="C1111" t="str">
            <v>Khánh Hòa</v>
          </cell>
          <cell r="D1111">
            <v>6121.8</v>
          </cell>
          <cell r="E1111" t="str">
            <v>Mạng cấp 4</v>
          </cell>
        </row>
        <row r="1112">
          <cell r="B1112" t="str">
            <v>Đông Hải - Phước Dinh</v>
          </cell>
          <cell r="C1112" t="str">
            <v>Khánh Hòa</v>
          </cell>
          <cell r="D1112">
            <v>18004.8</v>
          </cell>
          <cell r="E1112" t="str">
            <v>Mạng cấp 4</v>
          </cell>
        </row>
        <row r="1113">
          <cell r="B1113" t="str">
            <v>Phước Dinh - Thuận Nam</v>
          </cell>
          <cell r="C1113" t="str">
            <v>Khánh Hòa</v>
          </cell>
          <cell r="D1113">
            <v>17638</v>
          </cell>
          <cell r="E1113" t="str">
            <v>Mạng cấp 4</v>
          </cell>
        </row>
        <row r="1114">
          <cell r="B1114" t="str">
            <v>Thuận Nam - Cà Ná</v>
          </cell>
          <cell r="C1114" t="str">
            <v>Khánh Hòa</v>
          </cell>
          <cell r="D1114">
            <v>18574.400000000001</v>
          </cell>
          <cell r="E1114" t="str">
            <v>Mạng cấp 4</v>
          </cell>
        </row>
        <row r="1115">
          <cell r="B1115" t="str">
            <v>Cà Ná - Nhị Hà</v>
          </cell>
          <cell r="C1115" t="str">
            <v>Khánh Hòa</v>
          </cell>
          <cell r="D1115">
            <v>26466.400000000001</v>
          </cell>
          <cell r="E1115" t="str">
            <v>Mạng cấp 4</v>
          </cell>
        </row>
        <row r="1116">
          <cell r="B1116" t="str">
            <v>Nhị Hà - Phước Hữu</v>
          </cell>
          <cell r="C1116" t="str">
            <v>Khánh Hòa</v>
          </cell>
          <cell r="D1116">
            <v>10807.3</v>
          </cell>
          <cell r="E1116" t="str">
            <v>Mạng cấp 4</v>
          </cell>
        </row>
        <row r="1117">
          <cell r="B1117" t="str">
            <v>Ninh Phước - PC11B (phân trại NP)</v>
          </cell>
          <cell r="C1117" t="str">
            <v>Khánh Hòa</v>
          </cell>
          <cell r="D1117">
            <v>651.4</v>
          </cell>
          <cell r="E1117" t="str">
            <v>Mạng cấp 4</v>
          </cell>
        </row>
        <row r="1118">
          <cell r="B1118" t="str">
            <v>PC11B (phân trại NP) - Đội 15/1, Phòng PC08</v>
          </cell>
          <cell r="C1118" t="str">
            <v>Khánh Hòa</v>
          </cell>
          <cell r="D1118">
            <v>1220</v>
          </cell>
          <cell r="E1118" t="str">
            <v>Mạng cấp 4</v>
          </cell>
        </row>
        <row r="1119">
          <cell r="B1119" t="str">
            <v>Đội 15/1, Phòng PC08 - Phước Hữu</v>
          </cell>
          <cell r="C1119" t="str">
            <v>Khánh Hòa</v>
          </cell>
          <cell r="D1119">
            <v>5382</v>
          </cell>
          <cell r="E1119" t="str">
            <v>Mạng cấp 4</v>
          </cell>
        </row>
        <row r="1120">
          <cell r="B1120" t="str">
            <v>Phước Hữu - Phước Sơn</v>
          </cell>
          <cell r="C1120" t="str">
            <v>Khánh Hòa</v>
          </cell>
          <cell r="D1120">
            <v>17524</v>
          </cell>
          <cell r="E1120" t="str">
            <v>Mạng cấp 4</v>
          </cell>
        </row>
        <row r="1121">
          <cell r="B1121" t="str">
            <v>Ninh Sơn - Lâm Sơn</v>
          </cell>
          <cell r="C1121" t="str">
            <v>Khánh Hòa</v>
          </cell>
          <cell r="D1121">
            <v>8049</v>
          </cell>
          <cell r="E1121" t="str">
            <v>Mạng cấp 4</v>
          </cell>
        </row>
        <row r="1122">
          <cell r="B1122" t="str">
            <v>Lâm Sơn - PC08 (trạm 27/1)</v>
          </cell>
          <cell r="C1122" t="str">
            <v>Khánh Hòa</v>
          </cell>
          <cell r="D1122">
            <v>2040.5</v>
          </cell>
          <cell r="E1122" t="str">
            <v>Mạng cấp 4</v>
          </cell>
        </row>
        <row r="1123">
          <cell r="B1123" t="str">
            <v>Anh Dũng - Ninh Sơn</v>
          </cell>
          <cell r="C1123" t="str">
            <v>Khánh Hòa</v>
          </cell>
          <cell r="D1123">
            <v>21660</v>
          </cell>
          <cell r="E1123" t="str">
            <v>Mạng cấp 4</v>
          </cell>
        </row>
        <row r="1124">
          <cell r="B1124" t="str">
            <v>Ninh Sơn - Mỹ Sơn</v>
          </cell>
          <cell r="C1124" t="str">
            <v>Khánh Hòa</v>
          </cell>
          <cell r="D1124">
            <v>16398.599999999999</v>
          </cell>
          <cell r="E1124" t="str">
            <v>Mạng cấp 4</v>
          </cell>
        </row>
        <row r="1125">
          <cell r="B1125" t="str">
            <v>Mỹ Sơn - Đô Vinh</v>
          </cell>
          <cell r="C1125" t="str">
            <v>Khánh Hòa</v>
          </cell>
          <cell r="D1125">
            <v>13790.9</v>
          </cell>
          <cell r="E1125" t="str">
            <v>Mạng cấp 4</v>
          </cell>
        </row>
        <row r="1126">
          <cell r="B1126" t="str">
            <v>Đô Vinh - Bảo An</v>
          </cell>
          <cell r="C1126" t="str">
            <v>Khánh Hòa</v>
          </cell>
          <cell r="D1126">
            <v>3569</v>
          </cell>
          <cell r="E1126" t="str">
            <v>Mạng cấp 4</v>
          </cell>
        </row>
        <row r="1127">
          <cell r="B1127" t="str">
            <v>Ninh Sơn - Bác Ái Tây</v>
          </cell>
          <cell r="C1127" t="str">
            <v>Khánh Hòa</v>
          </cell>
          <cell r="D1127">
            <v>12837.2</v>
          </cell>
          <cell r="E1127" t="str">
            <v>Mạng cấp 4</v>
          </cell>
        </row>
        <row r="1128">
          <cell r="B1128" t="str">
            <v>Bác Ái Tây - Bác Ái Đông</v>
          </cell>
          <cell r="C1128" t="str">
            <v>Khánh Hòa</v>
          </cell>
          <cell r="D1128">
            <v>14613</v>
          </cell>
          <cell r="E1128" t="str">
            <v>Mạng cấp 4</v>
          </cell>
        </row>
        <row r="1129">
          <cell r="B1129" t="str">
            <v>Bác Ái Đông - Bác Ái</v>
          </cell>
          <cell r="C1129" t="str">
            <v>Khánh Hòa</v>
          </cell>
          <cell r="D1129">
            <v>6472</v>
          </cell>
          <cell r="E1129" t="str">
            <v>Mạng cấp 4</v>
          </cell>
        </row>
        <row r="1130">
          <cell r="B1130" t="str">
            <v>Bác Ái - Mỹ Sơn (Phước Trung)</v>
          </cell>
          <cell r="C1130" t="str">
            <v>Khánh Hòa</v>
          </cell>
          <cell r="D1130">
            <v>13310</v>
          </cell>
          <cell r="E1130" t="str">
            <v>Mạng cấp 4</v>
          </cell>
        </row>
        <row r="1131">
          <cell r="B1131" t="str">
            <v>Mỹ Sơn (Phước Trung) - Xuân Hải</v>
          </cell>
          <cell r="C1131" t="str">
            <v>Khánh Hòa</v>
          </cell>
          <cell r="D1131">
            <v>11862.1</v>
          </cell>
          <cell r="E1131" t="str">
            <v>Mạng cấp 4</v>
          </cell>
        </row>
        <row r="1132">
          <cell r="B1132" t="str">
            <v>Bác Ái - Bác Ái Tây</v>
          </cell>
          <cell r="C1132" t="str">
            <v>Khánh Hòa</v>
          </cell>
          <cell r="D1132">
            <v>13599.3</v>
          </cell>
          <cell r="E1132" t="str">
            <v>Mạng cấp 4</v>
          </cell>
        </row>
        <row r="1133">
          <cell r="B1133" t="str">
            <v>Bác Ái Tây -  PC08 (trạm Tà Lú 2)</v>
          </cell>
          <cell r="C1133" t="str">
            <v>Khánh Hòa</v>
          </cell>
          <cell r="D1133">
            <v>14471</v>
          </cell>
          <cell r="E1133" t="str">
            <v>Mạng cấp 4</v>
          </cell>
        </row>
        <row r="1134">
          <cell r="B1134" t="str">
            <v xml:space="preserve"> PC08 (trạm Tà Lú 2) - Bác Ái Đông</v>
          </cell>
          <cell r="C1134" t="str">
            <v>Khánh Hòa</v>
          </cell>
          <cell r="D1134">
            <v>661</v>
          </cell>
          <cell r="E1134" t="str">
            <v>Mạng cấp 4</v>
          </cell>
        </row>
        <row r="1135">
          <cell r="B1135" t="str">
            <v>Thuận Bắc - PC11B</v>
          </cell>
          <cell r="C1135" t="str">
            <v>Khánh Hòa</v>
          </cell>
          <cell r="D1135">
            <v>7291.2</v>
          </cell>
          <cell r="E1135" t="str">
            <v>Mạng cấp 4</v>
          </cell>
        </row>
        <row r="1136">
          <cell r="B1136" t="str">
            <v>PC11B - Công Hải</v>
          </cell>
          <cell r="C1136" t="str">
            <v>Khánh Hòa</v>
          </cell>
          <cell r="D1136">
            <v>5586</v>
          </cell>
          <cell r="E1136" t="str">
            <v>Mạng cấp 4</v>
          </cell>
        </row>
        <row r="1137">
          <cell r="B1137" t="str">
            <v>Công Hải - PC08 (Suối Giếng)</v>
          </cell>
          <cell r="C1137" t="str">
            <v>Khánh Hòa</v>
          </cell>
          <cell r="D1137">
            <v>4826.1000000000004</v>
          </cell>
          <cell r="E1137" t="str">
            <v>Mạng cấp 4</v>
          </cell>
        </row>
        <row r="1138">
          <cell r="B1138" t="str">
            <v>PC08 (Suối Giếng) - Ninh Hải (Bắc Sơn)</v>
          </cell>
          <cell r="C1138" t="str">
            <v>Khánh Hòa</v>
          </cell>
          <cell r="D1138">
            <v>20199.3</v>
          </cell>
          <cell r="E1138" t="str">
            <v>Mạng cấp 4</v>
          </cell>
        </row>
        <row r="1139">
          <cell r="B1139" t="str">
            <v>Ninh Chử - PX01</v>
          </cell>
          <cell r="C1139" t="str">
            <v>Khánh Hòa</v>
          </cell>
          <cell r="D1139">
            <v>820</v>
          </cell>
          <cell r="E1139" t="str">
            <v>Mạng cấp 4</v>
          </cell>
        </row>
        <row r="1140">
          <cell r="B1140" t="str">
            <v>PX01 - Xuân Hải</v>
          </cell>
          <cell r="C1140" t="str">
            <v>Khánh Hòa</v>
          </cell>
          <cell r="D1140">
            <v>9622.2000000000007</v>
          </cell>
          <cell r="E1140" t="str">
            <v>Mạng cấp 4</v>
          </cell>
        </row>
        <row r="1141">
          <cell r="B1141" t="str">
            <v>Ninh Chử - Ninh Hải (Tri Hải)</v>
          </cell>
          <cell r="C1141" t="str">
            <v>Khánh Hòa</v>
          </cell>
          <cell r="D1141">
            <v>3511</v>
          </cell>
          <cell r="E1141" t="str">
            <v>Mạng cấp 4</v>
          </cell>
        </row>
        <row r="1142">
          <cell r="B1142" t="str">
            <v>Ninh Hải (Tri Hải) - Vĩnh Hải (Nhơn Hải)</v>
          </cell>
          <cell r="C1142" t="str">
            <v>Khánh Hòa</v>
          </cell>
          <cell r="D1142">
            <v>7787</v>
          </cell>
          <cell r="E1142" t="str">
            <v>Mạng cấp 4</v>
          </cell>
        </row>
        <row r="1143">
          <cell r="B1143" t="str">
            <v>Vĩnh Hải (Nhơn Hải) - Vĩnh Hải(Thái An)</v>
          </cell>
          <cell r="C1143" t="str">
            <v>Khánh Hòa</v>
          </cell>
          <cell r="D1143">
            <v>13447.3</v>
          </cell>
          <cell r="E1143" t="str">
            <v>Mạng cấp 4</v>
          </cell>
        </row>
        <row r="1144">
          <cell r="B1144" t="str">
            <v>Vĩnh Hải (Thái An) - Ninh Hải (Bắc Sơn)</v>
          </cell>
          <cell r="C1144" t="str">
            <v>Khánh Hòa</v>
          </cell>
          <cell r="D1144">
            <v>22357</v>
          </cell>
          <cell r="E1144" t="str">
            <v>Mạng cấp 4</v>
          </cell>
        </row>
        <row r="1145">
          <cell r="B1145" t="str">
            <v>Ninh Chử - PH10</v>
          </cell>
          <cell r="C1145" t="str">
            <v>Khánh Hòa</v>
          </cell>
          <cell r="D1145">
            <v>2218.4</v>
          </cell>
          <cell r="E1145" t="str">
            <v>Mạng cấp 4</v>
          </cell>
        </row>
        <row r="1146">
          <cell r="B1146" t="str">
            <v>PH10 - T90</v>
          </cell>
          <cell r="C1146" t="str">
            <v>Khánh Hòa</v>
          </cell>
          <cell r="D1146">
            <v>7310.3</v>
          </cell>
          <cell r="E1146" t="str">
            <v>Mạng cấp 4</v>
          </cell>
        </row>
        <row r="1147">
          <cell r="B1147" t="str">
            <v>T90 - Đông Hải</v>
          </cell>
          <cell r="C1147" t="str">
            <v>Khánh Hòa</v>
          </cell>
          <cell r="D1147">
            <v>3954.4</v>
          </cell>
          <cell r="E1147" t="str">
            <v>Mạng cấp 4</v>
          </cell>
        </row>
        <row r="1148">
          <cell r="B1148" t="str">
            <v>CAT Khánh Hòa - CA Nam Nha Trang</v>
          </cell>
          <cell r="C1148" t="str">
            <v>Khánh Hòa</v>
          </cell>
          <cell r="D1148">
            <v>3661</v>
          </cell>
          <cell r="E1148" t="str">
            <v>Mạng cấp 4</v>
          </cell>
        </row>
        <row r="1149">
          <cell r="B1149" t="str">
            <v>CA Nam Nha Trang - CA Nha Trang</v>
          </cell>
          <cell r="C1149" t="str">
            <v>Khánh Hòa</v>
          </cell>
          <cell r="D1149">
            <v>6086</v>
          </cell>
          <cell r="E1149" t="str">
            <v>Mạng cấp 4</v>
          </cell>
        </row>
        <row r="1150">
          <cell r="B1150" t="str">
            <v>CA Nha Trang - CA Tây Nha Trang</v>
          </cell>
          <cell r="C1150" t="str">
            <v>Khánh Hòa</v>
          </cell>
          <cell r="D1150">
            <v>1454</v>
          </cell>
          <cell r="E1150" t="str">
            <v>Mạng cấp 4</v>
          </cell>
        </row>
        <row r="1151">
          <cell r="B1151" t="str">
            <v>CA Tây Nha Trang - TTCMKV Diên Khánh</v>
          </cell>
          <cell r="C1151" t="str">
            <v>Khánh Hòa</v>
          </cell>
          <cell r="D1151">
            <v>10818</v>
          </cell>
          <cell r="E1151" t="str">
            <v>Mạng cấp 4</v>
          </cell>
        </row>
        <row r="1152">
          <cell r="B1152" t="str">
            <v>CA Cam Ranh - CA Bắc Cam Ranh</v>
          </cell>
          <cell r="C1152" t="str">
            <v>Khánh Hòa</v>
          </cell>
          <cell r="D1152">
            <v>7849</v>
          </cell>
          <cell r="E1152" t="str">
            <v>Mạng cấp 4</v>
          </cell>
        </row>
        <row r="1153">
          <cell r="B1153" t="str">
            <v>CA Bắc Cam Ranh - CA Cam An</v>
          </cell>
          <cell r="C1153" t="str">
            <v>Khánh Hòa</v>
          </cell>
          <cell r="D1153">
            <v>14531</v>
          </cell>
          <cell r="E1153" t="str">
            <v>Mạng cấp 4</v>
          </cell>
        </row>
        <row r="1154">
          <cell r="B1154" t="str">
            <v>CA Cam An - CA Cam Hiệp</v>
          </cell>
          <cell r="C1154" t="str">
            <v>Khánh Hòa</v>
          </cell>
          <cell r="D1154">
            <v>9960</v>
          </cell>
          <cell r="E1154" t="str">
            <v>Mạng cấp 4</v>
          </cell>
        </row>
        <row r="1155">
          <cell r="B1155" t="str">
            <v>CA Cam Hiệp - CA Cam Lâm</v>
          </cell>
          <cell r="C1155" t="str">
            <v>Khánh Hòa</v>
          </cell>
          <cell r="D1155">
            <v>10544</v>
          </cell>
          <cell r="E1155" t="str">
            <v>Mạng cấp 4</v>
          </cell>
        </row>
        <row r="1156">
          <cell r="B1156" t="str">
            <v>CA Cam Ranh - CA Cam Linh</v>
          </cell>
          <cell r="C1156" t="str">
            <v>Khánh Hòa</v>
          </cell>
          <cell r="D1156">
            <v>3073</v>
          </cell>
          <cell r="E1156" t="str">
            <v>Mạng cấp 4</v>
          </cell>
        </row>
        <row r="1157">
          <cell r="B1157" t="str">
            <v>CA Cam Linh - CA Ba Ngòi</v>
          </cell>
          <cell r="C1157" t="str">
            <v>Khánh Hòa</v>
          </cell>
          <cell r="D1157">
            <v>6061</v>
          </cell>
          <cell r="E1157" t="str">
            <v>Mạng cấp 4</v>
          </cell>
        </row>
        <row r="1158">
          <cell r="B1158" t="str">
            <v>CA Ba Ngòi - CA Nam Cam Ranh</v>
          </cell>
          <cell r="C1158" t="str">
            <v>Khánh Hòa</v>
          </cell>
          <cell r="D1158">
            <v>13432</v>
          </cell>
          <cell r="E1158" t="str">
            <v>Mạng cấp 4</v>
          </cell>
        </row>
        <row r="1159">
          <cell r="B1159" t="str">
            <v>CA Nam Cam Ranh - CA Cam Ranh</v>
          </cell>
          <cell r="C1159" t="str">
            <v>Khánh Hòa</v>
          </cell>
          <cell r="D1159">
            <v>14287</v>
          </cell>
          <cell r="E1159" t="str">
            <v>Mạng cấp 4</v>
          </cell>
        </row>
        <row r="1160">
          <cell r="B1160" t="str">
            <v>CA Ninh Hòa - CA Đông Ninh Hòa</v>
          </cell>
          <cell r="C1160" t="str">
            <v>Khánh Hòa</v>
          </cell>
          <cell r="D1160">
            <v>12957</v>
          </cell>
          <cell r="E1160" t="str">
            <v>Mạng cấp 4</v>
          </cell>
        </row>
        <row r="1161">
          <cell r="B1161" t="str">
            <v>CA Đông Ninh Hòa - CA Bắc Ninh Hòa</v>
          </cell>
          <cell r="C1161" t="str">
            <v>Khánh Hòa</v>
          </cell>
          <cell r="D1161">
            <v>8175</v>
          </cell>
          <cell r="E1161" t="str">
            <v>Mạng cấp 4</v>
          </cell>
        </row>
        <row r="1162">
          <cell r="B1162" t="str">
            <v>CA Bắc Ninh Hòa - CA Vạn Hưng</v>
          </cell>
          <cell r="C1162" t="str">
            <v>Khánh Hòa</v>
          </cell>
          <cell r="D1162">
            <v>17789</v>
          </cell>
          <cell r="E1162" t="str">
            <v>Mạng cấp 4</v>
          </cell>
        </row>
        <row r="1163">
          <cell r="B1163" t="str">
            <v>CA Vạn Hưng - CA Vạn Ninh</v>
          </cell>
          <cell r="C1163" t="str">
            <v>Khánh Hòa</v>
          </cell>
          <cell r="D1163">
            <v>13282</v>
          </cell>
          <cell r="E1163" t="str">
            <v>Mạng cấp 4</v>
          </cell>
        </row>
        <row r="1164">
          <cell r="B1164" t="str">
            <v>CA Ninh Hòa - CA Hòa Thắng</v>
          </cell>
          <cell r="C1164" t="str">
            <v>Khánh Hòa</v>
          </cell>
          <cell r="D1164">
            <v>4258</v>
          </cell>
          <cell r="E1164" t="str">
            <v>Mạng cấp 4</v>
          </cell>
        </row>
        <row r="1165">
          <cell r="B1165" t="str">
            <v>CA Hòa Thắng - CA Tân Định</v>
          </cell>
          <cell r="C1165" t="str">
            <v>Khánh Hòa</v>
          </cell>
          <cell r="D1165">
            <v>3461</v>
          </cell>
          <cell r="E1165" t="str">
            <v>Mạng cấp 4</v>
          </cell>
        </row>
        <row r="1166">
          <cell r="B1166" t="str">
            <v>CA Tân Định - CA Ninh Hòa</v>
          </cell>
          <cell r="C1166" t="str">
            <v>Khánh Hòa</v>
          </cell>
          <cell r="D1166">
            <v>5536</v>
          </cell>
          <cell r="E1166" t="str">
            <v>Mạng cấp 4</v>
          </cell>
        </row>
        <row r="1167">
          <cell r="B1167" t="str">
            <v>CA Ninh Hòa - CA Nam Ninh Hòa</v>
          </cell>
          <cell r="C1167" t="str">
            <v>Khánh Hòa</v>
          </cell>
          <cell r="D1167">
            <v>10372</v>
          </cell>
          <cell r="E1167" t="str">
            <v>Mạng cấp 4</v>
          </cell>
        </row>
        <row r="1168">
          <cell r="B1168" t="str">
            <v>CA Nam Ninh Hòa - CA Tây Ninh Hòa</v>
          </cell>
          <cell r="C1168" t="str">
            <v>Khánh Hòa</v>
          </cell>
          <cell r="D1168">
            <v>23603</v>
          </cell>
          <cell r="E1168" t="str">
            <v>Mạng cấp 4</v>
          </cell>
        </row>
        <row r="1169">
          <cell r="B1169" t="str">
            <v>CA Tây Ninh Hòa - CA Hòa Trí</v>
          </cell>
          <cell r="C1169" t="str">
            <v>Khánh Hòa</v>
          </cell>
          <cell r="D1169">
            <v>13032</v>
          </cell>
          <cell r="E1169" t="str">
            <v>Mạng cấp 4</v>
          </cell>
        </row>
        <row r="1170">
          <cell r="B1170" t="str">
            <v>CA Hòa Trí - CA Ninh Hòa</v>
          </cell>
          <cell r="C1170" t="str">
            <v>Khánh Hòa</v>
          </cell>
          <cell r="D1170">
            <v>13634</v>
          </cell>
          <cell r="E1170" t="str">
            <v>Mạng cấp 4</v>
          </cell>
        </row>
        <row r="1171">
          <cell r="B1171" t="str">
            <v>CA Vạn Ninh - CA Vạn Thắng</v>
          </cell>
          <cell r="C1171" t="str">
            <v>Khánh Hòa</v>
          </cell>
          <cell r="D1171">
            <v>2910</v>
          </cell>
          <cell r="E1171" t="str">
            <v>Mạng cấp 4</v>
          </cell>
        </row>
        <row r="1172">
          <cell r="B1172" t="str">
            <v>CA Vạn Thắng - CA Tu Bông</v>
          </cell>
          <cell r="C1172" t="str">
            <v>Khánh Hòa</v>
          </cell>
          <cell r="D1172">
            <v>12136</v>
          </cell>
          <cell r="E1172" t="str">
            <v>Mạng cấp 4</v>
          </cell>
        </row>
        <row r="1173">
          <cell r="B1173" t="str">
            <v>CA Tu Bông - CA Đại Lãnh</v>
          </cell>
          <cell r="C1173" t="str">
            <v>Khánh Hòa</v>
          </cell>
          <cell r="D1173">
            <v>6628</v>
          </cell>
          <cell r="E1173" t="str">
            <v>Mạng cấp 4</v>
          </cell>
        </row>
        <row r="1174">
          <cell r="B1174" t="str">
            <v>CA Đại Lãnh - CA Vạn Ninh</v>
          </cell>
          <cell r="C1174" t="str">
            <v>Khánh Hòa</v>
          </cell>
          <cell r="D1174">
            <v>22071</v>
          </cell>
          <cell r="E1174" t="str">
            <v>Mạng cấp 4</v>
          </cell>
        </row>
        <row r="1175">
          <cell r="B1175" t="str">
            <v>CA Diên Khánh - CA Diên Điền</v>
          </cell>
          <cell r="C1175" t="str">
            <v>Khánh Hòa</v>
          </cell>
          <cell r="D1175">
            <v>4351</v>
          </cell>
          <cell r="E1175" t="str">
            <v>Mạng cấp 4</v>
          </cell>
        </row>
        <row r="1176">
          <cell r="B1176" t="str">
            <v>CA Diên Điền - CA Bắc Nha Trang</v>
          </cell>
          <cell r="C1176" t="str">
            <v>Khánh Hòa</v>
          </cell>
          <cell r="D1176">
            <v>11086</v>
          </cell>
          <cell r="E1176" t="str">
            <v>Mạng cấp 4</v>
          </cell>
        </row>
        <row r="1177">
          <cell r="B1177" t="str">
            <v>CA Bắc Nha Trang - CAT Khánh Hòa</v>
          </cell>
          <cell r="C1177" t="str">
            <v>Khánh Hòa</v>
          </cell>
          <cell r="D1177">
            <v>7364</v>
          </cell>
          <cell r="E1177" t="str">
            <v>Mạng cấp 4</v>
          </cell>
        </row>
        <row r="1178">
          <cell r="B1178" t="str">
            <v>CA Diên Khánh - CA Diên Lạc</v>
          </cell>
          <cell r="C1178" t="str">
            <v>Khánh Hòa</v>
          </cell>
          <cell r="D1178">
            <v>2931</v>
          </cell>
          <cell r="E1178" t="str">
            <v>Mạng cấp 4</v>
          </cell>
        </row>
        <row r="1179">
          <cell r="B1179" t="str">
            <v>CA Diên Lạc - CA Diên Lâm</v>
          </cell>
          <cell r="C1179" t="str">
            <v>Khánh Hòa</v>
          </cell>
          <cell r="D1179">
            <v>5131</v>
          </cell>
          <cell r="E1179" t="str">
            <v>Mạng cấp 4</v>
          </cell>
        </row>
        <row r="1180">
          <cell r="B1180" t="str">
            <v>CA Diên Lâm - CA Bắc Khánh Vĩnh</v>
          </cell>
          <cell r="C1180" t="str">
            <v>Khánh Hòa</v>
          </cell>
          <cell r="D1180">
            <v>15117</v>
          </cell>
          <cell r="E1180" t="str">
            <v>Mạng cấp 4</v>
          </cell>
        </row>
        <row r="1181">
          <cell r="B1181" t="str">
            <v>CA Bắc Khánh Vĩnh - CA Trung Khánh Vĩnh</v>
          </cell>
          <cell r="C1181" t="str">
            <v>Khánh Hòa</v>
          </cell>
          <cell r="D1181">
            <v>6131</v>
          </cell>
          <cell r="E1181" t="str">
            <v>Mạng cấp 4</v>
          </cell>
        </row>
        <row r="1182">
          <cell r="B1182" t="str">
            <v>CA Trung Khánh Vĩnh - CA Khánh Vĩnh</v>
          </cell>
          <cell r="C1182" t="str">
            <v>Khánh Hòa</v>
          </cell>
          <cell r="D1182">
            <v>15800</v>
          </cell>
          <cell r="E1182" t="str">
            <v>Mạng cấp 4</v>
          </cell>
        </row>
        <row r="1183">
          <cell r="B1183" t="str">
            <v>CA Bắc Khánh Vĩnh - Trung tâm Cai nghiện Khánh Bình</v>
          </cell>
          <cell r="C1183" t="str">
            <v>Khánh Hòa</v>
          </cell>
          <cell r="D1183">
            <v>7540</v>
          </cell>
          <cell r="E1183" t="str">
            <v>Mạng cấp 4</v>
          </cell>
        </row>
        <row r="1184">
          <cell r="B1184" t="str">
            <v>CA Diên Khánh - CA Suối Hiệp</v>
          </cell>
          <cell r="C1184" t="str">
            <v>Khánh Hòa</v>
          </cell>
          <cell r="D1184">
            <v>5506</v>
          </cell>
          <cell r="E1184" t="str">
            <v>Mạng cấp 4</v>
          </cell>
        </row>
        <row r="1185">
          <cell r="B1185" t="str">
            <v>CA Suối Hiệp - CA Suối Dầu</v>
          </cell>
          <cell r="C1185" t="str">
            <v>Khánh Hòa</v>
          </cell>
          <cell r="D1185">
            <v>4625</v>
          </cell>
          <cell r="E1185" t="str">
            <v>Mạng cấp 4</v>
          </cell>
        </row>
        <row r="1186">
          <cell r="B1186" t="str">
            <v>CA Suối Dầu - CA Diên Thọ</v>
          </cell>
          <cell r="C1186" t="str">
            <v>Khánh Hòa</v>
          </cell>
          <cell r="D1186">
            <v>15241</v>
          </cell>
          <cell r="E1186" t="str">
            <v>Mạng cấp 4</v>
          </cell>
        </row>
        <row r="1187">
          <cell r="B1187" t="str">
            <v>CA Diên Thọ - CA Diên Khánh</v>
          </cell>
          <cell r="C1187" t="str">
            <v>Khánh Hòa</v>
          </cell>
          <cell r="D1187">
            <v>15296</v>
          </cell>
          <cell r="E1187" t="str">
            <v>Mạng cấp 4</v>
          </cell>
        </row>
        <row r="1188">
          <cell r="B1188" t="str">
            <v>CA Khánh Vĩnh - CA Nam Khánh Vĩnh</v>
          </cell>
          <cell r="C1188" t="str">
            <v>Khánh Hòa</v>
          </cell>
          <cell r="D1188">
            <v>12667</v>
          </cell>
          <cell r="E1188" t="str">
            <v>Mạng cấp 4</v>
          </cell>
        </row>
        <row r="1189">
          <cell r="B1189" t="str">
            <v>CA Nam Khánh Vĩnh - CA Tây Khánh Vĩnh</v>
          </cell>
          <cell r="C1189" t="str">
            <v>Khánh Hòa</v>
          </cell>
          <cell r="D1189">
            <v>960</v>
          </cell>
          <cell r="E1189" t="str">
            <v>Mạng cấp 4</v>
          </cell>
        </row>
        <row r="1190">
          <cell r="B1190" t="str">
            <v>CA Tây Khánh Vĩnh - CA Khánh Vĩnh</v>
          </cell>
          <cell r="C1190" t="str">
            <v>Khánh Hòa</v>
          </cell>
          <cell r="D1190">
            <v>13620</v>
          </cell>
          <cell r="E1190" t="str">
            <v>Mạng cấp 4</v>
          </cell>
        </row>
        <row r="1191">
          <cell r="B1191" t="str">
            <v>CA Khánh Sơn - CA Tây Khánh Sơn</v>
          </cell>
          <cell r="C1191" t="str">
            <v>Khánh Hòa</v>
          </cell>
          <cell r="D1191">
            <v>12399</v>
          </cell>
          <cell r="E1191" t="str">
            <v>Mạng cấp 4</v>
          </cell>
        </row>
        <row r="1192">
          <cell r="B1192" t="str">
            <v>CA Tây Khánh Sơn - CA Đông Khánh Sơn</v>
          </cell>
          <cell r="C1192" t="str">
            <v>Khánh Hòa</v>
          </cell>
          <cell r="D1192">
            <v>15202</v>
          </cell>
          <cell r="E1192" t="str">
            <v>Mạng cấp 4</v>
          </cell>
        </row>
        <row r="1193">
          <cell r="B1193" t="str">
            <v>CA Đông Khánh Sơn - CA Cam Ranh</v>
          </cell>
          <cell r="C1193" t="str">
            <v>Khánh Hòa</v>
          </cell>
          <cell r="D1193">
            <v>35714</v>
          </cell>
          <cell r="E1193" t="str">
            <v>Mạng cấp 4</v>
          </cell>
        </row>
        <row r="1194">
          <cell r="B1194" t="str">
            <v>TTCMKV Cư Jút - PC07 khu vực</v>
          </cell>
          <cell r="D1194">
            <v>240</v>
          </cell>
          <cell r="E1194" t="str">
            <v>Mạng cấp 4</v>
          </cell>
        </row>
        <row r="1195">
          <cell r="B1195" t="str">
            <v>PC07 khu vực - Đắk Wil</v>
          </cell>
          <cell r="D1195">
            <v>21746</v>
          </cell>
          <cell r="E1195" t="str">
            <v>Mạng cấp 4</v>
          </cell>
        </row>
        <row r="1196">
          <cell r="B1196" t="str">
            <v>Đắk Wil - Nam Dong</v>
          </cell>
          <cell r="D1196">
            <v>8938</v>
          </cell>
          <cell r="E1196" t="str">
            <v>Mạng cấp 4</v>
          </cell>
        </row>
        <row r="1197">
          <cell r="B1197" t="str">
            <v>Nam Dong - Đắk Mil</v>
          </cell>
          <cell r="D1197">
            <v>30973</v>
          </cell>
          <cell r="E1197" t="str">
            <v>Mạng cấp 4</v>
          </cell>
        </row>
        <row r="1198">
          <cell r="B1198" t="str">
            <v>Đắk Mil - PC08 - Đội CSGT số 4</v>
          </cell>
          <cell r="D1198">
            <v>16388</v>
          </cell>
          <cell r="E1198" t="str">
            <v>Mạng cấp 4</v>
          </cell>
        </row>
        <row r="1199">
          <cell r="B1199" t="str">
            <v>PC08 - Đội CSGT số 4 - PC07 - Đội CC&amp;CNCH khu vực 14</v>
          </cell>
          <cell r="D1199">
            <v>2246</v>
          </cell>
          <cell r="E1199" t="str">
            <v>Mạng cấp 4</v>
          </cell>
        </row>
        <row r="1200">
          <cell r="B1200" t="str">
            <v>PC07 - Đội CC&amp;CNCH khu vực 14 - TTCMKV Đắk Mil</v>
          </cell>
          <cell r="D1200">
            <v>3506</v>
          </cell>
          <cell r="E1200" t="str">
            <v>Mạng cấp 4</v>
          </cell>
        </row>
        <row r="1201">
          <cell r="B1201" t="str">
            <v>TTCMKV Cư Jút - Nam Đà</v>
          </cell>
          <cell r="D1201">
            <v>14537</v>
          </cell>
          <cell r="E1201" t="str">
            <v>Mạng cấp 4</v>
          </cell>
        </row>
        <row r="1202">
          <cell r="B1202" t="str">
            <v>Nam Đà - Phòng PC08 - Đội CSGT Đường bộ số 4 - I</v>
          </cell>
          <cell r="D1202">
            <v>2934</v>
          </cell>
          <cell r="E1202" t="str">
            <v>Mạng cấp 4</v>
          </cell>
        </row>
        <row r="1203">
          <cell r="B1203" t="str">
            <v xml:space="preserve">Đội CSGT Đường bộ số 4 - I - Krông Nô </v>
          </cell>
          <cell r="D1203">
            <v>1532</v>
          </cell>
          <cell r="E1203" t="str">
            <v>Mạng cấp 4</v>
          </cell>
        </row>
        <row r="1204">
          <cell r="B1204" t="str">
            <v>TTCMKV Krông Nô - Nâm Nung</v>
          </cell>
          <cell r="D1204">
            <v>13745</v>
          </cell>
          <cell r="E1204" t="str">
            <v>Mạng cấp 4</v>
          </cell>
        </row>
        <row r="1205">
          <cell r="B1205" t="str">
            <v>Nâm Nung - Quảng Phú</v>
          </cell>
          <cell r="D1205">
            <v>23482</v>
          </cell>
          <cell r="E1205" t="str">
            <v>Mạng cấp 4</v>
          </cell>
        </row>
        <row r="1206">
          <cell r="B1206" t="str">
            <v>Quảng Phú - Quảng Hòa</v>
          </cell>
          <cell r="D1206">
            <v>30407</v>
          </cell>
          <cell r="E1206" t="str">
            <v>Mạng cấp 4</v>
          </cell>
        </row>
        <row r="1207">
          <cell r="B1207" t="str">
            <v>Quảng Hòa - Quảng Sơn</v>
          </cell>
          <cell r="D1207">
            <v>41299</v>
          </cell>
          <cell r="E1207" t="str">
            <v>Mạng cấp 4</v>
          </cell>
        </row>
        <row r="1208">
          <cell r="B1208" t="str">
            <v>TTCMKV Krông Nô - Đắk Sắk</v>
          </cell>
          <cell r="D1208">
            <v>30180</v>
          </cell>
          <cell r="E1208" t="str">
            <v>Mạng cấp 4</v>
          </cell>
        </row>
        <row r="1209">
          <cell r="B1209" t="str">
            <v>Đắk Sắk - Đắk Song</v>
          </cell>
          <cell r="D1209">
            <v>5859</v>
          </cell>
          <cell r="E1209" t="str">
            <v>Mạng cấp 4</v>
          </cell>
        </row>
        <row r="1210">
          <cell r="B1210" t="str">
            <v>Đắk Song - Thuận An</v>
          </cell>
          <cell r="D1210">
            <v>9576</v>
          </cell>
          <cell r="E1210" t="str">
            <v>Mạng cấp 4</v>
          </cell>
        </row>
        <row r="1211">
          <cell r="B1211" t="str">
            <v>Thuận An - Phòng PC02 - Tổ địa bàn số 2</v>
          </cell>
          <cell r="D1211">
            <v>4596</v>
          </cell>
          <cell r="E1211" t="str">
            <v>Mạng cấp 4</v>
          </cell>
        </row>
        <row r="1212">
          <cell r="B1212" t="str">
            <v>Phòng PC02 - Tổ địa bàn số 2 - TTCMKV Đắk Mil</v>
          </cell>
          <cell r="D1212">
            <v>7170</v>
          </cell>
          <cell r="E1212" t="str">
            <v>Mạng cấp 4</v>
          </cell>
        </row>
        <row r="1213">
          <cell r="B1213" t="str">
            <v>Đức An - Đội CSGT Đường bộ số 4 - II</v>
          </cell>
          <cell r="D1213">
            <v>524</v>
          </cell>
          <cell r="E1213" t="str">
            <v>Mạng cấp 4</v>
          </cell>
        </row>
        <row r="1214">
          <cell r="B1214" t="str">
            <v>Đội CSGT Đường bộ số 4 - II  - Trường Xuân</v>
          </cell>
          <cell r="D1214">
            <v>12122</v>
          </cell>
          <cell r="E1214" t="str">
            <v>Mạng cấp 4</v>
          </cell>
        </row>
        <row r="1215">
          <cell r="B1215" t="str">
            <v>Trường Xuân - TT2 LÂM ĐỒNG (GIA NGHĨA)</v>
          </cell>
          <cell r="D1215">
            <v>23618</v>
          </cell>
          <cell r="E1215" t="str">
            <v>Mạng cấp 4</v>
          </cell>
        </row>
        <row r="1216">
          <cell r="B1216" t="str">
            <v>TTCMKV Đắk Song - Thuận Hạnh</v>
          </cell>
          <cell r="D1216">
            <v>11418</v>
          </cell>
          <cell r="E1216" t="str">
            <v>Mạng cấp 4</v>
          </cell>
        </row>
        <row r="1217">
          <cell r="B1217" t="str">
            <v>Thuận Hạnh - Quảng Trực</v>
          </cell>
          <cell r="D1217">
            <v>23520</v>
          </cell>
          <cell r="E1217" t="str">
            <v>Mạng cấp 4</v>
          </cell>
        </row>
        <row r="1218">
          <cell r="B1218" t="str">
            <v>Quảng Trực - TTCMKV Tuy Đức</v>
          </cell>
          <cell r="D1218">
            <v>18662</v>
          </cell>
          <cell r="E1218" t="str">
            <v>Mạng cấp 4</v>
          </cell>
        </row>
        <row r="1219">
          <cell r="B1219" t="str">
            <v>Tuy Đức - PC08 đội 6</v>
          </cell>
          <cell r="D1219">
            <v>2217</v>
          </cell>
          <cell r="E1219" t="str">
            <v>Mạng cấp 4</v>
          </cell>
        </row>
        <row r="1220">
          <cell r="B1220" t="str">
            <v>PC08 đội 6 - CS Cai nghiện số 4</v>
          </cell>
          <cell r="D1220">
            <v>16414</v>
          </cell>
          <cell r="E1220" t="str">
            <v>Mạng cấp 4</v>
          </cell>
        </row>
        <row r="1221">
          <cell r="B1221" t="str">
            <v>Cơ sở cai nghiện số 4 - Quảng Tân</v>
          </cell>
          <cell r="D1221">
            <v>7171</v>
          </cell>
          <cell r="E1221" t="str">
            <v>Mạng cấp 4</v>
          </cell>
        </row>
        <row r="1222">
          <cell r="B1222" t="str">
            <v>Quảng Tân - TTCMKV Đắk R'Lấp</v>
          </cell>
          <cell r="D1222">
            <v>6438</v>
          </cell>
          <cell r="E1222" t="str">
            <v>Mạng cấp 4</v>
          </cell>
        </row>
        <row r="1223">
          <cell r="B1223" t="str">
            <v>TTCMKV Đắk R'Lấp - Kiến Đức</v>
          </cell>
          <cell r="D1223">
            <v>230</v>
          </cell>
          <cell r="E1223" t="str">
            <v>Mạng cấp 4</v>
          </cell>
        </row>
        <row r="1224">
          <cell r="B1224" t="str">
            <v>Đội CC&amp;CNCH khu vực 13 - Quảng Tín</v>
          </cell>
          <cell r="D1224">
            <v>18505</v>
          </cell>
          <cell r="E1224" t="str">
            <v>Mạng cấp 4</v>
          </cell>
        </row>
        <row r="1225">
          <cell r="B1225" t="str">
            <v>Quảng Tín - Đồn CA KCN Nhân Cơ</v>
          </cell>
          <cell r="D1225">
            <v>39226</v>
          </cell>
          <cell r="E1225" t="str">
            <v>Mạng cấp 4</v>
          </cell>
        </row>
        <row r="1226">
          <cell r="B1226" t="str">
            <v>Đồn CA KCN Nhân Cơ -Nhân Cơ</v>
          </cell>
          <cell r="D1226">
            <v>1113</v>
          </cell>
          <cell r="E1226" t="str">
            <v>Mạng cấp 4</v>
          </cell>
        </row>
        <row r="1227">
          <cell r="B1227" t="str">
            <v>Nhân Cơ - TT2 LÂM ĐỒNG (GIA NGHĨA)</v>
          </cell>
          <cell r="D1227">
            <v>14252</v>
          </cell>
          <cell r="E1227" t="str">
            <v>Mạng cấp 4</v>
          </cell>
        </row>
        <row r="1228">
          <cell r="B1228" t="str">
            <v>TT2 LÂM ĐỒNG (GIA NGHĨA) - Bắc Gia Nghĩa</v>
          </cell>
          <cell r="D1228">
            <v>4291</v>
          </cell>
          <cell r="E1228" t="str">
            <v>Mạng cấp 4</v>
          </cell>
        </row>
        <row r="1229">
          <cell r="B1229" t="str">
            <v>Bắc Gia Nghĩa - Đông Gia Nghĩa</v>
          </cell>
          <cell r="D1229">
            <v>11930</v>
          </cell>
          <cell r="E1229" t="str">
            <v>Mạng cấp 4</v>
          </cell>
        </row>
        <row r="1230">
          <cell r="B1230" t="str">
            <v>Đông Gia Nghĩa - Nam Gia Nghĩa</v>
          </cell>
          <cell r="D1230">
            <v>11231</v>
          </cell>
          <cell r="E1230" t="str">
            <v>Mạng cấp 4</v>
          </cell>
        </row>
        <row r="1231">
          <cell r="B1231" t="str">
            <v>Nam Gia Nghĩa - TTCMKV Đắk R'Lắp</v>
          </cell>
          <cell r="D1231">
            <v>21969</v>
          </cell>
          <cell r="E1231" t="str">
            <v>Mạng cấp 4</v>
          </cell>
        </row>
        <row r="1232">
          <cell r="B1232" t="str">
            <v>TT2 LÂM ĐỒNG (GIA NGHĨA) - Quảng Khê</v>
          </cell>
          <cell r="D1232">
            <v>24083</v>
          </cell>
          <cell r="E1232" t="str">
            <v>Mạng cấp 4</v>
          </cell>
        </row>
        <row r="1233">
          <cell r="B1233" t="str">
            <v>Quảng Khê - Tà Đùng</v>
          </cell>
          <cell r="D1233">
            <v>33303</v>
          </cell>
          <cell r="E1233" t="str">
            <v>Mạng cấp 4</v>
          </cell>
        </row>
        <row r="1234">
          <cell r="B1234" t="str">
            <v>Tà Đùng - Quảng Sơn</v>
          </cell>
          <cell r="D1234">
            <v>14407</v>
          </cell>
          <cell r="E1234" t="str">
            <v>Mạng cấp 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ptimizedNearestRoute_DualPoint"/>
    </sheetNames>
    <sheetDataSet>
      <sheetData sheetId="0">
        <row r="1">
          <cell r="L1" t="str">
            <v>Tên tuyến cáp Tối ưu</v>
          </cell>
          <cell r="M1" t="str">
            <v>Tổng Dist (m) (P1-&gt;R + P2-&gt;R)</v>
          </cell>
          <cell r="N1" t="str">
            <v>Dist (m) P1-&gt;R</v>
          </cell>
          <cell r="O1" t="str">
            <v>Nearest Lat P1</v>
          </cell>
          <cell r="P1" t="str">
            <v>Nearest Lon P1</v>
          </cell>
          <cell r="Q1" t="str">
            <v>Dist (m) P2-&gt;R</v>
          </cell>
          <cell r="R1" t="str">
            <v>Nearest Lat P2</v>
          </cell>
          <cell r="S1" t="str">
            <v>Nearest Lon P2</v>
          </cell>
          <cell r="T1" t="str">
            <v>Full Route Name</v>
          </cell>
          <cell r="U1" t="str">
            <v>Tổng Dist (m) (P1-&gt;R + P2-&gt;R)</v>
          </cell>
        </row>
        <row r="2">
          <cell r="L2" t="str">
            <v>5.PA06 cs1 - PC08 csc_Cột trung thế</v>
          </cell>
          <cell r="M2" t="str">
            <v>344.49</v>
          </cell>
          <cell r="N2" t="str">
            <v>160.67</v>
          </cell>
          <cell r="O2" t="str">
            <v>12.249512</v>
          </cell>
          <cell r="P2" t="str">
            <v>109.185703</v>
          </cell>
          <cell r="Q2" t="str">
            <v>183.82</v>
          </cell>
          <cell r="R2" t="str">
            <v>12.249510</v>
          </cell>
          <cell r="S2" t="str">
            <v>109.188279</v>
          </cell>
          <cell r="T2" t="str">
            <v>full_h04/Khánh Hòa/Thu thập EVN_Khánh Hòa/Route_Cấp 3/KH_RING 3/5.PA06 cs1 - PC08 csc_Cột trung thế/5.PA06 cs1 - PC08 csc_Cột trung thế</v>
          </cell>
          <cell r="U2">
            <v>344.49</v>
          </cell>
        </row>
        <row r="3">
          <cell r="L3" t="str">
            <v>1.CAT Khánh Hòa - PK02 cs1</v>
          </cell>
          <cell r="M3" t="str">
            <v>633.88</v>
          </cell>
          <cell r="N3" t="str">
            <v>206.48</v>
          </cell>
          <cell r="O3" t="str">
            <v>12.278732</v>
          </cell>
          <cell r="P3" t="str">
            <v>109.188858</v>
          </cell>
          <cell r="Q3" t="str">
            <v>427.40</v>
          </cell>
          <cell r="R3" t="str">
            <v>12.274830</v>
          </cell>
          <cell r="S3" t="str">
            <v>109.198125</v>
          </cell>
          <cell r="T3" t="str">
            <v>full_h04/Khánh Hòa/Thu thập EVN_Khánh Hòa/Route_Cấp 3/KH_RING 6/1.CAT Khánh Hòa - PK02 cs1/CAT Khánh Hòa - PK02 cs1_Đoạn côt trung thế_2</v>
          </cell>
          <cell r="U3">
            <v>633.88</v>
          </cell>
        </row>
        <row r="4">
          <cell r="L4" t="str">
            <v>1.CA Diên Khánh - CA Suối Hiệp</v>
          </cell>
          <cell r="M4" t="str">
            <v>2420.93</v>
          </cell>
          <cell r="N4" t="str">
            <v>2236.48</v>
          </cell>
          <cell r="O4" t="str">
            <v>12.243274</v>
          </cell>
          <cell r="P4" t="str">
            <v>109.093239</v>
          </cell>
          <cell r="Q4" t="str">
            <v>184.45</v>
          </cell>
          <cell r="R4" t="str">
            <v>12.222536</v>
          </cell>
          <cell r="S4" t="str">
            <v>109.084489</v>
          </cell>
          <cell r="T4" t="str">
            <v>full_h04/Khánh Hòa/Thu thập EVN_Khánh Hòa/Route_Cấp 4/KH_RING 10/1.CA Diên Khánh - CA Suối Hiệp/CA Diên Khánh - CA Suối Hiệp_Đoạn cột trung thế</v>
          </cell>
          <cell r="U4">
            <v>2420.9299999999998</v>
          </cell>
        </row>
        <row r="5">
          <cell r="L5" t="str">
            <v>2.CA Suối Hiệp - CA Suối Dầu</v>
          </cell>
          <cell r="M5" t="str">
            <v>4356.92</v>
          </cell>
          <cell r="N5" t="str">
            <v>153.90</v>
          </cell>
          <cell r="O5" t="str">
            <v>12.220519</v>
          </cell>
          <cell r="P5" t="str">
            <v>109.082480</v>
          </cell>
          <cell r="Q5" t="str">
            <v>4203.02</v>
          </cell>
          <cell r="R5" t="str">
            <v>12.191492</v>
          </cell>
          <cell r="S5" t="str">
            <v>109.066221</v>
          </cell>
          <cell r="T5" t="str">
            <v>full_h04/Khánh Hòa/Thu thập EVN_Khánh Hòa/Route_Cấp 4/KH_RING 10/2.CA Suối Hiệp - CA Suối Dầu/CA Suối Hiệp - CA Suối Dầu_Đoạn cột trung thế</v>
          </cell>
          <cell r="U5">
            <v>4356.92</v>
          </cell>
        </row>
        <row r="6">
          <cell r="L6" t="str">
            <v>3.PA06 cs2 - PC11a</v>
          </cell>
          <cell r="M6" t="str">
            <v>51.30</v>
          </cell>
          <cell r="N6" t="str">
            <v>9.18</v>
          </cell>
          <cell r="O6" t="str">
            <v>12.175753</v>
          </cell>
          <cell r="P6" t="str">
            <v>109.173635</v>
          </cell>
          <cell r="Q6" t="str">
            <v>42.11</v>
          </cell>
          <cell r="R6" t="str">
            <v>12.210643</v>
          </cell>
          <cell r="S6" t="str">
            <v>109.188391</v>
          </cell>
          <cell r="T6" t="str">
            <v>full_h04/Khánh Hòa/Thu thập EVN_Khánh Hòa/Route_Cấp 3/KH_RING 5/3.PA06 cs2 - PC11a/PA06 cs2 - PC11a_Đoạn cột trung thế</v>
          </cell>
          <cell r="U6">
            <v>51.3</v>
          </cell>
        </row>
        <row r="7">
          <cell r="L7" t="str">
            <v>4.PA08 - PA06 cs1</v>
          </cell>
          <cell r="M7" t="str">
            <v>297.18</v>
          </cell>
          <cell r="N7" t="str">
            <v>227.08</v>
          </cell>
          <cell r="O7" t="str">
            <v>12.247764</v>
          </cell>
          <cell r="P7" t="str">
            <v>109.191017</v>
          </cell>
          <cell r="Q7" t="str">
            <v>70.10</v>
          </cell>
          <cell r="R7" t="str">
            <v>12.252644</v>
          </cell>
          <cell r="S7" t="str">
            <v>109.193242</v>
          </cell>
          <cell r="T7" t="str">
            <v>full_h04/Khánh Hòa/Thu thập EVN_Khánh Hòa/Route_Cấp 3/KH_RING 3/4.PA08 - PA06 cs1/PA08 - PA06 cs1_Đoạn cột trung thế</v>
          </cell>
          <cell r="U7">
            <v>297.18</v>
          </cell>
        </row>
        <row r="8">
          <cell r="L8" t="str">
            <v>4.PC11a - PC02_Đoạn cột trung thế</v>
          </cell>
          <cell r="M8" t="str">
            <v>792.90</v>
          </cell>
          <cell r="N8" t="str">
            <v>3.34</v>
          </cell>
          <cell r="O8" t="str">
            <v>12.175723</v>
          </cell>
          <cell r="P8" t="str">
            <v>109.173680</v>
          </cell>
          <cell r="Q8" t="str">
            <v>789.55</v>
          </cell>
          <cell r="R8" t="str">
            <v>12.204105</v>
          </cell>
          <cell r="S8" t="str">
            <v>109.188574</v>
          </cell>
          <cell r="T8" t="str">
            <v>full_h04/Khánh Hòa/Thu thập EVN_Khánh Hòa/Route_Cấp 3/KH_RING 5/4.PC11a - PC02_Đoạn cột trung thế/4.PC11a - PC02_Đoạn cột trung thế</v>
          </cell>
          <cell r="U8">
            <v>792.9</v>
          </cell>
        </row>
        <row r="9">
          <cell r="L9" t="str">
            <v>3.PA06 cs2 - PC11a</v>
          </cell>
          <cell r="M9" t="str">
            <v>60.34</v>
          </cell>
          <cell r="N9" t="str">
            <v>9.18</v>
          </cell>
          <cell r="O9" t="str">
            <v>12.175753</v>
          </cell>
          <cell r="P9" t="str">
            <v>109.173635</v>
          </cell>
          <cell r="Q9" t="str">
            <v>51.16</v>
          </cell>
          <cell r="R9" t="str">
            <v>12.225636</v>
          </cell>
          <cell r="S9" t="str">
            <v>109.183539</v>
          </cell>
          <cell r="T9" t="str">
            <v>full_h04/Khánh Hòa/Thu thập EVN_Khánh Hòa/Route_Cấp 3/KH_RING 5/3.PA06 cs2 - PC11a/PA06 cs2 - PC11a_Đoạn cột trung thế</v>
          </cell>
          <cell r="U9">
            <v>60.34</v>
          </cell>
        </row>
        <row r="10">
          <cell r="L10" t="str">
            <v>3.PC06 - PA08_Cột trung thế</v>
          </cell>
          <cell r="M10" t="str">
            <v>7.93</v>
          </cell>
          <cell r="N10" t="str">
            <v>1.27</v>
          </cell>
          <cell r="O10" t="str">
            <v>12.247543</v>
          </cell>
          <cell r="P10" t="str">
            <v>109.189991</v>
          </cell>
          <cell r="Q10" t="str">
            <v>6.67</v>
          </cell>
          <cell r="R10" t="str">
            <v>12.247517</v>
          </cell>
          <cell r="S10" t="str">
            <v>109.189540</v>
          </cell>
          <cell r="T10" t="str">
            <v>full_h04/Khánh Hòa/Thu thập EVN_Khánh Hòa/Route_Cấp 3/KH_RING 3/3.PC06 - PA08_Cột trung thế/3.PC06 - PA08_Cột trung thế</v>
          </cell>
          <cell r="U10">
            <v>7.93</v>
          </cell>
        </row>
        <row r="11">
          <cell r="L11" t="str">
            <v>3. Trại giam A2 - CATP Nha trang cũ</v>
          </cell>
          <cell r="M11" t="str">
            <v>370.36</v>
          </cell>
          <cell r="N11" t="str">
            <v>179.62</v>
          </cell>
          <cell r="O11" t="str">
            <v>12.247631</v>
          </cell>
          <cell r="P11" t="str">
            <v>109.191250</v>
          </cell>
          <cell r="Q11" t="str">
            <v>190.74</v>
          </cell>
          <cell r="R11" t="str">
            <v>12.249428</v>
          </cell>
          <cell r="S11" t="str">
            <v>109.184727</v>
          </cell>
          <cell r="T11" t="str">
            <v>full_h04/Khánh Hòa/Thu thập EVN_Khánh Hòa/Route_Cấp 3/KH_RING 4/3. Trại giam A2 - CATP Nha trang cũ/Trại giam A2 - CATP Nha trang cũ_Đoạn cột trung thế_8</v>
          </cell>
          <cell r="U11">
            <v>370.36</v>
          </cell>
        </row>
        <row r="12">
          <cell r="L12" t="str">
            <v>5.PA06 cs1 - PC08 csc_Cột trung thế</v>
          </cell>
          <cell r="M12" t="str">
            <v>277.71</v>
          </cell>
          <cell r="N12" t="str">
            <v>160.67</v>
          </cell>
          <cell r="O12" t="str">
            <v>12.249512</v>
          </cell>
          <cell r="P12" t="str">
            <v>109.185703</v>
          </cell>
          <cell r="Q12" t="str">
            <v>117.04</v>
          </cell>
          <cell r="R12" t="str">
            <v>12.253000</v>
          </cell>
          <cell r="S12" t="str">
            <v>109.193000</v>
          </cell>
          <cell r="T12" t="str">
            <v>full_h04/Khánh Hòa/Thu thập EVN_Khánh Hòa/Route_Cấp 3/KH_RING 3/5.PA06 cs1 - PC08 csc_Cột trung thế/5.PA06 cs1 - PC08 csc_Cột trung thế</v>
          </cell>
          <cell r="U12">
            <v>277.70999999999998</v>
          </cell>
        </row>
        <row r="13">
          <cell r="L13" t="str">
            <v>Tuyến nhánh PK02 cs1 - NTG Nha Trang cũ_Cột hạ thế</v>
          </cell>
          <cell r="M13" t="str">
            <v>3.53</v>
          </cell>
          <cell r="N13" t="str">
            <v>1.27</v>
          </cell>
          <cell r="O13" t="str">
            <v>12.278761</v>
          </cell>
          <cell r="P13" t="str">
            <v>109.188896</v>
          </cell>
          <cell r="Q13" t="str">
            <v>2.26</v>
          </cell>
          <cell r="R13" t="str">
            <v>12.276948</v>
          </cell>
          <cell r="S13" t="str">
            <v>109.188409</v>
          </cell>
          <cell r="T13" t="str">
            <v>full_h04/Khánh Hòa/Thu thập EVN_Khánh Hòa/Route_Cấp 3/KH_RING 6/Tuyến nhánh PK02 cs1 - NTG Nha Trang cũ_Cột hạ thế/Tuyến nhánh PK02 cs1 - NTG Nha Trang cũ_Cột hạ thế</v>
          </cell>
          <cell r="U13">
            <v>3.53</v>
          </cell>
        </row>
        <row r="14">
          <cell r="L14" t="str">
            <v>1.CAT Khánh Hòa - PK02 cs1</v>
          </cell>
          <cell r="M14" t="str">
            <v>292.88</v>
          </cell>
          <cell r="N14" t="str">
            <v>206.48</v>
          </cell>
          <cell r="O14" t="str">
            <v>12.278732</v>
          </cell>
          <cell r="P14" t="str">
            <v>109.188858</v>
          </cell>
          <cell r="Q14" t="str">
            <v>86.40</v>
          </cell>
          <cell r="R14" t="str">
            <v>12.265396</v>
          </cell>
          <cell r="S14" t="str">
            <v>109.196152</v>
          </cell>
          <cell r="T14" t="str">
            <v>full_h04/Khánh Hòa/Thu thập EVN_Khánh Hòa/Route_Cấp 3/KH_RING 6/1.CAT Khánh Hòa - PK02 cs1/CAT Khánh Hòa - PK02 cs1_Đoạn côt trung thế_2</v>
          </cell>
          <cell r="U14">
            <v>292.88</v>
          </cell>
        </row>
        <row r="15">
          <cell r="L15" t="str">
            <v>2.CA Diên Điền - CA Bắc Nha Trang</v>
          </cell>
          <cell r="M15" t="str">
            <v>2904.54</v>
          </cell>
          <cell r="N15" t="str">
            <v>6.07</v>
          </cell>
          <cell r="O15" t="str">
            <v>12.276067</v>
          </cell>
          <cell r="P15" t="str">
            <v>109.120259</v>
          </cell>
          <cell r="Q15" t="str">
            <v>2898.47</v>
          </cell>
          <cell r="R15" t="str">
            <v>12.288600</v>
          </cell>
          <cell r="S15" t="str">
            <v>109.147541</v>
          </cell>
          <cell r="T15" t="str">
            <v>full_h04/Khánh Hòa/Thu thập EVN_Khánh Hòa/Route_Cấp 4/KH_RING 8/2.CA Diên Điền - CA Bắc Nha Trang/CA Diên Điền - CA Bắc Nha Trang_Đoạn cột trung thế_1</v>
          </cell>
          <cell r="U15">
            <v>2904.54</v>
          </cell>
        </row>
        <row r="16">
          <cell r="L16" t="str">
            <v>3.CA Bắc Nha Trang - CAT Khánh Hòa</v>
          </cell>
          <cell r="M16" t="str">
            <v>1388.96</v>
          </cell>
          <cell r="N16" t="str">
            <v>414.08</v>
          </cell>
          <cell r="O16" t="str">
            <v>12.280430</v>
          </cell>
          <cell r="P16" t="str">
            <v>109.194828</v>
          </cell>
          <cell r="Q16" t="str">
            <v>974.88</v>
          </cell>
          <cell r="R16" t="str">
            <v>12.265409</v>
          </cell>
          <cell r="S16" t="str">
            <v>109.196133</v>
          </cell>
          <cell r="T16" t="str">
            <v>full_h04/Khánh Hòa/Thu thập EVN_Khánh Hòa/Route_Cấp 4/KH_RING 8/3.CA Bắc Nha Trang - CAT Khánh Hòa/CA Bắc Nha Trang - CAT Khánh Hòa_Đoạn cột trung thế_1</v>
          </cell>
          <cell r="U16">
            <v>1388.96</v>
          </cell>
        </row>
        <row r="17">
          <cell r="L17" t="str">
            <v>3.CA Nha Trang - CA Tây Nha Trang_Cột trung thế</v>
          </cell>
          <cell r="M17" t="str">
            <v>663.74</v>
          </cell>
          <cell r="N17" t="str">
            <v>659.73</v>
          </cell>
          <cell r="O17" t="str">
            <v>12.252942</v>
          </cell>
          <cell r="P17" t="str">
            <v>109.192953</v>
          </cell>
          <cell r="Q17" t="str">
            <v>4.00</v>
          </cell>
          <cell r="R17" t="str">
            <v>12.251159</v>
          </cell>
          <cell r="S17" t="str">
            <v>109.186369</v>
          </cell>
          <cell r="T17" t="str">
            <v>full_h04/Khánh Hòa/Thu thập EVN_Khánh Hòa/Route_Cấp 4/KH_RING 1/3.CA Nha Trang - CA Tây Nha Trang_Cột trung thế/3.CA Nha Trang - CA Tây Nha Trang_Cột trung thế</v>
          </cell>
          <cell r="U17">
            <v>663.74</v>
          </cell>
        </row>
        <row r="18">
          <cell r="L18" t="str">
            <v>3.CA Nha Trang - CA Tây Nha Trang_Cột trung thế</v>
          </cell>
          <cell r="M18" t="str">
            <v>119.80</v>
          </cell>
          <cell r="N18" t="str">
            <v>4.00</v>
          </cell>
          <cell r="O18" t="str">
            <v>12.251159</v>
          </cell>
          <cell r="P18" t="str">
            <v>109.186369</v>
          </cell>
          <cell r="Q18" t="str">
            <v>115.79</v>
          </cell>
          <cell r="R18" t="str">
            <v>12.252942</v>
          </cell>
          <cell r="S18" t="str">
            <v>109.192953</v>
          </cell>
          <cell r="T18" t="str">
            <v>full_h04/Khánh Hòa/Thu thập EVN_Khánh Hòa/Route_Cấp 4/KH_RING 1/3.CA Nha Trang - CA Tây Nha Trang_Cột trung thế/3.CA Nha Trang - CA Tây Nha Trang_Cột trung thế</v>
          </cell>
          <cell r="U18">
            <v>119.8</v>
          </cell>
        </row>
        <row r="19">
          <cell r="L19" t="str">
            <v>3.CA Bắc Nha Trang - CAT Khánh Hòa</v>
          </cell>
          <cell r="M19" t="str">
            <v>1169.78</v>
          </cell>
          <cell r="N19" t="str">
            <v>0.85</v>
          </cell>
          <cell r="O19" t="str">
            <v>12.282332</v>
          </cell>
          <cell r="P19" t="str">
            <v>109.198101</v>
          </cell>
          <cell r="Q19" t="str">
            <v>1168.93</v>
          </cell>
          <cell r="R19" t="str">
            <v>12.282302</v>
          </cell>
          <cell r="S19" t="str">
            <v>109.198338</v>
          </cell>
          <cell r="T19" t="str">
            <v>full_h04/Khánh Hòa/Thu thập EVN_Khánh Hòa/Route_Cấp 4/KH_RING 8/3.CA Bắc Nha Trang - CAT Khánh Hòa/CA Bắc Nha Trang - CAT Khánh Hòa_Đoạn cột hạ thế</v>
          </cell>
          <cell r="U19">
            <v>1169.78</v>
          </cell>
        </row>
        <row r="20">
          <cell r="L20" t="str">
            <v>5. Cam Phước Đông - CAT Khánh Hòa</v>
          </cell>
          <cell r="M20" t="str">
            <v>613.93</v>
          </cell>
          <cell r="N20" t="str">
            <v>173.20</v>
          </cell>
          <cell r="O20" t="str">
            <v>12.235394</v>
          </cell>
          <cell r="P20" t="str">
            <v>109.185752</v>
          </cell>
          <cell r="Q20" t="str">
            <v>440.74</v>
          </cell>
          <cell r="R20" t="str">
            <v>12.235808</v>
          </cell>
          <cell r="S20" t="str">
            <v>109.176413</v>
          </cell>
          <cell r="T20" t="str">
            <v>full_h04/Khánh Hòa/Thu thập EVN_Khánh Hòa/Route_Cấp 3/KH_RING 2/5. Cam Phước Đông - CAT Khánh Hòa/Cam Phước Đông - CAT Khánh Hòa_Đoạn cột trung thế_5</v>
          </cell>
          <cell r="U20">
            <v>613.92999999999995</v>
          </cell>
        </row>
        <row r="21">
          <cell r="L21" t="str">
            <v>1.CAT Khánh Hòa - PK02 cs1</v>
          </cell>
          <cell r="M21" t="str">
            <v>538.42</v>
          </cell>
          <cell r="N21" t="str">
            <v>206.48</v>
          </cell>
          <cell r="O21" t="str">
            <v>12.278732</v>
          </cell>
          <cell r="P21" t="str">
            <v>109.188858</v>
          </cell>
          <cell r="Q21" t="str">
            <v>331.94</v>
          </cell>
          <cell r="R21" t="str">
            <v>12.276457</v>
          </cell>
          <cell r="S21" t="str">
            <v>109.197368</v>
          </cell>
          <cell r="T21" t="str">
            <v>full_h04/Khánh Hòa/Thu thập EVN_Khánh Hòa/Route_Cấp 3/KH_RING 6/1.CAT Khánh Hòa - PK02 cs1/CAT Khánh Hòa - PK02 cs1_Đoạn côt trung thế_2</v>
          </cell>
          <cell r="U21">
            <v>538.41999999999996</v>
          </cell>
        </row>
        <row r="22">
          <cell r="L22" t="str">
            <v>4.CA Tây Nha Trang - TTCMKV Diên Khánh</v>
          </cell>
          <cell r="M22" t="str">
            <v>510.41</v>
          </cell>
          <cell r="N22" t="str">
            <v>191.02</v>
          </cell>
          <cell r="O22" t="str">
            <v>12.250641</v>
          </cell>
          <cell r="P22" t="str">
            <v>109.184739</v>
          </cell>
          <cell r="Q22" t="str">
            <v>319.39</v>
          </cell>
          <cell r="R22" t="str">
            <v>12.254597</v>
          </cell>
          <cell r="S22" t="str">
            <v>109.180751</v>
          </cell>
          <cell r="T22" t="str">
            <v>full_h04/Khánh Hòa/Thu thập EVN_Khánh Hòa/Route_Cấp 4/KH_RING 1/4.CA Tây Nha Trang - TTCMKV Diên Khánh/CA Tây Nha Trang - TTCMKV Diên Khánh_Đoạn cột trung thế_1</v>
          </cell>
          <cell r="U22">
            <v>510.41</v>
          </cell>
        </row>
        <row r="23">
          <cell r="L23" t="str">
            <v>1.CATP Nha trang cũ - PC07</v>
          </cell>
          <cell r="M23" t="str">
            <v>680.82</v>
          </cell>
          <cell r="N23" t="str">
            <v>4.91</v>
          </cell>
          <cell r="O23" t="str">
            <v>12.239117</v>
          </cell>
          <cell r="P23" t="str">
            <v>109.186642</v>
          </cell>
          <cell r="Q23" t="str">
            <v>675.91</v>
          </cell>
          <cell r="R23" t="str">
            <v>12.243925</v>
          </cell>
          <cell r="S23" t="str">
            <v>109.189556</v>
          </cell>
          <cell r="T23" t="str">
            <v>full_h04/Khánh Hòa/Thu thập EVN_Khánh Hòa/Route_Cấp 3/KH_RING 5/1.CATP Nha trang cũ - PC07/CATP Nha trang cũ - PC07_Đoạn cột trung thế</v>
          </cell>
          <cell r="U23">
            <v>680.82</v>
          </cell>
        </row>
        <row r="24">
          <cell r="L24" t="str">
            <v>3. Trại giam A2 - CATP Nha trang cũ</v>
          </cell>
          <cell r="M24" t="str">
            <v>1484.17</v>
          </cell>
          <cell r="N24" t="str">
            <v>1058.39</v>
          </cell>
          <cell r="O24" t="str">
            <v>12.251107</v>
          </cell>
          <cell r="P24" t="str">
            <v>109.081336</v>
          </cell>
          <cell r="Q24" t="str">
            <v>425.79</v>
          </cell>
          <cell r="R24" t="str">
            <v>12.243822</v>
          </cell>
          <cell r="S24" t="str">
            <v>109.093663</v>
          </cell>
          <cell r="T24" t="str">
            <v>full_h04/Khánh Hòa/Thu thập EVN_Khánh Hòa/Route_Cấp 3/KH_RING 4/3. Trại giam A2 - CATP Nha trang cũ/Trại giam A2 - CATP Nha trang cũ_Đoạn cột trung thế_6</v>
          </cell>
          <cell r="U24">
            <v>1484.17</v>
          </cell>
        </row>
        <row r="25">
          <cell r="L25" t="str">
            <v>2.CA Diên Điền - CA Bắc Nha Trang</v>
          </cell>
          <cell r="M25" t="str">
            <v>265.61</v>
          </cell>
          <cell r="N25" t="str">
            <v>6.07</v>
          </cell>
          <cell r="O25" t="str">
            <v>12.276067</v>
          </cell>
          <cell r="P25" t="str">
            <v>109.120259</v>
          </cell>
          <cell r="Q25" t="str">
            <v>259.54</v>
          </cell>
          <cell r="R25" t="str">
            <v>12.278650</v>
          </cell>
          <cell r="S25" t="str">
            <v>109.127450</v>
          </cell>
          <cell r="T25" t="str">
            <v>full_h04/Khánh Hòa/Thu thập EVN_Khánh Hòa/Route_Cấp 4/KH_RING 8/2.CA Diên Điền - CA Bắc Nha Trang/CA Diên Điền - CA Bắc Nha Trang_Đoạn cột trung thế_1</v>
          </cell>
          <cell r="U25">
            <v>265.61</v>
          </cell>
        </row>
        <row r="26">
          <cell r="L26" t="str">
            <v>2.Nhà tạm giam Diên Khánh - Trại giam A2</v>
          </cell>
          <cell r="M26" t="str">
            <v>337.64</v>
          </cell>
          <cell r="N26" t="str">
            <v>7.22</v>
          </cell>
          <cell r="O26" t="str">
            <v>12.246371</v>
          </cell>
          <cell r="P26" t="str">
            <v>109.072963</v>
          </cell>
          <cell r="Q26" t="str">
            <v>330.42</v>
          </cell>
          <cell r="R26" t="str">
            <v>12.256955</v>
          </cell>
          <cell r="S26" t="str">
            <v>109.071253</v>
          </cell>
          <cell r="T26" t="str">
            <v>full_h04/Khánh Hòa/Thu thập EVN_Khánh Hòa/Route_Cấp 3/KH_RING 4/2.Nhà tạm giam Diên Khánh - Trại giam A2/Nhà tạm giam Diên Khánh - Trại giam A2_Đoạn cột trung thế</v>
          </cell>
          <cell r="U26">
            <v>337.64</v>
          </cell>
        </row>
        <row r="27">
          <cell r="L27" t="str">
            <v>4.PC11a - PC02_Đoạn cột trung thế</v>
          </cell>
          <cell r="M27" t="str">
            <v>1703.55</v>
          </cell>
          <cell r="N27" t="str">
            <v>3.34</v>
          </cell>
          <cell r="O27" t="str">
            <v>12.175723</v>
          </cell>
          <cell r="P27" t="str">
            <v>109.173680</v>
          </cell>
          <cell r="Q27" t="str">
            <v>1700.20</v>
          </cell>
          <cell r="R27" t="str">
            <v>12.196674</v>
          </cell>
          <cell r="S27" t="str">
            <v>109.174234</v>
          </cell>
          <cell r="T27" t="str">
            <v>full_h04/Khánh Hòa/Thu thập EVN_Khánh Hòa/Route_Cấp 3/KH_RING 5/4.PC11a - PC02_Đoạn cột trung thế/4.PC11a - PC02_Đoạn cột trung thế</v>
          </cell>
          <cell r="U27">
            <v>1703.55</v>
          </cell>
        </row>
        <row r="28">
          <cell r="L28" t="str">
            <v>2.CA Diên Điền - CA Bắc Nha Trang</v>
          </cell>
          <cell r="M28" t="str">
            <v>574.64</v>
          </cell>
          <cell r="N28" t="str">
            <v>0.89</v>
          </cell>
          <cell r="O28" t="str">
            <v>12.282335</v>
          </cell>
          <cell r="P28" t="str">
            <v>109.198106</v>
          </cell>
          <cell r="Q28" t="str">
            <v>573.75</v>
          </cell>
          <cell r="R28" t="str">
            <v>12.288899</v>
          </cell>
          <cell r="S28" t="str">
            <v>109.189530</v>
          </cell>
          <cell r="T28" t="str">
            <v>full_h04/Khánh Hòa/Thu thập EVN_Khánh Hòa/Route_Cấp 4/KH_RING 8/2.CA Diên Điền - CA Bắc Nha Trang/CA Diên Điền - CA Bắc Nha Trang_Đoạn cột trung thế_2</v>
          </cell>
          <cell r="U28">
            <v>574.64</v>
          </cell>
        </row>
        <row r="29">
          <cell r="L29" t="str">
            <v>3.Cam Ranh - Khánh Sơn</v>
          </cell>
          <cell r="M29" t="str">
            <v>1461.62</v>
          </cell>
          <cell r="N29" t="str">
            <v>100.00</v>
          </cell>
          <cell r="O29" t="str">
            <v>11.941592</v>
          </cell>
          <cell r="P29" t="str">
            <v>109.112181</v>
          </cell>
          <cell r="Q29" t="str">
            <v>1361.62</v>
          </cell>
          <cell r="R29" t="str">
            <v>11.955189</v>
          </cell>
          <cell r="S29" t="str">
            <v>109.101417</v>
          </cell>
          <cell r="T29" t="str">
            <v>full_h04/Khánh Hòa/Thu thập EVN_Khánh Hòa/Route_Cấp 3/KH_RING 2/3.Cam Ranh - Khánh Sơn/Cam Ranh - Khánh Sơn_Đoạn cột trung thế</v>
          </cell>
          <cell r="U29">
            <v>1461.62</v>
          </cell>
        </row>
        <row r="30">
          <cell r="L30" t="str">
            <v>2.CA Bắc Cam Ranh - CA Cam An</v>
          </cell>
          <cell r="M30" t="str">
            <v>672.88</v>
          </cell>
          <cell r="N30" t="str">
            <v>125.00</v>
          </cell>
          <cell r="O30" t="str">
            <v>11.976645</v>
          </cell>
          <cell r="P30" t="str">
            <v>109.195676</v>
          </cell>
          <cell r="Q30" t="str">
            <v>547.88</v>
          </cell>
          <cell r="R30" t="str">
            <v>11.977448</v>
          </cell>
          <cell r="S30" t="str">
            <v>109.192799</v>
          </cell>
          <cell r="T30" t="str">
            <v>full_h04/Khánh Hòa/Thu thập EVN_Khánh Hòa/Route_Cấp 4/KH_RING 2/2.CA Bắc Cam Ranh - CA Cam An/CA Bắc Cam Ranh - CA Cam An_Đoạn cột trung thế_1</v>
          </cell>
          <cell r="U30">
            <v>672.88</v>
          </cell>
        </row>
        <row r="31">
          <cell r="L31" t="str">
            <v>2.Nhà tạm giam Diên Khánh - Trại giam A2</v>
          </cell>
          <cell r="M31" t="str">
            <v>2076.33</v>
          </cell>
          <cell r="N31" t="str">
            <v>7.22</v>
          </cell>
          <cell r="O31" t="str">
            <v>12.246371</v>
          </cell>
          <cell r="P31" t="str">
            <v>109.072963</v>
          </cell>
          <cell r="Q31" t="str">
            <v>2069.11</v>
          </cell>
          <cell r="R31" t="str">
            <v>12.246168</v>
          </cell>
          <cell r="S31" t="str">
            <v>109.073882</v>
          </cell>
          <cell r="T31" t="str">
            <v>full_h04/Khánh Hòa/Thu thập EVN_Khánh Hòa/Route_Cấp 3/KH_RING 4/2.Nhà tạm giam Diên Khánh - Trại giam A2/Nhà tạm giam Diên Khánh - Trại giam A2_Đoạn cột trung thế</v>
          </cell>
          <cell r="U31">
            <v>2076.33</v>
          </cell>
        </row>
        <row r="32">
          <cell r="L32" t="str">
            <v>3. Trại giam A2 - CATP Nha trang cũ</v>
          </cell>
          <cell r="M32" t="str">
            <v>1249.28</v>
          </cell>
          <cell r="N32" t="str">
            <v>1058.39</v>
          </cell>
          <cell r="O32" t="str">
            <v>12.251107</v>
          </cell>
          <cell r="P32" t="str">
            <v>109.081336</v>
          </cell>
          <cell r="Q32" t="str">
            <v>190.90</v>
          </cell>
          <cell r="R32" t="str">
            <v>12.251051</v>
          </cell>
          <cell r="S32" t="str">
            <v>109.096426</v>
          </cell>
          <cell r="T32" t="str">
            <v>full_h04/Khánh Hòa/Thu thập EVN_Khánh Hòa/Route_Cấp 3/KH_RING 4/3. Trại giam A2 - CATP Nha trang cũ/Trại giam A2 - CATP Nha trang cũ_Đoạn cột trung thế_6</v>
          </cell>
          <cell r="U32">
            <v>1249.28</v>
          </cell>
        </row>
        <row r="33">
          <cell r="L33" t="str">
            <v>2.CA Diên Lạc - CA Diên Lâm</v>
          </cell>
          <cell r="M33" t="str">
            <v>1182.15</v>
          </cell>
          <cell r="N33" t="str">
            <v>3.39</v>
          </cell>
          <cell r="O33" t="str">
            <v>12.269048</v>
          </cell>
          <cell r="P33" t="str">
            <v>109.033370</v>
          </cell>
          <cell r="Q33" t="str">
            <v>1178.76</v>
          </cell>
          <cell r="R33" t="str">
            <v>12.267572</v>
          </cell>
          <cell r="S33" t="str">
            <v>109.037552</v>
          </cell>
          <cell r="T33" t="str">
            <v>full_h04/Khánh Hòa/Thu thập EVN_Khánh Hòa/Route_Cấp 4/KH_RING 9/2.CA Diên Lạc - CA Diên Lâm/CA Diên Lạc - CA Diên Lâm_Đoạn cột trung thế_2</v>
          </cell>
          <cell r="U33">
            <v>1182.1500000000001</v>
          </cell>
        </row>
        <row r="34">
          <cell r="L34" t="str">
            <v>1.CA Diên Khánh - CA Suối Hiệp</v>
          </cell>
          <cell r="M34" t="str">
            <v>174.07</v>
          </cell>
          <cell r="N34" t="str">
            <v>2.33</v>
          </cell>
          <cell r="O34" t="str">
            <v>12.221002</v>
          </cell>
          <cell r="P34" t="str">
            <v>109.083788</v>
          </cell>
          <cell r="Q34" t="str">
            <v>171.74</v>
          </cell>
          <cell r="R34" t="str">
            <v>12.222558</v>
          </cell>
          <cell r="S34" t="str">
            <v>109.084483</v>
          </cell>
          <cell r="T34" t="str">
            <v>full_h04/Khánh Hòa/Thu thập EVN_Khánh Hòa/Route_Cấp 4/KH_RING 10/1.CA Diên Khánh - CA Suối Hiệp/CA Diên Khánh - CA Suối Hiệp_Đoạn cột hạ thế</v>
          </cell>
          <cell r="U34">
            <v>174.07</v>
          </cell>
        </row>
        <row r="35">
          <cell r="L35" t="str">
            <v>2.Nhà tạm giam Diên Khánh - Trại giam A2</v>
          </cell>
          <cell r="M35" t="str">
            <v>894.46</v>
          </cell>
          <cell r="N35" t="str">
            <v>646.36</v>
          </cell>
          <cell r="O35" t="str">
            <v>12.263232</v>
          </cell>
          <cell r="P35" t="str">
            <v>109.033157</v>
          </cell>
          <cell r="Q35" t="str">
            <v>248.11</v>
          </cell>
          <cell r="R35" t="str">
            <v>12.255091</v>
          </cell>
          <cell r="S35" t="str">
            <v>109.058737</v>
          </cell>
          <cell r="T35" t="str">
            <v>full_h04/Khánh Hòa/Thu thập EVN_Khánh Hòa/Route_Cấp 3/KH_RING 4/2.Nhà tạm giam Diên Khánh - Trại giam A2/Nhà tạm giam Diên Khánh - Trại giam A2_Đoạn cột trung thế</v>
          </cell>
          <cell r="U35">
            <v>894.46</v>
          </cell>
        </row>
        <row r="36">
          <cell r="L36" t="str">
            <v>3.CA Diên Lâm - CA Bắc Khánh Vĩnh_Cột trung thế</v>
          </cell>
          <cell r="M36" t="str">
            <v>545.69</v>
          </cell>
          <cell r="N36" t="str">
            <v>3.20</v>
          </cell>
          <cell r="O36" t="str">
            <v>12.269061</v>
          </cell>
          <cell r="P36" t="str">
            <v>109.033380</v>
          </cell>
          <cell r="Q36" t="str">
            <v>542.49</v>
          </cell>
          <cell r="R36" t="str">
            <v>12.274529</v>
          </cell>
          <cell r="S36" t="str">
            <v>109.019110</v>
          </cell>
          <cell r="T36" t="str">
            <v>full_h04/Khánh Hòa/Thu thập EVN_Khánh Hòa/Route_Cấp 4/KH_RING 9/3.CA Diên Lâm - CA Bắc Khánh Vĩnh_Cột trung thế/3.CA Diên Lâm - CA Bắc Khánh Vĩnh_Cột trung thế</v>
          </cell>
          <cell r="U36">
            <v>545.69000000000005</v>
          </cell>
        </row>
        <row r="37">
          <cell r="L37" t="str">
            <v>1.CA Diên Khánh - CA Diên Điền_Cột trung thế</v>
          </cell>
          <cell r="M37" t="str">
            <v>1324.18</v>
          </cell>
          <cell r="N37" t="str">
            <v>5.44</v>
          </cell>
          <cell r="O37" t="str">
            <v>12.276034</v>
          </cell>
          <cell r="P37" t="str">
            <v>109.120250</v>
          </cell>
          <cell r="Q37" t="str">
            <v>1318.74</v>
          </cell>
          <cell r="R37" t="str">
            <v>12.273352</v>
          </cell>
          <cell r="S37" t="str">
            <v>109.114359</v>
          </cell>
          <cell r="T37" t="str">
            <v>full_h04/Khánh Hòa/Thu thập EVN_Khánh Hòa/Route_Cấp 4/KH_RING 8/1.CA Diên Khánh - CA Diên Điền_Cột trung thế/1.CA Diên Khánh - CA Diên Điền_Cột trung thế</v>
          </cell>
          <cell r="U37">
            <v>1324.18</v>
          </cell>
        </row>
        <row r="38">
          <cell r="L38" t="str">
            <v>3.CA Bắc Nha Trang - CAT Khánh Hòa</v>
          </cell>
          <cell r="M38" t="str">
            <v>764.16</v>
          </cell>
          <cell r="N38" t="str">
            <v>0.85</v>
          </cell>
          <cell r="O38" t="str">
            <v>12.282332</v>
          </cell>
          <cell r="P38" t="str">
            <v>109.198101</v>
          </cell>
          <cell r="Q38" t="str">
            <v>763.31</v>
          </cell>
          <cell r="R38" t="str">
            <v>12.282397</v>
          </cell>
          <cell r="S38" t="str">
            <v>109.198201</v>
          </cell>
          <cell r="T38" t="str">
            <v>full_h04/Khánh Hòa/Thu thập EVN_Khánh Hòa/Route_Cấp 4/KH_RING 8/3.CA Bắc Nha Trang - CAT Khánh Hòa/CA Bắc Nha Trang - CAT Khánh Hòa_Đoạn cột hạ thế</v>
          </cell>
          <cell r="U38">
            <v>764.16</v>
          </cell>
        </row>
        <row r="39">
          <cell r="L39" t="str">
            <v>4.PC11a - PC02_Đoạn cột trung thế</v>
          </cell>
          <cell r="M39" t="str">
            <v>1246.56</v>
          </cell>
          <cell r="N39" t="str">
            <v>3.34</v>
          </cell>
          <cell r="O39" t="str">
            <v>12.175723</v>
          </cell>
          <cell r="P39" t="str">
            <v>109.173680</v>
          </cell>
          <cell r="Q39" t="str">
            <v>1243.22</v>
          </cell>
          <cell r="R39" t="str">
            <v>12.189206</v>
          </cell>
          <cell r="S39" t="str">
            <v>109.169819</v>
          </cell>
          <cell r="T39" t="str">
            <v>full_h04/Khánh Hòa/Thu thập EVN_Khánh Hòa/Route_Cấp 3/KH_RING 5/4.PC11a - PC02_Đoạn cột trung thế/4.PC11a - PC02_Đoạn cột trung thế</v>
          </cell>
          <cell r="U39">
            <v>1246.56</v>
          </cell>
        </row>
        <row r="40">
          <cell r="L40" t="str">
            <v>Tuyến nhánh PK02 cs1 - NTG Nha Trang cũ_Cột hạ thế</v>
          </cell>
          <cell r="M40" t="str">
            <v>1024.07</v>
          </cell>
          <cell r="N40" t="str">
            <v>1.27</v>
          </cell>
          <cell r="O40" t="str">
            <v>12.278761</v>
          </cell>
          <cell r="P40" t="str">
            <v>109.188896</v>
          </cell>
          <cell r="Q40" t="str">
            <v>1022.79</v>
          </cell>
          <cell r="R40" t="str">
            <v>12.276948</v>
          </cell>
          <cell r="S40" t="str">
            <v>109.188409</v>
          </cell>
          <cell r="T40" t="str">
            <v>full_h04/Khánh Hòa/Thu thập EVN_Khánh Hòa/Route_Cấp 3/KH_RING 6/Tuyến nhánh PK02 cs1 - NTG Nha Trang cũ_Cột hạ thế/Tuyến nhánh PK02 cs1 - NTG Nha Trang cũ_Cột hạ thế</v>
          </cell>
          <cell r="U40">
            <v>1024.07</v>
          </cell>
        </row>
        <row r="41">
          <cell r="L41" t="str">
            <v>2.CA Diên Điền - CA Bắc Nha Trang</v>
          </cell>
          <cell r="M41" t="str">
            <v>234.94</v>
          </cell>
          <cell r="N41" t="str">
            <v>0.89</v>
          </cell>
          <cell r="O41" t="str">
            <v>12.282335</v>
          </cell>
          <cell r="P41" t="str">
            <v>109.198106</v>
          </cell>
          <cell r="Q41" t="str">
            <v>234.06</v>
          </cell>
          <cell r="R41" t="str">
            <v>12.282329</v>
          </cell>
          <cell r="S41" t="str">
            <v>109.195653</v>
          </cell>
          <cell r="T41" t="str">
            <v>full_h04/Khánh Hòa/Thu thập EVN_Khánh Hòa/Route_Cấp 4/KH_RING 8/2.CA Diên Điền - CA Bắc Nha Trang/CA Diên Điền - CA Bắc Nha Trang_Đoạn cột trung thế_2</v>
          </cell>
          <cell r="U41">
            <v>234.94</v>
          </cell>
        </row>
        <row r="42">
          <cell r="L42" t="str">
            <v>1.CAT Khánh Hòa - Cam Lâm</v>
          </cell>
          <cell r="M42" t="str">
            <v>536.67</v>
          </cell>
          <cell r="N42" t="str">
            <v>136.09</v>
          </cell>
          <cell r="O42" t="str">
            <v>12.175768</v>
          </cell>
          <cell r="P42" t="str">
            <v>109.174950</v>
          </cell>
          <cell r="Q42" t="str">
            <v>400.58</v>
          </cell>
          <cell r="R42" t="str">
            <v>12.170889</v>
          </cell>
          <cell r="S42" t="str">
            <v>109.187518</v>
          </cell>
          <cell r="T42" t="str">
            <v>full_h04/Khánh Hòa/Thu thập EVN_Khánh Hòa/Route_Cấp 3/KH_RING 2/1.CAT Khánh Hòa - Cam Lâm/CAT Khánh Hòa - Cam Lâm_Đoạn cột trung thế_2</v>
          </cell>
          <cell r="U42">
            <v>536.66999999999996</v>
          </cell>
        </row>
        <row r="43">
          <cell r="L43" t="str">
            <v>1.CAT Khánh Hòa - PK02 cs1</v>
          </cell>
          <cell r="M43" t="str">
            <v>633.82</v>
          </cell>
          <cell r="N43" t="str">
            <v>424.42</v>
          </cell>
          <cell r="O43" t="str">
            <v>12.253059</v>
          </cell>
          <cell r="P43" t="str">
            <v>109.189777</v>
          </cell>
          <cell r="Q43" t="str">
            <v>209.39</v>
          </cell>
          <cell r="R43" t="str">
            <v>12.259030</v>
          </cell>
          <cell r="S43" t="str">
            <v>109.189052</v>
          </cell>
          <cell r="T43" t="str">
            <v>full_h04/Khánh Hòa/Thu thập EVN_Khánh Hòa/Route_Cấp 3/KH_RING 6/1.CAT Khánh Hòa - PK02 cs1/CAT Khánh Hòa - PK02 cs1_Đoạn cột trung thế_1</v>
          </cell>
          <cell r="U43">
            <v>633.82000000000005</v>
          </cell>
        </row>
        <row r="44">
          <cell r="L44" t="str">
            <v>1.CAT Khánh Hòa - PK02 cs1</v>
          </cell>
          <cell r="M44" t="str">
            <v>331.83</v>
          </cell>
          <cell r="N44" t="str">
            <v>206.48</v>
          </cell>
          <cell r="O44" t="str">
            <v>12.278732</v>
          </cell>
          <cell r="P44" t="str">
            <v>109.188858</v>
          </cell>
          <cell r="Q44" t="str">
            <v>125.35</v>
          </cell>
          <cell r="R44" t="str">
            <v>12.279657</v>
          </cell>
          <cell r="S44" t="str">
            <v>109.194971</v>
          </cell>
          <cell r="T44" t="str">
            <v>full_h04/Khánh Hòa/Thu thập EVN_Khánh Hòa/Route_Cấp 3/KH_RING 6/1.CAT Khánh Hòa - PK02 cs1/CAT Khánh Hòa - PK02 cs1_Đoạn côt trung thế_2</v>
          </cell>
          <cell r="U44">
            <v>331.83</v>
          </cell>
        </row>
        <row r="45">
          <cell r="L45" t="str">
            <v>2.PC07 - PA06 cs2_Cột hạ thế</v>
          </cell>
          <cell r="M45" t="str">
            <v>37.74</v>
          </cell>
          <cell r="N45" t="str">
            <v>5.73</v>
          </cell>
          <cell r="O45" t="str">
            <v>12.239090</v>
          </cell>
          <cell r="P45" t="str">
            <v>109.186652</v>
          </cell>
          <cell r="Q45" t="str">
            <v>32.01</v>
          </cell>
          <cell r="R45" t="str">
            <v>12.238280</v>
          </cell>
          <cell r="S45" t="str">
            <v>109.187086</v>
          </cell>
          <cell r="T45" t="str">
            <v>full_h04/Khánh Hòa/Thu thập EVN_Khánh Hòa/Route_Cấp 3/KH_RING 5/2.PC07 - PA06 cs2_Cột hạ thế/2.PC07 - PA06 cs2_Cột hạ thế</v>
          </cell>
          <cell r="U45">
            <v>37.74</v>
          </cell>
        </row>
        <row r="46">
          <cell r="L46" t="str">
            <v>4.PC11a - PC02_Đoạn cột trung thế</v>
          </cell>
          <cell r="M46" t="str">
            <v>147.68</v>
          </cell>
          <cell r="N46" t="str">
            <v>3.34</v>
          </cell>
          <cell r="O46" t="str">
            <v>12.175723</v>
          </cell>
          <cell r="P46" t="str">
            <v>109.173680</v>
          </cell>
          <cell r="Q46" t="str">
            <v>144.34</v>
          </cell>
          <cell r="R46" t="str">
            <v>12.198800</v>
          </cell>
          <cell r="S46" t="str">
            <v>109.176728</v>
          </cell>
          <cell r="T46" t="str">
            <v>full_h04/Khánh Hòa/Thu thập EVN_Khánh Hòa/Route_Cấp 3/KH_RING 5/4.PC11a - PC02_Đoạn cột trung thế/4.PC11a - PC02_Đoạn cột trung thế</v>
          </cell>
          <cell r="U46">
            <v>147.68</v>
          </cell>
        </row>
        <row r="47">
          <cell r="L47" t="str">
            <v>4.CA Tây Nha Trang - TTCMKV Diên Khánh</v>
          </cell>
          <cell r="M47" t="str">
            <v>1012.35</v>
          </cell>
          <cell r="N47" t="str">
            <v>2.37</v>
          </cell>
          <cell r="O47" t="str">
            <v>12.251134</v>
          </cell>
          <cell r="P47" t="str">
            <v>109.186421</v>
          </cell>
          <cell r="Q47" t="str">
            <v>1009.98</v>
          </cell>
          <cell r="R47" t="str">
            <v>12.254597</v>
          </cell>
          <cell r="S47" t="str">
            <v>109.180751</v>
          </cell>
          <cell r="T47" t="str">
            <v>full_h04/Khánh Hòa/Thu thập EVN_Khánh Hòa/Route_Cấp 4/KH_RING 1/4.CA Tây Nha Trang - TTCMKV Diên Khánh/CA Tây Nha Trang - TTCMKV Diên Khánh_Đoạn cột trung thế_1</v>
          </cell>
          <cell r="U47">
            <v>1012.35</v>
          </cell>
        </row>
        <row r="48">
          <cell r="L48" t="str">
            <v>2.Nhà tạm giam Diên Khánh - Trại giam A2</v>
          </cell>
          <cell r="M48" t="str">
            <v>3643.19</v>
          </cell>
          <cell r="N48" t="str">
            <v>2996.83</v>
          </cell>
          <cell r="O48" t="str">
            <v>12.246168</v>
          </cell>
          <cell r="P48" t="str">
            <v>109.073882</v>
          </cell>
          <cell r="Q48" t="str">
            <v>646.36</v>
          </cell>
          <cell r="R48" t="str">
            <v>12.263232</v>
          </cell>
          <cell r="S48" t="str">
            <v>109.033157</v>
          </cell>
          <cell r="T48" t="str">
            <v>full_h04/Khánh Hòa/Thu thập EVN_Khánh Hòa/Route_Cấp 3/KH_RING 4/2.Nhà tạm giam Diên Khánh - Trại giam A2/Nhà tạm giam Diên Khánh - Trại giam A2_Đoạn cột trung thế</v>
          </cell>
          <cell r="U48">
            <v>3643.19</v>
          </cell>
        </row>
        <row r="49">
          <cell r="L49" t="str">
            <v>5. Cam Phước Đông - CAT Khánh Hòa</v>
          </cell>
          <cell r="M49" t="str">
            <v>9316.28</v>
          </cell>
          <cell r="N49" t="str">
            <v>4830.56</v>
          </cell>
          <cell r="O49" t="str">
            <v>12.209825</v>
          </cell>
          <cell r="P49" t="str">
            <v>109.146196</v>
          </cell>
          <cell r="Q49" t="str">
            <v>4485.72</v>
          </cell>
          <cell r="R49" t="str">
            <v>12.183759</v>
          </cell>
          <cell r="S49" t="str">
            <v>109.099619</v>
          </cell>
          <cell r="T49" t="str">
            <v>full_h04/Khánh Hòa/Thu thập EVN_Khánh Hòa/Route_Cấp 3/KH_RING 2/5. Cam Phước Đông - CAT Khánh Hòa/Cam Phước Đông - CAT Khánh Hòa_Đoạn cột trung thế_3</v>
          </cell>
          <cell r="U49">
            <v>9316.2800000000007</v>
          </cell>
        </row>
        <row r="50">
          <cell r="L50" t="str">
            <v>3.CA Tây Ninh Hòa - CA Hòa Trí</v>
          </cell>
          <cell r="M50" t="str">
            <v>145.04</v>
          </cell>
          <cell r="N50" t="str">
            <v>5.08</v>
          </cell>
          <cell r="O50" t="str">
            <v>12.540853</v>
          </cell>
          <cell r="P50" t="str">
            <v>109.007460</v>
          </cell>
          <cell r="Q50" t="str">
            <v>139.96</v>
          </cell>
          <cell r="R50" t="str">
            <v>12.550335</v>
          </cell>
          <cell r="S50" t="str">
            <v>109.021041</v>
          </cell>
          <cell r="T50" t="str">
            <v>full_h04/Khánh Hòa/Thu thập EVN_Khánh Hòa/Route_Cấp 4/KH_RING 6/3.CA Tây Ninh Hòa - CA Hòa Trí/CA Tây Ninh Hòa - CA Hòa Trí_Đoạn cột trung thế_1</v>
          </cell>
          <cell r="U50">
            <v>145.04</v>
          </cell>
        </row>
        <row r="51">
          <cell r="L51" t="str">
            <v>3.CA Tân Định - CA Ninh Hòa</v>
          </cell>
          <cell r="M51" t="str">
            <v>411.22</v>
          </cell>
          <cell r="N51" t="str">
            <v>297.85</v>
          </cell>
          <cell r="O51" t="str">
            <v>12.507178</v>
          </cell>
          <cell r="P51" t="str">
            <v>109.136665</v>
          </cell>
          <cell r="Q51" t="str">
            <v>113.37</v>
          </cell>
          <cell r="R51" t="str">
            <v>12.500529</v>
          </cell>
          <cell r="S51" t="str">
            <v>109.133120</v>
          </cell>
          <cell r="T51" t="str">
            <v>full_h04/Khánh Hòa/Thu thập EVN_Khánh Hòa/Route_Cấp 4/KH_RING 5/3.CA Tân Định - CA Ninh Hòa/CA Tân Định - CA Ninh Hòa_Đoạn cột hạ thế_2</v>
          </cell>
          <cell r="U51">
            <v>411.22</v>
          </cell>
        </row>
        <row r="52">
          <cell r="L52" t="str">
            <v>1.CA Ninh Hòa - CA Hòa Thắng_Cột trung thế</v>
          </cell>
          <cell r="M52" t="str">
            <v>1582.27</v>
          </cell>
          <cell r="N52" t="str">
            <v>2.77</v>
          </cell>
          <cell r="O52" t="str">
            <v>12.509724</v>
          </cell>
          <cell r="P52" t="str">
            <v>109.137475</v>
          </cell>
          <cell r="Q52" t="str">
            <v>1579.51</v>
          </cell>
          <cell r="R52" t="str">
            <v>12.481319</v>
          </cell>
          <cell r="S52" t="str">
            <v>109.131251</v>
          </cell>
          <cell r="T52" t="str">
            <v>full_h04/Khánh Hòa/Thu thập EVN_Khánh Hòa/Route_Cấp 4/KH_RING 5/1.CA Ninh Hòa - CA Hòa Thắng_Cột trung thế/1.CA Ninh Hòa - CA Hòa Thắng_Cột trung thế</v>
          </cell>
          <cell r="U52">
            <v>1582.27</v>
          </cell>
        </row>
        <row r="53">
          <cell r="L53" t="str">
            <v>2.CA Bắc Cam Ranh - CA Cam An</v>
          </cell>
          <cell r="M53" t="str">
            <v>325.75</v>
          </cell>
          <cell r="N53" t="str">
            <v>3.61</v>
          </cell>
          <cell r="O53" t="str">
            <v>11.962966</v>
          </cell>
          <cell r="P53" t="str">
            <v>109.095020</v>
          </cell>
          <cell r="Q53" t="str">
            <v>322.14</v>
          </cell>
          <cell r="R53" t="str">
            <v>11.962966</v>
          </cell>
          <cell r="S53" t="str">
            <v>109.095020</v>
          </cell>
          <cell r="T53" t="str">
            <v>full_h04/Khánh Hòa/Thu thập EVN_Khánh Hòa/Route_Cấp 4/KH_RING 2/2.CA Bắc Cam Ranh - CA Cam An/CA Bắc Cam Ranh - CA Cam An_Đoạn cột hạ thế_3</v>
          </cell>
          <cell r="U53">
            <v>325.75</v>
          </cell>
        </row>
        <row r="54">
          <cell r="L54" t="str">
            <v>1.CA Cam Ranh - CA Cam Linh</v>
          </cell>
          <cell r="M54" t="str">
            <v>754.89</v>
          </cell>
          <cell r="N54" t="str">
            <v>313.88</v>
          </cell>
          <cell r="O54" t="str">
            <v>11.923000</v>
          </cell>
          <cell r="P54" t="str">
            <v>109.165000</v>
          </cell>
          <cell r="Q54" t="str">
            <v>441.01</v>
          </cell>
          <cell r="R54" t="str">
            <v>11.911316</v>
          </cell>
          <cell r="S54" t="str">
            <v>109.152038</v>
          </cell>
          <cell r="T54" t="str">
            <v>full_h04/Khánh Hòa/Thu thập EVN_Khánh Hòa/Route_Cấp 4/KH_RING 3/1.CA Cam Ranh - CA Cam Linh/CA Cam Ranh - CA Cam Linh_Đoạn cột trung thế</v>
          </cell>
          <cell r="U54">
            <v>754.89</v>
          </cell>
        </row>
        <row r="55">
          <cell r="L55" t="str">
            <v>1.CA Ninh Hòa - CA Hòa Thắng_Cột trung thế</v>
          </cell>
          <cell r="M55" t="str">
            <v>273.39</v>
          </cell>
          <cell r="N55" t="str">
            <v>2.77</v>
          </cell>
          <cell r="O55" t="str">
            <v>12.509724</v>
          </cell>
          <cell r="P55" t="str">
            <v>109.137475</v>
          </cell>
          <cell r="Q55" t="str">
            <v>270.63</v>
          </cell>
          <cell r="R55" t="str">
            <v>12.486466</v>
          </cell>
          <cell r="S55" t="str">
            <v>109.134191</v>
          </cell>
          <cell r="T55" t="str">
            <v>full_h04/Khánh Hòa/Thu thập EVN_Khánh Hòa/Route_Cấp 4/KH_RING 5/1.CA Ninh Hòa - CA Hòa Thắng_Cột trung thế/1.CA Ninh Hòa - CA Hòa Thắng_Cột trung thế</v>
          </cell>
          <cell r="U55">
            <v>273.39</v>
          </cell>
        </row>
        <row r="56">
          <cell r="L56" t="str">
            <v>1.CATP Nha trang cũ - PC07</v>
          </cell>
          <cell r="M56" t="str">
            <v>37.77</v>
          </cell>
          <cell r="N56" t="str">
            <v>4.91</v>
          </cell>
          <cell r="O56" t="str">
            <v>12.239117</v>
          </cell>
          <cell r="P56" t="str">
            <v>109.186642</v>
          </cell>
          <cell r="Q56" t="str">
            <v>32.86</v>
          </cell>
          <cell r="R56" t="str">
            <v>12.238851</v>
          </cell>
          <cell r="S56" t="str">
            <v>109.186412</v>
          </cell>
          <cell r="T56" t="str">
            <v>full_h04/Khánh Hòa/Thu thập EVN_Khánh Hòa/Route_Cấp 3/KH_RING 5/1.CATP Nha trang cũ - PC07/CATP Nha trang cũ - PC07_Đoạn cột trung thế</v>
          </cell>
          <cell r="U56">
            <v>37.770000000000003</v>
          </cell>
        </row>
        <row r="57">
          <cell r="L57" t="str">
            <v>1.CATP Nha trang cũ - PC07</v>
          </cell>
          <cell r="M57" t="str">
            <v>654.25</v>
          </cell>
          <cell r="N57" t="str">
            <v>4.91</v>
          </cell>
          <cell r="O57" t="str">
            <v>12.239117</v>
          </cell>
          <cell r="P57" t="str">
            <v>109.186642</v>
          </cell>
          <cell r="Q57" t="str">
            <v>649.35</v>
          </cell>
          <cell r="R57" t="str">
            <v>12.243726</v>
          </cell>
          <cell r="S57" t="str">
            <v>109.189794</v>
          </cell>
          <cell r="T57" t="str">
            <v>full_h04/Khánh Hòa/Thu thập EVN_Khánh Hòa/Route_Cấp 3/KH_RING 5/1.CATP Nha trang cũ - PC07/CATP Nha trang cũ - PC07_Đoạn cột trung thế</v>
          </cell>
          <cell r="U57">
            <v>654.25</v>
          </cell>
        </row>
        <row r="58">
          <cell r="L58" t="str">
            <v>6.PC08 csc - CAT Khánh Hòa_Cột trung thế</v>
          </cell>
          <cell r="M58" t="str">
            <v>317.79</v>
          </cell>
          <cell r="N58" t="str">
            <v>209.50</v>
          </cell>
          <cell r="O58" t="str">
            <v>12.240531</v>
          </cell>
          <cell r="P58" t="str">
            <v>109.187854</v>
          </cell>
          <cell r="Q58" t="str">
            <v>108.28</v>
          </cell>
          <cell r="R58" t="str">
            <v>12.238301</v>
          </cell>
          <cell r="S58" t="str">
            <v>109.191949</v>
          </cell>
          <cell r="T58" t="str">
            <v>full_h04/Khánh Hòa/Thu thập EVN_Khánh Hòa/Route_Cấp 3/KH_RING 3/6.PC08 csc - CAT Khánh Hòa_Cột trung thế/6.PC08 csc - CAT Khánh Hòa_Cột trung thế</v>
          </cell>
          <cell r="U58">
            <v>317.79000000000002</v>
          </cell>
        </row>
        <row r="59">
          <cell r="L59" t="str">
            <v>1.CATP Nha trang cũ - PC07</v>
          </cell>
          <cell r="M59" t="str">
            <v>887.13</v>
          </cell>
          <cell r="N59" t="str">
            <v>405.93</v>
          </cell>
          <cell r="O59" t="str">
            <v>12.243925</v>
          </cell>
          <cell r="P59" t="str">
            <v>109.189556</v>
          </cell>
          <cell r="Q59" t="str">
            <v>481.20</v>
          </cell>
          <cell r="R59" t="str">
            <v>12.239652</v>
          </cell>
          <cell r="S59" t="str">
            <v>109.185587</v>
          </cell>
          <cell r="T59" t="str">
            <v>full_h04/Khánh Hòa/Thu thập EVN_Khánh Hòa/Route_Cấp 3/KH_RING 5/1.CATP Nha trang cũ - PC07/CATP Nha trang cũ - PC07_Đoạn cột trung thế</v>
          </cell>
          <cell r="U59">
            <v>887.13</v>
          </cell>
        </row>
        <row r="60">
          <cell r="L60" t="str">
            <v>2.CA Nam Nha Trang - CA Nha Trang</v>
          </cell>
          <cell r="M60" t="str">
            <v>681.98</v>
          </cell>
          <cell r="N60" t="str">
            <v>324.19</v>
          </cell>
          <cell r="O60" t="str">
            <v>12.249235</v>
          </cell>
          <cell r="P60" t="str">
            <v>109.192435</v>
          </cell>
          <cell r="Q60" t="str">
            <v>357.79</v>
          </cell>
          <cell r="R60" t="str">
            <v>12.246922</v>
          </cell>
          <cell r="S60" t="str">
            <v>109.181597</v>
          </cell>
          <cell r="T60" t="str">
            <v>full_h04/Khánh Hòa/Thu thập EVN_Khánh Hòa/Route_Cấp 4/KH_RING 1/2.CA Nam Nha Trang - CA Nha Trang/CA Nam Nha Trang - CA Nha Trang_Đoạn cột trung thế_2</v>
          </cell>
          <cell r="U60">
            <v>681.98</v>
          </cell>
        </row>
        <row r="61">
          <cell r="L61" t="str">
            <v>3. Trại giam A2 - CATP Nha trang cũ</v>
          </cell>
          <cell r="M61" t="str">
            <v>94.89</v>
          </cell>
          <cell r="N61" t="str">
            <v>80.62</v>
          </cell>
          <cell r="O61" t="str">
            <v>12.249428</v>
          </cell>
          <cell r="P61" t="str">
            <v>109.184727</v>
          </cell>
          <cell r="Q61" t="str">
            <v>14.27</v>
          </cell>
          <cell r="R61" t="str">
            <v>12.250778</v>
          </cell>
          <cell r="S61" t="str">
            <v>109.177980</v>
          </cell>
          <cell r="T61" t="str">
            <v>full_h04/Khánh Hòa/Thu thập EVN_Khánh Hòa/Route_Cấp 3/KH_RING 4/3. Trại giam A2 - CATP Nha trang cũ/Trại giam A2 - CATP Nha trang cũ_Đoạn cột trung thế_8</v>
          </cell>
          <cell r="U61">
            <v>94.89</v>
          </cell>
        </row>
        <row r="62">
          <cell r="L62" t="str">
            <v>2.PC07 - PA06 cs2_Cột hạ thế</v>
          </cell>
          <cell r="M62" t="str">
            <v>138.44</v>
          </cell>
          <cell r="N62" t="str">
            <v>4.67</v>
          </cell>
          <cell r="O62" t="str">
            <v>12.236451</v>
          </cell>
          <cell r="P62" t="str">
            <v>109.184562</v>
          </cell>
          <cell r="Q62" t="str">
            <v>133.77</v>
          </cell>
          <cell r="R62" t="str">
            <v>12.236749</v>
          </cell>
          <cell r="S62" t="str">
            <v>109.185765</v>
          </cell>
          <cell r="T62" t="str">
            <v>full_h04/Khánh Hòa/Thu thập EVN_Khánh Hòa/Route_Cấp 3/KH_RING 5/2.PC07 - PA06 cs2_Cột hạ thế/2.PC07 - PA06 cs2_Cột hạ thế</v>
          </cell>
          <cell r="U62">
            <v>138.44</v>
          </cell>
        </row>
        <row r="63">
          <cell r="L63" t="str">
            <v>1.CATP Nha trang cũ - PC07</v>
          </cell>
          <cell r="M63" t="str">
            <v>521.71</v>
          </cell>
          <cell r="N63" t="str">
            <v>405.93</v>
          </cell>
          <cell r="O63" t="str">
            <v>12.243925</v>
          </cell>
          <cell r="P63" t="str">
            <v>109.189556</v>
          </cell>
          <cell r="Q63" t="str">
            <v>115.78</v>
          </cell>
          <cell r="R63" t="str">
            <v>12.239652</v>
          </cell>
          <cell r="S63" t="str">
            <v>109.185587</v>
          </cell>
          <cell r="T63" t="str">
            <v>full_h04/Khánh Hòa/Thu thập EVN_Khánh Hòa/Route_Cấp 3/KH_RING 5/1.CATP Nha trang cũ - PC07/CATP Nha trang cũ - PC07_Đoạn cột trung thế</v>
          </cell>
          <cell r="U63">
            <v>521.71</v>
          </cell>
        </row>
        <row r="64">
          <cell r="L64" t="str">
            <v>2.CA Nam Nha Trang - CA Nha Trang</v>
          </cell>
          <cell r="M64" t="str">
            <v>622.63</v>
          </cell>
          <cell r="N64" t="str">
            <v>324.19</v>
          </cell>
          <cell r="O64" t="str">
            <v>12.249235</v>
          </cell>
          <cell r="P64" t="str">
            <v>109.192435</v>
          </cell>
          <cell r="Q64" t="str">
            <v>298.44</v>
          </cell>
          <cell r="R64" t="str">
            <v>12.246922</v>
          </cell>
          <cell r="S64" t="str">
            <v>109.181597</v>
          </cell>
          <cell r="T64" t="str">
            <v>full_h04/Khánh Hòa/Thu thập EVN_Khánh Hòa/Route_Cấp 4/KH_RING 1/2.CA Nam Nha Trang - CA Nha Trang/CA Nam Nha Trang - CA Nha Trang_Đoạn cột trung thế_2</v>
          </cell>
          <cell r="U64">
            <v>622.63</v>
          </cell>
        </row>
        <row r="65">
          <cell r="L65" t="str">
            <v>3.PA06 cs2 - PC11a</v>
          </cell>
          <cell r="M65" t="str">
            <v>609.57</v>
          </cell>
          <cell r="N65" t="str">
            <v>15.81</v>
          </cell>
          <cell r="O65" t="str">
            <v>12.236330</v>
          </cell>
          <cell r="P65" t="str">
            <v>109.184576</v>
          </cell>
          <cell r="Q65" t="str">
            <v>593.76</v>
          </cell>
          <cell r="R65" t="str">
            <v>12.235100</v>
          </cell>
          <cell r="S65" t="str">
            <v>109.183842</v>
          </cell>
          <cell r="T65" t="str">
            <v>full_h04/Khánh Hòa/Thu thập EVN_Khánh Hòa/Route_Cấp 3/KH_RING 5/3.PA06 cs2 - PC11a/PA06 cs2 - PC11a_Đoạn cột hạ thế</v>
          </cell>
          <cell r="U65">
            <v>609.57000000000005</v>
          </cell>
        </row>
        <row r="66">
          <cell r="L66" t="str">
            <v>1.CAT Khánh Hòa - PK02 cs1</v>
          </cell>
          <cell r="M66" t="str">
            <v>478.09</v>
          </cell>
          <cell r="N66" t="str">
            <v>206.48</v>
          </cell>
          <cell r="O66" t="str">
            <v>12.278732</v>
          </cell>
          <cell r="P66" t="str">
            <v>109.188858</v>
          </cell>
          <cell r="Q66" t="str">
            <v>271.61</v>
          </cell>
          <cell r="R66" t="str">
            <v>12.279789</v>
          </cell>
          <cell r="S66" t="str">
            <v>109.195205</v>
          </cell>
          <cell r="T66" t="str">
            <v>full_h04/Khánh Hòa/Thu thập EVN_Khánh Hòa/Route_Cấp 3/KH_RING 6/1.CAT Khánh Hòa - PK02 cs1/CAT Khánh Hòa - PK02 cs1_Đoạn côt trung thế_2</v>
          </cell>
          <cell r="U66">
            <v>478.09</v>
          </cell>
        </row>
        <row r="67">
          <cell r="L67" t="str">
            <v>4.CA Cam Hiệp - CA Cam Lâm_Cột trung thế</v>
          </cell>
          <cell r="M67" t="str">
            <v>140.83</v>
          </cell>
          <cell r="N67" t="str">
            <v>1.04</v>
          </cell>
          <cell r="O67" t="str">
            <v>12.031929</v>
          </cell>
          <cell r="P67" t="str">
            <v>109.128201</v>
          </cell>
          <cell r="Q67" t="str">
            <v>139.79</v>
          </cell>
          <cell r="R67" t="str">
            <v>12.047109</v>
          </cell>
          <cell r="S67" t="str">
            <v>109.127058</v>
          </cell>
          <cell r="T67" t="str">
            <v>full_h04/Khánh Hòa/Thu thập EVN_Khánh Hòa/Route_Cấp 4/KH_RING 2/4.CA Cam Hiệp - CA Cam Lâm_Cột trung thế/4.CA Cam Hiệp - CA Cam Lâm_Cột trung thế</v>
          </cell>
          <cell r="U67">
            <v>140.83000000000001</v>
          </cell>
        </row>
        <row r="68">
          <cell r="L68" t="str">
            <v>1.CA Ninh Hòa - CA Hòa Thắng_Cột trung thế</v>
          </cell>
          <cell r="M68" t="str">
            <v>571.13</v>
          </cell>
          <cell r="N68" t="str">
            <v>2.77</v>
          </cell>
          <cell r="O68" t="str">
            <v>12.509724</v>
          </cell>
          <cell r="P68" t="str">
            <v>109.137475</v>
          </cell>
          <cell r="Q68" t="str">
            <v>568.36</v>
          </cell>
          <cell r="R68" t="str">
            <v>12.481319</v>
          </cell>
          <cell r="S68" t="str">
            <v>109.131251</v>
          </cell>
          <cell r="T68" t="str">
            <v>full_h04/Khánh Hòa/Thu thập EVN_Khánh Hòa/Route_Cấp 4/KH_RING 5/1.CA Ninh Hòa - CA Hòa Thắng_Cột trung thế/1.CA Ninh Hòa - CA Hòa Thắng_Cột trung thế</v>
          </cell>
          <cell r="U68">
            <v>571.13</v>
          </cell>
        </row>
        <row r="69">
          <cell r="L69" t="str">
            <v>5.Trạm CSGT Ninh An cũ - Ninh Hòa</v>
          </cell>
          <cell r="M69" t="str">
            <v>626.52</v>
          </cell>
          <cell r="N69" t="str">
            <v>2.76</v>
          </cell>
          <cell r="O69" t="str">
            <v>12.509732</v>
          </cell>
          <cell r="P69" t="str">
            <v>109.137475</v>
          </cell>
          <cell r="Q69" t="str">
            <v>623.76</v>
          </cell>
          <cell r="R69" t="str">
            <v>12.504679</v>
          </cell>
          <cell r="S69" t="str">
            <v>109.153633</v>
          </cell>
          <cell r="T69" t="str">
            <v>full_h04/Khánh Hòa/Thu thập EVN_Khánh Hòa/Route_Cấp 3/KH_RING 6/5.Trạm CSGT Ninh An cũ - Ninh Hòa/Trạm CSGT Ninh An cũ - Ninh Hòa_Đoạn cột trung thế</v>
          </cell>
          <cell r="U69">
            <v>626.52</v>
          </cell>
        </row>
        <row r="70">
          <cell r="L70" t="str">
            <v>4.CA Vạn Hưng - CA Vạn Ninh</v>
          </cell>
          <cell r="M70" t="str">
            <v>431.92</v>
          </cell>
          <cell r="N70" t="str">
            <v>3.45</v>
          </cell>
          <cell r="O70" t="str">
            <v>12.690776</v>
          </cell>
          <cell r="P70" t="str">
            <v>109.220869</v>
          </cell>
          <cell r="Q70" t="str">
            <v>428.48</v>
          </cell>
          <cell r="R70" t="str">
            <v>12.690776</v>
          </cell>
          <cell r="S70" t="str">
            <v>109.220869</v>
          </cell>
          <cell r="T70" t="str">
            <v>full_h04/Khánh Hòa/Thu thập EVN_Khánh Hòa/Route_Cấp 4/KH_RING 4/4.CA Vạn Hưng - CA Vạn Ninh/CA Vạn Hưng - CA Vạn Ninh_Đoạn cột hạ thế</v>
          </cell>
          <cell r="U70">
            <v>431.92</v>
          </cell>
        </row>
        <row r="71">
          <cell r="L71" t="str">
            <v>3.Cam Ranh - Khánh Sơn</v>
          </cell>
          <cell r="M71" t="str">
            <v>5280.19</v>
          </cell>
          <cell r="N71" t="str">
            <v>274.23</v>
          </cell>
          <cell r="O71" t="str">
            <v>11.925938</v>
          </cell>
          <cell r="P71" t="str">
            <v>109.161216</v>
          </cell>
          <cell r="Q71" t="str">
            <v>5005.96</v>
          </cell>
          <cell r="R71" t="str">
            <v>11.960527</v>
          </cell>
          <cell r="S71" t="str">
            <v>109.097217</v>
          </cell>
          <cell r="T71" t="str">
            <v>full_h04/Khánh Hòa/Thu thập EVN_Khánh Hòa/Route_Cấp 3/KH_RING 2/3.Cam Ranh - Khánh Sơn/Cam Ranh - Khánh Sơn_Đoạn cột trung thế</v>
          </cell>
          <cell r="U71">
            <v>5280.19</v>
          </cell>
        </row>
        <row r="72">
          <cell r="L72" t="str">
            <v>1.CAT Khánh Hòa - Cam Lâm</v>
          </cell>
          <cell r="M72" t="str">
            <v>138.12</v>
          </cell>
          <cell r="N72" t="str">
            <v>136.09</v>
          </cell>
          <cell r="O72" t="str">
            <v>12.175768</v>
          </cell>
          <cell r="P72" t="str">
            <v>109.174950</v>
          </cell>
          <cell r="Q72" t="str">
            <v>2.03</v>
          </cell>
          <cell r="R72" t="str">
            <v>12.074439</v>
          </cell>
          <cell r="S72" t="str">
            <v>109.168081</v>
          </cell>
          <cell r="T72" t="str">
            <v>full_h04/Khánh Hòa/Thu thập EVN_Khánh Hòa/Route_Cấp 3/KH_RING 2/1.CAT Khánh Hòa - Cam Lâm/CAT Khánh Hòa - Cam Lâm_Đoạn cột trung thế_2</v>
          </cell>
          <cell r="U72">
            <v>138.12</v>
          </cell>
        </row>
        <row r="73">
          <cell r="L73" t="str">
            <v>2.CA Bắc Cam Ranh - CA Cam An</v>
          </cell>
          <cell r="M73" t="str">
            <v>4045.15</v>
          </cell>
          <cell r="N73" t="str">
            <v>3421.38</v>
          </cell>
          <cell r="O73" t="str">
            <v>11.972379</v>
          </cell>
          <cell r="P73" t="str">
            <v>109.112890</v>
          </cell>
          <cell r="Q73" t="str">
            <v>623.77</v>
          </cell>
          <cell r="R73" t="str">
            <v>11.989046</v>
          </cell>
          <cell r="S73" t="str">
            <v>109.151068</v>
          </cell>
          <cell r="T73" t="str">
            <v>full_h04/Khánh Hòa/Thu thập EVN_Khánh Hòa/Route_Cấp 4/KH_RING 2/2.CA Bắc Cam Ranh - CA Cam An/CA Bắc Cam Ranh - CA Cam An_Đoạn cột trung thế_1</v>
          </cell>
          <cell r="U73">
            <v>4045.15</v>
          </cell>
        </row>
        <row r="74">
          <cell r="L74" t="str">
            <v>4.CA Nam Cam Ranh - CA Cam Ranh</v>
          </cell>
          <cell r="M74" t="str">
            <v>476.19</v>
          </cell>
          <cell r="N74" t="str">
            <v>271.76</v>
          </cell>
          <cell r="O74" t="str">
            <v>11.925971</v>
          </cell>
          <cell r="P74" t="str">
            <v>109.161245</v>
          </cell>
          <cell r="Q74" t="str">
            <v>204.42</v>
          </cell>
          <cell r="R74" t="str">
            <v>11.920406</v>
          </cell>
          <cell r="S74" t="str">
            <v>109.144291</v>
          </cell>
          <cell r="T74" t="str">
            <v>full_h04/Khánh Hòa/Thu thập EVN_Khánh Hòa/Route_Cấp 4/KH_RING 3/4.CA Nam Cam Ranh - CA Cam Ranh/CA Nam Cam Ranh - CA Cam Ranh_Đoạn cột trung thế_3</v>
          </cell>
          <cell r="U74">
            <v>476.19</v>
          </cell>
        </row>
        <row r="75">
          <cell r="L75" t="str">
            <v>4.CA Cam Hiệp - CA Cam Lâm_Cột trung thế</v>
          </cell>
          <cell r="M75" t="str">
            <v>881.07</v>
          </cell>
          <cell r="N75" t="str">
            <v>1.04</v>
          </cell>
          <cell r="O75" t="str">
            <v>12.031929</v>
          </cell>
          <cell r="P75" t="str">
            <v>109.128201</v>
          </cell>
          <cell r="Q75" t="str">
            <v>880.03</v>
          </cell>
          <cell r="R75" t="str">
            <v>12.070831</v>
          </cell>
          <cell r="S75" t="str">
            <v>109.157676</v>
          </cell>
          <cell r="T75" t="str">
            <v>full_h04/Khánh Hòa/Thu thập EVN_Khánh Hòa/Route_Cấp 4/KH_RING 2/4.CA Cam Hiệp - CA Cam Lâm_Cột trung thế/4.CA Cam Hiệp - CA Cam Lâm_Cột trung thế</v>
          </cell>
          <cell r="U75">
            <v>881.07</v>
          </cell>
        </row>
        <row r="76">
          <cell r="L76" t="str">
            <v>3.CA Cam An - CA Cam Hiệp</v>
          </cell>
          <cell r="M76" t="str">
            <v>2215.62</v>
          </cell>
          <cell r="N76" t="str">
            <v>2211.21</v>
          </cell>
          <cell r="O76" t="str">
            <v>11.972360</v>
          </cell>
          <cell r="P76" t="str">
            <v>109.112902</v>
          </cell>
          <cell r="Q76" t="str">
            <v>4.41</v>
          </cell>
          <cell r="R76" t="str">
            <v>12.031930</v>
          </cell>
          <cell r="S76" t="str">
            <v>109.128161</v>
          </cell>
          <cell r="T76" t="str">
            <v>full_h04/Khánh Hòa/Thu thập EVN_Khánh Hòa/Route_Cấp 4/KH_RING 2/3.CA Cam An - CA Cam Hiệp/CA Cam An - CA Cam Hiệp_Đoạn cột trung thế_2</v>
          </cell>
          <cell r="U76">
            <v>2215.62</v>
          </cell>
        </row>
        <row r="77">
          <cell r="L77" t="str">
            <v>4.CA Nam Cam Ranh - CA Cam Ranh</v>
          </cell>
          <cell r="M77" t="str">
            <v>370.23</v>
          </cell>
          <cell r="N77" t="str">
            <v>271.76</v>
          </cell>
          <cell r="O77" t="str">
            <v>11.925971</v>
          </cell>
          <cell r="P77" t="str">
            <v>109.161245</v>
          </cell>
          <cell r="Q77" t="str">
            <v>98.47</v>
          </cell>
          <cell r="R77" t="str">
            <v>11.908733</v>
          </cell>
          <cell r="S77" t="str">
            <v>109.127402</v>
          </cell>
          <cell r="T77" t="str">
            <v>full_h04/Khánh Hòa/Thu thập EVN_Khánh Hòa/Route_Cấp 4/KH_RING 3/4.CA Nam Cam Ranh - CA Cam Ranh/CA Nam Cam Ranh - CA Cam Ranh_Đoạn cột trung thế_3</v>
          </cell>
          <cell r="U77">
            <v>370.23</v>
          </cell>
        </row>
        <row r="78">
          <cell r="L78" t="str">
            <v>4.CA Nam Cam Ranh - CA Cam Ranh</v>
          </cell>
          <cell r="M78" t="str">
            <v>5756.97</v>
          </cell>
          <cell r="N78" t="str">
            <v>1211.77</v>
          </cell>
          <cell r="O78" t="str">
            <v>11.915802</v>
          </cell>
          <cell r="P78" t="str">
            <v>109.140168</v>
          </cell>
          <cell r="Q78" t="str">
            <v>4545.20</v>
          </cell>
          <cell r="R78" t="str">
            <v>11.878836</v>
          </cell>
          <cell r="S78" t="str">
            <v>109.110860</v>
          </cell>
          <cell r="T78" t="str">
            <v>full_h04/Khánh Hòa/Thu thập EVN_Khánh Hòa/Route_Cấp 4/KH_RING 3/4.CA Nam Cam Ranh - CA Cam Ranh/CA Nam Cam Ranh - CA Cam Ranh_Đoạn cột trung thế_3</v>
          </cell>
          <cell r="U78">
            <v>5756.97</v>
          </cell>
        </row>
        <row r="79">
          <cell r="L79" t="str">
            <v>1.CA Cam Ranh - CA Cam Linh</v>
          </cell>
          <cell r="M79" t="str">
            <v>318.01</v>
          </cell>
          <cell r="N79" t="str">
            <v>313.88</v>
          </cell>
          <cell r="O79" t="str">
            <v>11.923000</v>
          </cell>
          <cell r="P79" t="str">
            <v>109.165000</v>
          </cell>
          <cell r="Q79" t="str">
            <v>4.13</v>
          </cell>
          <cell r="R79" t="str">
            <v>11.906758</v>
          </cell>
          <cell r="S79" t="str">
            <v>109.146364</v>
          </cell>
          <cell r="T79" t="str">
            <v>full_h04/Khánh Hòa/Thu thập EVN_Khánh Hòa/Route_Cấp 4/KH_RING 3/1.CA Cam Ranh - CA Cam Linh/CA Cam Ranh - CA Cam Linh_Đoạn cột trung thế</v>
          </cell>
          <cell r="U79">
            <v>318.01</v>
          </cell>
        </row>
        <row r="80">
          <cell r="L80" t="str">
            <v>2.Cam Lâm - Cam Ranh</v>
          </cell>
          <cell r="M80" t="str">
            <v>1218.65</v>
          </cell>
          <cell r="N80" t="str">
            <v>674.90</v>
          </cell>
          <cell r="O80" t="str">
            <v>11.970426</v>
          </cell>
          <cell r="P80" t="str">
            <v>109.192857</v>
          </cell>
          <cell r="Q80" t="str">
            <v>543.75</v>
          </cell>
          <cell r="R80" t="str">
            <v>12.034097</v>
          </cell>
          <cell r="S80" t="str">
            <v>109.174734</v>
          </cell>
          <cell r="T80" t="str">
            <v>full_h04/Khánh Hòa/Thu thập EVN_Khánh Hòa/Route_Cấp 3/KH_RING 2/2.Cam Lâm - Cam Ranh/Cam Lâm - Cam Ranh_Đoạn cột trung thế</v>
          </cell>
          <cell r="U80">
            <v>1218.6500000000001</v>
          </cell>
        </row>
        <row r="81">
          <cell r="L81" t="str">
            <v>5. Cam Phước Đông - CAT Khánh Hòa</v>
          </cell>
          <cell r="M81" t="str">
            <v>1833.46</v>
          </cell>
          <cell r="N81" t="str">
            <v>1719.35</v>
          </cell>
          <cell r="O81" t="str">
            <v>12.075379</v>
          </cell>
          <cell r="P81" t="str">
            <v>109.152317</v>
          </cell>
          <cell r="Q81" t="str">
            <v>114.11</v>
          </cell>
          <cell r="R81" t="str">
            <v>12.118789</v>
          </cell>
          <cell r="S81" t="str">
            <v>109.112370</v>
          </cell>
          <cell r="T81" t="str">
            <v>full_h04/Khánh Hòa/Thu thập EVN_Khánh Hòa/Route_Cấp 3/KH_RING 2/5. Cam Phước Đông - CAT Khánh Hòa/Cam Phước Đông - CAT Khánh Hòa_Đoạn cột trung thế_2</v>
          </cell>
          <cell r="U81">
            <v>1833.46</v>
          </cell>
        </row>
        <row r="82">
          <cell r="L82" t="str">
            <v>1.CA Cam Ranh - CA Bắc Cam Ranh</v>
          </cell>
          <cell r="M82" t="str">
            <v>297.57</v>
          </cell>
          <cell r="N82" t="str">
            <v>125.41</v>
          </cell>
          <cell r="O82" t="str">
            <v>11.976637</v>
          </cell>
          <cell r="P82" t="str">
            <v>109.195647</v>
          </cell>
          <cell r="Q82" t="str">
            <v>172.16</v>
          </cell>
          <cell r="R82" t="str">
            <v>11.943080</v>
          </cell>
          <cell r="S82" t="str">
            <v>109.180499</v>
          </cell>
          <cell r="T82" t="str">
            <v>full_h04/Khánh Hòa/Thu thập EVN_Khánh Hòa/Route_Cấp 4/KH_RING 2/1.CA Cam Ranh - CA Bắc Cam Ranh/CA Cam Ranh - CA Bắc Cam Ranh_Đoạn trung thế</v>
          </cell>
          <cell r="U82">
            <v>297.57</v>
          </cell>
        </row>
        <row r="83">
          <cell r="L83" t="str">
            <v>Tuyến nhánh CA Bắc Cam Ranh - Cảng HKQT Cam Ranh</v>
          </cell>
          <cell r="M83" t="str">
            <v>2620.93</v>
          </cell>
          <cell r="N83" t="str">
            <v>2497.87</v>
          </cell>
          <cell r="O83" t="str">
            <v>11.984549</v>
          </cell>
          <cell r="P83" t="str">
            <v>109.200570</v>
          </cell>
          <cell r="Q83" t="str">
            <v>123.07</v>
          </cell>
          <cell r="R83" t="str">
            <v>11.976625</v>
          </cell>
          <cell r="S83" t="str">
            <v>109.195673</v>
          </cell>
          <cell r="T83" t="str">
            <v>full_h04/Khánh Hòa/Thu thập EVN_Khánh Hòa/Route_Cấp 4/KH_RING 2/Tuyến nhánh CA Bắc Cam Ranh - Cảng HKQT Cam Ranh/CA Bắc Cam Ranh - Cảng HKQT Cam Ranh_Đoạn cột trung thế_1</v>
          </cell>
          <cell r="U83">
            <v>2620.9299999999998</v>
          </cell>
        </row>
        <row r="84">
          <cell r="L84" t="str">
            <v>2.Cam Lâm - Cam Ranh</v>
          </cell>
          <cell r="M84" t="str">
            <v>3017.86</v>
          </cell>
          <cell r="N84" t="str">
            <v>5.32</v>
          </cell>
          <cell r="O84" t="str">
            <v>12.074472</v>
          </cell>
          <cell r="P84" t="str">
            <v>109.168063</v>
          </cell>
          <cell r="Q84" t="str">
            <v>3012.54</v>
          </cell>
          <cell r="R84" t="str">
            <v>11.992822</v>
          </cell>
          <cell r="S84" t="str">
            <v>109.191656</v>
          </cell>
          <cell r="T84" t="str">
            <v>full_h04/Khánh Hòa/Thu thập EVN_Khánh Hòa/Route_Cấp 3/KH_RING 2/2.Cam Lâm - Cam Ranh/Cam Lâm - Cam Ranh_Đoạn cột trung thế</v>
          </cell>
          <cell r="U84">
            <v>3017.86</v>
          </cell>
        </row>
        <row r="85">
          <cell r="L85" t="str">
            <v>Tuyến nhánh CA Bắc Cam Ranh - Cảng HKQT Cam Ranh</v>
          </cell>
          <cell r="M85" t="str">
            <v>6114.73</v>
          </cell>
          <cell r="N85" t="str">
            <v>5.18</v>
          </cell>
          <cell r="O85" t="str">
            <v>11.998255</v>
          </cell>
          <cell r="P85" t="str">
            <v>109.218788</v>
          </cell>
          <cell r="Q85" t="str">
            <v>6109.55</v>
          </cell>
          <cell r="R85" t="str">
            <v>12.001107</v>
          </cell>
          <cell r="S85" t="str">
            <v>109.209318</v>
          </cell>
          <cell r="T85" t="str">
            <v>full_h04/Khánh Hòa/Thu thập EVN_Khánh Hòa/Route_Cấp 4/KH_RING 2/Tuyến nhánh CA Bắc Cam Ranh - Cảng HKQT Cam Ranh/CA Bắc Cam Ranh - Cảng HKQT Cam Ranh_Đoạn ngầm_2</v>
          </cell>
          <cell r="U85">
            <v>6114.73</v>
          </cell>
        </row>
        <row r="86">
          <cell r="L86" t="str">
            <v>3.CA Cam An - CA Cam Hiệp</v>
          </cell>
          <cell r="M86" t="str">
            <v>4303.41</v>
          </cell>
          <cell r="N86" t="str">
            <v>4.41</v>
          </cell>
          <cell r="O86" t="str">
            <v>12.031930</v>
          </cell>
          <cell r="P86" t="str">
            <v>109.128161</v>
          </cell>
          <cell r="Q86" t="str">
            <v>4299.01</v>
          </cell>
          <cell r="R86" t="str">
            <v>12.006541</v>
          </cell>
          <cell r="S86" t="str">
            <v>109.125311</v>
          </cell>
          <cell r="T86" t="str">
            <v>full_h04/Khánh Hòa/Thu thập EVN_Khánh Hòa/Route_Cấp 4/KH_RING 2/3.CA Cam An - CA Cam Hiệp/CA Cam An - CA Cam Hiệp_Đoạn cột trung thế_2</v>
          </cell>
          <cell r="U86">
            <v>4303.41</v>
          </cell>
        </row>
        <row r="87">
          <cell r="L87" t="str">
            <v>3.CA Cam An - CA Cam Hiệp</v>
          </cell>
          <cell r="M87" t="str">
            <v>1580.41</v>
          </cell>
          <cell r="N87" t="str">
            <v>4.41</v>
          </cell>
          <cell r="O87" t="str">
            <v>12.031930</v>
          </cell>
          <cell r="P87" t="str">
            <v>109.128161</v>
          </cell>
          <cell r="Q87" t="str">
            <v>1576.01</v>
          </cell>
          <cell r="R87" t="str">
            <v>12.008963</v>
          </cell>
          <cell r="S87" t="str">
            <v>109.126104</v>
          </cell>
          <cell r="T87" t="str">
            <v>full_h04/Khánh Hòa/Thu thập EVN_Khánh Hòa/Route_Cấp 4/KH_RING 2/3.CA Cam An - CA Cam Hiệp/CA Cam An - CA Cam Hiệp_Đoạn cột trung thế_2</v>
          </cell>
          <cell r="U87">
            <v>1580.41</v>
          </cell>
        </row>
        <row r="88">
          <cell r="L88" t="str">
            <v>4.CA Nam Cam Ranh - CA Cam Ranh</v>
          </cell>
          <cell r="M88" t="str">
            <v>557.99</v>
          </cell>
          <cell r="N88" t="str">
            <v>271.76</v>
          </cell>
          <cell r="O88" t="str">
            <v>11.925971</v>
          </cell>
          <cell r="P88" t="str">
            <v>109.161245</v>
          </cell>
          <cell r="Q88" t="str">
            <v>286.23</v>
          </cell>
          <cell r="R88" t="str">
            <v>11.920144</v>
          </cell>
          <cell r="S88" t="str">
            <v>109.150360</v>
          </cell>
          <cell r="T88" t="str">
            <v>full_h04/Khánh Hòa/Thu thập EVN_Khánh Hòa/Route_Cấp 4/KH_RING 3/4.CA Nam Cam Ranh - CA Cam Ranh/CA Nam Cam Ranh - CA Cam Ranh_Đoạn cột trung thế_3</v>
          </cell>
          <cell r="U88">
            <v>557.99</v>
          </cell>
        </row>
        <row r="89">
          <cell r="L89" t="str">
            <v>2.CA Cam Linh - CA Ba Ngòi</v>
          </cell>
          <cell r="M89" t="str">
            <v>314.65</v>
          </cell>
          <cell r="N89" t="str">
            <v>4.00</v>
          </cell>
          <cell r="O89" t="str">
            <v>11.906751</v>
          </cell>
          <cell r="P89" t="str">
            <v>109.146369</v>
          </cell>
          <cell r="Q89" t="str">
            <v>310.65</v>
          </cell>
          <cell r="R89" t="str">
            <v>11.905789</v>
          </cell>
          <cell r="S89" t="str">
            <v>109.145025</v>
          </cell>
          <cell r="T89" t="str">
            <v>full_h04/Khánh Hòa/Thu thập EVN_Khánh Hòa/Route_Cấp 4/KH_RING 3/2.CA Cam Linh - CA Ba Ngòi/CA Cam Linh - CA Ba Ngòi_Đoạn cột trung thế</v>
          </cell>
          <cell r="U89">
            <v>314.64999999999998</v>
          </cell>
        </row>
        <row r="90">
          <cell r="L90" t="str">
            <v>1.CA Cam Ranh - CA Cam Linh</v>
          </cell>
          <cell r="M90" t="str">
            <v>1033.25</v>
          </cell>
          <cell r="N90" t="str">
            <v>313.88</v>
          </cell>
          <cell r="O90" t="str">
            <v>11.923000</v>
          </cell>
          <cell r="P90" t="str">
            <v>109.165000</v>
          </cell>
          <cell r="Q90" t="str">
            <v>719.36</v>
          </cell>
          <cell r="R90" t="str">
            <v>11.920300</v>
          </cell>
          <cell r="S90" t="str">
            <v>109.162000</v>
          </cell>
          <cell r="T90" t="str">
            <v>full_h04/Khánh Hòa/Thu thập EVN_Khánh Hòa/Route_Cấp 4/KH_RING 3/1.CA Cam Ranh - CA Cam Linh/CA Cam Ranh - CA Cam Linh_Đoạn cột trung thế</v>
          </cell>
          <cell r="U90">
            <v>1033.25</v>
          </cell>
        </row>
        <row r="91">
          <cell r="L91" t="str">
            <v>2.CA Bắc Cam Ranh - CA Cam An</v>
          </cell>
          <cell r="M91" t="str">
            <v>260.36</v>
          </cell>
          <cell r="N91" t="str">
            <v>125.00</v>
          </cell>
          <cell r="O91" t="str">
            <v>11.976645</v>
          </cell>
          <cell r="P91" t="str">
            <v>109.195676</v>
          </cell>
          <cell r="Q91" t="str">
            <v>135.35</v>
          </cell>
          <cell r="R91" t="str">
            <v>11.987181</v>
          </cell>
          <cell r="S91" t="str">
            <v>109.174135</v>
          </cell>
          <cell r="T91" t="str">
            <v>full_h04/Khánh Hòa/Thu thập EVN_Khánh Hòa/Route_Cấp 4/KH_RING 2/2.CA Bắc Cam Ranh - CA Cam An/CA Bắc Cam Ranh - CA Cam An_Đoạn cột trung thế_1</v>
          </cell>
          <cell r="U91">
            <v>260.36</v>
          </cell>
        </row>
        <row r="92">
          <cell r="L92" t="str">
            <v>2.CA Cam Linh - CA Ba Ngòi</v>
          </cell>
          <cell r="M92" t="str">
            <v>19.85</v>
          </cell>
          <cell r="N92" t="str">
            <v>4.00</v>
          </cell>
          <cell r="O92" t="str">
            <v>11.906751</v>
          </cell>
          <cell r="P92" t="str">
            <v>109.146369</v>
          </cell>
          <cell r="Q92" t="str">
            <v>15.86</v>
          </cell>
          <cell r="R92" t="str">
            <v>11.909582</v>
          </cell>
          <cell r="S92" t="str">
            <v>109.141975</v>
          </cell>
          <cell r="T92" t="str">
            <v>full_h04/Khánh Hòa/Thu thập EVN_Khánh Hòa/Route_Cấp 4/KH_RING 3/2.CA Cam Linh - CA Ba Ngòi/CA Cam Linh - CA Ba Ngòi_Đoạn cột trung thế</v>
          </cell>
          <cell r="U92">
            <v>19.850000000000001</v>
          </cell>
        </row>
        <row r="93">
          <cell r="L93" t="str">
            <v>1.CA Cam Ranh - CA Cam Linh</v>
          </cell>
          <cell r="M93" t="str">
            <v>636.01</v>
          </cell>
          <cell r="N93" t="str">
            <v>313.88</v>
          </cell>
          <cell r="O93" t="str">
            <v>11.923000</v>
          </cell>
          <cell r="P93" t="str">
            <v>109.165000</v>
          </cell>
          <cell r="Q93" t="str">
            <v>322.13</v>
          </cell>
          <cell r="R93" t="str">
            <v>11.909857</v>
          </cell>
          <cell r="S93" t="str">
            <v>109.150314</v>
          </cell>
          <cell r="T93" t="str">
            <v>full_h04/Khánh Hòa/Thu thập EVN_Khánh Hòa/Route_Cấp 4/KH_RING 3/1.CA Cam Ranh - CA Cam Linh/CA Cam Ranh - CA Cam Linh_Đoạn cột trung thế</v>
          </cell>
          <cell r="U93">
            <v>636.01</v>
          </cell>
        </row>
        <row r="94">
          <cell r="L94" t="str">
            <v>3.Cam Ranh - Khánh Sơn</v>
          </cell>
          <cell r="M94" t="str">
            <v>221.84</v>
          </cell>
          <cell r="N94" t="str">
            <v>134.52</v>
          </cell>
          <cell r="O94" t="str">
            <v>11.962003</v>
          </cell>
          <cell r="P94" t="str">
            <v>109.094218</v>
          </cell>
          <cell r="Q94" t="str">
            <v>87.33</v>
          </cell>
          <cell r="R94" t="str">
            <v>11.955971</v>
          </cell>
          <cell r="S94" t="str">
            <v>109.103486</v>
          </cell>
          <cell r="T94" t="str">
            <v>full_h04/Khánh Hòa/Thu thập EVN_Khánh Hòa/Route_Cấp 3/KH_RING 2/3.Cam Ranh - Khánh Sơn/Cam Ranh - Khánh Sơn_Đoạn cột trung thế</v>
          </cell>
          <cell r="U94">
            <v>221.84</v>
          </cell>
        </row>
        <row r="95">
          <cell r="L95" t="str">
            <v>1.CA Vạn Ninh - CA Vạn Thắng_Cột trung thế</v>
          </cell>
          <cell r="M95" t="str">
            <v>667.15</v>
          </cell>
          <cell r="N95" t="str">
            <v>663.57</v>
          </cell>
          <cell r="O95" t="str">
            <v>12.704838</v>
          </cell>
          <cell r="P95" t="str">
            <v>109.236941</v>
          </cell>
          <cell r="Q95" t="str">
            <v>3.57</v>
          </cell>
          <cell r="R95" t="str">
            <v>12.690783</v>
          </cell>
          <cell r="S95" t="str">
            <v>109.220870</v>
          </cell>
          <cell r="T95" t="str">
            <v>full_h04/Khánh Hòa/Thu thập EVN_Khánh Hòa/Route_Cấp 4/KH_RING 7/1.CA Vạn Ninh - CA Vạn Thắng_Cột trung thế/1.CA Vạn Ninh - CA Vạn Thắng_Cột trung thế</v>
          </cell>
          <cell r="U95">
            <v>667.15</v>
          </cell>
        </row>
        <row r="96">
          <cell r="L96" t="str">
            <v>4.CA Đại Lãnh - CA Vạn Ninh</v>
          </cell>
          <cell r="M96" t="str">
            <v>533.33</v>
          </cell>
          <cell r="N96" t="str">
            <v>46.30</v>
          </cell>
          <cell r="O96" t="str">
            <v>12.721617</v>
          </cell>
          <cell r="P96" t="str">
            <v>109.234646</v>
          </cell>
          <cell r="Q96" t="str">
            <v>487.03</v>
          </cell>
          <cell r="R96" t="str">
            <v>12.693424</v>
          </cell>
          <cell r="S96" t="str">
            <v>109.217328</v>
          </cell>
          <cell r="T96" t="str">
            <v>full_h04/Khánh Hòa/Thu thập EVN_Khánh Hòa/Route_Cấp 4/KH_RING 7/4.CA Đại Lãnh - CA Vạn Ninh/CA Đại Lãnh - CA Vạn Ninh_Đoạn cột trung thế_1</v>
          </cell>
          <cell r="U96">
            <v>533.33000000000004</v>
          </cell>
        </row>
        <row r="97">
          <cell r="L97" t="str">
            <v>4.CA Đại Lãnh - CA Vạn Ninh</v>
          </cell>
          <cell r="M97" t="str">
            <v>1805.95</v>
          </cell>
          <cell r="N97" t="str">
            <v>1318.92</v>
          </cell>
          <cell r="O97" t="str">
            <v>12.726119</v>
          </cell>
          <cell r="P97" t="str">
            <v>109.255991</v>
          </cell>
          <cell r="Q97" t="str">
            <v>487.03</v>
          </cell>
          <cell r="R97" t="str">
            <v>12.693424</v>
          </cell>
          <cell r="S97" t="str">
            <v>109.217328</v>
          </cell>
          <cell r="T97" t="str">
            <v>full_h04/Khánh Hòa/Thu thập EVN_Khánh Hòa/Route_Cấp 4/KH_RING 7/4.CA Đại Lãnh - CA Vạn Ninh/CA Đại Lãnh - CA Vạn Ninh_Đoạn cột trung thế_1</v>
          </cell>
          <cell r="U97">
            <v>1805.95</v>
          </cell>
        </row>
        <row r="98">
          <cell r="L98" t="str">
            <v>1.CA Vạn Ninh - CA Vạn Thắng_Cột trung thế</v>
          </cell>
          <cell r="M98" t="str">
            <v>640.53</v>
          </cell>
          <cell r="N98" t="str">
            <v>636.96</v>
          </cell>
          <cell r="O98" t="str">
            <v>12.699181</v>
          </cell>
          <cell r="P98" t="str">
            <v>109.224753</v>
          </cell>
          <cell r="Q98" t="str">
            <v>3.57</v>
          </cell>
          <cell r="R98" t="str">
            <v>12.690783</v>
          </cell>
          <cell r="S98" t="str">
            <v>109.220870</v>
          </cell>
          <cell r="T98" t="str">
            <v>full_h04/Khánh Hòa/Thu thập EVN_Khánh Hòa/Route_Cấp 4/KH_RING 7/1.CA Vạn Ninh - CA Vạn Thắng_Cột trung thế/1.CA Vạn Ninh - CA Vạn Thắng_Cột trung thế</v>
          </cell>
          <cell r="U98">
            <v>640.53</v>
          </cell>
        </row>
        <row r="99">
          <cell r="L99" t="str">
            <v>1.CA Vạn Ninh - CA Vạn Thắng_Cột trung thế</v>
          </cell>
          <cell r="M99" t="str">
            <v>1216.41</v>
          </cell>
          <cell r="N99" t="str">
            <v>1212.84</v>
          </cell>
          <cell r="O99" t="str">
            <v>12.704770</v>
          </cell>
          <cell r="P99" t="str">
            <v>109.237200</v>
          </cell>
          <cell r="Q99" t="str">
            <v>3.57</v>
          </cell>
          <cell r="R99" t="str">
            <v>12.690783</v>
          </cell>
          <cell r="S99" t="str">
            <v>109.220870</v>
          </cell>
          <cell r="T99" t="str">
            <v>full_h04/Khánh Hòa/Thu thập EVN_Khánh Hòa/Route_Cấp 4/KH_RING 7/1.CA Vạn Ninh - CA Vạn Thắng_Cột trung thế/1.CA Vạn Ninh - CA Vạn Thắng_Cột trung thế</v>
          </cell>
          <cell r="U99">
            <v>1216.4100000000001</v>
          </cell>
        </row>
        <row r="100">
          <cell r="L100" t="str">
            <v>3.CA Diên Lâm - CA Bắc Khánh Vĩnh_Cột trung thế</v>
          </cell>
          <cell r="M100" t="str">
            <v>129.19</v>
          </cell>
          <cell r="N100" t="str">
            <v>125.99</v>
          </cell>
          <cell r="O100" t="str">
            <v>12.269342</v>
          </cell>
          <cell r="P100" t="str">
            <v>109.033485</v>
          </cell>
          <cell r="Q100" t="str">
            <v>3.20</v>
          </cell>
          <cell r="R100" t="str">
            <v>12.269061</v>
          </cell>
          <cell r="S100" t="str">
            <v>109.033380</v>
          </cell>
          <cell r="T100" t="str">
            <v>full_h04/Khánh Hòa/Thu thập EVN_Khánh Hòa/Route_Cấp 4/KH_RING 9/3.CA Diên Lâm - CA Bắc Khánh Vĩnh_Cột trung thế/3.CA Diên Lâm - CA Bắc Khánh Vĩnh_Cột trung thế</v>
          </cell>
          <cell r="U100">
            <v>129.19</v>
          </cell>
        </row>
        <row r="101">
          <cell r="L101" t="str">
            <v>2.Nhà tạm giam Diên Khánh - Trại giam A2</v>
          </cell>
          <cell r="M101" t="str">
            <v>732.69</v>
          </cell>
          <cell r="N101" t="str">
            <v>725.47</v>
          </cell>
          <cell r="O101" t="str">
            <v>12.253289</v>
          </cell>
          <cell r="P101" t="str">
            <v>109.077300</v>
          </cell>
          <cell r="Q101" t="str">
            <v>7.22</v>
          </cell>
          <cell r="R101" t="str">
            <v>12.246371</v>
          </cell>
          <cell r="S101" t="str">
            <v>109.072963</v>
          </cell>
          <cell r="T101" t="str">
            <v>full_h04/Khánh Hòa/Thu thập EVN_Khánh Hòa/Route_Cấp 3/KH_RING 4/2.Nhà tạm giam Diên Khánh - Trại giam A2/Nhà tạm giam Diên Khánh - Trại giam A2_Đoạn cột trung thế</v>
          </cell>
          <cell r="U101">
            <v>732.69</v>
          </cell>
        </row>
        <row r="102">
          <cell r="L102" t="str">
            <v>2.CA Suối Hiệp - CA Suối Dầu</v>
          </cell>
          <cell r="M102" t="str">
            <v>845.12</v>
          </cell>
          <cell r="N102" t="str">
            <v>691.22</v>
          </cell>
          <cell r="O102" t="str">
            <v>12.197663</v>
          </cell>
          <cell r="P102" t="str">
            <v>109.068449</v>
          </cell>
          <cell r="Q102" t="str">
            <v>153.90</v>
          </cell>
          <cell r="R102" t="str">
            <v>12.220519</v>
          </cell>
          <cell r="S102" t="str">
            <v>109.082480</v>
          </cell>
          <cell r="T102" t="str">
            <v>full_h04/Khánh Hòa/Thu thập EVN_Khánh Hòa/Route_Cấp 4/KH_RING 10/2.CA Suối Hiệp - CA Suối Dầu/CA Suối Hiệp - CA Suối Dầu_Đoạn cột trung thế</v>
          </cell>
          <cell r="U102">
            <v>845.12</v>
          </cell>
        </row>
        <row r="103">
          <cell r="L103" t="str">
            <v>5. Cam Phước Đông - CAT Khánh Hòa</v>
          </cell>
          <cell r="M103" t="str">
            <v>586.94</v>
          </cell>
          <cell r="N103" t="str">
            <v>426.11</v>
          </cell>
          <cell r="O103" t="str">
            <v>12.012766</v>
          </cell>
          <cell r="P103" t="str">
            <v>109.126600</v>
          </cell>
          <cell r="Q103" t="str">
            <v>160.83</v>
          </cell>
          <cell r="R103" t="str">
            <v>12.033222</v>
          </cell>
          <cell r="S103" t="str">
            <v>109.128844</v>
          </cell>
          <cell r="T103" t="str">
            <v>full_h04/Khánh Hòa/Thu thập EVN_Khánh Hòa/Route_Cấp 3/KH_RING 2/5. Cam Phước Đông - CAT Khánh Hòa/Cam Phước Đông - CAT Khánh Hòa_Đoạn cột trung thế_2</v>
          </cell>
          <cell r="U103">
            <v>586.94000000000005</v>
          </cell>
        </row>
        <row r="104">
          <cell r="L104" t="str">
            <v>1.CAT Khánh Hòa - Cam Lâm</v>
          </cell>
          <cell r="M104" t="str">
            <v>351.58</v>
          </cell>
          <cell r="N104" t="str">
            <v>349.55</v>
          </cell>
          <cell r="O104" t="str">
            <v>12.096610</v>
          </cell>
          <cell r="P104" t="str">
            <v>109.188524</v>
          </cell>
          <cell r="Q104" t="str">
            <v>2.03</v>
          </cell>
          <cell r="R104" t="str">
            <v>12.074439</v>
          </cell>
          <cell r="S104" t="str">
            <v>109.168081</v>
          </cell>
          <cell r="T104" t="str">
            <v>full_h04/Khánh Hòa/Thu thập EVN_Khánh Hòa/Route_Cấp 3/KH_RING 2/1.CAT Khánh Hòa - Cam Lâm/CAT Khánh Hòa - Cam Lâm_Đoạn cột trung thế_2</v>
          </cell>
          <cell r="U104">
            <v>351.58</v>
          </cell>
        </row>
        <row r="105">
          <cell r="L105" t="str">
            <v>1.CAT Khánh Hòa - Cam Lâm</v>
          </cell>
          <cell r="M105" t="str">
            <v>1166.83</v>
          </cell>
          <cell r="N105" t="str">
            <v>1164.80</v>
          </cell>
          <cell r="O105" t="str">
            <v>12.085071</v>
          </cell>
          <cell r="P105" t="str">
            <v>109.188964</v>
          </cell>
          <cell r="Q105" t="str">
            <v>2.03</v>
          </cell>
          <cell r="R105" t="str">
            <v>12.074439</v>
          </cell>
          <cell r="S105" t="str">
            <v>109.168081</v>
          </cell>
          <cell r="T105" t="str">
            <v>full_h04/Khánh Hòa/Thu thập EVN_Khánh Hòa/Route_Cấp 3/KH_RING 2/1.CAT Khánh Hòa - Cam Lâm/CAT Khánh Hòa - Cam Lâm_Đoạn cột trung thế_2</v>
          </cell>
          <cell r="U105">
            <v>1166.83</v>
          </cell>
        </row>
        <row r="106">
          <cell r="L106" t="str">
            <v>1.CA Cam Ranh - CA Cam Linh</v>
          </cell>
          <cell r="M106" t="str">
            <v>132.86</v>
          </cell>
          <cell r="N106" t="str">
            <v>128.73</v>
          </cell>
          <cell r="O106" t="str">
            <v>11.906952</v>
          </cell>
          <cell r="P106" t="str">
            <v>109.146519</v>
          </cell>
          <cell r="Q106" t="str">
            <v>4.13</v>
          </cell>
          <cell r="R106" t="str">
            <v>11.906758</v>
          </cell>
          <cell r="S106" t="str">
            <v>109.146364</v>
          </cell>
          <cell r="T106" t="str">
            <v>full_h04/Khánh Hòa/Thu thập EVN_Khánh Hòa/Route_Cấp 4/KH_RING 3/1.CA Cam Ranh - CA Cam Linh/CA Cam Ranh - CA Cam Linh_Đoạn cột trung thế</v>
          </cell>
          <cell r="U106">
            <v>132.86000000000001</v>
          </cell>
        </row>
        <row r="107">
          <cell r="L107" t="str">
            <v>3.Cam Ranh - Khánh Sơn</v>
          </cell>
          <cell r="M107" t="str">
            <v>1467.81</v>
          </cell>
          <cell r="N107" t="str">
            <v>1367.81</v>
          </cell>
          <cell r="O107" t="str">
            <v>11.932957</v>
          </cell>
          <cell r="P107" t="str">
            <v>109.119903</v>
          </cell>
          <cell r="Q107" t="str">
            <v>100.00</v>
          </cell>
          <cell r="R107" t="str">
            <v>11.941592</v>
          </cell>
          <cell r="S107" t="str">
            <v>109.112181</v>
          </cell>
          <cell r="T107" t="str">
            <v>full_h04/Khánh Hòa/Thu thập EVN_Khánh Hòa/Route_Cấp 3/KH_RING 2/3.Cam Ranh - Khánh Sơn/Cam Ranh - Khánh Sơn_Đoạn cột trung thế</v>
          </cell>
          <cell r="U107">
            <v>1467.81</v>
          </cell>
        </row>
        <row r="108">
          <cell r="L108" t="str">
            <v>2.CATP Nha trang cũ - PC06_Ngầm mới</v>
          </cell>
          <cell r="M108" t="str">
            <v>277.62</v>
          </cell>
          <cell r="N108" t="str">
            <v>271.99</v>
          </cell>
          <cell r="O108" t="str">
            <v>12.246491</v>
          </cell>
          <cell r="P108" t="str">
            <v>109.189426</v>
          </cell>
          <cell r="Q108" t="str">
            <v>5.63</v>
          </cell>
          <cell r="R108" t="str">
            <v>12.247512</v>
          </cell>
          <cell r="S108" t="str">
            <v>109.189551</v>
          </cell>
          <cell r="T108" t="str">
            <v>full_h04/Khánh Hòa/Thu thập EVN_Khánh Hòa/Route_Cấp 3/KH_RING 3/2.CATP Nha trang cũ - PC06_Ngầm mới/2.CATP Nha trang cũ - PC06_Ngầm mới</v>
          </cell>
          <cell r="U108">
            <v>277.62</v>
          </cell>
        </row>
        <row r="109">
          <cell r="L109" t="str">
            <v>3.PA06 cs2 - PC11a</v>
          </cell>
          <cell r="M109" t="str">
            <v>284.78</v>
          </cell>
          <cell r="N109" t="str">
            <v>268.97</v>
          </cell>
          <cell r="O109" t="str">
            <v>12.235100</v>
          </cell>
          <cell r="P109" t="str">
            <v>109.183842</v>
          </cell>
          <cell r="Q109" t="str">
            <v>15.81</v>
          </cell>
          <cell r="R109" t="str">
            <v>12.236330</v>
          </cell>
          <cell r="S109" t="str">
            <v>109.184576</v>
          </cell>
          <cell r="T109" t="str">
            <v>full_h04/Khánh Hòa/Thu thập EVN_Khánh Hòa/Route_Cấp 3/KH_RING 5/3.PA06 cs2 - PC11a/PA06 cs2 - PC11a_Đoạn cột hạ thế</v>
          </cell>
          <cell r="U109">
            <v>284.77999999999997</v>
          </cell>
        </row>
        <row r="110">
          <cell r="L110" t="str">
            <v>5. Cam Phước Đông - CAT Khánh Hòa</v>
          </cell>
          <cell r="M110" t="str">
            <v>1129.07</v>
          </cell>
          <cell r="N110" t="str">
            <v>81.96</v>
          </cell>
          <cell r="O110" t="str">
            <v>12.236038</v>
          </cell>
          <cell r="P110" t="str">
            <v>109.178816</v>
          </cell>
          <cell r="Q110" t="str">
            <v>1047.11</v>
          </cell>
          <cell r="R110" t="str">
            <v>12.238373</v>
          </cell>
          <cell r="S110" t="str">
            <v>109.192163</v>
          </cell>
          <cell r="T110" t="str">
            <v>full_h04/Khánh Hòa/Thu thập EVN_Khánh Hòa/Route_Cấp 3/KH_RING 2/5. Cam Phước Đông - CAT Khánh Hòa/Cam Phước Đông - CAT Khánh Hòa_Đoạn cột trung thế_5</v>
          </cell>
          <cell r="U110">
            <v>1129.07</v>
          </cell>
        </row>
        <row r="111">
          <cell r="L111" t="str">
            <v>1.CA Ninh Hòa - CA Hòa Thắng_Cột trung thế</v>
          </cell>
          <cell r="M111" t="str">
            <v>1089.40</v>
          </cell>
          <cell r="N111" t="str">
            <v>1086.63</v>
          </cell>
          <cell r="O111" t="str">
            <v>12.486466</v>
          </cell>
          <cell r="P111" t="str">
            <v>109.134191</v>
          </cell>
          <cell r="Q111" t="str">
            <v>2.77</v>
          </cell>
          <cell r="R111" t="str">
            <v>12.509724</v>
          </cell>
          <cell r="S111" t="str">
            <v>109.137475</v>
          </cell>
          <cell r="T111" t="str">
            <v>full_h04/Khánh Hòa/Thu thập EVN_Khánh Hòa/Route_Cấp 4/KH_RING 5/1.CA Ninh Hòa - CA Hòa Thắng_Cột trung thế/1.CA Ninh Hòa - CA Hòa Thắng_Cột trung thế</v>
          </cell>
          <cell r="U111">
            <v>1089.4000000000001</v>
          </cell>
        </row>
        <row r="112">
          <cell r="L112" t="str">
            <v>4.PK02 cs2 - Trạm CSGT Ninh An cũ</v>
          </cell>
          <cell r="M112" t="str">
            <v>249.88</v>
          </cell>
          <cell r="N112" t="str">
            <v>63.93</v>
          </cell>
          <cell r="O112" t="str">
            <v>12.462367</v>
          </cell>
          <cell r="P112" t="str">
            <v>109.121967</v>
          </cell>
          <cell r="Q112" t="str">
            <v>185.95</v>
          </cell>
          <cell r="R112" t="str">
            <v>12.481264</v>
          </cell>
          <cell r="S112" t="str">
            <v>109.131214</v>
          </cell>
          <cell r="T112" t="str">
            <v>full_h04/Khánh Hòa/Thu thập EVN_Khánh Hòa/Route_Cấp 3/KH_RING 6/4.PK02 cs2 - Trạm CSGT Ninh An cũ/PK02 cs2 - Trạm CSGT Ninh An cũ_Đoạn cột trung thế_2</v>
          </cell>
          <cell r="U112">
            <v>249.88</v>
          </cell>
        </row>
        <row r="113">
          <cell r="L113" t="str">
            <v>2.CA Nam Ninh Hòa - CA Tây Ninh Hòa</v>
          </cell>
          <cell r="M113" t="str">
            <v>94.84</v>
          </cell>
          <cell r="N113" t="str">
            <v>90.25</v>
          </cell>
          <cell r="O113" t="str">
            <v>12.537073</v>
          </cell>
          <cell r="P113" t="str">
            <v>109.018368</v>
          </cell>
          <cell r="Q113" t="str">
            <v>4.59</v>
          </cell>
          <cell r="R113" t="str">
            <v>12.540865</v>
          </cell>
          <cell r="S113" t="str">
            <v>109.007478</v>
          </cell>
          <cell r="T113" t="str">
            <v>full_h04/Khánh Hòa/Thu thập EVN_Khánh Hòa/Route_Cấp 4/KH_RING 6/2.CA Nam Ninh Hòa - CA Tây Ninh Hòa/CA Nam Ninh Hòa - CA Tây Ninh Hòa_Đoạn cột trung thế_2</v>
          </cell>
          <cell r="U113">
            <v>94.84</v>
          </cell>
        </row>
        <row r="114">
          <cell r="L114" t="str">
            <v>2.CA Nam Ninh Hòa - CA Tây Ninh Hòa</v>
          </cell>
          <cell r="M114" t="str">
            <v>548.34</v>
          </cell>
          <cell r="N114" t="str">
            <v>543.75</v>
          </cell>
          <cell r="O114" t="str">
            <v>12.526709</v>
          </cell>
          <cell r="P114" t="str">
            <v>109.032694</v>
          </cell>
          <cell r="Q114" t="str">
            <v>4.59</v>
          </cell>
          <cell r="R114" t="str">
            <v>12.540865</v>
          </cell>
          <cell r="S114" t="str">
            <v>109.007478</v>
          </cell>
          <cell r="T114" t="str">
            <v>full_h04/Khánh Hòa/Thu thập EVN_Khánh Hòa/Route_Cấp 4/KH_RING 6/2.CA Nam Ninh Hòa - CA Tây Ninh Hòa/CA Nam Ninh Hòa - CA Tây Ninh Hòa_Đoạn cột trung thế_2</v>
          </cell>
          <cell r="U114">
            <v>548.34</v>
          </cell>
        </row>
        <row r="115">
          <cell r="L115" t="str">
            <v>3.CA Tân Định - CA Ninh Hòa</v>
          </cell>
          <cell r="M115" t="str">
            <v>2390.92</v>
          </cell>
          <cell r="N115" t="str">
            <v>2008.93</v>
          </cell>
          <cell r="O115" t="str">
            <v>12.496466</v>
          </cell>
          <cell r="P115" t="str">
            <v>109.120838</v>
          </cell>
          <cell r="Q115" t="str">
            <v>381.98</v>
          </cell>
          <cell r="R115" t="str">
            <v>12.492870</v>
          </cell>
          <cell r="S115" t="str">
            <v>109.114033</v>
          </cell>
          <cell r="T115" t="str">
            <v>full_h04/Khánh Hòa/Thu thập EVN_Khánh Hòa/Route_Cấp 4/KH_RING 5/3.CA Tân Định - CA Ninh Hòa/CA Tân Định - CA Ninh Hòa_Đoạn cột trung thế_1</v>
          </cell>
          <cell r="U115">
            <v>2390.92</v>
          </cell>
        </row>
        <row r="116">
          <cell r="L116" t="str">
            <v>1.CAT Khánh Hòa - PK02 cs1</v>
          </cell>
          <cell r="M116" t="str">
            <v>700.73</v>
          </cell>
          <cell r="N116" t="str">
            <v>250.17</v>
          </cell>
          <cell r="O116" t="str">
            <v>12.235698</v>
          </cell>
          <cell r="P116" t="str">
            <v>109.195623</v>
          </cell>
          <cell r="Q116" t="str">
            <v>450.56</v>
          </cell>
          <cell r="R116" t="str">
            <v>12.251506</v>
          </cell>
          <cell r="S116" t="str">
            <v>109.190398</v>
          </cell>
          <cell r="T116" t="str">
            <v>full_h04/Khánh Hòa/Thu thập EVN_Khánh Hòa/Route_Cấp 3/KH_RING 6/1.CAT Khánh Hòa - PK02 cs1/CAT Khánh Hòa - PK02 cs1_Đoạn cột trung thế_1</v>
          </cell>
          <cell r="U116">
            <v>700.73</v>
          </cell>
        </row>
        <row r="117">
          <cell r="L117" t="str">
            <v>3. Trại giam A2 - CATP Nha trang cũ</v>
          </cell>
          <cell r="M117" t="str">
            <v>639.19</v>
          </cell>
          <cell r="N117" t="str">
            <v>448.45</v>
          </cell>
          <cell r="O117" t="str">
            <v>12.245355</v>
          </cell>
          <cell r="P117" t="str">
            <v>109.191674</v>
          </cell>
          <cell r="Q117" t="str">
            <v>190.74</v>
          </cell>
          <cell r="R117" t="str">
            <v>12.249428</v>
          </cell>
          <cell r="S117" t="str">
            <v>109.184727</v>
          </cell>
          <cell r="T117" t="str">
            <v>full_h04/Khánh Hòa/Thu thập EVN_Khánh Hòa/Route_Cấp 3/KH_RING 4/3. Trại giam A2 - CATP Nha trang cũ/Trại giam A2 - CATP Nha trang cũ_Đoạn cột trung thế_8</v>
          </cell>
          <cell r="U117">
            <v>639.19000000000005</v>
          </cell>
        </row>
        <row r="118">
          <cell r="L118" t="str">
            <v>3.CA Bắc Nha Trang - CAT Khánh Hòa</v>
          </cell>
          <cell r="M118" t="str">
            <v>3457.82</v>
          </cell>
          <cell r="N118" t="str">
            <v>2482.94</v>
          </cell>
          <cell r="O118" t="str">
            <v>12.280430</v>
          </cell>
          <cell r="P118" t="str">
            <v>109.194828</v>
          </cell>
          <cell r="Q118" t="str">
            <v>974.88</v>
          </cell>
          <cell r="R118" t="str">
            <v>12.265409</v>
          </cell>
          <cell r="S118" t="str">
            <v>109.196133</v>
          </cell>
          <cell r="T118" t="str">
            <v>full_h04/Khánh Hòa/Thu thập EVN_Khánh Hòa/Route_Cấp 4/KH_RING 8/3.CA Bắc Nha Trang - CAT Khánh Hòa/CA Bắc Nha Trang - CAT Khánh Hòa_Đoạn cột trung thế_1</v>
          </cell>
          <cell r="U118">
            <v>3457.82</v>
          </cell>
        </row>
        <row r="119">
          <cell r="L119" t="str">
            <v>1.CAT Khánh Hòa - CATP Nha Trang cũ</v>
          </cell>
          <cell r="M119" t="str">
            <v>669.81</v>
          </cell>
          <cell r="N119" t="str">
            <v>197.51</v>
          </cell>
          <cell r="O119" t="str">
            <v>12.235557</v>
          </cell>
          <cell r="P119" t="str">
            <v>109.195603</v>
          </cell>
          <cell r="Q119" t="str">
            <v>472.29</v>
          </cell>
          <cell r="R119" t="str">
            <v>12.243201</v>
          </cell>
          <cell r="S119" t="str">
            <v>109.192176</v>
          </cell>
          <cell r="T119" t="str">
            <v>full_h04/Khánh Hòa/Thu thập EVN_Khánh Hòa/Route_Cấp 3/KH_RING 3/1.CAT Khánh Hòa - CATP Nha Trang cũ/CAT Khánh Hòa - CATP Nha Trang cũ_Đoạn cột trung thế</v>
          </cell>
          <cell r="U119">
            <v>669.81</v>
          </cell>
        </row>
        <row r="120">
          <cell r="L120" t="str">
            <v>1.CAT Khánh Hòa - CATP Nha Trang cũ</v>
          </cell>
          <cell r="M120" t="str">
            <v>445.51</v>
          </cell>
          <cell r="N120" t="str">
            <v>314.70</v>
          </cell>
          <cell r="O120" t="str">
            <v>12.243196</v>
          </cell>
          <cell r="P120" t="str">
            <v>109.192182</v>
          </cell>
          <cell r="Q120" t="str">
            <v>130.81</v>
          </cell>
          <cell r="R120" t="str">
            <v>12.245826</v>
          </cell>
          <cell r="S120" t="str">
            <v>109.190408</v>
          </cell>
          <cell r="T120" t="str">
            <v>full_h04/Khánh Hòa/Thu thập EVN_Khánh Hòa/Route_Cấp 3/KH_RING 3/1.CAT Khánh Hòa - CATP Nha Trang cũ/CAT Khánh Hòa - CATP Nha Trang cũ_Đoạn cột hạ thế</v>
          </cell>
          <cell r="U120">
            <v>445.51</v>
          </cell>
        </row>
        <row r="121">
          <cell r="L121" t="str">
            <v>1.CAT Khánh Hòa - PK02 cs1</v>
          </cell>
          <cell r="M121" t="str">
            <v>512.30</v>
          </cell>
          <cell r="N121" t="str">
            <v>354.87</v>
          </cell>
          <cell r="O121" t="str">
            <v>12.235698</v>
          </cell>
          <cell r="P121" t="str">
            <v>109.195623</v>
          </cell>
          <cell r="Q121" t="str">
            <v>157.43</v>
          </cell>
          <cell r="R121" t="str">
            <v>12.249330</v>
          </cell>
          <cell r="S121" t="str">
            <v>109.193948</v>
          </cell>
          <cell r="T121" t="str">
            <v>full_h04/Khánh Hòa/Thu thập EVN_Khánh Hòa/Route_Cấp 3/KH_RING 6/1.CAT Khánh Hòa - PK02 cs1/CAT Khánh Hòa - PK02 cs1_Đoạn cột trung thế_1</v>
          </cell>
          <cell r="U121">
            <v>512.29999999999995</v>
          </cell>
        </row>
        <row r="122">
          <cell r="L122" t="str">
            <v>1.CAT Khánh Hòa - CATP Nha Trang cũ</v>
          </cell>
          <cell r="M122" t="str">
            <v>586.73</v>
          </cell>
          <cell r="N122" t="str">
            <v>114.44</v>
          </cell>
          <cell r="O122" t="str">
            <v>12.235557</v>
          </cell>
          <cell r="P122" t="str">
            <v>109.195603</v>
          </cell>
          <cell r="Q122" t="str">
            <v>472.29</v>
          </cell>
          <cell r="R122" t="str">
            <v>12.243201</v>
          </cell>
          <cell r="S122" t="str">
            <v>109.192176</v>
          </cell>
          <cell r="T122" t="str">
            <v>full_h04/Khánh Hòa/Thu thập EVN_Khánh Hòa/Route_Cấp 3/KH_RING 3/1.CAT Khánh Hòa - CATP Nha Trang cũ/CAT Khánh Hòa - CATP Nha Trang cũ_Đoạn cột trung thế</v>
          </cell>
          <cell r="U122">
            <v>586.73</v>
          </cell>
        </row>
        <row r="123">
          <cell r="L123" t="str">
            <v>2.CA Suối Hiệp - CA Suối Dầu</v>
          </cell>
          <cell r="M123" t="str">
            <v>228.27</v>
          </cell>
          <cell r="N123" t="str">
            <v>74.37</v>
          </cell>
          <cell r="O123" t="str">
            <v>12.191492</v>
          </cell>
          <cell r="P123" t="str">
            <v>109.066221</v>
          </cell>
          <cell r="Q123" t="str">
            <v>153.90</v>
          </cell>
          <cell r="R123" t="str">
            <v>12.220519</v>
          </cell>
          <cell r="S123" t="str">
            <v>109.082480</v>
          </cell>
          <cell r="T123" t="str">
            <v>full_h04/Khánh Hòa/Thu thập EVN_Khánh Hòa/Route_Cấp 4/KH_RING 10/2.CA Suối Hiệp - CA Suối Dầu/CA Suối Hiệp - CA Suối Dầu_Đoạn cột trung thế</v>
          </cell>
          <cell r="U123">
            <v>228.27</v>
          </cell>
        </row>
        <row r="124">
          <cell r="L124" t="str">
            <v>Tuyến nhánh CA Bắc Cam Ranh - Cảng HKQT Cam Ranh</v>
          </cell>
          <cell r="M124" t="str">
            <v>4897.24</v>
          </cell>
          <cell r="N124" t="str">
            <v>4892.06</v>
          </cell>
          <cell r="O124" t="str">
            <v>12.001107</v>
          </cell>
          <cell r="P124" t="str">
            <v>109.209318</v>
          </cell>
          <cell r="Q124" t="str">
            <v>5.18</v>
          </cell>
          <cell r="R124" t="str">
            <v>11.998255</v>
          </cell>
          <cell r="S124" t="str">
            <v>109.218788</v>
          </cell>
          <cell r="T124" t="str">
            <v>full_h04/Khánh Hòa/Thu thập EVN_Khánh Hòa/Route_Cấp 4/KH_RING 2/Tuyến nhánh CA Bắc Cam Ranh - Cảng HKQT Cam Ranh/CA Bắc Cam Ranh - Cảng HKQT Cam Ranh_Đoạn ngầm_2</v>
          </cell>
          <cell r="U124">
            <v>4897.24</v>
          </cell>
        </row>
        <row r="125">
          <cell r="L125" t="str">
            <v>5. Cam Phước Đông - CAT Khánh Hòa</v>
          </cell>
          <cell r="M125" t="str">
            <v>2788.44</v>
          </cell>
          <cell r="N125" t="str">
            <v>2781.82</v>
          </cell>
          <cell r="O125" t="str">
            <v>11.952555</v>
          </cell>
          <cell r="P125" t="str">
            <v>109.104632</v>
          </cell>
          <cell r="Q125" t="str">
            <v>6.63</v>
          </cell>
          <cell r="R125" t="str">
            <v>11.941641</v>
          </cell>
          <cell r="S125" t="str">
            <v>109.113048</v>
          </cell>
          <cell r="T125" t="str">
            <v>full_h04/Khánh Hòa/Thu thập EVN_Khánh Hòa/Route_Cấp 3/KH_RING 2/5. Cam Phước Đông - CAT Khánh Hòa/Cam Phước Đông - CAT Khánh Hòa_Đoạn cột trung thế_1</v>
          </cell>
          <cell r="U125">
            <v>2788.44</v>
          </cell>
        </row>
        <row r="126">
          <cell r="L126" t="str">
            <v>3.Cam Ranh - Khánh Sơn</v>
          </cell>
          <cell r="M126" t="str">
            <v>1051.47</v>
          </cell>
          <cell r="N126" t="str">
            <v>951.47</v>
          </cell>
          <cell r="O126" t="str">
            <v>11.963487</v>
          </cell>
          <cell r="P126" t="str">
            <v>109.082281</v>
          </cell>
          <cell r="Q126" t="str">
            <v>100.00</v>
          </cell>
          <cell r="R126" t="str">
            <v>11.941592</v>
          </cell>
          <cell r="S126" t="str">
            <v>109.112181</v>
          </cell>
          <cell r="T126" t="str">
            <v>full_h04/Khánh Hòa/Thu thập EVN_Khánh Hòa/Route_Cấp 3/KH_RING 2/3.Cam Ranh - Khánh Sơn/Cam Ranh - Khánh Sơn_Đoạn cột trung thế</v>
          </cell>
          <cell r="U126">
            <v>1051.47</v>
          </cell>
        </row>
        <row r="127">
          <cell r="L127" t="str">
            <v>2.CA Cam Linh - CA Ba Ngòi</v>
          </cell>
          <cell r="M127" t="str">
            <v>40.30</v>
          </cell>
          <cell r="N127" t="str">
            <v>36.31</v>
          </cell>
          <cell r="O127" t="str">
            <v>11.913854</v>
          </cell>
          <cell r="P127" t="str">
            <v>109.137269</v>
          </cell>
          <cell r="Q127" t="str">
            <v>4.00</v>
          </cell>
          <cell r="R127" t="str">
            <v>11.906751</v>
          </cell>
          <cell r="S127" t="str">
            <v>109.146369</v>
          </cell>
          <cell r="T127" t="str">
            <v>full_h04/Khánh Hòa/Thu thập EVN_Khánh Hòa/Route_Cấp 4/KH_RING 3/2.CA Cam Linh - CA Ba Ngòi/CA Cam Linh - CA Ba Ngòi_Đoạn cột trung thế</v>
          </cell>
          <cell r="U127">
            <v>40.299999999999997</v>
          </cell>
        </row>
        <row r="128">
          <cell r="L128" t="str">
            <v>Tuyến nhánh PK02 cs1 - NTG Nha Trang cũ_Cột hạ thế</v>
          </cell>
          <cell r="M128" t="str">
            <v>410.93</v>
          </cell>
          <cell r="N128" t="str">
            <v>408.67</v>
          </cell>
          <cell r="O128" t="str">
            <v>12.277380</v>
          </cell>
          <cell r="P128" t="str">
            <v>109.189222</v>
          </cell>
          <cell r="Q128" t="str">
            <v>2.26</v>
          </cell>
          <cell r="R128" t="str">
            <v>12.276948</v>
          </cell>
          <cell r="S128" t="str">
            <v>109.188409</v>
          </cell>
          <cell r="T128" t="str">
            <v>full_h04/Khánh Hòa/Thu thập EVN_Khánh Hòa/Route_Cấp 3/KH_RING 6/Tuyến nhánh PK02 cs1 - NTG Nha Trang cũ_Cột hạ thế/Tuyến nhánh PK02 cs1 - NTG Nha Trang cũ_Cột hạ thế</v>
          </cell>
          <cell r="U128">
            <v>410.93</v>
          </cell>
        </row>
        <row r="129">
          <cell r="L129" t="str">
            <v>Tuyến nhánh PC02 - PC08 (CSGT đường thủy)</v>
          </cell>
          <cell r="M129" t="str">
            <v>579.39</v>
          </cell>
          <cell r="N129" t="str">
            <v>12.56</v>
          </cell>
          <cell r="O129" t="str">
            <v>12.210410</v>
          </cell>
          <cell r="P129" t="str">
            <v>109.213421</v>
          </cell>
          <cell r="Q129" t="str">
            <v>566.83</v>
          </cell>
          <cell r="R129" t="str">
            <v>12.202648</v>
          </cell>
          <cell r="S129" t="str">
            <v>109.214975</v>
          </cell>
          <cell r="T129" t="str">
            <v>full_h04/Khánh Hòa/Thu thập EVN_Khánh Hòa/Route_Cấp 3/KH_RING 5/Tuyến nhánh PC02 - PC08 (CSGT đường thủy)/PC02 - PC08 (CSGT đường thủy)_Đoạn cột trung thế</v>
          </cell>
          <cell r="U129">
            <v>579.39</v>
          </cell>
        </row>
        <row r="130">
          <cell r="L130" t="str">
            <v>2.CA Nam Nha Trang - CA Nha Trang</v>
          </cell>
          <cell r="M130" t="str">
            <v>131.73</v>
          </cell>
          <cell r="N130" t="str">
            <v>49.56</v>
          </cell>
          <cell r="O130" t="str">
            <v>12.250440</v>
          </cell>
          <cell r="P130" t="str">
            <v>109.184605</v>
          </cell>
          <cell r="Q130" t="str">
            <v>82.17</v>
          </cell>
          <cell r="R130" t="str">
            <v>12.249479</v>
          </cell>
          <cell r="S130" t="str">
            <v>109.184708</v>
          </cell>
          <cell r="T130" t="str">
            <v>full_h04/Khánh Hòa/Thu thập EVN_Khánh Hòa/Route_Cấp 4/KH_RING 1/2.CA Nam Nha Trang - CA Nha Trang/CA Nam Nha Trang - CA Nha Trang_Đoạn cột trung thế_2</v>
          </cell>
          <cell r="U130">
            <v>131.72999999999999</v>
          </cell>
        </row>
        <row r="131">
          <cell r="L131" t="str">
            <v>Tuyến nhánh CA Bắc Cam Ranh - Cảng HKQT Cam Ranh</v>
          </cell>
          <cell r="M131" t="str">
            <v>986.52</v>
          </cell>
          <cell r="N131" t="str">
            <v>981.34</v>
          </cell>
          <cell r="O131" t="str">
            <v>12.001107</v>
          </cell>
          <cell r="P131" t="str">
            <v>109.209318</v>
          </cell>
          <cell r="Q131" t="str">
            <v>5.18</v>
          </cell>
          <cell r="R131" t="str">
            <v>11.998255</v>
          </cell>
          <cell r="S131" t="str">
            <v>109.218788</v>
          </cell>
          <cell r="T131" t="str">
            <v>full_h04/Khánh Hòa/Thu thập EVN_Khánh Hòa/Route_Cấp 4/KH_RING 2/Tuyến nhánh CA Bắc Cam Ranh - Cảng HKQT Cam Ranh/CA Bắc Cam Ranh - Cảng HKQT Cam Ranh_Đoạn ngầm_2</v>
          </cell>
          <cell r="U131">
            <v>986.52</v>
          </cell>
        </row>
        <row r="132">
          <cell r="L132" t="str">
            <v>3.CA Diên Lâm - CA Bắc Khánh Vĩnh_Cột trung thế</v>
          </cell>
          <cell r="M132" t="str">
            <v>150.39</v>
          </cell>
          <cell r="N132" t="str">
            <v>147.19</v>
          </cell>
          <cell r="O132" t="str">
            <v>12.308507</v>
          </cell>
          <cell r="P132" t="str">
            <v>108.998564</v>
          </cell>
          <cell r="Q132" t="str">
            <v>3.20</v>
          </cell>
          <cell r="R132" t="str">
            <v>12.269061</v>
          </cell>
          <cell r="S132" t="str">
            <v>109.033380</v>
          </cell>
          <cell r="T132" t="str">
            <v>full_h04/Khánh Hòa/Thu thập EVN_Khánh Hòa/Route_Cấp 4/KH_RING 9/3.CA Diên Lâm - CA Bắc Khánh Vĩnh_Cột trung thế/3.CA Diên Lâm - CA Bắc Khánh Vĩnh_Cột trung thế</v>
          </cell>
          <cell r="U132">
            <v>150.38999999999999</v>
          </cell>
        </row>
        <row r="133">
          <cell r="L133" t="str">
            <v>3. Trại giam A2 - CATP Nha trang cũ</v>
          </cell>
          <cell r="M133" t="str">
            <v>381.80</v>
          </cell>
          <cell r="N133" t="str">
            <v>301.17</v>
          </cell>
          <cell r="O133" t="str">
            <v>12.252969</v>
          </cell>
          <cell r="P133" t="str">
            <v>109.174619</v>
          </cell>
          <cell r="Q133" t="str">
            <v>80.62</v>
          </cell>
          <cell r="R133" t="str">
            <v>12.249428</v>
          </cell>
          <cell r="S133" t="str">
            <v>109.184727</v>
          </cell>
          <cell r="T133" t="str">
            <v>full_h04/Khánh Hòa/Thu thập EVN_Khánh Hòa/Route_Cấp 3/KH_RING 4/3. Trại giam A2 - CATP Nha trang cũ/Trại giam A2 - CATP Nha trang cũ_Đoạn cột trung thế_8</v>
          </cell>
          <cell r="U133">
            <v>381.8</v>
          </cell>
        </row>
        <row r="134">
          <cell r="L134" t="str">
            <v>1.Diên Khánh - CA Diên Lạc_Cột hạ thế</v>
          </cell>
          <cell r="M134" t="str">
            <v>1443.52</v>
          </cell>
          <cell r="N134" t="str">
            <v>13.09</v>
          </cell>
          <cell r="O134" t="str">
            <v>12.256291</v>
          </cell>
          <cell r="P134" t="str">
            <v>109.093980</v>
          </cell>
          <cell r="Q134" t="str">
            <v>1430.42</v>
          </cell>
          <cell r="R134" t="str">
            <v>12.259205</v>
          </cell>
          <cell r="S134" t="str">
            <v>109.072396</v>
          </cell>
          <cell r="T134" t="str">
            <v>full_h04/Khánh Hòa/Thu thập EVN_Khánh Hòa/Route_Cấp 4/KH_RING 9/1.Diên Khánh - CA Diên Lạc_Cột hạ thế/1.Diên Khánh - CA Diên Lạc_Cột hạ thế</v>
          </cell>
          <cell r="U134">
            <v>1443.52</v>
          </cell>
        </row>
        <row r="135">
          <cell r="L135" t="str">
            <v>3.CA Suối Dầu - CA Diên Thọ_Đoạn cột trung thế</v>
          </cell>
          <cell r="M135" t="str">
            <v>2962.55</v>
          </cell>
          <cell r="N135" t="str">
            <v>153.69</v>
          </cell>
          <cell r="O135" t="str">
            <v>12.210621</v>
          </cell>
          <cell r="P135" t="str">
            <v>109.043478</v>
          </cell>
          <cell r="Q135" t="str">
            <v>2808.86</v>
          </cell>
          <cell r="R135" t="str">
            <v>12.244787</v>
          </cell>
          <cell r="S135" t="str">
            <v>109.026172</v>
          </cell>
          <cell r="T135" t="str">
            <v>full_h04/Khánh Hòa/Thu thập EVN_Khánh Hòa/Route_Cấp 4/KH_RING 10/3.CA Suối Dầu - CA Diên Thọ_Đoạn cột trung thế/3.CA Suối Dầu - CA Diên Thọ_Đoạn cột trung thế</v>
          </cell>
          <cell r="U135">
            <v>2962.55</v>
          </cell>
        </row>
        <row r="136">
          <cell r="L136" t="str">
            <v>1.CAT Khánh Hòa - Diên Khánh</v>
          </cell>
          <cell r="M136" t="str">
            <v>496.07</v>
          </cell>
          <cell r="N136" t="str">
            <v>12.14</v>
          </cell>
          <cell r="O136" t="str">
            <v>12.231815</v>
          </cell>
          <cell r="P136" t="str">
            <v>109.196006</v>
          </cell>
          <cell r="Q136" t="str">
            <v>483.94</v>
          </cell>
          <cell r="R136" t="str">
            <v>12.243709</v>
          </cell>
          <cell r="S136" t="str">
            <v>109.185958</v>
          </cell>
          <cell r="T136" t="str">
            <v>full_h04/Khánh Hòa/Thu thập EVN_Khánh Hòa/Route_Cấp 3/KH_RING 1/1.CAT Khánh Hòa - Diên Khánh/CAT Khánh Hòa - Diên Khánh_Đoạn cột trung thế_1</v>
          </cell>
          <cell r="U136">
            <v>496.07</v>
          </cell>
        </row>
        <row r="137">
          <cell r="L137" t="str">
            <v>3.PA06 cs2 - PC11a</v>
          </cell>
          <cell r="M137" t="str">
            <v>1212.85</v>
          </cell>
          <cell r="N137" t="str">
            <v>677.79</v>
          </cell>
          <cell r="O137" t="str">
            <v>12.214083</v>
          </cell>
          <cell r="P137" t="str">
            <v>109.192126</v>
          </cell>
          <cell r="Q137" t="str">
            <v>535.06</v>
          </cell>
          <cell r="R137" t="str">
            <v>12.235105</v>
          </cell>
          <cell r="S137" t="str">
            <v>109.183856</v>
          </cell>
          <cell r="T137" t="str">
            <v>full_h04/Khánh Hòa/Thu thập EVN_Khánh Hòa/Route_Cấp 3/KH_RING 5/3.PA06 cs2 - PC11a/PA06 cs2 - PC11a_Đoạn cột trung thế</v>
          </cell>
          <cell r="U137">
            <v>1212.8499999999999</v>
          </cell>
        </row>
        <row r="138">
          <cell r="L138" t="str">
            <v>3.PA06 cs2 - PC11a</v>
          </cell>
          <cell r="M138" t="str">
            <v>223.17</v>
          </cell>
          <cell r="N138" t="str">
            <v>51.16</v>
          </cell>
          <cell r="O138" t="str">
            <v>12.225636</v>
          </cell>
          <cell r="P138" t="str">
            <v>109.183539</v>
          </cell>
          <cell r="Q138" t="str">
            <v>172.01</v>
          </cell>
          <cell r="R138" t="str">
            <v>12.235105</v>
          </cell>
          <cell r="S138" t="str">
            <v>109.183856</v>
          </cell>
          <cell r="T138" t="str">
            <v>full_h04/Khánh Hòa/Thu thập EVN_Khánh Hòa/Route_Cấp 3/KH_RING 5/3.PA06 cs2 - PC11a/PA06 cs2 - PC11a_Đoạn cột trung thế</v>
          </cell>
          <cell r="U138">
            <v>223.17</v>
          </cell>
        </row>
        <row r="139">
          <cell r="L139" t="str">
            <v>2.PK02 cs1 - Trung đoàn CSCĐ-E23_Cột trung thế</v>
          </cell>
          <cell r="M139" t="str">
            <v>1458.25</v>
          </cell>
          <cell r="N139" t="str">
            <v>1453.51</v>
          </cell>
          <cell r="O139" t="str">
            <v>12.279755</v>
          </cell>
          <cell r="P139" t="str">
            <v>109.177725</v>
          </cell>
          <cell r="Q139" t="str">
            <v>4.75</v>
          </cell>
          <cell r="R139" t="str">
            <v>12.278732</v>
          </cell>
          <cell r="S139" t="str">
            <v>109.188860</v>
          </cell>
          <cell r="T139" t="str">
            <v>full_h04/Khánh Hòa/Thu thập EVN_Khánh Hòa/Route_Cấp 3/KH_RING 6/2.PK02 cs1 - Trung đoàn CSCĐ-E23_Cột trung thế/2.PK02 cs1 - Trung đoàn CSCĐ-E23_Cột trung thế</v>
          </cell>
          <cell r="U139">
            <v>1458.25</v>
          </cell>
        </row>
        <row r="140">
          <cell r="L140" t="str">
            <v>1.CA Diên Khánh - CA Diên Điền_Cột trung thế</v>
          </cell>
          <cell r="M140" t="str">
            <v>9.11</v>
          </cell>
          <cell r="N140" t="str">
            <v>3.67</v>
          </cell>
          <cell r="O140" t="str">
            <v>12.256280</v>
          </cell>
          <cell r="P140" t="str">
            <v>109.094073</v>
          </cell>
          <cell r="Q140" t="str">
            <v>5.44</v>
          </cell>
          <cell r="R140" t="str">
            <v>12.276034</v>
          </cell>
          <cell r="S140" t="str">
            <v>109.120250</v>
          </cell>
          <cell r="T140" t="str">
            <v>full_h04/Khánh Hòa/Thu thập EVN_Khánh Hòa/Route_Cấp 4/KH_RING 8/1.CA Diên Khánh - CA Diên Điền_Cột trung thế/1.CA Diên Khánh - CA Diên Điền_Cột trung thế</v>
          </cell>
          <cell r="U140">
            <v>9.11</v>
          </cell>
        </row>
        <row r="141">
          <cell r="L141" t="str">
            <v>2.CA Diên Điền - CA Bắc Nha Trang</v>
          </cell>
          <cell r="M141" t="str">
            <v>221.26</v>
          </cell>
          <cell r="N141" t="str">
            <v>220.38</v>
          </cell>
          <cell r="O141" t="str">
            <v>12.303599</v>
          </cell>
          <cell r="P141" t="str">
            <v>109.168863</v>
          </cell>
          <cell r="Q141" t="str">
            <v>0.89</v>
          </cell>
          <cell r="R141" t="str">
            <v>12.282335</v>
          </cell>
          <cell r="S141" t="str">
            <v>109.198106</v>
          </cell>
          <cell r="T141" t="str">
            <v>full_h04/Khánh Hòa/Thu thập EVN_Khánh Hòa/Route_Cấp 4/KH_RING 8/2.CA Diên Điền - CA Bắc Nha Trang/CA Diên Điền - CA Bắc Nha Trang_Đoạn cột trung thế_2</v>
          </cell>
          <cell r="U141">
            <v>221.26</v>
          </cell>
        </row>
        <row r="142">
          <cell r="L142" t="str">
            <v>1.CAT Khánh Hòa - Cam Lâm</v>
          </cell>
          <cell r="M142" t="str">
            <v>888.04</v>
          </cell>
          <cell r="N142" t="str">
            <v>886.00</v>
          </cell>
          <cell r="O142" t="str">
            <v>12.083787</v>
          </cell>
          <cell r="P142" t="str">
            <v>109.186933</v>
          </cell>
          <cell r="Q142" t="str">
            <v>2.03</v>
          </cell>
          <cell r="R142" t="str">
            <v>12.074439</v>
          </cell>
          <cell r="S142" t="str">
            <v>109.168081</v>
          </cell>
          <cell r="T142" t="str">
            <v>full_h04/Khánh Hòa/Thu thập EVN_Khánh Hòa/Route_Cấp 3/KH_RING 2/1.CAT Khánh Hòa - Cam Lâm/CAT Khánh Hòa - Cam Lâm_Đoạn cột trung thế_2</v>
          </cell>
          <cell r="U142">
            <v>888.04</v>
          </cell>
        </row>
        <row r="143">
          <cell r="L143" t="str">
            <v>2.CA Đông Ninh Hòa - CA Bắc Ninh Hòa</v>
          </cell>
          <cell r="M143" t="str">
            <v>1861.74</v>
          </cell>
          <cell r="N143" t="str">
            <v>1857.48</v>
          </cell>
          <cell r="O143" t="str">
            <v>12.566857</v>
          </cell>
          <cell r="P143" t="str">
            <v>109.211688</v>
          </cell>
          <cell r="Q143" t="str">
            <v>4.26</v>
          </cell>
          <cell r="R143" t="str">
            <v>12.555453</v>
          </cell>
          <cell r="S143" t="str">
            <v>109.217609</v>
          </cell>
          <cell r="T143" t="str">
            <v>full_h04/Khánh Hòa/Thu thập EVN_Khánh Hòa/Route_Cấp 4/KH_RING 4/2.CA Đông Ninh Hòa - CA Bắc Ninh Hòa/CA Đông Ninh Hòa - CA Bắc Ninh Hòa_Đoạn cột trung thế_1</v>
          </cell>
          <cell r="U143">
            <v>1861.74</v>
          </cell>
        </row>
        <row r="144">
          <cell r="L144" t="str">
            <v>1.CAT Khánh Hòa - Cam Lâm</v>
          </cell>
          <cell r="M144" t="str">
            <v>72.99</v>
          </cell>
          <cell r="N144" t="str">
            <v>42.66</v>
          </cell>
          <cell r="O144" t="str">
            <v>12.210644</v>
          </cell>
          <cell r="P144" t="str">
            <v>109.188384</v>
          </cell>
          <cell r="Q144" t="str">
            <v>30.33</v>
          </cell>
          <cell r="R144" t="str">
            <v>12.211372</v>
          </cell>
          <cell r="S144" t="str">
            <v>109.194048</v>
          </cell>
          <cell r="T144" t="str">
            <v>full_h04/Khánh Hòa/Thu thập EVN_Khánh Hòa/Route_Cấp 3/KH_RING 2/1.CAT Khánh Hòa - Cam Lâm/CAT Khánh Hòa - Cam Lâm_Đoạn cột trung thế_2</v>
          </cell>
          <cell r="U144">
            <v>72.989999999999995</v>
          </cell>
        </row>
        <row r="145">
          <cell r="L145" t="str">
            <v>4.PC11a - PC02_Đoạn cột trung thế</v>
          </cell>
          <cell r="M145" t="str">
            <v>398.11</v>
          </cell>
          <cell r="N145" t="str">
            <v>394.50</v>
          </cell>
          <cell r="O145" t="str">
            <v>12.216838</v>
          </cell>
          <cell r="P145" t="str">
            <v>109.197884</v>
          </cell>
          <cell r="Q145" t="str">
            <v>3.61</v>
          </cell>
          <cell r="R145" t="str">
            <v>12.219013</v>
          </cell>
          <cell r="S145" t="str">
            <v>109.204276</v>
          </cell>
          <cell r="T145" t="str">
            <v>full_h04/Khánh Hòa/Thu thập EVN_Khánh Hòa/Route_Cấp 3/KH_RING 5/4.PC11a - PC02_Đoạn cột trung thế/4.PC11a - PC02_Đoạn cột trung thế</v>
          </cell>
          <cell r="U145">
            <v>398.11</v>
          </cell>
        </row>
        <row r="146">
          <cell r="L146" t="str">
            <v>3.Trung đoàn CSCĐ-E23 - PK02 cs2</v>
          </cell>
          <cell r="M146" t="str">
            <v>234.56</v>
          </cell>
          <cell r="N146" t="str">
            <v>214.35</v>
          </cell>
          <cell r="O146" t="str">
            <v>12.303977</v>
          </cell>
          <cell r="P146" t="str">
            <v>109.169534</v>
          </cell>
          <cell r="Q146" t="str">
            <v>20.21</v>
          </cell>
          <cell r="R146" t="str">
            <v>12.288512</v>
          </cell>
          <cell r="S146" t="str">
            <v>109.163809</v>
          </cell>
          <cell r="T146" t="str">
            <v>full_h04/Khánh Hòa/Thu thập EVN_Khánh Hòa/Route_Cấp 3/KH_RING 6/3.Trung đoàn CSCĐ-E23 - PK02 cs2/Trung đoàn CSCĐ-E23 - PK02 cs2_Đoạn cột trung thế</v>
          </cell>
          <cell r="U146">
            <v>234.56</v>
          </cell>
        </row>
        <row r="147">
          <cell r="L147" t="str">
            <v>Tuyến nhánh PC02 - PC08 (CSGT đường thủy)</v>
          </cell>
          <cell r="M147" t="str">
            <v>1589.27</v>
          </cell>
          <cell r="N147" t="str">
            <v>1022.44</v>
          </cell>
          <cell r="O147" t="str">
            <v>12.214154</v>
          </cell>
          <cell r="P147" t="str">
            <v>109.209670</v>
          </cell>
          <cell r="Q147" t="str">
            <v>566.83</v>
          </cell>
          <cell r="R147" t="str">
            <v>12.202648</v>
          </cell>
          <cell r="S147" t="str">
            <v>109.214975</v>
          </cell>
          <cell r="T147" t="str">
            <v>full_h04/Khánh Hòa/Thu thập EVN_Khánh Hòa/Route_Cấp 3/KH_RING 5/Tuyến nhánh PC02 - PC08 (CSGT đường thủy)/PC02 - PC08 (CSGT đường thủy)_Đoạn cột trung thế</v>
          </cell>
          <cell r="U147">
            <v>1589.27</v>
          </cell>
        </row>
        <row r="148">
          <cell r="L148" t="str">
            <v>3.Cam Ranh - Khánh Sơn</v>
          </cell>
          <cell r="M148" t="str">
            <v>302.27</v>
          </cell>
          <cell r="N148" t="str">
            <v>202.27</v>
          </cell>
          <cell r="O148" t="str">
            <v>11.920372</v>
          </cell>
          <cell r="P148" t="str">
            <v>109.144260</v>
          </cell>
          <cell r="Q148" t="str">
            <v>100.00</v>
          </cell>
          <cell r="R148" t="str">
            <v>11.941592</v>
          </cell>
          <cell r="S148" t="str">
            <v>109.112181</v>
          </cell>
          <cell r="T148" t="str">
            <v>full_h04/Khánh Hòa/Thu thập EVN_Khánh Hòa/Route_Cấp 3/KH_RING 2/3.Cam Ranh - Khánh Sơn/Cam Ranh - Khánh Sơn_Đoạn cột trung thế</v>
          </cell>
          <cell r="U148">
            <v>302.27</v>
          </cell>
        </row>
        <row r="149">
          <cell r="L149" t="str">
            <v>3.Cam Ranh - Khánh Sơn</v>
          </cell>
          <cell r="M149" t="str">
            <v>888.36</v>
          </cell>
          <cell r="N149" t="str">
            <v>753.84</v>
          </cell>
          <cell r="O149" t="str">
            <v>11.912904</v>
          </cell>
          <cell r="P149" t="str">
            <v>109.133286</v>
          </cell>
          <cell r="Q149" t="str">
            <v>134.52</v>
          </cell>
          <cell r="R149" t="str">
            <v>11.962003</v>
          </cell>
          <cell r="S149" t="str">
            <v>109.094218</v>
          </cell>
          <cell r="T149" t="str">
            <v>full_h04/Khánh Hòa/Thu thập EVN_Khánh Hòa/Route_Cấp 3/KH_RING 2/3.Cam Ranh - Khánh Sơn/Cam Ranh - Khánh Sơn_Đoạn cột trung thế</v>
          </cell>
          <cell r="U149">
            <v>888.36</v>
          </cell>
        </row>
        <row r="150">
          <cell r="L150" t="str">
            <v>1.CA Cam Ranh - CA Cam Linh</v>
          </cell>
          <cell r="M150" t="str">
            <v>568.55</v>
          </cell>
          <cell r="N150" t="str">
            <v>254.67</v>
          </cell>
          <cell r="O150" t="str">
            <v>11.920300</v>
          </cell>
          <cell r="P150" t="str">
            <v>109.162000</v>
          </cell>
          <cell r="Q150" t="str">
            <v>313.88</v>
          </cell>
          <cell r="R150" t="str">
            <v>11.923000</v>
          </cell>
          <cell r="S150" t="str">
            <v>109.165000</v>
          </cell>
          <cell r="T150" t="str">
            <v>full_h04/Khánh Hòa/Thu thập EVN_Khánh Hòa/Route_Cấp 4/KH_RING 3/1.CA Cam Ranh - CA Cam Linh/CA Cam Ranh - CA Cam Linh_Đoạn cột trung thế</v>
          </cell>
          <cell r="U150">
            <v>568.54999999999995</v>
          </cell>
        </row>
        <row r="151">
          <cell r="L151" t="str">
            <v>3.PA06 cs2 - PC11a</v>
          </cell>
          <cell r="M151" t="str">
            <v>2190.43</v>
          </cell>
          <cell r="N151" t="str">
            <v>9.18</v>
          </cell>
          <cell r="O151" t="str">
            <v>12.175753</v>
          </cell>
          <cell r="P151" t="str">
            <v>109.173635</v>
          </cell>
          <cell r="Q151" t="str">
            <v>2181.24</v>
          </cell>
          <cell r="R151" t="str">
            <v>12.235105</v>
          </cell>
          <cell r="S151" t="str">
            <v>109.183856</v>
          </cell>
          <cell r="T151" t="str">
            <v>full_h04/Khánh Hòa/Thu thập EVN_Khánh Hòa/Route_Cấp 3/KH_RING 5/3.PA06 cs2 - PC11a/PA06 cs2 - PC11a_Đoạn cột trung thế</v>
          </cell>
          <cell r="U151">
            <v>2190.4299999999998</v>
          </cell>
        </row>
        <row r="152">
          <cell r="L152" t="str">
            <v>1.CAT Khánh Hòa - Cam Lâm</v>
          </cell>
          <cell r="M152" t="str">
            <v>3852.34</v>
          </cell>
          <cell r="N152" t="str">
            <v>2.03</v>
          </cell>
          <cell r="O152" t="str">
            <v>12.074439</v>
          </cell>
          <cell r="P152" t="str">
            <v>109.168081</v>
          </cell>
          <cell r="Q152" t="str">
            <v>3850.30</v>
          </cell>
          <cell r="R152" t="str">
            <v>12.219301</v>
          </cell>
          <cell r="S152" t="str">
            <v>109.204751</v>
          </cell>
          <cell r="T152" t="str">
            <v>full_h04/Khánh Hòa/Thu thập EVN_Khánh Hòa/Route_Cấp 3/KH_RING 2/1.CAT Khánh Hòa - Cam Lâm/CAT Khánh Hòa - Cam Lâm_Đoạn cột trung thế_2</v>
          </cell>
          <cell r="U152">
            <v>3852.34</v>
          </cell>
        </row>
        <row r="153">
          <cell r="L153" t="str">
            <v>4.Ninh Hòa - Vạn Ninh</v>
          </cell>
          <cell r="M153" t="str">
            <v>14774.74</v>
          </cell>
          <cell r="N153" t="str">
            <v>14507.25</v>
          </cell>
          <cell r="O153" t="str">
            <v>12.509475</v>
          </cell>
          <cell r="P153" t="str">
            <v>109.137231</v>
          </cell>
          <cell r="Q153" t="str">
            <v>267.49</v>
          </cell>
          <cell r="R153" t="str">
            <v>12.689125</v>
          </cell>
          <cell r="S153" t="str">
            <v>109.219101</v>
          </cell>
          <cell r="T153" t="str">
            <v>full_h04/Khánh Hòa/Thu thập EVN_Khánh Hòa/Route_Cấp 3/KH_RING 1/4.Ninh Hòa - Vạn Ninh/Ninh Hòa - Vạn Ninh_Đoạn cột trung thế</v>
          </cell>
          <cell r="U153">
            <v>14774.74</v>
          </cell>
        </row>
        <row r="154">
          <cell r="L154" t="str">
            <v>4.CA Vạn Hưng - CA Vạn Ninh</v>
          </cell>
          <cell r="M154" t="str">
            <v>368.28</v>
          </cell>
          <cell r="N154" t="str">
            <v>267.48</v>
          </cell>
          <cell r="O154" t="str">
            <v>12.689116</v>
          </cell>
          <cell r="P154" t="str">
            <v>109.219109</v>
          </cell>
          <cell r="Q154" t="str">
            <v>100.80</v>
          </cell>
          <cell r="R154" t="str">
            <v>12.644480</v>
          </cell>
          <cell r="S154" t="str">
            <v>109.194801</v>
          </cell>
          <cell r="T154" t="str">
            <v>full_h04/Khánh Hòa/Thu thập EVN_Khánh Hòa/Route_Cấp 4/KH_RING 4/4.CA Vạn Hưng - CA Vạn Ninh/4CA Vạn Hưng - CA Vạn Ninh_Đoạn cột trung thế</v>
          </cell>
          <cell r="U154">
            <v>368.28</v>
          </cell>
        </row>
        <row r="155">
          <cell r="L155" t="str">
            <v>5.Vạn Ninh - CAT Khánh Hòa</v>
          </cell>
          <cell r="M155" t="str">
            <v>2205.54</v>
          </cell>
          <cell r="N155" t="str">
            <v>693.41</v>
          </cell>
          <cell r="O155" t="str">
            <v>12.504055</v>
          </cell>
          <cell r="P155" t="str">
            <v>109.140149</v>
          </cell>
          <cell r="Q155" t="str">
            <v>1512.13</v>
          </cell>
          <cell r="R155" t="str">
            <v>12.265585</v>
          </cell>
          <cell r="S155" t="str">
            <v>109.196157</v>
          </cell>
          <cell r="T155" t="str">
            <v>full_h04/Khánh Hòa/Thu thập EVN_Khánh Hòa/Route_Cấp 3/KH_RING 1/5.Vạn Ninh - CAT Khánh Hòa/Vạn Ninh - CAT Khánh Hòa_Đoạn cột trung thế_3</v>
          </cell>
          <cell r="U155">
            <v>2205.54</v>
          </cell>
        </row>
        <row r="156">
          <cell r="L156" t="str">
            <v>2.CA Nam Ninh Hòa - CA Tây Ninh Hòa</v>
          </cell>
          <cell r="M156" t="str">
            <v>7029.57</v>
          </cell>
          <cell r="N156" t="str">
            <v>4.59</v>
          </cell>
          <cell r="O156" t="str">
            <v>12.540865</v>
          </cell>
          <cell r="P156" t="str">
            <v>109.007478</v>
          </cell>
          <cell r="Q156" t="str">
            <v>7024.98</v>
          </cell>
          <cell r="R156" t="str">
            <v>12.507222</v>
          </cell>
          <cell r="S156" t="str">
            <v>109.072838</v>
          </cell>
          <cell r="T156" t="str">
            <v>full_h04/Khánh Hòa/Thu thập EVN_Khánh Hòa/Route_Cấp 4/KH_RING 6/2.CA Nam Ninh Hòa - CA Tây Ninh Hòa/CA Nam Ninh Hòa - CA Tây Ninh Hòa_Đoạn cột trung thế_2</v>
          </cell>
          <cell r="U156">
            <v>7029.57</v>
          </cell>
        </row>
        <row r="157">
          <cell r="L157" t="str">
            <v>5.Vạn Ninh - CAT Khánh Hòa</v>
          </cell>
          <cell r="M157" t="str">
            <v>2205.54</v>
          </cell>
          <cell r="N157" t="str">
            <v>693.41</v>
          </cell>
          <cell r="O157" t="str">
            <v>12.504055</v>
          </cell>
          <cell r="P157" t="str">
            <v>109.140149</v>
          </cell>
          <cell r="Q157" t="str">
            <v>1512.13</v>
          </cell>
          <cell r="R157" t="str">
            <v>12.265585</v>
          </cell>
          <cell r="S157" t="str">
            <v>109.196157</v>
          </cell>
          <cell r="T157" t="str">
            <v>full_h04/Khánh Hòa/Thu thập EVN_Khánh Hòa/Route_Cấp 3/KH_RING 1/5.Vạn Ninh - CAT Khánh Hòa/Vạn Ninh - CAT Khánh Hòa_Đoạn cột trung thế_3</v>
          </cell>
          <cell r="U157">
            <v>2205.54</v>
          </cell>
        </row>
        <row r="158">
          <cell r="L158" t="str">
            <v>4.CA Diên Thọ - CA Diên Khánh</v>
          </cell>
          <cell r="M158" t="str">
            <v>13250.83</v>
          </cell>
          <cell r="N158" t="str">
            <v>748.20</v>
          </cell>
          <cell r="O158" t="str">
            <v>12.262793</v>
          </cell>
          <cell r="P158" t="str">
            <v>109.035959</v>
          </cell>
          <cell r="Q158" t="str">
            <v>12502.63</v>
          </cell>
          <cell r="R158" t="str">
            <v>12.248526</v>
          </cell>
          <cell r="S158" t="str">
            <v>109.086050</v>
          </cell>
          <cell r="T158" t="str">
            <v>full_h04/Khánh Hòa/Thu thập EVN_Khánh Hòa/Route_Cấp 4/KH_RING 10/4.CA Diên Thọ - CA Diên Khánh/4.CA Diên Thọ - CA Diên Khánh_Đoạn cột trung thế</v>
          </cell>
          <cell r="U158">
            <v>13250.83</v>
          </cell>
        </row>
        <row r="159">
          <cell r="L159" t="str">
            <v>1.CA Cam Ranh - CA Bắc Cam Ranh</v>
          </cell>
          <cell r="M159" t="str">
            <v>445.58</v>
          </cell>
          <cell r="N159" t="str">
            <v>320.16</v>
          </cell>
          <cell r="O159" t="str">
            <v>11.923038</v>
          </cell>
          <cell r="P159" t="str">
            <v>109.165192</v>
          </cell>
          <cell r="Q159" t="str">
            <v>125.41</v>
          </cell>
          <cell r="R159" t="str">
            <v>11.976637</v>
          </cell>
          <cell r="S159" t="str">
            <v>109.195647</v>
          </cell>
          <cell r="T159" t="str">
            <v>full_h04/Khánh Hòa/Thu thập EVN_Khánh Hòa/Route_Cấp 4/KH_RING 2/1.CA Cam Ranh - CA Bắc Cam Ranh/CA Cam Ranh - CA Bắc Cam Ranh_Đoạn trung thế</v>
          </cell>
          <cell r="U159">
            <v>445.58</v>
          </cell>
        </row>
        <row r="160">
          <cell r="L160" t="str">
            <v>2.Cam Lâm - Cam Ranh</v>
          </cell>
          <cell r="M160" t="str">
            <v>680.22</v>
          </cell>
          <cell r="N160" t="str">
            <v>674.90</v>
          </cell>
          <cell r="O160" t="str">
            <v>11.970426</v>
          </cell>
          <cell r="P160" t="str">
            <v>109.192857</v>
          </cell>
          <cell r="Q160" t="str">
            <v>5.32</v>
          </cell>
          <cell r="R160" t="str">
            <v>12.074472</v>
          </cell>
          <cell r="S160" t="str">
            <v>109.168063</v>
          </cell>
          <cell r="T160" t="str">
            <v>full_h04/Khánh Hòa/Thu thập EVN_Khánh Hòa/Route_Cấp 3/KH_RING 2/2.Cam Lâm - Cam Ranh/Cam Lâm - Cam Ranh_Đoạn cột trung thế</v>
          </cell>
          <cell r="U160">
            <v>680.22</v>
          </cell>
        </row>
        <row r="161">
          <cell r="L161" t="str">
            <v>2.CA Nam Ninh Hòa - CA Tây Ninh Hòa</v>
          </cell>
          <cell r="M161" t="str">
            <v>5343.16</v>
          </cell>
          <cell r="N161" t="str">
            <v>4.59</v>
          </cell>
          <cell r="O161" t="str">
            <v>12.540865</v>
          </cell>
          <cell r="P161" t="str">
            <v>109.007478</v>
          </cell>
          <cell r="Q161" t="str">
            <v>5338.57</v>
          </cell>
          <cell r="R161" t="str">
            <v>12.507222</v>
          </cell>
          <cell r="S161" t="str">
            <v>109.072838</v>
          </cell>
          <cell r="T161" t="str">
            <v>full_h04/Khánh Hòa/Thu thập EVN_Khánh Hòa/Route_Cấp 4/KH_RING 6/2.CA Nam Ninh Hòa - CA Tây Ninh Hòa/CA Nam Ninh Hòa - CA Tây Ninh Hòa_Đoạn cột trung thế_2</v>
          </cell>
          <cell r="U161">
            <v>5343.16</v>
          </cell>
        </row>
        <row r="162">
          <cell r="L162" t="str">
            <v>1.CA Ninh Hòa - CA Hòa Thắng_Cột trung thế</v>
          </cell>
          <cell r="M162" t="str">
            <v>5.79</v>
          </cell>
          <cell r="N162" t="str">
            <v>3.02</v>
          </cell>
          <cell r="O162" t="str">
            <v>12.480164</v>
          </cell>
          <cell r="P162" t="str">
            <v>109.132472</v>
          </cell>
          <cell r="Q162" t="str">
            <v>2.77</v>
          </cell>
          <cell r="R162" t="str">
            <v>12.509724</v>
          </cell>
          <cell r="S162" t="str">
            <v>109.137475</v>
          </cell>
          <cell r="T162" t="str">
            <v>full_h04/Khánh Hòa/Thu thập EVN_Khánh Hòa/Route_Cấp 4/KH_RING 5/1.CA Ninh Hòa - CA Hòa Thắng_Cột trung thế/1.CA Ninh Hòa - CA Hòa Thắng_Cột trung thế</v>
          </cell>
          <cell r="U162">
            <v>5.79</v>
          </cell>
        </row>
        <row r="163">
          <cell r="L163" t="str">
            <v>2.CA Nam Ninh Hòa - CA Tây Ninh Hòa</v>
          </cell>
          <cell r="M163" t="str">
            <v>842.66</v>
          </cell>
          <cell r="N163" t="str">
            <v>4.59</v>
          </cell>
          <cell r="O163" t="str">
            <v>12.540865</v>
          </cell>
          <cell r="P163" t="str">
            <v>109.007478</v>
          </cell>
          <cell r="Q163" t="str">
            <v>838.08</v>
          </cell>
          <cell r="R163" t="str">
            <v>12.507222</v>
          </cell>
          <cell r="S163" t="str">
            <v>109.072838</v>
          </cell>
          <cell r="T163" t="str">
            <v>full_h04/Khánh Hòa/Thu thập EVN_Khánh Hòa/Route_Cấp 4/KH_RING 6/2.CA Nam Ninh Hòa - CA Tây Ninh Hòa/CA Nam Ninh Hòa - CA Tây Ninh Hòa_Đoạn cột trung thế_2</v>
          </cell>
          <cell r="U163">
            <v>842.66</v>
          </cell>
        </row>
        <row r="164">
          <cell r="L164" t="str">
            <v>5.Vạn Ninh - CAT Khánh Hòa</v>
          </cell>
          <cell r="M164" t="str">
            <v>1136.94</v>
          </cell>
          <cell r="N164" t="str">
            <v>693.41</v>
          </cell>
          <cell r="O164" t="str">
            <v>12.504055</v>
          </cell>
          <cell r="P164" t="str">
            <v>109.140149</v>
          </cell>
          <cell r="Q164" t="str">
            <v>443.53</v>
          </cell>
          <cell r="R164" t="str">
            <v>12.420916</v>
          </cell>
          <cell r="S164" t="str">
            <v>109.144342</v>
          </cell>
          <cell r="T164" t="str">
            <v>full_h04/Khánh Hòa/Thu thập EVN_Khánh Hòa/Route_Cấp 3/KH_RING 1/5.Vạn Ninh - CAT Khánh Hòa/Vạn Ninh - CAT Khánh Hòa_Đoạn cột trung thế_3</v>
          </cell>
          <cell r="U164">
            <v>1136.94</v>
          </cell>
        </row>
        <row r="165">
          <cell r="L165" t="str">
            <v>5.Vạn Ninh - CAT Khánh Hòa</v>
          </cell>
          <cell r="M165" t="str">
            <v>1629.35</v>
          </cell>
          <cell r="N165" t="str">
            <v>117.23</v>
          </cell>
          <cell r="O165" t="str">
            <v>12.338985</v>
          </cell>
          <cell r="P165" t="str">
            <v>109.194122</v>
          </cell>
          <cell r="Q165" t="str">
            <v>1512.13</v>
          </cell>
          <cell r="R165" t="str">
            <v>12.265585</v>
          </cell>
          <cell r="S165" t="str">
            <v>109.196157</v>
          </cell>
          <cell r="T165" t="str">
            <v>full_h04/Khánh Hòa/Thu thập EVN_Khánh Hòa/Route_Cấp 3/KH_RING 1/5.Vạn Ninh - CAT Khánh Hòa/Vạn Ninh - CAT Khánh Hòa_Đoạn cột trung thế_3</v>
          </cell>
          <cell r="U165">
            <v>1629.35</v>
          </cell>
        </row>
        <row r="166">
          <cell r="L166" t="str">
            <v>2.CA Nam Ninh Hòa - CA Tây Ninh Hòa</v>
          </cell>
          <cell r="M166" t="str">
            <v>3745.62</v>
          </cell>
          <cell r="N166" t="str">
            <v>4.59</v>
          </cell>
          <cell r="O166" t="str">
            <v>12.540865</v>
          </cell>
          <cell r="P166" t="str">
            <v>109.007478</v>
          </cell>
          <cell r="Q166" t="str">
            <v>3741.03</v>
          </cell>
          <cell r="R166" t="str">
            <v>12.507222</v>
          </cell>
          <cell r="S166" t="str">
            <v>109.072838</v>
          </cell>
          <cell r="T166" t="str">
            <v>full_h04/Khánh Hòa/Thu thập EVN_Khánh Hòa/Route_Cấp 4/KH_RING 6/2.CA Nam Ninh Hòa - CA Tây Ninh Hòa/CA Nam Ninh Hòa - CA Tây Ninh Hòa_Đoạn cột trung thế_2</v>
          </cell>
          <cell r="U166">
            <v>3745.62</v>
          </cell>
        </row>
        <row r="167">
          <cell r="L167" t="str">
            <v>3.CA Tân Định - CA Ninh Hòa</v>
          </cell>
          <cell r="M167" t="str">
            <v>1612.06</v>
          </cell>
          <cell r="N167" t="str">
            <v>381.98</v>
          </cell>
          <cell r="O167" t="str">
            <v>12.492870</v>
          </cell>
          <cell r="P167" t="str">
            <v>109.114033</v>
          </cell>
          <cell r="Q167" t="str">
            <v>1230.07</v>
          </cell>
          <cell r="R167" t="str">
            <v>12.499728</v>
          </cell>
          <cell r="S167" t="str">
            <v>109.132660</v>
          </cell>
          <cell r="T167" t="str">
            <v>full_h04/Khánh Hòa/Thu thập EVN_Khánh Hòa/Route_Cấp 4/KH_RING 5/3.CA Tân Định - CA Ninh Hòa/CA Tân Định - CA Ninh Hòa_Đoạn cột trung thế_1</v>
          </cell>
          <cell r="U167">
            <v>1612.06</v>
          </cell>
        </row>
        <row r="168">
          <cell r="L168" t="str">
            <v>4.CA Đại Lãnh - CA Vạn Ninh</v>
          </cell>
          <cell r="M168" t="str">
            <v>1164.23</v>
          </cell>
          <cell r="N168" t="str">
            <v>487.03</v>
          </cell>
          <cell r="O168" t="str">
            <v>12.693424</v>
          </cell>
          <cell r="P168" t="str">
            <v>109.217328</v>
          </cell>
          <cell r="Q168" t="str">
            <v>677.21</v>
          </cell>
          <cell r="R168" t="str">
            <v>12.731598</v>
          </cell>
          <cell r="S168" t="str">
            <v>109.264076</v>
          </cell>
          <cell r="T168" t="str">
            <v>full_h04/Khánh Hòa/Thu thập EVN_Khánh Hòa/Route_Cấp 4/KH_RING 7/4.CA Đại Lãnh - CA Vạn Ninh/CA Đại Lãnh - CA Vạn Ninh_Đoạn cột trung thế_1</v>
          </cell>
          <cell r="U168">
            <v>1164.23</v>
          </cell>
        </row>
        <row r="169">
          <cell r="L169" t="str">
            <v>3.CA Tu Bông - CA Đại Lãnh_Cột trung thế</v>
          </cell>
          <cell r="M169" t="str">
            <v>8.64</v>
          </cell>
          <cell r="N169" t="str">
            <v>2.08</v>
          </cell>
          <cell r="O169" t="str">
            <v>12.778815</v>
          </cell>
          <cell r="P169" t="str">
            <v>109.312718</v>
          </cell>
          <cell r="Q169" t="str">
            <v>6.55</v>
          </cell>
          <cell r="R169" t="str">
            <v>12.803207</v>
          </cell>
          <cell r="S169" t="str">
            <v>109.333740</v>
          </cell>
          <cell r="T169" t="str">
            <v>full_h04/Khánh Hòa/Thu thập EVN_Khánh Hòa/Route_Cấp 4/KH_RING 7/3.CA Tu Bông - CA Đại Lãnh_Cột trung thế/3.CA Tu Bông - CA Đại Lãnh_Cột trung thế</v>
          </cell>
          <cell r="U169">
            <v>8.64</v>
          </cell>
        </row>
        <row r="170">
          <cell r="L170" t="str">
            <v>4.CA Đại Lãnh - CA Vạn Ninh</v>
          </cell>
          <cell r="M170" t="str">
            <v>5977.23</v>
          </cell>
          <cell r="N170" t="str">
            <v>6.73</v>
          </cell>
          <cell r="O170" t="str">
            <v>12.803200</v>
          </cell>
          <cell r="P170" t="str">
            <v>109.333739</v>
          </cell>
          <cell r="Q170" t="str">
            <v>5970.50</v>
          </cell>
          <cell r="R170" t="str">
            <v>12.693424</v>
          </cell>
          <cell r="S170" t="str">
            <v>109.217328</v>
          </cell>
          <cell r="T170" t="str">
            <v>full_h04/Khánh Hòa/Thu thập EVN_Khánh Hòa/Route_Cấp 4/KH_RING 7/4.CA Đại Lãnh - CA Vạn Ninh/CA Đại Lãnh - CA Vạn Ninh_Đoạn cột trung thế_1</v>
          </cell>
          <cell r="U170">
            <v>5977.23</v>
          </cell>
        </row>
        <row r="171">
          <cell r="L171" t="str">
            <v>1.CA Vạn Ninh - CA Vạn Thắng_Cột trung thế</v>
          </cell>
          <cell r="M171" t="str">
            <v>499.96</v>
          </cell>
          <cell r="N171" t="str">
            <v>3.57</v>
          </cell>
          <cell r="O171" t="str">
            <v>12.690783</v>
          </cell>
          <cell r="P171" t="str">
            <v>109.220870</v>
          </cell>
          <cell r="Q171" t="str">
            <v>496.38</v>
          </cell>
          <cell r="R171" t="str">
            <v>12.697971</v>
          </cell>
          <cell r="S171" t="str">
            <v>109.226242</v>
          </cell>
          <cell r="T171" t="str">
            <v>full_h04/Khánh Hòa/Thu thập EVN_Khánh Hòa/Route_Cấp 4/KH_RING 7/1.CA Vạn Ninh - CA Vạn Thắng_Cột trung thế/1.CA Vạn Ninh - CA Vạn Thắng_Cột trung thế</v>
          </cell>
          <cell r="U171">
            <v>499.96</v>
          </cell>
        </row>
        <row r="172">
          <cell r="L172" t="str">
            <v>1.CA Ninh Hòa - CA Đông Ninh Hòa_Đoạn cột trung thế</v>
          </cell>
          <cell r="M172" t="str">
            <v>1157.51</v>
          </cell>
          <cell r="N172" t="str">
            <v>5.23</v>
          </cell>
          <cell r="O172" t="str">
            <v>12.555443</v>
          </cell>
          <cell r="P172" t="str">
            <v>109.217606</v>
          </cell>
          <cell r="Q172" t="str">
            <v>1152.28</v>
          </cell>
          <cell r="R172" t="str">
            <v>12.543041</v>
          </cell>
          <cell r="S172" t="str">
            <v>109.215219</v>
          </cell>
          <cell r="T172" t="str">
            <v>full_h04/Khánh Hòa/Thu thập EVN_Khánh Hòa/Route_Cấp 4/KH_RING 4/1.CA Ninh Hòa - CA Đông Ninh Hòa_Đoạn cột trung thế/1.CA Ninh Hòa - CA Đông Ninh Hòa_Đoạn cột trung thế</v>
          </cell>
          <cell r="U172">
            <v>1157.51</v>
          </cell>
        </row>
        <row r="173">
          <cell r="L173" t="str">
            <v>5.Trạm CSGT Ninh An cũ - Ninh Hòa</v>
          </cell>
          <cell r="M173" t="str">
            <v>742.02</v>
          </cell>
          <cell r="N173" t="str">
            <v>467.73</v>
          </cell>
          <cell r="O173" t="str">
            <v>12.533543</v>
          </cell>
          <cell r="P173" t="str">
            <v>109.164268</v>
          </cell>
          <cell r="Q173" t="str">
            <v>274.29</v>
          </cell>
          <cell r="R173" t="str">
            <v>12.505213</v>
          </cell>
          <cell r="S173" t="str">
            <v>109.141811</v>
          </cell>
          <cell r="T173" t="str">
            <v>full_h04/Khánh Hòa/Thu thập EVN_Khánh Hòa/Route_Cấp 3/KH_RING 6/5.Trạm CSGT Ninh An cũ - Ninh Hòa/Trạm CSGT Ninh An cũ - Ninh Hòa_Đoạn cột trung thế</v>
          </cell>
          <cell r="U173">
            <v>742.02</v>
          </cell>
        </row>
        <row r="174">
          <cell r="L174" t="str">
            <v>3.PA06 cs2 - PC11a</v>
          </cell>
          <cell r="M174" t="str">
            <v>2190.43</v>
          </cell>
          <cell r="N174" t="str">
            <v>9.18</v>
          </cell>
          <cell r="O174" t="str">
            <v>12.175753</v>
          </cell>
          <cell r="P174" t="str">
            <v>109.173635</v>
          </cell>
          <cell r="Q174" t="str">
            <v>2181.24</v>
          </cell>
          <cell r="R174" t="str">
            <v>12.235105</v>
          </cell>
          <cell r="S174" t="str">
            <v>109.183856</v>
          </cell>
          <cell r="T174" t="str">
            <v>full_h04/Khánh Hòa/Thu thập EVN_Khánh Hòa/Route_Cấp 3/KH_RING 5/3.PA06 cs2 - PC11a/PA06 cs2 - PC11a_Đoạn cột trung thế</v>
          </cell>
          <cell r="U174">
            <v>2190.4299999999998</v>
          </cell>
        </row>
        <row r="175">
          <cell r="L175" t="str">
            <v>1.CA Cam Ranh - CA Bắc Cam Ranh</v>
          </cell>
          <cell r="M175" t="str">
            <v>445.58</v>
          </cell>
          <cell r="N175" t="str">
            <v>320.16</v>
          </cell>
          <cell r="O175" t="str">
            <v>11.923038</v>
          </cell>
          <cell r="P175" t="str">
            <v>109.165192</v>
          </cell>
          <cell r="Q175" t="str">
            <v>125.41</v>
          </cell>
          <cell r="R175" t="str">
            <v>11.976637</v>
          </cell>
          <cell r="S175" t="str">
            <v>109.195647</v>
          </cell>
          <cell r="T175" t="str">
            <v>full_h04/Khánh Hòa/Thu thập EVN_Khánh Hòa/Route_Cấp 4/KH_RING 2/1.CA Cam Ranh - CA Bắc Cam Ranh/CA Cam Ranh - CA Bắc Cam Ranh_Đoạn trung thế</v>
          </cell>
          <cell r="U175">
            <v>445.58</v>
          </cell>
        </row>
        <row r="176">
          <cell r="L176" t="str">
            <v>2.Cam Lâm - Cam Ranh</v>
          </cell>
          <cell r="M176" t="str">
            <v>680.22</v>
          </cell>
          <cell r="N176" t="str">
            <v>674.90</v>
          </cell>
          <cell r="O176" t="str">
            <v>11.970426</v>
          </cell>
          <cell r="P176" t="str">
            <v>109.192857</v>
          </cell>
          <cell r="Q176" t="str">
            <v>5.32</v>
          </cell>
          <cell r="R176" t="str">
            <v>12.074472</v>
          </cell>
          <cell r="S176" t="str">
            <v>109.168063</v>
          </cell>
          <cell r="T176" t="str">
            <v>full_h04/Khánh Hòa/Thu thập EVN_Khánh Hòa/Route_Cấp 3/KH_RING 2/2.Cam Lâm - Cam Ranh/Cam Lâm - Cam Ranh_Đoạn cột trung thế</v>
          </cell>
          <cell r="U176">
            <v>680.22</v>
          </cell>
        </row>
        <row r="177">
          <cell r="L177" t="str">
            <v>4.CA Diên Thọ - CA Diên Khánh</v>
          </cell>
          <cell r="M177" t="str">
            <v>1566.48</v>
          </cell>
          <cell r="N177" t="str">
            <v>818.28</v>
          </cell>
          <cell r="O177" t="str">
            <v>12.255680</v>
          </cell>
          <cell r="P177" t="str">
            <v>109.086596</v>
          </cell>
          <cell r="Q177" t="str">
            <v>748.20</v>
          </cell>
          <cell r="R177" t="str">
            <v>12.262793</v>
          </cell>
          <cell r="S177" t="str">
            <v>109.035959</v>
          </cell>
          <cell r="T177" t="str">
            <v>full_h04/Khánh Hòa/Thu thập EVN_Khánh Hòa/Route_Cấp 4/KH_RING 10/4.CA Diên Thọ - CA Diên Khánh/4.CA Diên Thọ - CA Diên Khánh_Đoạn cột trung thế</v>
          </cell>
          <cell r="U177">
            <v>1566.48</v>
          </cell>
        </row>
        <row r="178">
          <cell r="L178" t="str">
            <v>5.Vạn Ninh - CAT Khánh Hòa</v>
          </cell>
          <cell r="M178" t="str">
            <v>25735.56</v>
          </cell>
          <cell r="N178" t="str">
            <v>10890.65</v>
          </cell>
          <cell r="O178" t="str">
            <v>12.292957</v>
          </cell>
          <cell r="P178" t="str">
            <v>109.187048</v>
          </cell>
          <cell r="Q178" t="str">
            <v>14844.91</v>
          </cell>
          <cell r="R178" t="str">
            <v>12.501725</v>
          </cell>
          <cell r="S178" t="str">
            <v>109.138258</v>
          </cell>
          <cell r="T178" t="str">
            <v>full_h04/Khánh Hòa/Thu thập EVN_Khánh Hòa/Route_Cấp 3/KH_RING 1/5.Vạn Ninh - CAT Khánh Hòa/Vạn Ninh - CAT Khánh Hòa_Đoạn cột trung thế_3</v>
          </cell>
          <cell r="U178">
            <v>25735.56</v>
          </cell>
        </row>
        <row r="179">
          <cell r="L179" t="str">
            <v>4.Ninh Hòa - Vạn Ninh</v>
          </cell>
          <cell r="M179" t="str">
            <v>115.80</v>
          </cell>
          <cell r="N179" t="str">
            <v>110.58</v>
          </cell>
          <cell r="O179" t="str">
            <v>12.630297</v>
          </cell>
          <cell r="P179" t="str">
            <v>109.187321</v>
          </cell>
          <cell r="Q179" t="str">
            <v>5.22</v>
          </cell>
          <cell r="R179" t="str">
            <v>12.509763</v>
          </cell>
          <cell r="S179" t="str">
            <v>109.137465</v>
          </cell>
          <cell r="T179" t="str">
            <v>full_h04/Khánh Hòa/Thu thập EVN_Khánh Hòa/Route_Cấp 3/KH_RING 1/4.Ninh Hòa - Vạn Ninh/Ninh Hòa - Vạn Ninh_Đoạn cột trung thế</v>
          </cell>
          <cell r="U179">
            <v>115.8</v>
          </cell>
        </row>
        <row r="180">
          <cell r="L180" t="str">
            <v>5.Vạn Ninh - CAT Khánh Hòa</v>
          </cell>
          <cell r="M180" t="str">
            <v>25735.56</v>
          </cell>
          <cell r="N180" t="str">
            <v>10890.65</v>
          </cell>
          <cell r="O180" t="str">
            <v>12.292957</v>
          </cell>
          <cell r="P180" t="str">
            <v>109.187048</v>
          </cell>
          <cell r="Q180" t="str">
            <v>14844.91</v>
          </cell>
          <cell r="R180" t="str">
            <v>12.501725</v>
          </cell>
          <cell r="S180" t="str">
            <v>109.138258</v>
          </cell>
          <cell r="T180" t="str">
            <v>full_h04/Khánh Hòa/Thu thập EVN_Khánh Hòa/Route_Cấp 3/KH_RING 1/5.Vạn Ninh - CAT Khánh Hòa/Vạn Ninh - CAT Khánh Hòa_Đoạn cột trung thế_3</v>
          </cell>
          <cell r="U180">
            <v>25735.56</v>
          </cell>
        </row>
        <row r="181">
          <cell r="L181" t="str">
            <v>2.Cam Lâm - Cam Ranh</v>
          </cell>
          <cell r="M181" t="str">
            <v>415.75</v>
          </cell>
          <cell r="N181" t="str">
            <v>98.97</v>
          </cell>
          <cell r="O181" t="str">
            <v>12.063228</v>
          </cell>
          <cell r="P181" t="str">
            <v>109.159191</v>
          </cell>
          <cell r="Q181" t="str">
            <v>316.78</v>
          </cell>
          <cell r="R181" t="str">
            <v>11.923064</v>
          </cell>
          <cell r="S181" t="str">
            <v>109.165175</v>
          </cell>
          <cell r="T181" t="str">
            <v>full_h04/Khánh Hòa/Thu thập EVN_Khánh Hòa/Route_Cấp 3/KH_RING 2/2.Cam Lâm - Cam Ranh/Cam Lâm - Cam Ranh_Đoạn cột trung thế</v>
          </cell>
          <cell r="U181">
            <v>415.75</v>
          </cell>
        </row>
        <row r="182">
          <cell r="L182" t="str">
            <v>3.Khánh Vĩnh - Ninh Hòa</v>
          </cell>
          <cell r="M182" t="str">
            <v>2680.86</v>
          </cell>
          <cell r="N182" t="str">
            <v>230.10</v>
          </cell>
          <cell r="O182" t="str">
            <v>12.461582</v>
          </cell>
          <cell r="P182" t="str">
            <v>109.082300</v>
          </cell>
          <cell r="Q182" t="str">
            <v>2450.76</v>
          </cell>
          <cell r="R182" t="str">
            <v>12.476619</v>
          </cell>
          <cell r="S182" t="str">
            <v>109.110220</v>
          </cell>
          <cell r="T182" t="str">
            <v>full_h04/Khánh Hòa/Thu thập EVN_Khánh Hòa/Route_Cấp 3/KH_RING 1/3.Khánh Vĩnh - Ninh Hòa/Khánh Vĩnh - Ninh Hòa_Đoạn cột trung thế_4</v>
          </cell>
          <cell r="U182">
            <v>2680.86</v>
          </cell>
        </row>
        <row r="183">
          <cell r="L183" t="str">
            <v>2.CA Nam Ninh Hòa - CA Tây Ninh Hòa</v>
          </cell>
          <cell r="M183" t="str">
            <v>4207.79</v>
          </cell>
          <cell r="N183" t="str">
            <v>442.39</v>
          </cell>
          <cell r="O183" t="str">
            <v>12.505764</v>
          </cell>
          <cell r="P183" t="str">
            <v>109.078005</v>
          </cell>
          <cell r="Q183" t="str">
            <v>3765.40</v>
          </cell>
          <cell r="R183" t="str">
            <v>12.502251</v>
          </cell>
          <cell r="S183" t="str">
            <v>109.103671</v>
          </cell>
          <cell r="T183" t="str">
            <v>full_h04/Khánh Hòa/Thu thập EVN_Khánh Hòa/Route_Cấp 4/KH_RING 6/2.CA Nam Ninh Hòa - CA Tây Ninh Hòa/CA Nam Ninh Hòa - CA Tây Ninh Hòa_Đoạn cột trung thế_1</v>
          </cell>
          <cell r="U183">
            <v>4207.79</v>
          </cell>
        </row>
        <row r="184">
          <cell r="L184" t="str">
            <v>5.Vạn Ninh - CAT Khánh Hòa</v>
          </cell>
          <cell r="M184" t="str">
            <v>560.76</v>
          </cell>
          <cell r="N184" t="str">
            <v>443.53</v>
          </cell>
          <cell r="O184" t="str">
            <v>12.420916</v>
          </cell>
          <cell r="P184" t="str">
            <v>109.144342</v>
          </cell>
          <cell r="Q184" t="str">
            <v>117.23</v>
          </cell>
          <cell r="R184" t="str">
            <v>12.338985</v>
          </cell>
          <cell r="S184" t="str">
            <v>109.194122</v>
          </cell>
          <cell r="T184" t="str">
            <v>full_h04/Khánh Hòa/Thu thập EVN_Khánh Hòa/Route_Cấp 3/KH_RING 1/5.Vạn Ninh - CAT Khánh Hòa/Vạn Ninh - CAT Khánh Hòa_Đoạn cột trung thế_3</v>
          </cell>
          <cell r="U184">
            <v>560.76</v>
          </cell>
        </row>
        <row r="185">
          <cell r="L185" t="str">
            <v>2.CA Nam Ninh Hòa - CA Tây Ninh Hòa</v>
          </cell>
          <cell r="M185" t="str">
            <v>3462.89</v>
          </cell>
          <cell r="N185" t="str">
            <v>2181.61</v>
          </cell>
          <cell r="O185" t="str">
            <v>12.505404</v>
          </cell>
          <cell r="P185" t="str">
            <v>109.098456</v>
          </cell>
          <cell r="Q185" t="str">
            <v>1281.28</v>
          </cell>
          <cell r="R185" t="str">
            <v>12.495311</v>
          </cell>
          <cell r="S185" t="str">
            <v>109.103539</v>
          </cell>
          <cell r="T185" t="str">
            <v>full_h04/Khánh Hòa/Thu thập EVN_Khánh Hòa/Route_Cấp 4/KH_RING 6/2.CA Nam Ninh Hòa - CA Tây Ninh Hòa/CA Nam Ninh Hòa - CA Tây Ninh Hòa_Đoạn cột trung thế_1</v>
          </cell>
          <cell r="U185">
            <v>3462.89</v>
          </cell>
        </row>
        <row r="186">
          <cell r="L186" t="str">
            <v>2.CA Vạn Thắng - CA Tu Bông_Cột trung thế</v>
          </cell>
          <cell r="M186" t="str">
            <v>289.90</v>
          </cell>
          <cell r="N186" t="str">
            <v>289.55</v>
          </cell>
          <cell r="O186" t="str">
            <v>12.730185</v>
          </cell>
          <cell r="P186" t="str">
            <v>109.269456</v>
          </cell>
          <cell r="Q186" t="str">
            <v>0.35</v>
          </cell>
          <cell r="R186" t="str">
            <v>12.778810</v>
          </cell>
          <cell r="S186" t="str">
            <v>109.312703</v>
          </cell>
          <cell r="T186" t="str">
            <v>full_h04/Khánh Hòa/Thu thập EVN_Khánh Hòa/Route_Cấp 4/KH_RING 7/2.CA Vạn Thắng - CA Tu Bông_Cột trung thế/2.CA Vạn Thắng - CA Tu Bông_Cột trung thế</v>
          </cell>
          <cell r="U186">
            <v>289.89999999999998</v>
          </cell>
        </row>
        <row r="187">
          <cell r="L187" t="str">
            <v>4.Ninh Hòa - Vạn Ninh</v>
          </cell>
          <cell r="M187" t="str">
            <v>4221.33</v>
          </cell>
          <cell r="N187" t="str">
            <v>110.58</v>
          </cell>
          <cell r="O187" t="str">
            <v>12.630297</v>
          </cell>
          <cell r="P187" t="str">
            <v>109.187321</v>
          </cell>
          <cell r="Q187" t="str">
            <v>4110.75</v>
          </cell>
          <cell r="R187" t="str">
            <v>12.534793</v>
          </cell>
          <cell r="S187" t="str">
            <v>109.186219</v>
          </cell>
          <cell r="T187" t="str">
            <v>full_h04/Khánh Hòa/Thu thập EVN_Khánh Hòa/Route_Cấp 3/KH_RING 1/4.Ninh Hòa - Vạn Ninh/Ninh Hòa - Vạn Ninh_Đoạn cột trung thế</v>
          </cell>
          <cell r="U187">
            <v>4221.33</v>
          </cell>
        </row>
        <row r="188">
          <cell r="L188" t="str">
            <v>1.CA Ninh Hòa - CA Hòa Thắng_Cột trung thế</v>
          </cell>
          <cell r="M188" t="str">
            <v>1353.25</v>
          </cell>
          <cell r="N188" t="str">
            <v>1350.48</v>
          </cell>
          <cell r="O188" t="str">
            <v>12.492353</v>
          </cell>
          <cell r="P188" t="str">
            <v>109.140143</v>
          </cell>
          <cell r="Q188" t="str">
            <v>2.77</v>
          </cell>
          <cell r="R188" t="str">
            <v>12.509724</v>
          </cell>
          <cell r="S188" t="str">
            <v>109.137475</v>
          </cell>
          <cell r="T188" t="str">
            <v>full_h04/Khánh Hòa/Thu thập EVN_Khánh Hòa/Route_Cấp 4/KH_RING 5/1.CA Ninh Hòa - CA Hòa Thắng_Cột trung thế/1.CA Ninh Hòa - CA Hòa Thắng_Cột trung thế</v>
          </cell>
          <cell r="U188">
            <v>1353.25</v>
          </cell>
        </row>
        <row r="189">
          <cell r="L189" t="str">
            <v>4.Ninh Hòa - Vạn Ninh</v>
          </cell>
          <cell r="M189" t="str">
            <v>1120.59</v>
          </cell>
          <cell r="N189" t="str">
            <v>152.65</v>
          </cell>
          <cell r="O189" t="str">
            <v>12.564939</v>
          </cell>
          <cell r="P189" t="str">
            <v>109.171781</v>
          </cell>
          <cell r="Q189" t="str">
            <v>967.94</v>
          </cell>
          <cell r="R189" t="str">
            <v>12.525967</v>
          </cell>
          <cell r="S189" t="str">
            <v>109.167119</v>
          </cell>
          <cell r="T189" t="str">
            <v>full_h04/Khánh Hòa/Thu thập EVN_Khánh Hòa/Route_Cấp 3/KH_RING 1/4.Ninh Hòa - Vạn Ninh/Ninh Hòa - Vạn Ninh_Đoạn cột trung thế</v>
          </cell>
          <cell r="U189">
            <v>1120.5899999999999</v>
          </cell>
        </row>
        <row r="190">
          <cell r="L190" t="str">
            <v>1.CA Ninh Hòa - CA Nam Ninh Hòa_Cột trung thế</v>
          </cell>
          <cell r="M190" t="str">
            <v>29.24</v>
          </cell>
          <cell r="N190" t="str">
            <v>24.35</v>
          </cell>
          <cell r="O190" t="str">
            <v>12.503812</v>
          </cell>
          <cell r="P190" t="str">
            <v>109.139841</v>
          </cell>
          <cell r="Q190" t="str">
            <v>4.88</v>
          </cell>
          <cell r="R190" t="str">
            <v>12.509730</v>
          </cell>
          <cell r="S190" t="str">
            <v>109.137455</v>
          </cell>
          <cell r="T190" t="str">
            <v>full_h04/Khánh Hòa/Thu thập EVN_Khánh Hòa/Route_Cấp 4/KH_RING 6/1.CA Ninh Hòa - CA Nam Ninh Hòa_Cột trung thế/1.CA Ninh Hòa - CA Nam Ninh Hòa_Cột trung thế</v>
          </cell>
          <cell r="U190">
            <v>29.24</v>
          </cell>
        </row>
        <row r="191">
          <cell r="L191" t="str">
            <v>5.Vạn Ninh - CAT Khánh Hòa</v>
          </cell>
          <cell r="M191" t="str">
            <v>25735.56</v>
          </cell>
          <cell r="N191" t="str">
            <v>10890.65</v>
          </cell>
          <cell r="O191" t="str">
            <v>12.292957</v>
          </cell>
          <cell r="P191" t="str">
            <v>109.187048</v>
          </cell>
          <cell r="Q191" t="str">
            <v>14844.91</v>
          </cell>
          <cell r="R191" t="str">
            <v>12.501725</v>
          </cell>
          <cell r="S191" t="str">
            <v>109.138258</v>
          </cell>
          <cell r="T191" t="str">
            <v>full_h04/Khánh Hòa/Thu thập EVN_Khánh Hòa/Route_Cấp 3/KH_RING 1/5.Vạn Ninh - CAT Khánh Hòa/Vạn Ninh - CAT Khánh Hòa_Đoạn cột trung thế_3</v>
          </cell>
          <cell r="U191">
            <v>25735.56</v>
          </cell>
        </row>
        <row r="192">
          <cell r="L192" t="str">
            <v>4.CA Diên Thọ - CA Diên Khánh</v>
          </cell>
          <cell r="M192" t="str">
            <v>1566.48</v>
          </cell>
          <cell r="N192" t="str">
            <v>818.28</v>
          </cell>
          <cell r="O192" t="str">
            <v>12.255680</v>
          </cell>
          <cell r="P192" t="str">
            <v>109.086596</v>
          </cell>
          <cell r="Q192" t="str">
            <v>748.20</v>
          </cell>
          <cell r="R192" t="str">
            <v>12.262793</v>
          </cell>
          <cell r="S192" t="str">
            <v>109.035959</v>
          </cell>
          <cell r="T192" t="str">
            <v>full_h04/Khánh Hòa/Thu thập EVN_Khánh Hòa/Route_Cấp 4/KH_RING 10/4.CA Diên Thọ - CA Diên Khánh/4.CA Diên Thọ - CA Diên Khánh_Đoạn cột trung thế</v>
          </cell>
          <cell r="U192">
            <v>1566.48</v>
          </cell>
        </row>
        <row r="193">
          <cell r="L193" t="str">
            <v>2.Cam Lâm - Cam Ranh</v>
          </cell>
          <cell r="M193" t="str">
            <v>415.75</v>
          </cell>
          <cell r="N193" t="str">
            <v>98.97</v>
          </cell>
          <cell r="O193" t="str">
            <v>12.063228</v>
          </cell>
          <cell r="P193" t="str">
            <v>109.159191</v>
          </cell>
          <cell r="Q193" t="str">
            <v>316.78</v>
          </cell>
          <cell r="R193" t="str">
            <v>11.923064</v>
          </cell>
          <cell r="S193" t="str">
            <v>109.165175</v>
          </cell>
          <cell r="T193" t="str">
            <v>full_h04/Khánh Hòa/Thu thập EVN_Khánh Hòa/Route_Cấp 3/KH_RING 2/2.Cam Lâm - Cam Ranh/Cam Lâm - Cam Ranh_Đoạn cột trung thế</v>
          </cell>
          <cell r="U193">
            <v>415.75</v>
          </cell>
        </row>
        <row r="194">
          <cell r="L194" t="str">
            <v>1.Diên Khánh - CA Diên Lạc_Cột hạ thế</v>
          </cell>
          <cell r="M194" t="str">
            <v>1314.82</v>
          </cell>
          <cell r="N194" t="str">
            <v>13.09</v>
          </cell>
          <cell r="O194" t="str">
            <v>12.256291</v>
          </cell>
          <cell r="P194" t="str">
            <v>109.093980</v>
          </cell>
          <cell r="Q194" t="str">
            <v>1301.73</v>
          </cell>
          <cell r="R194" t="str">
            <v>12.259256</v>
          </cell>
          <cell r="S194" t="str">
            <v>109.084643</v>
          </cell>
          <cell r="T194" t="str">
            <v>full_h04/Khánh Hòa/Thu thập EVN_Khánh Hòa/Route_Cấp 4/KH_RING 9/1.Diên Khánh - CA Diên Lạc_Cột hạ thế/1.Diên Khánh - CA Diên Lạc_Cột hạ thế</v>
          </cell>
          <cell r="U194">
            <v>1314.82</v>
          </cell>
        </row>
        <row r="195">
          <cell r="L195" t="str">
            <v>3. Trại giam A2 - CATP Nha trang cũ</v>
          </cell>
          <cell r="M195" t="str">
            <v>1953.83</v>
          </cell>
          <cell r="N195" t="str">
            <v>1446.96</v>
          </cell>
          <cell r="O195" t="str">
            <v>12.257196</v>
          </cell>
          <cell r="P195" t="str">
            <v>109.107385</v>
          </cell>
          <cell r="Q195" t="str">
            <v>506.87</v>
          </cell>
          <cell r="R195" t="str">
            <v>12.257274</v>
          </cell>
          <cell r="S195" t="str">
            <v>109.140851</v>
          </cell>
          <cell r="T195" t="str">
            <v>full_h04/Khánh Hòa/Thu thập EVN_Khánh Hòa/Route_Cấp 3/KH_RING 4/3. Trại giam A2 - CATP Nha trang cũ/Trại giam A2 - CATP Nha trang cũ_Đoạn cột trung thế_7</v>
          </cell>
          <cell r="U195">
            <v>1953.83</v>
          </cell>
        </row>
        <row r="196">
          <cell r="L196" t="str">
            <v>4.CA Tây Nha Trang - TTCMKV Diên Khánh</v>
          </cell>
          <cell r="M196" t="str">
            <v>2948.50</v>
          </cell>
          <cell r="N196" t="str">
            <v>1446.62</v>
          </cell>
          <cell r="O196" t="str">
            <v>12.257207</v>
          </cell>
          <cell r="P196" t="str">
            <v>109.107381</v>
          </cell>
          <cell r="Q196" t="str">
            <v>1501.88</v>
          </cell>
          <cell r="R196" t="str">
            <v>12.255112</v>
          </cell>
          <cell r="S196" t="str">
            <v>109.167627</v>
          </cell>
          <cell r="T196" t="str">
            <v>full_h04/Khánh Hòa/Thu thập EVN_Khánh Hòa/Route_Cấp 4/KH_RING 1/4.CA Tây Nha Trang - TTCMKV Diên Khánh/CA Tây Nha Trang - TTCMKV Diên Khánh_Đoạn cột trung thế_2</v>
          </cell>
          <cell r="U196">
            <v>2948.5</v>
          </cell>
        </row>
        <row r="197">
          <cell r="L197" t="str">
            <v>1.CA Diên Khánh - CA Diên Điền_Cột trung thế</v>
          </cell>
          <cell r="M197" t="str">
            <v>152.74</v>
          </cell>
          <cell r="N197" t="str">
            <v>3.67</v>
          </cell>
          <cell r="O197" t="str">
            <v>12.256280</v>
          </cell>
          <cell r="P197" t="str">
            <v>109.094073</v>
          </cell>
          <cell r="Q197" t="str">
            <v>149.07</v>
          </cell>
          <cell r="R197" t="str">
            <v>12.267650</v>
          </cell>
          <cell r="S197" t="str">
            <v>109.108559</v>
          </cell>
          <cell r="T197" t="str">
            <v>full_h04/Khánh Hòa/Thu thập EVN_Khánh Hòa/Route_Cấp 4/KH_RING 8/1.CA Diên Khánh - CA Diên Điền_Cột trung thế/1.CA Diên Khánh - CA Diên Điền_Cột trung thế</v>
          </cell>
          <cell r="U197">
            <v>152.74</v>
          </cell>
        </row>
        <row r="198">
          <cell r="L198" t="str">
            <v>1.CA Diên Khánh - CA Diên Điền_Cột trung thế</v>
          </cell>
          <cell r="M198" t="str">
            <v>181.44</v>
          </cell>
          <cell r="N198" t="str">
            <v>3.67</v>
          </cell>
          <cell r="O198" t="str">
            <v>12.256280</v>
          </cell>
          <cell r="P198" t="str">
            <v>109.094073</v>
          </cell>
          <cell r="Q198" t="str">
            <v>177.77</v>
          </cell>
          <cell r="R198" t="str">
            <v>12.257208</v>
          </cell>
          <cell r="S198" t="str">
            <v>109.106727</v>
          </cell>
          <cell r="T198" t="str">
            <v>full_h04/Khánh Hòa/Thu thập EVN_Khánh Hòa/Route_Cấp 4/KH_RING 8/1.CA Diên Khánh - CA Diên Điền_Cột trung thế/1.CA Diên Khánh - CA Diên Điền_Cột trung thế</v>
          </cell>
          <cell r="U198">
            <v>181.44</v>
          </cell>
        </row>
        <row r="199">
          <cell r="L199" t="str">
            <v>1.CA Diên Khánh - CA Diên Điền_Cột trung thế</v>
          </cell>
          <cell r="M199" t="str">
            <v>1447.06</v>
          </cell>
          <cell r="N199" t="str">
            <v>3.67</v>
          </cell>
          <cell r="O199" t="str">
            <v>12.256280</v>
          </cell>
          <cell r="P199" t="str">
            <v>109.094073</v>
          </cell>
          <cell r="Q199" t="str">
            <v>1443.39</v>
          </cell>
          <cell r="R199" t="str">
            <v>12.274564</v>
          </cell>
          <cell r="S199" t="str">
            <v>109.116886</v>
          </cell>
          <cell r="T199" t="str">
            <v>full_h04/Khánh Hòa/Thu thập EVN_Khánh Hòa/Route_Cấp 4/KH_RING 8/1.CA Diên Khánh - CA Diên Điền_Cột trung thế/1.CA Diên Khánh - CA Diên Điền_Cột trung thế</v>
          </cell>
          <cell r="U199">
            <v>1447.06</v>
          </cell>
        </row>
        <row r="200">
          <cell r="L200" t="str">
            <v>1.CA Diên Khánh - CA Suối Hiệp</v>
          </cell>
          <cell r="M200" t="str">
            <v>1738.43</v>
          </cell>
          <cell r="N200" t="str">
            <v>4.88</v>
          </cell>
          <cell r="O200" t="str">
            <v>12.256322</v>
          </cell>
          <cell r="P200" t="str">
            <v>109.094061</v>
          </cell>
          <cell r="Q200" t="str">
            <v>1733.55</v>
          </cell>
          <cell r="R200" t="str">
            <v>12.240461</v>
          </cell>
          <cell r="S200" t="str">
            <v>109.094120</v>
          </cell>
          <cell r="T200" t="str">
            <v>full_h04/Khánh Hòa/Thu thập EVN_Khánh Hòa/Route_Cấp 4/KH_RING 10/1.CA Diên Khánh - CA Suối Hiệp/CA Diên Khánh - CA Suối Hiệp_Đoạn cột trung thế</v>
          </cell>
          <cell r="U200">
            <v>1738.43</v>
          </cell>
        </row>
        <row r="201">
          <cell r="L201" t="str">
            <v>1.CA Diên Khánh - CA Diên Điền_Cột trung thế</v>
          </cell>
          <cell r="M201" t="str">
            <v>969.58</v>
          </cell>
          <cell r="N201" t="str">
            <v>965.91</v>
          </cell>
          <cell r="O201" t="str">
            <v>12.258484</v>
          </cell>
          <cell r="P201" t="str">
            <v>109.107060</v>
          </cell>
          <cell r="Q201" t="str">
            <v>3.67</v>
          </cell>
          <cell r="R201" t="str">
            <v>12.256280</v>
          </cell>
          <cell r="S201" t="str">
            <v>109.094073</v>
          </cell>
          <cell r="T201" t="str">
            <v>full_h04/Khánh Hòa/Thu thập EVN_Khánh Hòa/Route_Cấp 4/KH_RING 8/1.CA Diên Khánh - CA Diên Điền_Cột trung thế/1.CA Diên Khánh - CA Diên Điền_Cột trung thế</v>
          </cell>
          <cell r="U201">
            <v>969.58</v>
          </cell>
        </row>
        <row r="202">
          <cell r="L202" t="str">
            <v>1.CA Diên Khánh - CA Diên Điền_Cột trung thế</v>
          </cell>
          <cell r="M202" t="str">
            <v>411.92</v>
          </cell>
          <cell r="N202" t="str">
            <v>408.25</v>
          </cell>
          <cell r="O202" t="str">
            <v>12.257208</v>
          </cell>
          <cell r="P202" t="str">
            <v>109.104496</v>
          </cell>
          <cell r="Q202" t="str">
            <v>3.67</v>
          </cell>
          <cell r="R202" t="str">
            <v>12.256280</v>
          </cell>
          <cell r="S202" t="str">
            <v>109.094073</v>
          </cell>
          <cell r="T202" t="str">
            <v>full_h04/Khánh Hòa/Thu thập EVN_Khánh Hòa/Route_Cấp 4/KH_RING 8/1.CA Diên Khánh - CA Diên Điền_Cột trung thế/1.CA Diên Khánh - CA Diên Điền_Cột trung thế</v>
          </cell>
          <cell r="U202">
            <v>411.92</v>
          </cell>
        </row>
        <row r="203">
          <cell r="L203" t="str">
            <v>1.CA Diên Khánh - CA Suối Hiệp</v>
          </cell>
          <cell r="M203" t="str">
            <v>63.19</v>
          </cell>
          <cell r="N203" t="str">
            <v>58.31</v>
          </cell>
          <cell r="O203" t="str">
            <v>12.256041</v>
          </cell>
          <cell r="P203" t="str">
            <v>109.097449</v>
          </cell>
          <cell r="Q203" t="str">
            <v>4.88</v>
          </cell>
          <cell r="R203" t="str">
            <v>12.256322</v>
          </cell>
          <cell r="S203" t="str">
            <v>109.094061</v>
          </cell>
          <cell r="T203" t="str">
            <v>full_h04/Khánh Hòa/Thu thập EVN_Khánh Hòa/Route_Cấp 4/KH_RING 10/1.CA Diên Khánh - CA Suối Hiệp/CA Diên Khánh - CA Suối Hiệp_Đoạn cột trung thế</v>
          </cell>
          <cell r="U203">
            <v>63.19</v>
          </cell>
        </row>
        <row r="204">
          <cell r="L204" t="str">
            <v>1.CA Diên Khánh - CA Suối Hiệp</v>
          </cell>
          <cell r="M204" t="str">
            <v>7884.25</v>
          </cell>
          <cell r="N204" t="str">
            <v>7879.37</v>
          </cell>
          <cell r="O204" t="str">
            <v>12.222536</v>
          </cell>
          <cell r="P204" t="str">
            <v>109.084489</v>
          </cell>
          <cell r="Q204" t="str">
            <v>4.88</v>
          </cell>
          <cell r="R204" t="str">
            <v>12.256322</v>
          </cell>
          <cell r="S204" t="str">
            <v>109.094061</v>
          </cell>
          <cell r="T204" t="str">
            <v>full_h04/Khánh Hòa/Thu thập EVN_Khánh Hòa/Route_Cấp 4/KH_RING 10/1.CA Diên Khánh - CA Suối Hiệp/CA Diên Khánh - CA Suối Hiệp_Đoạn cột trung thế</v>
          </cell>
          <cell r="U204">
            <v>7884.25</v>
          </cell>
        </row>
        <row r="205">
          <cell r="L205" t="str">
            <v>4.CA Tây Nha Trang - TTCMKV Diên Khánh</v>
          </cell>
          <cell r="M205" t="str">
            <v>4298.23</v>
          </cell>
          <cell r="N205" t="str">
            <v>1446.62</v>
          </cell>
          <cell r="O205" t="str">
            <v>12.257207</v>
          </cell>
          <cell r="P205" t="str">
            <v>109.107381</v>
          </cell>
          <cell r="Q205" t="str">
            <v>2851.62</v>
          </cell>
          <cell r="R205" t="str">
            <v>12.255112</v>
          </cell>
          <cell r="S205" t="str">
            <v>109.167627</v>
          </cell>
          <cell r="T205" t="str">
            <v>full_h04/Khánh Hòa/Thu thập EVN_Khánh Hòa/Route_Cấp 4/KH_RING 1/4.CA Tây Nha Trang - TTCMKV Diên Khánh/CA Tây Nha Trang - TTCMKV Diên Khánh_Đoạn cột trung thế_2</v>
          </cell>
          <cell r="U205">
            <v>4298.2299999999996</v>
          </cell>
        </row>
        <row r="206">
          <cell r="L206" t="str">
            <v>5. Cam Phước Đông - CAT Khánh Hòa</v>
          </cell>
          <cell r="M206" t="str">
            <v>11802.20</v>
          </cell>
          <cell r="N206" t="str">
            <v>10371.14</v>
          </cell>
          <cell r="O206" t="str">
            <v>12.164901</v>
          </cell>
          <cell r="P206" t="str">
            <v>109.075083</v>
          </cell>
          <cell r="Q206" t="str">
            <v>1431.05</v>
          </cell>
          <cell r="R206" t="str">
            <v>12.073610</v>
          </cell>
          <cell r="S206" t="str">
            <v>109.152251</v>
          </cell>
          <cell r="T206" t="str">
            <v>full_h04/Khánh Hòa/Thu thập EVN_Khánh Hòa/Route_Cấp 3/KH_RING 2/5. Cam Phước Đông - CAT Khánh Hòa/Cam Phước Đông - CAT Khánh Hòa_Đoạn cột trung thế_2</v>
          </cell>
          <cell r="U206">
            <v>11802.2</v>
          </cell>
        </row>
        <row r="207">
          <cell r="L207" t="str">
            <v>4.CA Tây Nha Trang - TTCMKV Diên Khánh</v>
          </cell>
          <cell r="M207" t="str">
            <v>4298.23</v>
          </cell>
          <cell r="N207" t="str">
            <v>1446.62</v>
          </cell>
          <cell r="O207" t="str">
            <v>12.257207</v>
          </cell>
          <cell r="P207" t="str">
            <v>109.107381</v>
          </cell>
          <cell r="Q207" t="str">
            <v>2851.62</v>
          </cell>
          <cell r="R207" t="str">
            <v>12.255112</v>
          </cell>
          <cell r="S207" t="str">
            <v>109.167627</v>
          </cell>
          <cell r="T207" t="str">
            <v>full_h04/Khánh Hòa/Thu thập EVN_Khánh Hòa/Route_Cấp 4/KH_RING 1/4.CA Tây Nha Trang - TTCMKV Diên Khánh/CA Tây Nha Trang - TTCMKV Diên Khánh_Đoạn cột trung thế_2</v>
          </cell>
          <cell r="U207">
            <v>4298.2299999999996</v>
          </cell>
        </row>
        <row r="208">
          <cell r="L208" t="str">
            <v>1.CA Diên Khánh - CA Suối Hiệp</v>
          </cell>
          <cell r="M208" t="str">
            <v>698.36</v>
          </cell>
          <cell r="N208" t="str">
            <v>4.88</v>
          </cell>
          <cell r="O208" t="str">
            <v>12.256322</v>
          </cell>
          <cell r="P208" t="str">
            <v>109.094061</v>
          </cell>
          <cell r="Q208" t="str">
            <v>693.48</v>
          </cell>
          <cell r="R208" t="str">
            <v>12.252197</v>
          </cell>
          <cell r="S208" t="str">
            <v>109.097283</v>
          </cell>
          <cell r="T208" t="str">
            <v>full_h04/Khánh Hòa/Thu thập EVN_Khánh Hòa/Route_Cấp 4/KH_RING 10/1.CA Diên Khánh - CA Suối Hiệp/CA Diên Khánh - CA Suối Hiệp_Đoạn cột trung thế</v>
          </cell>
          <cell r="U208">
            <v>698.36</v>
          </cell>
        </row>
        <row r="209">
          <cell r="L209" t="str">
            <v>4.CA Tây Nha Trang - TTCMKV Diên Khánh</v>
          </cell>
          <cell r="M209" t="str">
            <v>4298.23</v>
          </cell>
          <cell r="N209" t="str">
            <v>2851.62</v>
          </cell>
          <cell r="O209" t="str">
            <v>12.255112</v>
          </cell>
          <cell r="P209" t="str">
            <v>109.167627</v>
          </cell>
          <cell r="Q209" t="str">
            <v>1446.62</v>
          </cell>
          <cell r="R209" t="str">
            <v>12.257207</v>
          </cell>
          <cell r="S209" t="str">
            <v>109.107381</v>
          </cell>
          <cell r="T209" t="str">
            <v>full_h04/Khánh Hòa/Thu thập EVN_Khánh Hòa/Route_Cấp 4/KH_RING 1/4.CA Tây Nha Trang - TTCMKV Diên Khánh/CA Tây Nha Trang - TTCMKV Diên Khánh_Đoạn cột trung thế_2</v>
          </cell>
          <cell r="U209">
            <v>4298.2299999999996</v>
          </cell>
        </row>
        <row r="210">
          <cell r="L210" t="str">
            <v>3. Trại giam A2 - CATP Nha trang cũ</v>
          </cell>
          <cell r="M210" t="str">
            <v>216.72</v>
          </cell>
          <cell r="N210" t="str">
            <v>80.62</v>
          </cell>
          <cell r="O210" t="str">
            <v>12.249428</v>
          </cell>
          <cell r="P210" t="str">
            <v>109.184727</v>
          </cell>
          <cell r="Q210" t="str">
            <v>136.10</v>
          </cell>
          <cell r="R210" t="str">
            <v>12.247631</v>
          </cell>
          <cell r="S210" t="str">
            <v>109.191250</v>
          </cell>
          <cell r="T210" t="str">
            <v>full_h04/Khánh Hòa/Thu thập EVN_Khánh Hòa/Route_Cấp 3/KH_RING 4/3. Trại giam A2 - CATP Nha trang cũ/Trại giam A2 - CATP Nha trang cũ_Đoạn cột trung thế_8</v>
          </cell>
          <cell r="U210">
            <v>216.72</v>
          </cell>
        </row>
        <row r="211">
          <cell r="L211" t="str">
            <v>1.CATP Nha trang cũ - PC07</v>
          </cell>
          <cell r="M211" t="str">
            <v>735.51</v>
          </cell>
          <cell r="N211" t="str">
            <v>405.93</v>
          </cell>
          <cell r="O211" t="str">
            <v>12.243925</v>
          </cell>
          <cell r="P211" t="str">
            <v>109.189556</v>
          </cell>
          <cell r="Q211" t="str">
            <v>329.57</v>
          </cell>
          <cell r="R211" t="str">
            <v>12.238565</v>
          </cell>
          <cell r="S211" t="str">
            <v>109.186745</v>
          </cell>
          <cell r="T211" t="str">
            <v>full_h04/Khánh Hòa/Thu thập EVN_Khánh Hòa/Route_Cấp 3/KH_RING 5/1.CATP Nha trang cũ - PC07/CATP Nha trang cũ - PC07_Đoạn cột trung thế</v>
          </cell>
          <cell r="U211">
            <v>735.51</v>
          </cell>
        </row>
        <row r="212">
          <cell r="L212" t="str">
            <v>2.PC07 - PA06 cs2_Cột hạ thế</v>
          </cell>
          <cell r="M212" t="str">
            <v>10.39</v>
          </cell>
          <cell r="N212" t="str">
            <v>4.67</v>
          </cell>
          <cell r="O212" t="str">
            <v>12.236451</v>
          </cell>
          <cell r="P212" t="str">
            <v>109.184562</v>
          </cell>
          <cell r="Q212" t="str">
            <v>5.73</v>
          </cell>
          <cell r="R212" t="str">
            <v>12.239090</v>
          </cell>
          <cell r="S212" t="str">
            <v>109.186652</v>
          </cell>
          <cell r="T212" t="str">
            <v>full_h04/Khánh Hòa/Thu thập EVN_Khánh Hòa/Route_Cấp 3/KH_RING 5/2.PC07 - PA06 cs2_Cột hạ thế/2.PC07 - PA06 cs2_Cột hạ thế</v>
          </cell>
          <cell r="U212">
            <v>10.39</v>
          </cell>
        </row>
        <row r="213">
          <cell r="L213" t="str">
            <v>1.CATP Nha trang cũ - PC07</v>
          </cell>
          <cell r="M213" t="str">
            <v>288.38</v>
          </cell>
          <cell r="N213" t="str">
            <v>4.91</v>
          </cell>
          <cell r="O213" t="str">
            <v>12.239117</v>
          </cell>
          <cell r="P213" t="str">
            <v>109.186642</v>
          </cell>
          <cell r="Q213" t="str">
            <v>283.48</v>
          </cell>
          <cell r="R213" t="str">
            <v>12.243925</v>
          </cell>
          <cell r="S213" t="str">
            <v>109.189556</v>
          </cell>
          <cell r="T213" t="str">
            <v>full_h04/Khánh Hòa/Thu thập EVN_Khánh Hòa/Route_Cấp 3/KH_RING 5/1.CATP Nha trang cũ - PC07/CATP Nha trang cũ - PC07_Đoạn cột trung thế</v>
          </cell>
          <cell r="U213">
            <v>288.38</v>
          </cell>
        </row>
        <row r="214">
          <cell r="L214" t="str">
            <v>1.CAT Khánh Hòa - Diên Khánh</v>
          </cell>
          <cell r="M214" t="str">
            <v>496.07</v>
          </cell>
          <cell r="N214" t="str">
            <v>483.94</v>
          </cell>
          <cell r="O214" t="str">
            <v>12.243709</v>
          </cell>
          <cell r="P214" t="str">
            <v>109.185958</v>
          </cell>
          <cell r="Q214" t="str">
            <v>12.14</v>
          </cell>
          <cell r="R214" t="str">
            <v>12.231815</v>
          </cell>
          <cell r="S214" t="str">
            <v>109.196006</v>
          </cell>
          <cell r="T214" t="str">
            <v>full_h04/Khánh Hòa/Thu thập EVN_Khánh Hòa/Route_Cấp 3/KH_RING 1/1.CAT Khánh Hòa - Diên Khánh/CAT Khánh Hòa - Diên Khánh_Đoạn cột trung thế_1</v>
          </cell>
          <cell r="U214">
            <v>496.07</v>
          </cell>
        </row>
        <row r="215">
          <cell r="L215" t="str">
            <v>1.CAT Khánh Hòa - PK02 cs1</v>
          </cell>
          <cell r="M215" t="str">
            <v>354.21</v>
          </cell>
          <cell r="N215" t="str">
            <v>206.48</v>
          </cell>
          <cell r="O215" t="str">
            <v>12.278732</v>
          </cell>
          <cell r="P215" t="str">
            <v>109.188858</v>
          </cell>
          <cell r="Q215" t="str">
            <v>147.72</v>
          </cell>
          <cell r="R215" t="str">
            <v>12.271109</v>
          </cell>
          <cell r="S215" t="str">
            <v>109.198149</v>
          </cell>
          <cell r="T215" t="str">
            <v>full_h04/Khánh Hòa/Thu thập EVN_Khánh Hòa/Route_Cấp 3/KH_RING 6/1.CAT Khánh Hòa - PK02 cs1/CAT Khánh Hòa - PK02 cs1_Đoạn côt trung thế_2</v>
          </cell>
          <cell r="U215">
            <v>354.21</v>
          </cell>
        </row>
        <row r="216">
          <cell r="L216" t="str">
            <v>1.CAT Khánh Hòa - PK02 cs1</v>
          </cell>
          <cell r="M216" t="str">
            <v>1122.37</v>
          </cell>
          <cell r="N216" t="str">
            <v>206.48</v>
          </cell>
          <cell r="O216" t="str">
            <v>12.278732</v>
          </cell>
          <cell r="P216" t="str">
            <v>109.188858</v>
          </cell>
          <cell r="Q216" t="str">
            <v>915.89</v>
          </cell>
          <cell r="R216" t="str">
            <v>12.279789</v>
          </cell>
          <cell r="S216" t="str">
            <v>109.195205</v>
          </cell>
          <cell r="T216" t="str">
            <v>full_h04/Khánh Hòa/Thu thập EVN_Khánh Hòa/Route_Cấp 3/KH_RING 6/1.CAT Khánh Hòa - PK02 cs1/CAT Khánh Hòa - PK02 cs1_Đoạn côt trung thế_2</v>
          </cell>
          <cell r="U216">
            <v>1122.3699999999999</v>
          </cell>
        </row>
        <row r="217">
          <cell r="L217" t="str">
            <v>4.PK02 cs2 - Trạm CSGT Ninh An cũ</v>
          </cell>
          <cell r="M217" t="str">
            <v>2356.93</v>
          </cell>
          <cell r="N217" t="str">
            <v>185.95</v>
          </cell>
          <cell r="O217" t="str">
            <v>12.481264</v>
          </cell>
          <cell r="P217" t="str">
            <v>109.131214</v>
          </cell>
          <cell r="Q217" t="str">
            <v>2170.99</v>
          </cell>
          <cell r="R217" t="str">
            <v>12.464891</v>
          </cell>
          <cell r="S217" t="str">
            <v>109.122587</v>
          </cell>
          <cell r="T217" t="str">
            <v>full_h04/Khánh Hòa/Thu thập EVN_Khánh Hòa/Route_Cấp 3/KH_RING 6/4.PK02 cs2 - Trạm CSGT Ninh An cũ/PK02 cs2 - Trạm CSGT Ninh An cũ_Đoạn cột trung thế_2</v>
          </cell>
          <cell r="U217">
            <v>2356.9299999999998</v>
          </cell>
        </row>
        <row r="218">
          <cell r="L218" t="str">
            <v>1.CA Ninh Hòa - CA Đông Ninh Hòa_Đoạn cột trung thế</v>
          </cell>
          <cell r="M218" t="str">
            <v>86.06</v>
          </cell>
          <cell r="N218" t="str">
            <v>5.23</v>
          </cell>
          <cell r="O218" t="str">
            <v>12.555443</v>
          </cell>
          <cell r="P218" t="str">
            <v>109.217606</v>
          </cell>
          <cell r="Q218" t="str">
            <v>80.83</v>
          </cell>
          <cell r="R218" t="str">
            <v>12.549190</v>
          </cell>
          <cell r="S218" t="str">
            <v>109.215142</v>
          </cell>
          <cell r="T218" t="str">
            <v>full_h04/Khánh Hòa/Thu thập EVN_Khánh Hòa/Route_Cấp 4/KH_RING 4/1.CA Ninh Hòa - CA Đông Ninh Hòa_Đoạn cột trung thế/1.CA Ninh Hòa - CA Đông Ninh Hòa_Đoạn cột trung thế</v>
          </cell>
          <cell r="U218">
            <v>86.06</v>
          </cell>
        </row>
        <row r="219">
          <cell r="L219" t="str">
            <v>3.CA Tân Định - CA Ninh Hòa</v>
          </cell>
          <cell r="M219" t="str">
            <v>435.85</v>
          </cell>
          <cell r="N219" t="str">
            <v>381.98</v>
          </cell>
          <cell r="O219" t="str">
            <v>12.492870</v>
          </cell>
          <cell r="P219" t="str">
            <v>109.114033</v>
          </cell>
          <cell r="Q219" t="str">
            <v>53.87</v>
          </cell>
          <cell r="R219" t="str">
            <v>12.494854</v>
          </cell>
          <cell r="S219" t="str">
            <v>109.132463</v>
          </cell>
          <cell r="T219" t="str">
            <v>full_h04/Khánh Hòa/Thu thập EVN_Khánh Hòa/Route_Cấp 4/KH_RING 5/3.CA Tân Định - CA Ninh Hòa/CA Tân Định - CA Ninh Hòa_Đoạn cột trung thế_1</v>
          </cell>
          <cell r="U219">
            <v>435.85</v>
          </cell>
        </row>
        <row r="220">
          <cell r="L220" t="str">
            <v>4.Ninh Hòa - Vạn Ninh</v>
          </cell>
          <cell r="M220" t="str">
            <v>1062.26</v>
          </cell>
          <cell r="N220" t="str">
            <v>967.94</v>
          </cell>
          <cell r="O220" t="str">
            <v>12.525967</v>
          </cell>
          <cell r="P220" t="str">
            <v>109.167119</v>
          </cell>
          <cell r="Q220" t="str">
            <v>94.31</v>
          </cell>
          <cell r="R220" t="str">
            <v>12.534793</v>
          </cell>
          <cell r="S220" t="str">
            <v>109.186219</v>
          </cell>
          <cell r="T220" t="str">
            <v>full_h04/Khánh Hòa/Thu thập EVN_Khánh Hòa/Route_Cấp 3/KH_RING 1/4.Ninh Hòa - Vạn Ninh/Ninh Hòa - Vạn Ninh_Đoạn cột trung thế</v>
          </cell>
          <cell r="U220">
            <v>1062.26</v>
          </cell>
        </row>
        <row r="221">
          <cell r="L221" t="str">
            <v>3.CA Tân Định - CA Ninh Hòa</v>
          </cell>
          <cell r="M221" t="str">
            <v>1319.89</v>
          </cell>
          <cell r="N221" t="str">
            <v>381.98</v>
          </cell>
          <cell r="O221" t="str">
            <v>12.492870</v>
          </cell>
          <cell r="P221" t="str">
            <v>109.114033</v>
          </cell>
          <cell r="Q221" t="str">
            <v>937.90</v>
          </cell>
          <cell r="R221" t="str">
            <v>12.497920</v>
          </cell>
          <cell r="S221" t="str">
            <v>109.113754</v>
          </cell>
          <cell r="T221" t="str">
            <v>full_h04/Khánh Hòa/Thu thập EVN_Khánh Hòa/Route_Cấp 4/KH_RING 5/3.CA Tân Định - CA Ninh Hòa/CA Tân Định - CA Ninh Hòa_Đoạn cột trung thế_1</v>
          </cell>
          <cell r="U221">
            <v>1319.89</v>
          </cell>
        </row>
        <row r="222">
          <cell r="L222" t="str">
            <v>5.Vạn Ninh - CAT Khánh Hòa</v>
          </cell>
          <cell r="M222" t="str">
            <v>1826.66</v>
          </cell>
          <cell r="N222" t="str">
            <v>27.93</v>
          </cell>
          <cell r="O222" t="str">
            <v>12.531679</v>
          </cell>
          <cell r="P222" t="str">
            <v>109.160657</v>
          </cell>
          <cell r="Q222" t="str">
            <v>1798.73</v>
          </cell>
          <cell r="R222" t="str">
            <v>12.541455</v>
          </cell>
          <cell r="S222" t="str">
            <v>109.163204</v>
          </cell>
          <cell r="T222" t="str">
            <v>full_h04/Khánh Hòa/Thu thập EVN_Khánh Hòa/Route_Cấp 3/KH_RING 1/5.Vạn Ninh - CAT Khánh Hòa/Vạn Ninh - CAT Khánh Hòa_Đoạn cột hạ thế_2</v>
          </cell>
          <cell r="U222">
            <v>1826.66</v>
          </cell>
        </row>
        <row r="223">
          <cell r="L223" t="str">
            <v>4.PK02 cs2 - Trạm CSGT Ninh An cũ</v>
          </cell>
          <cell r="M223" t="str">
            <v>285.31</v>
          </cell>
          <cell r="N223" t="str">
            <v>32.40</v>
          </cell>
          <cell r="O223" t="str">
            <v>12.531810</v>
          </cell>
          <cell r="P223" t="str">
            <v>109.160672</v>
          </cell>
          <cell r="Q223" t="str">
            <v>252.91</v>
          </cell>
          <cell r="R223" t="str">
            <v>12.513339</v>
          </cell>
          <cell r="S223" t="str">
            <v>109.154017</v>
          </cell>
          <cell r="T223" t="str">
            <v>full_h04/Khánh Hòa/Thu thập EVN_Khánh Hòa/Route_Cấp 3/KH_RING 6/4.PK02 cs2 - Trạm CSGT Ninh An cũ/PK02 cs2 - Trạm CSGT Ninh An cũ_Đoạn cột hạ thế_2</v>
          </cell>
          <cell r="U223">
            <v>285.31</v>
          </cell>
        </row>
        <row r="224">
          <cell r="L224" t="str">
            <v>3.CA Tu Bông - CA Đại Lãnh_Cột trung thế</v>
          </cell>
          <cell r="M224" t="str">
            <v>2886.35</v>
          </cell>
          <cell r="N224" t="str">
            <v>6.55</v>
          </cell>
          <cell r="O224" t="str">
            <v>12.803207</v>
          </cell>
          <cell r="P224" t="str">
            <v>109.333740</v>
          </cell>
          <cell r="Q224" t="str">
            <v>2879.80</v>
          </cell>
          <cell r="R224" t="str">
            <v>12.804639</v>
          </cell>
          <cell r="S224" t="str">
            <v>109.333773</v>
          </cell>
          <cell r="T224" t="str">
            <v>full_h04/Khánh Hòa/Thu thập EVN_Khánh Hòa/Route_Cấp 4/KH_RING 7/3.CA Tu Bông - CA Đại Lãnh_Cột trung thế/3.CA Tu Bông - CA Đại Lãnh_Cột trung thế</v>
          </cell>
          <cell r="U224">
            <v>2886.35</v>
          </cell>
        </row>
        <row r="225">
          <cell r="L225" t="str">
            <v>1.CAT Khánh Hòa - CATP Nha Trang cũ</v>
          </cell>
          <cell r="M225" t="str">
            <v>210.65</v>
          </cell>
          <cell r="N225" t="str">
            <v>130.81</v>
          </cell>
          <cell r="O225" t="str">
            <v>12.245826</v>
          </cell>
          <cell r="P225" t="str">
            <v>109.190408</v>
          </cell>
          <cell r="Q225" t="str">
            <v>79.84</v>
          </cell>
          <cell r="R225" t="str">
            <v>12.243196</v>
          </cell>
          <cell r="S225" t="str">
            <v>109.192182</v>
          </cell>
          <cell r="T225" t="str">
            <v>full_h04/Khánh Hòa/Thu thập EVN_Khánh Hòa/Route_Cấp 3/KH_RING 3/1.CAT Khánh Hòa - CATP Nha Trang cũ/CAT Khánh Hòa - CATP Nha Trang cũ_Đoạn cột hạ thế</v>
          </cell>
          <cell r="U225">
            <v>210.65</v>
          </cell>
        </row>
        <row r="226">
          <cell r="L226" t="str">
            <v>Tuyến nhánh CA Bắc Khánh Vĩnh - Trung tâm Cai nghiện Khánh Bình_Cột trung thế</v>
          </cell>
          <cell r="M226" t="str">
            <v>92.02</v>
          </cell>
          <cell r="N226" t="str">
            <v>3.43</v>
          </cell>
          <cell r="O226" t="str">
            <v>12.405990</v>
          </cell>
          <cell r="P226" t="str">
            <v>108.957070</v>
          </cell>
          <cell r="Q226" t="str">
            <v>88.59</v>
          </cell>
          <cell r="R226" t="str">
            <v>12.384286</v>
          </cell>
          <cell r="S226" t="str">
            <v>108.954614</v>
          </cell>
          <cell r="T226" t="str">
            <v>full_h04/Khánh Hòa/Thu thập EVN_Khánh Hòa/Route_Cấp 4/KH_RING 9/Tuyến nhánh CA Bắc Khánh Vĩnh - Trung tâm Cai nghiện Khánh Bình_Cột trung thế/Tuyến nhánh CA Bắc Khánh Vĩnh - Trung tâm Cai nghiện Khánh Bình_Cột trung thế</v>
          </cell>
          <cell r="U226">
            <v>92.02</v>
          </cell>
        </row>
        <row r="227">
          <cell r="L227" t="str">
            <v>Tuyến nhánh CA Bắc Cam Ranh - Cảng HKQT Cam Ranh</v>
          </cell>
          <cell r="M227" t="str">
            <v>3004.79</v>
          </cell>
          <cell r="N227" t="str">
            <v>5.18</v>
          </cell>
          <cell r="O227" t="str">
            <v>11.998255</v>
          </cell>
          <cell r="P227" t="str">
            <v>109.218788</v>
          </cell>
          <cell r="Q227" t="str">
            <v>2999.62</v>
          </cell>
          <cell r="R227" t="str">
            <v>12.001107</v>
          </cell>
          <cell r="S227" t="str">
            <v>109.209318</v>
          </cell>
          <cell r="T227" t="str">
            <v>full_h04/Khánh Hòa/Thu thập EVN_Khánh Hòa/Route_Cấp 4/KH_RING 2/Tuyến nhánh CA Bắc Cam Ranh - Cảng HKQT Cam Ranh/CA Bắc Cam Ranh - Cảng HKQT Cam Ranh_Đoạn ngầm_2</v>
          </cell>
          <cell r="U227">
            <v>3004.79</v>
          </cell>
        </row>
        <row r="228">
          <cell r="L228" t="str">
            <v>3. Trại giam A2 - CATP Nha trang cũ</v>
          </cell>
          <cell r="M228" t="str">
            <v>432.85</v>
          </cell>
          <cell r="N228" t="str">
            <v>80.62</v>
          </cell>
          <cell r="O228" t="str">
            <v>12.249428</v>
          </cell>
          <cell r="P228" t="str">
            <v>109.184727</v>
          </cell>
          <cell r="Q228" t="str">
            <v>352.23</v>
          </cell>
          <cell r="R228" t="str">
            <v>12.252969</v>
          </cell>
          <cell r="S228" t="str">
            <v>109.174619</v>
          </cell>
          <cell r="T228" t="str">
            <v>full_h04/Khánh Hòa/Thu thập EVN_Khánh Hòa/Route_Cấp 3/KH_RING 4/3. Trại giam A2 - CATP Nha trang cũ/Trại giam A2 - CATP Nha trang cũ_Đoạn cột trung thế_8</v>
          </cell>
          <cell r="U228">
            <v>432.85</v>
          </cell>
        </row>
        <row r="229">
          <cell r="L229" t="str">
            <v>5.PA06 cs1 - PC08 csc_Cột trung thế</v>
          </cell>
          <cell r="M229" t="str">
            <v>119.37</v>
          </cell>
          <cell r="N229" t="str">
            <v>2.33</v>
          </cell>
          <cell r="O229" t="str">
            <v>12.249037</v>
          </cell>
          <cell r="P229" t="str">
            <v>109.184079</v>
          </cell>
          <cell r="Q229" t="str">
            <v>117.04</v>
          </cell>
          <cell r="R229" t="str">
            <v>12.253000</v>
          </cell>
          <cell r="S229" t="str">
            <v>109.193000</v>
          </cell>
          <cell r="T229" t="str">
            <v>full_h04/Khánh Hòa/Thu thập EVN_Khánh Hòa/Route_Cấp 3/KH_RING 3/5.PA06 cs1 - PC08 csc_Cột trung thế/5.PA06 cs1 - PC08 csc_Cột trung thế</v>
          </cell>
          <cell r="U229">
            <v>119.37</v>
          </cell>
        </row>
        <row r="230">
          <cell r="L230" t="str">
            <v>3.CA Tu Bông - CA Đại Lãnh_Cột trung thế</v>
          </cell>
          <cell r="M230" t="str">
            <v>3298.92</v>
          </cell>
          <cell r="N230" t="str">
            <v>6.55</v>
          </cell>
          <cell r="O230" t="str">
            <v>12.803207</v>
          </cell>
          <cell r="P230" t="str">
            <v>109.333740</v>
          </cell>
          <cell r="Q230" t="str">
            <v>3292.36</v>
          </cell>
          <cell r="R230" t="str">
            <v>12.804639</v>
          </cell>
          <cell r="S230" t="str">
            <v>109.333773</v>
          </cell>
          <cell r="T230" t="str">
            <v>full_h04/Khánh Hòa/Thu thập EVN_Khánh Hòa/Route_Cấp 4/KH_RING 7/3.CA Tu Bông - CA Đại Lãnh_Cột trung thế/3.CA Tu Bông - CA Đại Lãnh_Cột trung thế</v>
          </cell>
          <cell r="U230">
            <v>3298.92</v>
          </cell>
        </row>
        <row r="231">
          <cell r="L231" t="str">
            <v>Tuyến nhánh PC02 - PC08 (CSGT đường thủy)</v>
          </cell>
          <cell r="M231" t="str">
            <v>29.22</v>
          </cell>
          <cell r="N231" t="str">
            <v>3.80</v>
          </cell>
          <cell r="O231" t="str">
            <v>12.197634</v>
          </cell>
          <cell r="P231" t="str">
            <v>109.215698</v>
          </cell>
          <cell r="Q231" t="str">
            <v>25.42</v>
          </cell>
          <cell r="R231" t="str">
            <v>12.202632</v>
          </cell>
          <cell r="S231" t="str">
            <v>109.215038</v>
          </cell>
          <cell r="T231" t="str">
            <v>full_h04/Khánh Hòa/Thu thập EVN_Khánh Hòa/Route_Cấp 3/KH_RING 5/Tuyến nhánh PC02 - PC08 (CSGT đường thủy)/PC02 - PC08 (CSGT đường thủy)_Đoạn ngầm</v>
          </cell>
          <cell r="U231">
            <v>29.22</v>
          </cell>
        </row>
        <row r="232">
          <cell r="L232" t="str">
            <v>5.PA06 cs1 - PC08 csc_Cột trung thế</v>
          </cell>
          <cell r="M232" t="str">
            <v>131.11</v>
          </cell>
          <cell r="N232" t="str">
            <v>128.78</v>
          </cell>
          <cell r="O232" t="str">
            <v>12.253722</v>
          </cell>
          <cell r="P232" t="str">
            <v>109.194215</v>
          </cell>
          <cell r="Q232" t="str">
            <v>2.33</v>
          </cell>
          <cell r="R232" t="str">
            <v>12.249037</v>
          </cell>
          <cell r="S232" t="str">
            <v>109.184079</v>
          </cell>
          <cell r="T232" t="str">
            <v>full_h04/Khánh Hòa/Thu thập EVN_Khánh Hòa/Route_Cấp 3/KH_RING 3/5.PA06 cs1 - PC08 csc_Cột trung thế/5.PA06 cs1 - PC08 csc_Cột trung thế</v>
          </cell>
          <cell r="U232">
            <v>131.11000000000001</v>
          </cell>
        </row>
        <row r="233">
          <cell r="L233" t="str">
            <v>2.CA Bắc Cam Ranh - CA Cam An</v>
          </cell>
          <cell r="M233" t="str">
            <v>801.16</v>
          </cell>
          <cell r="N233" t="str">
            <v>676.15</v>
          </cell>
          <cell r="O233" t="str">
            <v>11.987859</v>
          </cell>
          <cell r="P233" t="str">
            <v>109.168706</v>
          </cell>
          <cell r="Q233" t="str">
            <v>125.00</v>
          </cell>
          <cell r="R233" t="str">
            <v>11.976645</v>
          </cell>
          <cell r="S233" t="str">
            <v>109.195676</v>
          </cell>
          <cell r="T233" t="str">
            <v>full_h04/Khánh Hòa/Thu thập EVN_Khánh Hòa/Route_Cấp 4/KH_RING 2/2.CA Bắc Cam Ranh - CA Cam An/CA Bắc Cam Ranh - CA Cam An_Đoạn cột trung thế_1</v>
          </cell>
          <cell r="U233">
            <v>801.16</v>
          </cell>
        </row>
        <row r="234">
          <cell r="L234" t="str">
            <v>6.PC08 csc - CAT Khánh Hòa_Cột trung thế</v>
          </cell>
          <cell r="M234" t="str">
            <v>1512.99</v>
          </cell>
          <cell r="N234" t="str">
            <v>1303.49</v>
          </cell>
          <cell r="O234" t="str">
            <v>12.231809</v>
          </cell>
          <cell r="P234" t="str">
            <v>109.195928</v>
          </cell>
          <cell r="Q234" t="str">
            <v>209.50</v>
          </cell>
          <cell r="R234" t="str">
            <v>12.240531</v>
          </cell>
          <cell r="S234" t="str">
            <v>109.187854</v>
          </cell>
          <cell r="T234" t="str">
            <v>full_h04/Khánh Hòa/Thu thập EVN_Khánh Hòa/Route_Cấp 3/KH_RING 3/6.PC08 csc - CAT Khánh Hòa_Cột trung thế/6.PC08 csc - CAT Khánh Hòa_Cột trung thế</v>
          </cell>
          <cell r="U234">
            <v>1512.99</v>
          </cell>
        </row>
        <row r="235">
          <cell r="L235" t="str">
            <v>4.PC11a - PC02_Đoạn cột trung thế</v>
          </cell>
          <cell r="M235" t="str">
            <v>119.50</v>
          </cell>
          <cell r="N235" t="str">
            <v>116.16</v>
          </cell>
          <cell r="O235" t="str">
            <v>12.181132</v>
          </cell>
          <cell r="P235" t="str">
            <v>109.173000</v>
          </cell>
          <cell r="Q235" t="str">
            <v>3.34</v>
          </cell>
          <cell r="R235" t="str">
            <v>12.175723</v>
          </cell>
          <cell r="S235" t="str">
            <v>109.173680</v>
          </cell>
          <cell r="T235" t="str">
            <v>full_h04/Khánh Hòa/Thu thập EVN_Khánh Hòa/Route_Cấp 3/KH_RING 5/4.PC11a - PC02_Đoạn cột trung thế/4.PC11a - PC02_Đoạn cột trung thế</v>
          </cell>
          <cell r="U235">
            <v>119.5</v>
          </cell>
        </row>
        <row r="236">
          <cell r="L236" t="str">
            <v>1.CAT Khánh Hòa - Cam Lâm</v>
          </cell>
          <cell r="M236" t="str">
            <v>1039.97</v>
          </cell>
          <cell r="N236" t="str">
            <v>903.88</v>
          </cell>
          <cell r="O236" t="str">
            <v>12.173728</v>
          </cell>
          <cell r="P236" t="str">
            <v>109.177217</v>
          </cell>
          <cell r="Q236" t="str">
            <v>136.09</v>
          </cell>
          <cell r="R236" t="str">
            <v>12.175768</v>
          </cell>
          <cell r="S236" t="str">
            <v>109.174950</v>
          </cell>
          <cell r="T236" t="str">
            <v>full_h04/Khánh Hòa/Thu thập EVN_Khánh Hòa/Route_Cấp 3/KH_RING 2/1.CAT Khánh Hòa - Cam Lâm/CAT Khánh Hòa - Cam Lâm_Đoạn cột trung thế_2</v>
          </cell>
          <cell r="U236">
            <v>1039.97</v>
          </cell>
        </row>
        <row r="237">
          <cell r="L237" t="str">
            <v>4.PC11a - PC02_Đoạn cột trung thế</v>
          </cell>
          <cell r="M237" t="str">
            <v>318.01</v>
          </cell>
          <cell r="N237" t="str">
            <v>314.67</v>
          </cell>
          <cell r="O237" t="str">
            <v>12.190373</v>
          </cell>
          <cell r="P237" t="str">
            <v>109.170748</v>
          </cell>
          <cell r="Q237" t="str">
            <v>3.34</v>
          </cell>
          <cell r="R237" t="str">
            <v>12.175723</v>
          </cell>
          <cell r="S237" t="str">
            <v>109.173680</v>
          </cell>
          <cell r="T237" t="str">
            <v>full_h04/Khánh Hòa/Thu thập EVN_Khánh Hòa/Route_Cấp 3/KH_RING 5/4.PC11a - PC02_Đoạn cột trung thế/4.PC11a - PC02_Đoạn cột trung thế</v>
          </cell>
          <cell r="U237">
            <v>318.01</v>
          </cell>
        </row>
        <row r="238">
          <cell r="L238" t="str">
            <v>4.CA Tây Nha Trang - TTCMKV Diên Khánh</v>
          </cell>
          <cell r="M238" t="str">
            <v>198.30</v>
          </cell>
          <cell r="N238" t="str">
            <v>7.28</v>
          </cell>
          <cell r="O238" t="str">
            <v>12.252446</v>
          </cell>
          <cell r="P238" t="str">
            <v>109.182911</v>
          </cell>
          <cell r="Q238" t="str">
            <v>191.02</v>
          </cell>
          <cell r="R238" t="str">
            <v>12.250641</v>
          </cell>
          <cell r="S238" t="str">
            <v>109.184739</v>
          </cell>
          <cell r="T238" t="str">
            <v>full_h04/Khánh Hòa/Thu thập EVN_Khánh Hòa/Route_Cấp 4/KH_RING 1/4.CA Tây Nha Trang - TTCMKV Diên Khánh/CA Tây Nha Trang - TTCMKV Diên Khánh_Đoạn cột trung thế_1</v>
          </cell>
          <cell r="U238">
            <v>198.3</v>
          </cell>
        </row>
        <row r="239">
          <cell r="L239" t="str">
            <v>Tuyến nhánh PA06 cs1 - Nhà nghỉ dưỡng 378 BCA_Cột trung thế</v>
          </cell>
          <cell r="M239" t="str">
            <v>907.31</v>
          </cell>
          <cell r="N239" t="str">
            <v>902.12</v>
          </cell>
          <cell r="O239" t="str">
            <v>12.256762</v>
          </cell>
          <cell r="P239" t="str">
            <v>109.197648</v>
          </cell>
          <cell r="Q239" t="str">
            <v>5.18</v>
          </cell>
          <cell r="R239" t="str">
            <v>12.256762</v>
          </cell>
          <cell r="S239" t="str">
            <v>109.197648</v>
          </cell>
          <cell r="T239" t="str">
            <v>full_h04/Khánh Hòa/Thu thập EVN_Khánh Hòa/Route_Cấp 3/KH_RING 3/Tuyến nhánh PA06 cs1 - Nhà nghỉ dưỡng 378 BCA_Cột trung thế/Tuyến nhánh PA06 cs1 - Nhà nghỉ dưỡng 378 BCA_Cột trung thế</v>
          </cell>
          <cell r="U239">
            <v>907.31</v>
          </cell>
        </row>
        <row r="240">
          <cell r="L240" t="str">
            <v>2.PK02 cs1 - Trung đoàn CSCĐ-E23_Cột trung thế</v>
          </cell>
          <cell r="M240" t="str">
            <v>789.42</v>
          </cell>
          <cell r="N240" t="str">
            <v>784.67</v>
          </cell>
          <cell r="O240" t="str">
            <v>12.280041</v>
          </cell>
          <cell r="P240" t="str">
            <v>109.188703</v>
          </cell>
          <cell r="Q240" t="str">
            <v>4.75</v>
          </cell>
          <cell r="R240" t="str">
            <v>12.278732</v>
          </cell>
          <cell r="S240" t="str">
            <v>109.188860</v>
          </cell>
          <cell r="T240" t="str">
            <v>full_h04/Khánh Hòa/Thu thập EVN_Khánh Hòa/Route_Cấp 3/KH_RING 6/2.PK02 cs1 - Trung đoàn CSCĐ-E23_Cột trung thế/2.PK02 cs1 - Trung đoàn CSCĐ-E23_Cột trung thế</v>
          </cell>
          <cell r="U240">
            <v>789.42</v>
          </cell>
        </row>
        <row r="241">
          <cell r="L241" t="str">
            <v>3.CA Bắc Nha Trang - CAT Khánh Hòa</v>
          </cell>
          <cell r="M241" t="str">
            <v>2220.40</v>
          </cell>
          <cell r="N241" t="str">
            <v>1245.53</v>
          </cell>
          <cell r="O241" t="str">
            <v>12.280430</v>
          </cell>
          <cell r="P241" t="str">
            <v>109.194828</v>
          </cell>
          <cell r="Q241" t="str">
            <v>974.88</v>
          </cell>
          <cell r="R241" t="str">
            <v>12.265409</v>
          </cell>
          <cell r="S241" t="str">
            <v>109.196133</v>
          </cell>
          <cell r="T241" t="str">
            <v>full_h04/Khánh Hòa/Thu thập EVN_Khánh Hòa/Route_Cấp 4/KH_RING 8/3.CA Bắc Nha Trang - CAT Khánh Hòa/CA Bắc Nha Trang - CAT Khánh Hòa_Đoạn cột trung thế_1</v>
          </cell>
          <cell r="U241">
            <v>2220.4</v>
          </cell>
        </row>
        <row r="242">
          <cell r="L242" t="str">
            <v>2.PK02 cs1 - Trung đoàn CSCĐ-E23_Cột trung thế</v>
          </cell>
          <cell r="M242" t="str">
            <v>727.91</v>
          </cell>
          <cell r="N242" t="str">
            <v>723.16</v>
          </cell>
          <cell r="O242" t="str">
            <v>12.279755</v>
          </cell>
          <cell r="P242" t="str">
            <v>109.177725</v>
          </cell>
          <cell r="Q242" t="str">
            <v>4.75</v>
          </cell>
          <cell r="R242" t="str">
            <v>12.278732</v>
          </cell>
          <cell r="S242" t="str">
            <v>109.188860</v>
          </cell>
          <cell r="T242" t="str">
            <v>full_h04/Khánh Hòa/Thu thập EVN_Khánh Hòa/Route_Cấp 3/KH_RING 6/2.PK02 cs1 - Trung đoàn CSCĐ-E23_Cột trung thế/2.PK02 cs1 - Trung đoàn CSCĐ-E23_Cột trung thế</v>
          </cell>
          <cell r="U242">
            <v>727.91</v>
          </cell>
        </row>
        <row r="243">
          <cell r="L243" t="str">
            <v>2.CA Diên Điền - CA Bắc Nha Trang</v>
          </cell>
          <cell r="M243" t="str">
            <v>53.12</v>
          </cell>
          <cell r="N243" t="str">
            <v>52.23</v>
          </cell>
          <cell r="O243" t="str">
            <v>12.285191</v>
          </cell>
          <cell r="P243" t="str">
            <v>109.191820</v>
          </cell>
          <cell r="Q243" t="str">
            <v>0.89</v>
          </cell>
          <cell r="R243" t="str">
            <v>12.282335</v>
          </cell>
          <cell r="S243" t="str">
            <v>109.198106</v>
          </cell>
          <cell r="T243" t="str">
            <v>full_h04/Khánh Hòa/Thu thập EVN_Khánh Hòa/Route_Cấp 4/KH_RING 8/2.CA Diên Điền - CA Bắc Nha Trang/CA Diên Điền - CA Bắc Nha Trang_Đoạn cột trung thế_2</v>
          </cell>
          <cell r="U243">
            <v>53.12</v>
          </cell>
        </row>
        <row r="244">
          <cell r="L244" t="str">
            <v>1.CAT Khánh Hòa - Cam Lâm</v>
          </cell>
          <cell r="M244" t="str">
            <v>222.30</v>
          </cell>
          <cell r="N244" t="str">
            <v>86.21</v>
          </cell>
          <cell r="O244" t="str">
            <v>12.169498</v>
          </cell>
          <cell r="P244" t="str">
            <v>109.190720</v>
          </cell>
          <cell r="Q244" t="str">
            <v>136.09</v>
          </cell>
          <cell r="R244" t="str">
            <v>12.175768</v>
          </cell>
          <cell r="S244" t="str">
            <v>109.174950</v>
          </cell>
          <cell r="T244" t="str">
            <v>full_h04/Khánh Hòa/Thu thập EVN_Khánh Hòa/Route_Cấp 3/KH_RING 2/1.CAT Khánh Hòa - Cam Lâm/CAT Khánh Hòa - Cam Lâm_Đoạn cột trung thế_2</v>
          </cell>
          <cell r="U244">
            <v>222.3</v>
          </cell>
        </row>
        <row r="245">
          <cell r="L245" t="str">
            <v>6.PC08 csc - CAT Khánh Hòa_Cột trung thế</v>
          </cell>
          <cell r="M245" t="str">
            <v>32.26</v>
          </cell>
          <cell r="N245" t="str">
            <v>30.01</v>
          </cell>
          <cell r="O245" t="str">
            <v>12.246561</v>
          </cell>
          <cell r="P245" t="str">
            <v>109.181628</v>
          </cell>
          <cell r="Q245" t="str">
            <v>2.25</v>
          </cell>
          <cell r="R245" t="str">
            <v>12.249053</v>
          </cell>
          <cell r="S245" t="str">
            <v>109.184084</v>
          </cell>
          <cell r="T245" t="str">
            <v>full_h04/Khánh Hòa/Thu thập EVN_Khánh Hòa/Route_Cấp 3/KH_RING 3/6.PC08 csc - CAT Khánh Hòa_Cột trung thế/6.PC08 csc - CAT Khánh Hòa_Cột trung thế</v>
          </cell>
          <cell r="U245">
            <v>32.26</v>
          </cell>
        </row>
        <row r="246">
          <cell r="L246" t="str">
            <v>5.Vạn Ninh - CAT Khánh Hòa</v>
          </cell>
          <cell r="M246" t="str">
            <v>627.17</v>
          </cell>
          <cell r="N246" t="str">
            <v>201.05</v>
          </cell>
          <cell r="O246" t="str">
            <v>12.300356</v>
          </cell>
          <cell r="P246" t="str">
            <v>109.186825</v>
          </cell>
          <cell r="Q246" t="str">
            <v>426.12</v>
          </cell>
          <cell r="R246" t="str">
            <v>12.279659</v>
          </cell>
          <cell r="S246" t="str">
            <v>109.195298</v>
          </cell>
          <cell r="T246" t="str">
            <v>full_h04/Khánh Hòa/Thu thập EVN_Khánh Hòa/Route_Cấp 3/KH_RING 1/5.Vạn Ninh - CAT Khánh Hòa/Vạn Ninh - CAT Khánh Hòa_Đoạn cột trung thế_3</v>
          </cell>
          <cell r="U246">
            <v>627.16999999999996</v>
          </cell>
        </row>
        <row r="247">
          <cell r="L247" t="str">
            <v>1.CAT Khánh Hòa - CATP Nha Trang cũ</v>
          </cell>
          <cell r="M247" t="str">
            <v>598.77</v>
          </cell>
          <cell r="N247" t="str">
            <v>467.96</v>
          </cell>
          <cell r="O247" t="str">
            <v>12.243196</v>
          </cell>
          <cell r="P247" t="str">
            <v>109.192182</v>
          </cell>
          <cell r="Q247" t="str">
            <v>130.81</v>
          </cell>
          <cell r="R247" t="str">
            <v>12.245826</v>
          </cell>
          <cell r="S247" t="str">
            <v>109.190408</v>
          </cell>
          <cell r="T247" t="str">
            <v>full_h04/Khánh Hòa/Thu thập EVN_Khánh Hòa/Route_Cấp 3/KH_RING 3/1.CAT Khánh Hòa - CATP Nha Trang cũ/CAT Khánh Hòa - CATP Nha Trang cũ_Đoạn cột hạ thế</v>
          </cell>
          <cell r="U247">
            <v>598.77</v>
          </cell>
        </row>
        <row r="248">
          <cell r="L248" t="str">
            <v>3.Cam Ranh - Khánh Sơn</v>
          </cell>
          <cell r="M248" t="str">
            <v>521.54</v>
          </cell>
          <cell r="N248" t="str">
            <v>387.03</v>
          </cell>
          <cell r="O248" t="str">
            <v>11.974343</v>
          </cell>
          <cell r="P248" t="str">
            <v>109.068472</v>
          </cell>
          <cell r="Q248" t="str">
            <v>134.52</v>
          </cell>
          <cell r="R248" t="str">
            <v>11.962003</v>
          </cell>
          <cell r="S248" t="str">
            <v>109.094218</v>
          </cell>
          <cell r="T248" t="str">
            <v>full_h04/Khánh Hòa/Thu thập EVN_Khánh Hòa/Route_Cấp 3/KH_RING 2/3.Cam Ranh - Khánh Sơn/Cam Ranh - Khánh Sơn_Đoạn cột trung thế</v>
          </cell>
          <cell r="U248">
            <v>521.54</v>
          </cell>
        </row>
        <row r="249">
          <cell r="L249" t="str">
            <v>2.Cam Lâm - Cam Ranh</v>
          </cell>
          <cell r="M249" t="str">
            <v>1651.48</v>
          </cell>
          <cell r="N249" t="str">
            <v>976.58</v>
          </cell>
          <cell r="O249" t="str">
            <v>12.018553</v>
          </cell>
          <cell r="P249" t="str">
            <v>109.192533</v>
          </cell>
          <cell r="Q249" t="str">
            <v>674.90</v>
          </cell>
          <cell r="R249" t="str">
            <v>11.970426</v>
          </cell>
          <cell r="S249" t="str">
            <v>109.192857</v>
          </cell>
          <cell r="T249" t="str">
            <v>full_h04/Khánh Hòa/Thu thập EVN_Khánh Hòa/Route_Cấp 3/KH_RING 2/2.Cam Lâm - Cam Ranh/Cam Lâm - Cam Ranh_Đoạn cột trung thế</v>
          </cell>
          <cell r="U249">
            <v>1651.48</v>
          </cell>
        </row>
        <row r="250">
          <cell r="L250" t="str">
            <v>1.CAT Khánh Hòa - Cam Lâm</v>
          </cell>
          <cell r="M250" t="str">
            <v>87.53</v>
          </cell>
          <cell r="N250" t="str">
            <v>85.50</v>
          </cell>
          <cell r="O250" t="str">
            <v>12.080638</v>
          </cell>
          <cell r="P250" t="str">
            <v>109.180874</v>
          </cell>
          <cell r="Q250" t="str">
            <v>2.03</v>
          </cell>
          <cell r="R250" t="str">
            <v>12.074439</v>
          </cell>
          <cell r="S250" t="str">
            <v>109.168081</v>
          </cell>
          <cell r="T250" t="str">
            <v>full_h04/Khánh Hòa/Thu thập EVN_Khánh Hòa/Route_Cấp 3/KH_RING 2/1.CAT Khánh Hòa - Cam Lâm/CAT Khánh Hòa - Cam Lâm_Đoạn cột trung thế_2</v>
          </cell>
          <cell r="U250">
            <v>87.53</v>
          </cell>
        </row>
        <row r="251">
          <cell r="L251" t="str">
            <v>1.CAT Khánh Hòa - Cam Lâm</v>
          </cell>
          <cell r="M251" t="str">
            <v>1691.44</v>
          </cell>
          <cell r="N251" t="str">
            <v>1689.41</v>
          </cell>
          <cell r="O251" t="str">
            <v>12.079612</v>
          </cell>
          <cell r="P251" t="str">
            <v>109.179793</v>
          </cell>
          <cell r="Q251" t="str">
            <v>2.03</v>
          </cell>
          <cell r="R251" t="str">
            <v>12.074439</v>
          </cell>
          <cell r="S251" t="str">
            <v>109.168081</v>
          </cell>
          <cell r="T251" t="str">
            <v>full_h04/Khánh Hòa/Thu thập EVN_Khánh Hòa/Route_Cấp 3/KH_RING 2/1.CAT Khánh Hòa - Cam Lâm/CAT Khánh Hòa - Cam Lâm_Đoạn cột trung thế_2</v>
          </cell>
          <cell r="U251">
            <v>1691.44</v>
          </cell>
        </row>
        <row r="252">
          <cell r="L252" t="str">
            <v>1.CAT Khánh Hòa - Cam Lâm</v>
          </cell>
          <cell r="M252" t="str">
            <v>240.10</v>
          </cell>
          <cell r="N252" t="str">
            <v>238.07</v>
          </cell>
          <cell r="O252" t="str">
            <v>12.096610</v>
          </cell>
          <cell r="P252" t="str">
            <v>109.188524</v>
          </cell>
          <cell r="Q252" t="str">
            <v>2.03</v>
          </cell>
          <cell r="R252" t="str">
            <v>12.074439</v>
          </cell>
          <cell r="S252" t="str">
            <v>109.168081</v>
          </cell>
          <cell r="T252" t="str">
            <v>full_h04/Khánh Hòa/Thu thập EVN_Khánh Hòa/Route_Cấp 3/KH_RING 2/1.CAT Khánh Hòa - Cam Lâm/CAT Khánh Hòa - Cam Lâm_Đoạn cột trung thế_2</v>
          </cell>
          <cell r="U252">
            <v>240.1</v>
          </cell>
        </row>
        <row r="253">
          <cell r="L253" t="str">
            <v>2.CA Diên Điền - CA Bắc Nha Trang</v>
          </cell>
          <cell r="M253" t="str">
            <v>1091.75</v>
          </cell>
          <cell r="N253" t="str">
            <v>1085.68</v>
          </cell>
          <cell r="O253" t="str">
            <v>12.278650</v>
          </cell>
          <cell r="P253" t="str">
            <v>109.127450</v>
          </cell>
          <cell r="Q253" t="str">
            <v>6.07</v>
          </cell>
          <cell r="R253" t="str">
            <v>12.276067</v>
          </cell>
          <cell r="S253" t="str">
            <v>109.120259</v>
          </cell>
          <cell r="T253" t="str">
            <v>full_h04/Khánh Hòa/Thu thập EVN_Khánh Hòa/Route_Cấp 4/KH_RING 8/2.CA Diên Điền - CA Bắc Nha Trang/CA Diên Điền - CA Bắc Nha Trang_Đoạn cột trung thế_1</v>
          </cell>
          <cell r="U253">
            <v>1091.75</v>
          </cell>
        </row>
        <row r="254">
          <cell r="L254" t="str">
            <v>2.CA Suối Hiệp - CA Suối Dầu</v>
          </cell>
          <cell r="M254" t="str">
            <v>2282.22</v>
          </cell>
          <cell r="N254" t="str">
            <v>2128.32</v>
          </cell>
          <cell r="O254" t="str">
            <v>12.215051</v>
          </cell>
          <cell r="P254" t="str">
            <v>109.074147</v>
          </cell>
          <cell r="Q254" t="str">
            <v>153.90</v>
          </cell>
          <cell r="R254" t="str">
            <v>12.220519</v>
          </cell>
          <cell r="S254" t="str">
            <v>109.082480</v>
          </cell>
          <cell r="T254" t="str">
            <v>full_h04/Khánh Hòa/Thu thập EVN_Khánh Hòa/Route_Cấp 4/KH_RING 10/2.CA Suối Hiệp - CA Suối Dầu/CA Suối Hiệp - CA Suối Dầu_Đoạn cột trung thế</v>
          </cell>
          <cell r="U254">
            <v>2282.2199999999998</v>
          </cell>
        </row>
        <row r="255">
          <cell r="L255" t="str">
            <v>1.CA Diên Khánh - CA Suối Hiệp</v>
          </cell>
          <cell r="M255" t="str">
            <v>698.36</v>
          </cell>
          <cell r="N255" t="str">
            <v>693.48</v>
          </cell>
          <cell r="O255" t="str">
            <v>12.252197</v>
          </cell>
          <cell r="P255" t="str">
            <v>109.097283</v>
          </cell>
          <cell r="Q255" t="str">
            <v>4.88</v>
          </cell>
          <cell r="R255" t="str">
            <v>12.256322</v>
          </cell>
          <cell r="S255" t="str">
            <v>109.094061</v>
          </cell>
          <cell r="T255" t="str">
            <v>full_h04/Khánh Hòa/Thu thập EVN_Khánh Hòa/Route_Cấp 4/KH_RING 10/1.CA Diên Khánh - CA Suối Hiệp/CA Diên Khánh - CA Suối Hiệp_Đoạn cột trung thế</v>
          </cell>
          <cell r="U255">
            <v>698.36</v>
          </cell>
        </row>
        <row r="256">
          <cell r="L256" t="str">
            <v>3.CA Tân Định - CA Ninh Hòa</v>
          </cell>
          <cell r="M256" t="str">
            <v>1168.36</v>
          </cell>
          <cell r="N256" t="str">
            <v>786.37</v>
          </cell>
          <cell r="O256" t="str">
            <v>12.499728</v>
          </cell>
          <cell r="P256" t="str">
            <v>109.132660</v>
          </cell>
          <cell r="Q256" t="str">
            <v>381.98</v>
          </cell>
          <cell r="R256" t="str">
            <v>12.492870</v>
          </cell>
          <cell r="S256" t="str">
            <v>109.114033</v>
          </cell>
          <cell r="T256" t="str">
            <v>full_h04/Khánh Hòa/Thu thập EVN_Khánh Hòa/Route_Cấp 4/KH_RING 5/3.CA Tân Định - CA Ninh Hòa/CA Tân Định - CA Ninh Hòa_Đoạn cột trung thế_1</v>
          </cell>
          <cell r="U256">
            <v>1168.3599999999999</v>
          </cell>
        </row>
        <row r="257">
          <cell r="L257" t="str">
            <v>5.Vạn Ninh - CAT Khánh Hòa</v>
          </cell>
          <cell r="M257" t="str">
            <v>1216.54</v>
          </cell>
          <cell r="N257" t="str">
            <v>1030.59</v>
          </cell>
          <cell r="O257" t="str">
            <v>12.455375</v>
          </cell>
          <cell r="P257" t="str">
            <v>109.121938</v>
          </cell>
          <cell r="Q257" t="str">
            <v>185.95</v>
          </cell>
          <cell r="R257" t="str">
            <v>12.481264</v>
          </cell>
          <cell r="S257" t="str">
            <v>109.131214</v>
          </cell>
          <cell r="T257" t="str">
            <v>full_h04/Khánh Hòa/Thu thập EVN_Khánh Hòa/Route_Cấp 3/KH_RING 1/5.Vạn Ninh - CAT Khánh Hòa/Vạn Ninh - CAT Khánh Hòa_Đoạn cột trung thế_3</v>
          </cell>
          <cell r="U257">
            <v>1216.54</v>
          </cell>
        </row>
        <row r="258">
          <cell r="L258" t="str">
            <v>3.CA Tân Định - CA Ninh Hòa</v>
          </cell>
          <cell r="M258" t="str">
            <v>1477.34</v>
          </cell>
          <cell r="N258" t="str">
            <v>1095.35</v>
          </cell>
          <cell r="O258" t="str">
            <v>12.494854</v>
          </cell>
          <cell r="P258" t="str">
            <v>109.132463</v>
          </cell>
          <cell r="Q258" t="str">
            <v>381.98</v>
          </cell>
          <cell r="R258" t="str">
            <v>12.492870</v>
          </cell>
          <cell r="S258" t="str">
            <v>109.114033</v>
          </cell>
          <cell r="T258" t="str">
            <v>full_h04/Khánh Hòa/Thu thập EVN_Khánh Hòa/Route_Cấp 4/KH_RING 5/3.CA Tân Định - CA Ninh Hòa/CA Tân Định - CA Ninh Hòa_Đoạn cột trung thế_1</v>
          </cell>
          <cell r="U258">
            <v>1477.34</v>
          </cell>
        </row>
        <row r="259">
          <cell r="L259" t="str">
            <v>2.CA Đông Ninh Hòa - CA Bắc Ninh Hòa</v>
          </cell>
          <cell r="M259" t="str">
            <v>2074.18</v>
          </cell>
          <cell r="N259" t="str">
            <v>2069.92</v>
          </cell>
          <cell r="O259" t="str">
            <v>12.559902</v>
          </cell>
          <cell r="P259" t="str">
            <v>109.216150</v>
          </cell>
          <cell r="Q259" t="str">
            <v>4.26</v>
          </cell>
          <cell r="R259" t="str">
            <v>12.555453</v>
          </cell>
          <cell r="S259" t="str">
            <v>109.217609</v>
          </cell>
          <cell r="T259" t="str">
            <v>full_h04/Khánh Hòa/Thu thập EVN_Khánh Hòa/Route_Cấp 4/KH_RING 4/2.CA Đông Ninh Hòa - CA Bắc Ninh Hòa/CA Đông Ninh Hòa - CA Bắc Ninh Hòa_Đoạn cột trung thế_1</v>
          </cell>
          <cell r="U259">
            <v>2074.1799999999998</v>
          </cell>
        </row>
        <row r="260">
          <cell r="L260" t="str">
            <v>3.CA Tân Định - CA Ninh Hòa</v>
          </cell>
          <cell r="M260" t="str">
            <v>681.08</v>
          </cell>
          <cell r="N260" t="str">
            <v>299.09</v>
          </cell>
          <cell r="O260" t="str">
            <v>12.494325</v>
          </cell>
          <cell r="P260" t="str">
            <v>109.128719</v>
          </cell>
          <cell r="Q260" t="str">
            <v>381.98</v>
          </cell>
          <cell r="R260" t="str">
            <v>12.492870</v>
          </cell>
          <cell r="S260" t="str">
            <v>109.114033</v>
          </cell>
          <cell r="T260" t="str">
            <v>full_h04/Khánh Hòa/Thu thập EVN_Khánh Hòa/Route_Cấp 4/KH_RING 5/3.CA Tân Định - CA Ninh Hòa/CA Tân Định - CA Ninh Hòa_Đoạn cột trung thế_1</v>
          </cell>
          <cell r="U260">
            <v>681.08</v>
          </cell>
        </row>
        <row r="261">
          <cell r="L261" t="str">
            <v>5.Vạn Ninh - CAT Khánh Hòa</v>
          </cell>
          <cell r="M261" t="str">
            <v>1889.42</v>
          </cell>
          <cell r="N261" t="str">
            <v>1703.47</v>
          </cell>
          <cell r="O261" t="str">
            <v>12.471017</v>
          </cell>
          <cell r="P261" t="str">
            <v>109.126253</v>
          </cell>
          <cell r="Q261" t="str">
            <v>185.95</v>
          </cell>
          <cell r="R261" t="str">
            <v>12.481264</v>
          </cell>
          <cell r="S261" t="str">
            <v>109.131214</v>
          </cell>
          <cell r="T261" t="str">
            <v>full_h04/Khánh Hòa/Thu thập EVN_Khánh Hòa/Route_Cấp 3/KH_RING 1/5.Vạn Ninh - CAT Khánh Hòa/Vạn Ninh - CAT Khánh Hòa_Đoạn cột trung thế_3</v>
          </cell>
          <cell r="U261">
            <v>1889.42</v>
          </cell>
        </row>
        <row r="262">
          <cell r="L262" t="str">
            <v>5.Vạn Ninh - CAT Khánh Hòa</v>
          </cell>
          <cell r="M262" t="str">
            <v>138.58</v>
          </cell>
          <cell r="N262" t="str">
            <v>21.35</v>
          </cell>
          <cell r="O262" t="str">
            <v>12.364605</v>
          </cell>
          <cell r="P262" t="str">
            <v>109.194498</v>
          </cell>
          <cell r="Q262" t="str">
            <v>117.23</v>
          </cell>
          <cell r="R262" t="str">
            <v>12.338985</v>
          </cell>
          <cell r="S262" t="str">
            <v>109.194122</v>
          </cell>
          <cell r="T262" t="str">
            <v>full_h04/Khánh Hòa/Thu thập EVN_Khánh Hòa/Route_Cấp 3/KH_RING 1/5.Vạn Ninh - CAT Khánh Hòa/Vạn Ninh - CAT Khánh Hòa_Đoạn cột trung thế_3</v>
          </cell>
          <cell r="U262">
            <v>138.58000000000001</v>
          </cell>
        </row>
        <row r="263">
          <cell r="L263" t="str">
            <v>5.Vạn Ninh - CAT Khánh Hòa</v>
          </cell>
          <cell r="M263" t="str">
            <v>251.61</v>
          </cell>
          <cell r="N263" t="str">
            <v>134.38</v>
          </cell>
          <cell r="O263" t="str">
            <v>12.384585</v>
          </cell>
          <cell r="P263" t="str">
            <v>109.194734</v>
          </cell>
          <cell r="Q263" t="str">
            <v>117.23</v>
          </cell>
          <cell r="R263" t="str">
            <v>12.338985</v>
          </cell>
          <cell r="S263" t="str">
            <v>109.194122</v>
          </cell>
          <cell r="T263" t="str">
            <v>full_h04/Khánh Hòa/Thu thập EVN_Khánh Hòa/Route_Cấp 3/KH_RING 1/5.Vạn Ninh - CAT Khánh Hòa/Vạn Ninh - CAT Khánh Hòa_Đoạn cột trung thế_3</v>
          </cell>
          <cell r="U263">
            <v>251.61</v>
          </cell>
        </row>
        <row r="264">
          <cell r="L264" t="str">
            <v>2.CA Nam Ninh Hòa - CA Tây Ninh Hòa</v>
          </cell>
          <cell r="M264" t="str">
            <v>93.36</v>
          </cell>
          <cell r="N264" t="str">
            <v>88.78</v>
          </cell>
          <cell r="O264" t="str">
            <v>12.540544</v>
          </cell>
          <cell r="P264" t="str">
            <v>109.009872</v>
          </cell>
          <cell r="Q264" t="str">
            <v>4.59</v>
          </cell>
          <cell r="R264" t="str">
            <v>12.540865</v>
          </cell>
          <cell r="S264" t="str">
            <v>109.007478</v>
          </cell>
          <cell r="T264" t="str">
            <v>full_h04/Khánh Hòa/Thu thập EVN_Khánh Hòa/Route_Cấp 4/KH_RING 6/2.CA Nam Ninh Hòa - CA Tây Ninh Hòa/CA Nam Ninh Hòa - CA Tây Ninh Hòa_Đoạn cột trung thế_2</v>
          </cell>
          <cell r="U264">
            <v>93.36</v>
          </cell>
        </row>
        <row r="265">
          <cell r="L265" t="str">
            <v>2.CA Nam Ninh Hòa - CA Tây Ninh Hòa</v>
          </cell>
          <cell r="M265" t="str">
            <v>3042.21</v>
          </cell>
          <cell r="N265" t="str">
            <v>3037.62</v>
          </cell>
          <cell r="O265" t="str">
            <v>12.519499</v>
          </cell>
          <cell r="P265" t="str">
            <v>109.042643</v>
          </cell>
          <cell r="Q265" t="str">
            <v>4.59</v>
          </cell>
          <cell r="R265" t="str">
            <v>12.540865</v>
          </cell>
          <cell r="S265" t="str">
            <v>109.007478</v>
          </cell>
          <cell r="T265" t="str">
            <v>full_h04/Khánh Hòa/Thu thập EVN_Khánh Hòa/Route_Cấp 4/KH_RING 6/2.CA Nam Ninh Hòa - CA Tây Ninh Hòa/CA Nam Ninh Hòa - CA Tây Ninh Hòa_Đoạn cột trung thế_2</v>
          </cell>
          <cell r="U265">
            <v>3042.21</v>
          </cell>
        </row>
        <row r="266">
          <cell r="L266" t="str">
            <v>1.CA Vạn Ninh - CA Vạn Thắng_Cột trung thế</v>
          </cell>
          <cell r="M266" t="str">
            <v>1311.74</v>
          </cell>
          <cell r="N266" t="str">
            <v>1308.17</v>
          </cell>
          <cell r="O266" t="str">
            <v>12.704770</v>
          </cell>
          <cell r="P266" t="str">
            <v>109.237200</v>
          </cell>
          <cell r="Q266" t="str">
            <v>3.57</v>
          </cell>
          <cell r="R266" t="str">
            <v>12.690783</v>
          </cell>
          <cell r="S266" t="str">
            <v>109.220870</v>
          </cell>
          <cell r="T266" t="str">
            <v>full_h04/Khánh Hòa/Thu thập EVN_Khánh Hòa/Route_Cấp 4/KH_RING 7/1.CA Vạn Ninh - CA Vạn Thắng_Cột trung thế/1.CA Vạn Ninh - CA Vạn Thắng_Cột trung thế</v>
          </cell>
          <cell r="U266">
            <v>1311.74</v>
          </cell>
        </row>
        <row r="267">
          <cell r="L267" t="str">
            <v>2.CA Vạn Thắng - CA Tu Bông_Cột trung thế</v>
          </cell>
          <cell r="M267" t="str">
            <v>365.75</v>
          </cell>
          <cell r="N267" t="str">
            <v>365.40</v>
          </cell>
          <cell r="O267" t="str">
            <v>12.778753</v>
          </cell>
          <cell r="P267" t="str">
            <v>109.313261</v>
          </cell>
          <cell r="Q267" t="str">
            <v>0.35</v>
          </cell>
          <cell r="R267" t="str">
            <v>12.778810</v>
          </cell>
          <cell r="S267" t="str">
            <v>109.312703</v>
          </cell>
          <cell r="T267" t="str">
            <v>full_h04/Khánh Hòa/Thu thập EVN_Khánh Hòa/Route_Cấp 4/KH_RING 7/2.CA Vạn Thắng - CA Tu Bông_Cột trung thế/2.CA Vạn Thắng - CA Tu Bông_Cột trung thế</v>
          </cell>
          <cell r="U267">
            <v>365.75</v>
          </cell>
        </row>
        <row r="268">
          <cell r="L268" t="str">
            <v>3.CA Tu Bông - CA Đại Lãnh_Cột trung thế</v>
          </cell>
          <cell r="M268" t="str">
            <v>177.99</v>
          </cell>
          <cell r="N268" t="str">
            <v>175.91</v>
          </cell>
          <cell r="O268" t="str">
            <v>12.784682</v>
          </cell>
          <cell r="P268" t="str">
            <v>109.305304</v>
          </cell>
          <cell r="Q268" t="str">
            <v>2.08</v>
          </cell>
          <cell r="R268" t="str">
            <v>12.778815</v>
          </cell>
          <cell r="S268" t="str">
            <v>109.312718</v>
          </cell>
          <cell r="T268" t="str">
            <v>full_h04/Khánh Hòa/Thu thập EVN_Khánh Hòa/Route_Cấp 4/KH_RING 7/3.CA Tu Bông - CA Đại Lãnh_Cột trung thế/3.CA Tu Bông - CA Đại Lãnh_Cột trung thế</v>
          </cell>
          <cell r="U268">
            <v>177.99</v>
          </cell>
        </row>
        <row r="269">
          <cell r="L269" t="str">
            <v>6.PC08 csc - CAT Khánh Hòa_Cột trung thế</v>
          </cell>
          <cell r="M269" t="str">
            <v>245.89</v>
          </cell>
          <cell r="N269" t="str">
            <v>36.39</v>
          </cell>
          <cell r="O269" t="str">
            <v>12.237922</v>
          </cell>
          <cell r="P269" t="str">
            <v>109.190824</v>
          </cell>
          <cell r="Q269" t="str">
            <v>209.50</v>
          </cell>
          <cell r="R269" t="str">
            <v>12.240531</v>
          </cell>
          <cell r="S269" t="str">
            <v>109.187854</v>
          </cell>
          <cell r="T269" t="str">
            <v>full_h04/Khánh Hòa/Thu thập EVN_Khánh Hòa/Route_Cấp 3/KH_RING 3/6.PC08 csc - CAT Khánh Hòa_Cột trung thế/6.PC08 csc - CAT Khánh Hòa_Cột trung thế</v>
          </cell>
          <cell r="U269">
            <v>245.89</v>
          </cell>
        </row>
        <row r="270">
          <cell r="L270" t="str">
            <v>2.CA Nam Nha Trang - CA Nha Trang</v>
          </cell>
          <cell r="M270" t="str">
            <v>929.40</v>
          </cell>
          <cell r="N270" t="str">
            <v>12.43</v>
          </cell>
          <cell r="O270" t="str">
            <v>12.235884</v>
          </cell>
          <cell r="P270" t="str">
            <v>109.181016</v>
          </cell>
          <cell r="Q270" t="str">
            <v>916.97</v>
          </cell>
          <cell r="R270" t="str">
            <v>12.246574</v>
          </cell>
          <cell r="S270" t="str">
            <v>109.181621</v>
          </cell>
          <cell r="T270" t="str">
            <v>full_h04/Khánh Hòa/Thu thập EVN_Khánh Hòa/Route_Cấp 4/KH_RING 1/2.CA Nam Nha Trang - CA Nha Trang/CA Nam Nha Trang - CA Nha Trang_Đoạn cột trung thế_1</v>
          </cell>
          <cell r="U270">
            <v>929.4</v>
          </cell>
        </row>
        <row r="271">
          <cell r="L271" t="str">
            <v>5.PA06 cs1 - PC08 csc_Cột trung thế</v>
          </cell>
          <cell r="M271" t="str">
            <v>254.69</v>
          </cell>
          <cell r="N271" t="str">
            <v>94.02</v>
          </cell>
          <cell r="O271" t="str">
            <v>12.251268</v>
          </cell>
          <cell r="P271" t="str">
            <v>109.189643</v>
          </cell>
          <cell r="Q271" t="str">
            <v>160.67</v>
          </cell>
          <cell r="R271" t="str">
            <v>12.249512</v>
          </cell>
          <cell r="S271" t="str">
            <v>109.185703</v>
          </cell>
          <cell r="T271" t="str">
            <v>full_h04/Khánh Hòa/Thu thập EVN_Khánh Hòa/Route_Cấp 3/KH_RING 3/5.PA06 cs1 - PC08 csc_Cột trung thế/5.PA06 cs1 - PC08 csc_Cột trung thế</v>
          </cell>
          <cell r="U271">
            <v>254.69</v>
          </cell>
        </row>
        <row r="272">
          <cell r="L272" t="str">
            <v>4.CA Diên Thọ - CA Diên Khánh</v>
          </cell>
          <cell r="M272" t="str">
            <v>814.18</v>
          </cell>
          <cell r="N272" t="str">
            <v>65.98</v>
          </cell>
          <cell r="O272" t="str">
            <v>12.238942</v>
          </cell>
          <cell r="P272" t="str">
            <v>109.008505</v>
          </cell>
          <cell r="Q272" t="str">
            <v>748.20</v>
          </cell>
          <cell r="R272" t="str">
            <v>12.262793</v>
          </cell>
          <cell r="S272" t="str">
            <v>109.035959</v>
          </cell>
          <cell r="T272" t="str">
            <v>full_h04/Khánh Hòa/Thu thập EVN_Khánh Hòa/Route_Cấp 4/KH_RING 10/4.CA Diên Thọ - CA Diên Khánh/4.CA Diên Thọ - CA Diên Khánh_Đoạn cột trung thế</v>
          </cell>
          <cell r="U272">
            <v>814.18</v>
          </cell>
        </row>
        <row r="273">
          <cell r="L273" t="str">
            <v>1.CA Ninh Hòa - CA Nam Ninh Hòa_Cột trung thế</v>
          </cell>
          <cell r="M273" t="str">
            <v>1820.48</v>
          </cell>
          <cell r="N273" t="str">
            <v>1815.59</v>
          </cell>
          <cell r="O273" t="str">
            <v>12.476967</v>
          </cell>
          <cell r="P273" t="str">
            <v>109.128870</v>
          </cell>
          <cell r="Q273" t="str">
            <v>4.88</v>
          </cell>
          <cell r="R273" t="str">
            <v>12.509730</v>
          </cell>
          <cell r="S273" t="str">
            <v>109.137455</v>
          </cell>
          <cell r="T273" t="str">
            <v>full_h04/Khánh Hòa/Thu thập EVN_Khánh Hòa/Route_Cấp 4/KH_RING 6/1.CA Ninh Hòa - CA Nam Ninh Hòa_Cột trung thế/1.CA Ninh Hòa - CA Nam Ninh Hòa_Cột trung thế</v>
          </cell>
          <cell r="U273">
            <v>1820.48</v>
          </cell>
        </row>
        <row r="274">
          <cell r="L274" t="str">
            <v>1.CAT Khánh Hòa - PK02 cs1</v>
          </cell>
          <cell r="M274" t="str">
            <v>93.70</v>
          </cell>
          <cell r="N274" t="str">
            <v>88.75</v>
          </cell>
          <cell r="O274" t="str">
            <v>12.279602</v>
          </cell>
          <cell r="P274" t="str">
            <v>109.190867</v>
          </cell>
          <cell r="Q274" t="str">
            <v>4.96</v>
          </cell>
          <cell r="R274" t="str">
            <v>12.278732</v>
          </cell>
          <cell r="S274" t="str">
            <v>109.188858</v>
          </cell>
          <cell r="T274" t="str">
            <v>full_h04/Khánh Hòa/Thu thập EVN_Khánh Hòa/Route_Cấp 3/KH_RING 6/1.CAT Khánh Hòa - PK02 cs1/CAT Khánh Hòa - PK02 cs1_Đoạn côt trung thế_2</v>
          </cell>
          <cell r="U274">
            <v>93.7</v>
          </cell>
        </row>
        <row r="275">
          <cell r="L275" t="str">
            <v>5. Cam Phước Đông - CAT Khánh Hòa</v>
          </cell>
          <cell r="M275" t="str">
            <v>2030.06</v>
          </cell>
          <cell r="N275" t="str">
            <v>1856.86</v>
          </cell>
          <cell r="O275" t="str">
            <v>12.235808</v>
          </cell>
          <cell r="P275" t="str">
            <v>109.176413</v>
          </cell>
          <cell r="Q275" t="str">
            <v>173.20</v>
          </cell>
          <cell r="R275" t="str">
            <v>12.235394</v>
          </cell>
          <cell r="S275" t="str">
            <v>109.185752</v>
          </cell>
          <cell r="T275" t="str">
            <v>full_h04/Khánh Hòa/Thu thập EVN_Khánh Hòa/Route_Cấp 3/KH_RING 2/5. Cam Phước Đông - CAT Khánh Hòa/Cam Phước Đông - CAT Khánh Hòa_Đoạn cột trung thế_5</v>
          </cell>
          <cell r="U275">
            <v>2030.06</v>
          </cell>
        </row>
        <row r="276">
          <cell r="L276" t="str">
            <v>Tuyến nhánh PC08 csc - PC08 (xử lý vi phạm)</v>
          </cell>
          <cell r="M276" t="str">
            <v>277.93</v>
          </cell>
          <cell r="N276" t="str">
            <v>276.27</v>
          </cell>
          <cell r="O276" t="str">
            <v>12.248199</v>
          </cell>
          <cell r="P276" t="str">
            <v>109.185840</v>
          </cell>
          <cell r="Q276" t="str">
            <v>1.67</v>
          </cell>
          <cell r="R276" t="str">
            <v>12.248073</v>
          </cell>
          <cell r="S276" t="str">
            <v>109.185785</v>
          </cell>
          <cell r="T276" t="str">
            <v>full_h04/Khánh Hòa/Thu thập EVN_Khánh Hòa/Route_Cấp 3/KH_RING 3/Tuyến nhánh PC08 csc - PC08 (xử lý vi phạm)/Tuyến nhánh PC08 csc - PC08 (xử lý vi phạm)</v>
          </cell>
          <cell r="U276">
            <v>277.93</v>
          </cell>
        </row>
        <row r="277">
          <cell r="L277" t="str">
            <v>1.CATP Nha trang cũ - PC07</v>
          </cell>
          <cell r="M277" t="str">
            <v>481.89</v>
          </cell>
          <cell r="N277" t="str">
            <v>198.41</v>
          </cell>
          <cell r="O277" t="str">
            <v>12.239117</v>
          </cell>
          <cell r="P277" t="str">
            <v>109.186642</v>
          </cell>
          <cell r="Q277" t="str">
            <v>283.48</v>
          </cell>
          <cell r="R277" t="str">
            <v>12.243925</v>
          </cell>
          <cell r="S277" t="str">
            <v>109.189556</v>
          </cell>
          <cell r="T277" t="str">
            <v>full_h04/Khánh Hòa/Thu thập EVN_Khánh Hòa/Route_Cấp 3/KH_RING 5/1.CATP Nha trang cũ - PC07/CATP Nha trang cũ - PC07_Đoạn cột trung thế</v>
          </cell>
          <cell r="U277">
            <v>481.89</v>
          </cell>
        </row>
        <row r="278">
          <cell r="L278" t="str">
            <v>3.CA Nha Trang - CA Tây Nha Trang_Cột trung thế</v>
          </cell>
          <cell r="M278" t="str">
            <v>415.26</v>
          </cell>
          <cell r="N278" t="str">
            <v>411.26</v>
          </cell>
          <cell r="O278" t="str">
            <v>12.252363</v>
          </cell>
          <cell r="P278" t="str">
            <v>109.192133</v>
          </cell>
          <cell r="Q278" t="str">
            <v>4.00</v>
          </cell>
          <cell r="R278" t="str">
            <v>12.251159</v>
          </cell>
          <cell r="S278" t="str">
            <v>109.186369</v>
          </cell>
          <cell r="T278" t="str">
            <v>full_h04/Khánh Hòa/Thu thập EVN_Khánh Hòa/Route_Cấp 4/KH_RING 1/3.CA Nha Trang - CA Tây Nha Trang_Cột trung thế/3.CA Nha Trang - CA Tây Nha Trang_Cột trung thế</v>
          </cell>
          <cell r="U278">
            <v>415.26</v>
          </cell>
        </row>
        <row r="279">
          <cell r="L279" t="str">
            <v>4.CA Tây Nha Trang - TTCMKV Diên Khánh</v>
          </cell>
          <cell r="M279" t="str">
            <v>291.73</v>
          </cell>
          <cell r="N279" t="str">
            <v>289.36</v>
          </cell>
          <cell r="O279" t="str">
            <v>12.251707</v>
          </cell>
          <cell r="P279" t="str">
            <v>109.186132</v>
          </cell>
          <cell r="Q279" t="str">
            <v>2.37</v>
          </cell>
          <cell r="R279" t="str">
            <v>12.251134</v>
          </cell>
          <cell r="S279" t="str">
            <v>109.186421</v>
          </cell>
          <cell r="T279" t="str">
            <v>full_h04/Khánh Hòa/Thu thập EVN_Khánh Hòa/Route_Cấp 4/KH_RING 1/4.CA Tây Nha Trang - TTCMKV Diên Khánh/CA Tây Nha Trang - TTCMKV Diên Khánh_Đoạn cột trung thế_1</v>
          </cell>
          <cell r="U279">
            <v>291.73</v>
          </cell>
        </row>
        <row r="280">
          <cell r="L280" t="str">
            <v>5.Vạn Ninh - CAT Khánh Hòa</v>
          </cell>
          <cell r="M280" t="str">
            <v>492.68</v>
          </cell>
          <cell r="N280" t="str">
            <v>63.57</v>
          </cell>
          <cell r="O280" t="str">
            <v>12.261350</v>
          </cell>
          <cell r="P280" t="str">
            <v>109.191100</v>
          </cell>
          <cell r="Q280" t="str">
            <v>429.11</v>
          </cell>
          <cell r="R280" t="str">
            <v>12.253068</v>
          </cell>
          <cell r="S280" t="str">
            <v>109.189821</v>
          </cell>
          <cell r="T280" t="str">
            <v>full_h04/Khánh Hòa/Thu thập EVN_Khánh Hòa/Route_Cấp 3/KH_RING 1/5.Vạn Ninh - CAT Khánh Hòa/Vạn Ninh - CAT Khánh Hòa_Đoạn cột trung thế_2</v>
          </cell>
          <cell r="U280">
            <v>492.68</v>
          </cell>
        </row>
        <row r="281">
          <cell r="L281" t="str">
            <v>1.CATP Nha trang cũ - PC07</v>
          </cell>
          <cell r="M281" t="str">
            <v>404.12</v>
          </cell>
          <cell r="N281" t="str">
            <v>208.23</v>
          </cell>
          <cell r="O281" t="str">
            <v>12.243746</v>
          </cell>
          <cell r="P281" t="str">
            <v>109.189792</v>
          </cell>
          <cell r="Q281" t="str">
            <v>195.89</v>
          </cell>
          <cell r="R281" t="str">
            <v>12.245896</v>
          </cell>
          <cell r="S281" t="str">
            <v>109.190274</v>
          </cell>
          <cell r="T281" t="str">
            <v>full_h04/Khánh Hòa/Thu thập EVN_Khánh Hòa/Route_Cấp 3/KH_RING 5/1.CATP Nha trang cũ - PC07/CATP Nha trang cũ - PC07_Đoạn cột hạ thế</v>
          </cell>
          <cell r="U281">
            <v>404.12</v>
          </cell>
        </row>
        <row r="282">
          <cell r="L282" t="str">
            <v>Tuyến nhánh PA06 cs1 - Nhà nghỉ dưỡng 378 BCA_Cột trung thế</v>
          </cell>
          <cell r="M282" t="str">
            <v>1334.67</v>
          </cell>
          <cell r="N282" t="str">
            <v>1329.49</v>
          </cell>
          <cell r="O282" t="str">
            <v>12.256762</v>
          </cell>
          <cell r="P282" t="str">
            <v>109.197648</v>
          </cell>
          <cell r="Q282" t="str">
            <v>5.18</v>
          </cell>
          <cell r="R282" t="str">
            <v>12.256762</v>
          </cell>
          <cell r="S282" t="str">
            <v>109.197648</v>
          </cell>
          <cell r="T282" t="str">
            <v>full_h04/Khánh Hòa/Thu thập EVN_Khánh Hòa/Route_Cấp 3/KH_RING 3/Tuyến nhánh PA06 cs1 - Nhà nghỉ dưỡng 378 BCA_Cột trung thế/Tuyến nhánh PA06 cs1 - Nhà nghỉ dưỡng 378 BCA_Cột trung thế</v>
          </cell>
          <cell r="U282">
            <v>1334.67</v>
          </cell>
        </row>
        <row r="283">
          <cell r="L283" t="str">
            <v>3.CA Diên Lâm - CA Bắc Khánh Vĩnh_Cột trung thế</v>
          </cell>
          <cell r="M283" t="str">
            <v>208.64</v>
          </cell>
          <cell r="N283" t="str">
            <v>205.15</v>
          </cell>
          <cell r="O283" t="str">
            <v>12.351702</v>
          </cell>
          <cell r="P283" t="str">
            <v>108.978459</v>
          </cell>
          <cell r="Q283" t="str">
            <v>3.48</v>
          </cell>
          <cell r="R283" t="str">
            <v>12.358868</v>
          </cell>
          <cell r="S283" t="str">
            <v>108.960726</v>
          </cell>
          <cell r="T283" t="str">
            <v>full_h04/Khánh Hòa/Thu thập EVN_Khánh Hòa/Route_Cấp 4/KH_RING 9/3.CA Diên Lâm - CA Bắc Khánh Vĩnh_Cột trung thế/3.CA Diên Lâm - CA Bắc Khánh Vĩnh_Cột trung thế</v>
          </cell>
          <cell r="U283">
            <v>208.64</v>
          </cell>
        </row>
        <row r="284">
          <cell r="L284" t="str">
            <v>Tuyến nhánh CA Bắc Khánh Vĩnh - Trung tâm Cai nghiện Khánh Bình_Cột trung thế</v>
          </cell>
          <cell r="M284" t="str">
            <v>90.56</v>
          </cell>
          <cell r="N284" t="str">
            <v>88.59</v>
          </cell>
          <cell r="O284" t="str">
            <v>12.384286</v>
          </cell>
          <cell r="P284" t="str">
            <v>108.954614</v>
          </cell>
          <cell r="Q284" t="str">
            <v>1.97</v>
          </cell>
          <cell r="R284" t="str">
            <v>12.358832</v>
          </cell>
          <cell r="S284" t="str">
            <v>108.960699</v>
          </cell>
          <cell r="T284" t="str">
            <v>full_h04/Khánh Hòa/Thu thập EVN_Khánh Hòa/Route_Cấp 4/KH_RING 9/Tuyến nhánh CA Bắc Khánh Vĩnh - Trung tâm Cai nghiện Khánh Bình_Cột trung thế/Tuyến nhánh CA Bắc Khánh Vĩnh - Trung tâm Cai nghiện Khánh Bình_Cột trung thế</v>
          </cell>
          <cell r="U284">
            <v>90.56</v>
          </cell>
        </row>
        <row r="285">
          <cell r="L285" t="str">
            <v>4.CA Bắc Khánh Vĩnh - CA Trung Khánh Vĩnh_Cột trung thế</v>
          </cell>
          <cell r="M285" t="str">
            <v>80.53</v>
          </cell>
          <cell r="N285" t="str">
            <v>77.17</v>
          </cell>
          <cell r="O285" t="str">
            <v>12.376333</v>
          </cell>
          <cell r="P285" t="str">
            <v>108.936274</v>
          </cell>
          <cell r="Q285" t="str">
            <v>3.37</v>
          </cell>
          <cell r="R285" t="str">
            <v>12.358875</v>
          </cell>
          <cell r="S285" t="str">
            <v>108.960717</v>
          </cell>
          <cell r="T285" t="str">
            <v>full_h04/Khánh Hòa/Thu thập EVN_Khánh Hòa/Route_Cấp 4/KH_RING 9/4.CA Bắc Khánh Vĩnh - CA Trung Khánh Vĩnh_Cột trung thế/4.CA Bắc Khánh Vĩnh - CA Trung Khánh Vĩnh_Cột trung thế</v>
          </cell>
          <cell r="U285">
            <v>80.53</v>
          </cell>
        </row>
        <row r="286">
          <cell r="L286" t="str">
            <v>2.CA Diên Lạc - CA Diên Lâm</v>
          </cell>
          <cell r="M286" t="str">
            <v>1974.80</v>
          </cell>
          <cell r="N286" t="str">
            <v>1971.41</v>
          </cell>
          <cell r="O286" t="str">
            <v>12.262613</v>
          </cell>
          <cell r="P286" t="str">
            <v>109.037289</v>
          </cell>
          <cell r="Q286" t="str">
            <v>3.39</v>
          </cell>
          <cell r="R286" t="str">
            <v>12.269048</v>
          </cell>
          <cell r="S286" t="str">
            <v>109.033370</v>
          </cell>
          <cell r="T286" t="str">
            <v>full_h04/Khánh Hòa/Thu thập EVN_Khánh Hòa/Route_Cấp 4/KH_RING 9/2.CA Diên Lạc - CA Diên Lâm/CA Diên Lạc - CA Diên Lâm_Đoạn cột trung thế_2</v>
          </cell>
          <cell r="U286">
            <v>1974.8</v>
          </cell>
        </row>
        <row r="287">
          <cell r="L287" t="str">
            <v>3.CA Bắc Nha Trang - CAT Khánh Hòa</v>
          </cell>
          <cell r="M287" t="str">
            <v>2238.29</v>
          </cell>
          <cell r="N287" t="str">
            <v>2237.43</v>
          </cell>
          <cell r="O287" t="str">
            <v>12.282302</v>
          </cell>
          <cell r="P287" t="str">
            <v>109.198338</v>
          </cell>
          <cell r="Q287" t="str">
            <v>0.85</v>
          </cell>
          <cell r="R287" t="str">
            <v>12.282332</v>
          </cell>
          <cell r="S287" t="str">
            <v>109.198101</v>
          </cell>
          <cell r="T287" t="str">
            <v>full_h04/Khánh Hòa/Thu thập EVN_Khánh Hòa/Route_Cấp 4/KH_RING 8/3.CA Bắc Nha Trang - CAT Khánh Hòa/CA Bắc Nha Trang - CAT Khánh Hòa_Đoạn cột hạ thế</v>
          </cell>
          <cell r="U287">
            <v>2238.29</v>
          </cell>
        </row>
        <row r="288">
          <cell r="L288" t="str">
            <v>2.CA Diên Điền - CA Bắc Nha Trang</v>
          </cell>
          <cell r="M288" t="str">
            <v>265.61</v>
          </cell>
          <cell r="N288" t="str">
            <v>259.54</v>
          </cell>
          <cell r="O288" t="str">
            <v>12.278650</v>
          </cell>
          <cell r="P288" t="str">
            <v>109.127450</v>
          </cell>
          <cell r="Q288" t="str">
            <v>6.07</v>
          </cell>
          <cell r="R288" t="str">
            <v>12.276067</v>
          </cell>
          <cell r="S288" t="str">
            <v>109.120259</v>
          </cell>
          <cell r="T288" t="str">
            <v>full_h04/Khánh Hòa/Thu thập EVN_Khánh Hòa/Route_Cấp 4/KH_RING 8/2.CA Diên Điền - CA Bắc Nha Trang/CA Diên Điền - CA Bắc Nha Trang_Đoạn cột trung thế_1</v>
          </cell>
          <cell r="U288">
            <v>265.61</v>
          </cell>
        </row>
        <row r="289">
          <cell r="L289" t="str">
            <v>4.CA Đại Lãnh - CA Vạn Ninh</v>
          </cell>
          <cell r="M289" t="str">
            <v>2046.07</v>
          </cell>
          <cell r="N289" t="str">
            <v>2039.35</v>
          </cell>
          <cell r="O289" t="str">
            <v>12.803173</v>
          </cell>
          <cell r="P289" t="str">
            <v>109.334145</v>
          </cell>
          <cell r="Q289" t="str">
            <v>6.73</v>
          </cell>
          <cell r="R289" t="str">
            <v>12.803200</v>
          </cell>
          <cell r="S289" t="str">
            <v>109.333739</v>
          </cell>
          <cell r="T289" t="str">
            <v>full_h04/Khánh Hòa/Thu thập EVN_Khánh Hòa/Route_Cấp 4/KH_RING 7/4.CA Đại Lãnh - CA Vạn Ninh/CA Đại Lãnh - CA Vạn Ninh_Đoạn cột trung thế_1</v>
          </cell>
          <cell r="U289">
            <v>2046.07</v>
          </cell>
        </row>
        <row r="290">
          <cell r="L290" t="str">
            <v>4.CA Đại Lãnh - CA Vạn Ninh</v>
          </cell>
          <cell r="M290" t="str">
            <v>4013.08</v>
          </cell>
          <cell r="N290" t="str">
            <v>4006.35</v>
          </cell>
          <cell r="O290" t="str">
            <v>12.803173</v>
          </cell>
          <cell r="P290" t="str">
            <v>109.334145</v>
          </cell>
          <cell r="Q290" t="str">
            <v>6.73</v>
          </cell>
          <cell r="R290" t="str">
            <v>12.803200</v>
          </cell>
          <cell r="S290" t="str">
            <v>109.333739</v>
          </cell>
          <cell r="T290" t="str">
            <v>full_h04/Khánh Hòa/Thu thập EVN_Khánh Hòa/Route_Cấp 4/KH_RING 7/4.CA Đại Lãnh - CA Vạn Ninh/CA Đại Lãnh - CA Vạn Ninh_Đoạn cột trung thế_1</v>
          </cell>
          <cell r="U290">
            <v>4013.08</v>
          </cell>
        </row>
        <row r="291">
          <cell r="L291" t="str">
            <v>3.CA Tu Bông - CA Đại Lãnh_Cột trung thế</v>
          </cell>
          <cell r="M291" t="str">
            <v>4694.65</v>
          </cell>
          <cell r="N291" t="str">
            <v>4688.09</v>
          </cell>
          <cell r="O291" t="str">
            <v>12.804639</v>
          </cell>
          <cell r="P291" t="str">
            <v>109.333773</v>
          </cell>
          <cell r="Q291" t="str">
            <v>6.55</v>
          </cell>
          <cell r="R291" t="str">
            <v>12.803207</v>
          </cell>
          <cell r="S291" t="str">
            <v>109.333740</v>
          </cell>
          <cell r="T291" t="str">
            <v>full_h04/Khánh Hòa/Thu thập EVN_Khánh Hòa/Route_Cấp 4/KH_RING 7/3.CA Tu Bông - CA Đại Lãnh_Cột trung thế/3.CA Tu Bông - CA Đại Lãnh_Cột trung thế</v>
          </cell>
          <cell r="U291">
            <v>4694.6499999999996</v>
          </cell>
        </row>
        <row r="292">
          <cell r="L292" t="str">
            <v>3.Cam Ranh - Khánh Sơn</v>
          </cell>
          <cell r="M292" t="str">
            <v>252.31</v>
          </cell>
          <cell r="N292" t="str">
            <v>152.31</v>
          </cell>
          <cell r="O292" t="str">
            <v>11.923322</v>
          </cell>
          <cell r="P292" t="str">
            <v>109.126536</v>
          </cell>
          <cell r="Q292" t="str">
            <v>100.00</v>
          </cell>
          <cell r="R292" t="str">
            <v>11.941592</v>
          </cell>
          <cell r="S292" t="str">
            <v>109.112181</v>
          </cell>
          <cell r="T292" t="str">
            <v>full_h04/Khánh Hòa/Thu thập EVN_Khánh Hòa/Route_Cấp 3/KH_RING 2/3.Cam Ranh - Khánh Sơn/Cam Ranh - Khánh Sơn_Đoạn cột trung thế</v>
          </cell>
          <cell r="U292">
            <v>252.31</v>
          </cell>
        </row>
        <row r="293">
          <cell r="L293" t="str">
            <v>5. Cam Phước Đông - CAT Khánh Hòa</v>
          </cell>
          <cell r="M293" t="str">
            <v>95.74</v>
          </cell>
          <cell r="N293" t="str">
            <v>89.11</v>
          </cell>
          <cell r="O293" t="str">
            <v>11.956004</v>
          </cell>
          <cell r="P293" t="str">
            <v>109.103488</v>
          </cell>
          <cell r="Q293" t="str">
            <v>6.63</v>
          </cell>
          <cell r="R293" t="str">
            <v>11.941641</v>
          </cell>
          <cell r="S293" t="str">
            <v>109.113048</v>
          </cell>
          <cell r="T293" t="str">
            <v>full_h04/Khánh Hòa/Thu thập EVN_Khánh Hòa/Route_Cấp 3/KH_RING 2/5. Cam Phước Đông - CAT Khánh Hòa/Cam Phước Đông - CAT Khánh Hòa_Đoạn cột trung thế_1</v>
          </cell>
          <cell r="U293">
            <v>95.74</v>
          </cell>
        </row>
        <row r="294">
          <cell r="L294" t="str">
            <v>5.Vạn Ninh - CAT Khánh Hòa</v>
          </cell>
          <cell r="M294" t="str">
            <v>191.34</v>
          </cell>
          <cell r="N294" t="str">
            <v>163.41</v>
          </cell>
          <cell r="O294" t="str">
            <v>12.541455</v>
          </cell>
          <cell r="P294" t="str">
            <v>109.163204</v>
          </cell>
          <cell r="Q294" t="str">
            <v>27.93</v>
          </cell>
          <cell r="R294" t="str">
            <v>12.531679</v>
          </cell>
          <cell r="S294" t="str">
            <v>109.160657</v>
          </cell>
          <cell r="T294" t="str">
            <v>full_h04/Khánh Hòa/Thu thập EVN_Khánh Hòa/Route_Cấp 3/KH_RING 1/5.Vạn Ninh - CAT Khánh Hòa/Vạn Ninh - CAT Khánh Hòa_Đoạn cột hạ thế_2</v>
          </cell>
          <cell r="U294">
            <v>191.34</v>
          </cell>
        </row>
        <row r="295">
          <cell r="L295" t="str">
            <v>1.CATP Nha trang cũ - PC07</v>
          </cell>
          <cell r="M295" t="str">
            <v>614.77</v>
          </cell>
          <cell r="N295" t="str">
            <v>331.29</v>
          </cell>
          <cell r="O295" t="str">
            <v>12.238712</v>
          </cell>
          <cell r="P295" t="str">
            <v>109.186746</v>
          </cell>
          <cell r="Q295" t="str">
            <v>283.48</v>
          </cell>
          <cell r="R295" t="str">
            <v>12.243925</v>
          </cell>
          <cell r="S295" t="str">
            <v>109.189556</v>
          </cell>
          <cell r="T295" t="str">
            <v>full_h04/Khánh Hòa/Thu thập EVN_Khánh Hòa/Route_Cấp 3/KH_RING 5/1.CATP Nha trang cũ - PC07/CATP Nha trang cũ - PC07_Đoạn cột trung thế</v>
          </cell>
          <cell r="U295">
            <v>614.77</v>
          </cell>
        </row>
        <row r="296">
          <cell r="L296" t="str">
            <v>4.PC11a - PC02_Đoạn cột trung thế</v>
          </cell>
          <cell r="M296" t="str">
            <v>809.79</v>
          </cell>
          <cell r="N296" t="str">
            <v>806.45</v>
          </cell>
          <cell r="O296" t="str">
            <v>12.196674</v>
          </cell>
          <cell r="P296" t="str">
            <v>109.174234</v>
          </cell>
          <cell r="Q296" t="str">
            <v>3.34</v>
          </cell>
          <cell r="R296" t="str">
            <v>12.175723</v>
          </cell>
          <cell r="S296" t="str">
            <v>109.173680</v>
          </cell>
          <cell r="T296" t="str">
            <v>full_h04/Khánh Hòa/Thu thập EVN_Khánh Hòa/Route_Cấp 3/KH_RING 5/4.PC11a - PC02_Đoạn cột trung thế/4.PC11a - PC02_Đoạn cột trung thế</v>
          </cell>
          <cell r="U296">
            <v>809.79</v>
          </cell>
        </row>
        <row r="297">
          <cell r="L297" t="str">
            <v>Tuyến nhánh PC02 - PC08 (CSGT đường thủy)</v>
          </cell>
          <cell r="M297" t="str">
            <v>55.20</v>
          </cell>
          <cell r="N297" t="str">
            <v>53.16</v>
          </cell>
          <cell r="O297" t="str">
            <v>12.219007</v>
          </cell>
          <cell r="P297" t="str">
            <v>109.204294</v>
          </cell>
          <cell r="Q297" t="str">
            <v>2.04</v>
          </cell>
          <cell r="R297" t="str">
            <v>12.219007</v>
          </cell>
          <cell r="S297" t="str">
            <v>109.204294</v>
          </cell>
          <cell r="T297" t="str">
            <v>full_h04/Khánh Hòa/Thu thập EVN_Khánh Hòa/Route_Cấp 3/KH_RING 5/Tuyến nhánh PC02 - PC08 (CSGT đường thủy)/PC02 - PC08 (CSGT đường thủy)_Đoạn cột trung thế</v>
          </cell>
          <cell r="U297">
            <v>55.2</v>
          </cell>
        </row>
        <row r="298">
          <cell r="L298" t="str">
            <v>Tuyến nhánh PA06 cs1 - Nhà nghỉ dưỡng 378 BCA_Cột trung thế</v>
          </cell>
          <cell r="M298" t="str">
            <v>1340.05</v>
          </cell>
          <cell r="N298" t="str">
            <v>1334.87</v>
          </cell>
          <cell r="O298" t="str">
            <v>12.256762</v>
          </cell>
          <cell r="P298" t="str">
            <v>109.197648</v>
          </cell>
          <cell r="Q298" t="str">
            <v>5.18</v>
          </cell>
          <cell r="R298" t="str">
            <v>12.256762</v>
          </cell>
          <cell r="S298" t="str">
            <v>109.197648</v>
          </cell>
          <cell r="T298" t="str">
            <v>full_h04/Khánh Hòa/Thu thập EVN_Khánh Hòa/Route_Cấp 3/KH_RING 3/Tuyến nhánh PA06 cs1 - Nhà nghỉ dưỡng 378 BCA_Cột trung thế/Tuyến nhánh PA06 cs1 - Nhà nghỉ dưỡng 378 BCA_Cột trung thế</v>
          </cell>
          <cell r="U298">
            <v>1340.05</v>
          </cell>
        </row>
        <row r="299">
          <cell r="L299" t="str">
            <v>4.PC11a - PC02_Đoạn cột trung thế</v>
          </cell>
          <cell r="M299" t="str">
            <v>342.24</v>
          </cell>
          <cell r="N299" t="str">
            <v>338.62</v>
          </cell>
          <cell r="O299" t="str">
            <v>12.217110</v>
          </cell>
          <cell r="P299" t="str">
            <v>109.200027</v>
          </cell>
          <cell r="Q299" t="str">
            <v>3.61</v>
          </cell>
          <cell r="R299" t="str">
            <v>12.219013</v>
          </cell>
          <cell r="S299" t="str">
            <v>109.204276</v>
          </cell>
          <cell r="T299" t="str">
            <v>full_h04/Khánh Hòa/Thu thập EVN_Khánh Hòa/Route_Cấp 3/KH_RING 5/4.PC11a - PC02_Đoạn cột trung thế/4.PC11a - PC02_Đoạn cột trung thế</v>
          </cell>
          <cell r="U299">
            <v>342.24</v>
          </cell>
        </row>
        <row r="300">
          <cell r="L300" t="str">
            <v>2.CA Nam Nha Trang - CA Nha Trang</v>
          </cell>
          <cell r="M300" t="str">
            <v>1099.43</v>
          </cell>
          <cell r="N300" t="str">
            <v>775.24</v>
          </cell>
          <cell r="O300" t="str">
            <v>12.246922</v>
          </cell>
          <cell r="P300" t="str">
            <v>109.181597</v>
          </cell>
          <cell r="Q300" t="str">
            <v>324.19</v>
          </cell>
          <cell r="R300" t="str">
            <v>12.249235</v>
          </cell>
          <cell r="S300" t="str">
            <v>109.192435</v>
          </cell>
          <cell r="T300" t="str">
            <v>full_h04/Khánh Hòa/Thu thập EVN_Khánh Hòa/Route_Cấp 4/KH_RING 1/2.CA Nam Nha Trang - CA Nha Trang/CA Nam Nha Trang - CA Nha Trang_Đoạn cột trung thế_2</v>
          </cell>
          <cell r="U300">
            <v>1099.43</v>
          </cell>
        </row>
        <row r="301">
          <cell r="L301" t="str">
            <v>CA Công an Quảng Trị-Triệu Phong</v>
          </cell>
          <cell r="M301" t="str">
            <v>2815.96</v>
          </cell>
          <cell r="N301" t="str">
            <v>2735.47</v>
          </cell>
          <cell r="O301" t="str">
            <v>16.798327</v>
          </cell>
          <cell r="P301" t="str">
            <v>107.124168</v>
          </cell>
          <cell r="Q301" t="str">
            <v>80.49</v>
          </cell>
          <cell r="R301" t="str">
            <v>16.790924</v>
          </cell>
          <cell r="S301" t="str">
            <v>107.104774</v>
          </cell>
          <cell r="T301" t="str">
            <v>full_h04/Quảng Trị/Mạng cấp IV-Quảng Trị (cũ)/Ring 7/CA Công an Quảng Trị-Triệu Phong/Tuyến Trung thế</v>
          </cell>
          <cell r="U301">
            <v>2815.96</v>
          </cell>
        </row>
        <row r="302">
          <cell r="L302" t="str">
            <v>TT2 Quảng Trị - Đăk Rông</v>
          </cell>
          <cell r="M302" t="str">
            <v>8982.56</v>
          </cell>
          <cell r="N302" t="str">
            <v>8918.31</v>
          </cell>
          <cell r="O302" t="str">
            <v>16.803405</v>
          </cell>
          <cell r="P302" t="str">
            <v>107.021788</v>
          </cell>
          <cell r="Q302" t="str">
            <v>64.25</v>
          </cell>
          <cell r="R302" t="str">
            <v>16.790624</v>
          </cell>
          <cell r="S302" t="str">
            <v>107.103763</v>
          </cell>
          <cell r="T302" t="str">
            <v>full_h04/Quảng Trị/Mạng cấp III- Quảng Trị (cũ)/Công an Quảng Trị/TTCMKV Ring 4/TT2 Quảng Trị - Đăk Rông/Tuyến Trung thế 1</v>
          </cell>
          <cell r="U302">
            <v>8982.56</v>
          </cell>
        </row>
        <row r="303">
          <cell r="L303" t="str">
            <v>TT2 Quảng Trị-PC07</v>
          </cell>
          <cell r="M303" t="str">
            <v>112.13</v>
          </cell>
          <cell r="N303" t="str">
            <v>40.36</v>
          </cell>
          <cell r="O303" t="str">
            <v>16.790599</v>
          </cell>
          <cell r="P303" t="str">
            <v>107.091199</v>
          </cell>
          <cell r="Q303" t="str">
            <v>71.77</v>
          </cell>
          <cell r="R303" t="str">
            <v>16.790613</v>
          </cell>
          <cell r="S303" t="str">
            <v>107.103680</v>
          </cell>
          <cell r="T303" t="str">
            <v>full_h04/Quảng Trị/Mạng cấp III- Quảng Trị (cũ)/Cấp phòng/Phòng-Ring 5/TT2 Quảng Trị-PC07/Tuyến trung thế 3</v>
          </cell>
          <cell r="U303">
            <v>112.13</v>
          </cell>
        </row>
        <row r="304">
          <cell r="L304" t="str">
            <v>Hải Lăng - TT2 Quảng Trị</v>
          </cell>
          <cell r="M304" t="str">
            <v>4955.32</v>
          </cell>
          <cell r="N304" t="str">
            <v>1526.92</v>
          </cell>
          <cell r="O304" t="str">
            <v>16.749236</v>
          </cell>
          <cell r="P304" t="str">
            <v>107.178272</v>
          </cell>
          <cell r="Q304" t="str">
            <v>3428.40</v>
          </cell>
          <cell r="R304" t="str">
            <v>16.791696</v>
          </cell>
          <cell r="S304" t="str">
            <v>107.136475</v>
          </cell>
          <cell r="T304" t="str">
            <v>full_h04/Quảng Trị/Mạng cấp III- Quảng Trị (cũ)/Công an Quảng Trị/TTCMKV Ring 3/Hải Lăng - TT2 Quảng Trị/Tuyến trung thế 3</v>
          </cell>
          <cell r="U304">
            <v>4955.32</v>
          </cell>
        </row>
        <row r="305">
          <cell r="L305" t="str">
            <v>CA Công an Quảng Trị-Triệu Phong</v>
          </cell>
          <cell r="M305" t="str">
            <v>4033.40</v>
          </cell>
          <cell r="N305" t="str">
            <v>3952.91</v>
          </cell>
          <cell r="O305" t="str">
            <v>16.798327</v>
          </cell>
          <cell r="P305" t="str">
            <v>107.124168</v>
          </cell>
          <cell r="Q305" t="str">
            <v>80.49</v>
          </cell>
          <cell r="R305" t="str">
            <v>16.790924</v>
          </cell>
          <cell r="S305" t="str">
            <v>107.104774</v>
          </cell>
          <cell r="T305" t="str">
            <v>full_h04/Quảng Trị/Mạng cấp IV-Quảng Trị (cũ)/Ring 7/CA Công an Quảng Trị-Triệu Phong/Tuyến Trung thế</v>
          </cell>
          <cell r="U305">
            <v>4033.4</v>
          </cell>
        </row>
        <row r="306">
          <cell r="L306" t="str">
            <v>Cửa Việt-Hiếu Giang</v>
          </cell>
          <cell r="M306" t="str">
            <v>101.08</v>
          </cell>
          <cell r="N306" t="str">
            <v>64.44</v>
          </cell>
          <cell r="O306" t="str">
            <v>16.810813</v>
          </cell>
          <cell r="P306" t="str">
            <v>107.055883</v>
          </cell>
          <cell r="Q306" t="str">
            <v>36.65</v>
          </cell>
          <cell r="R306" t="str">
            <v>16.804551</v>
          </cell>
          <cell r="S306" t="str">
            <v>107.040873</v>
          </cell>
          <cell r="T306" t="str">
            <v>full_h04/Quảng Trị/Mạng cấp IV-Quảng Trị (cũ)/Ring 2/Cửa Việt-Hiếu Giang/Tuyến trung thế 6</v>
          </cell>
          <cell r="U306">
            <v>101.08</v>
          </cell>
        </row>
        <row r="307">
          <cell r="L307" t="str">
            <v>Cửa Việt-Hiếu Giang</v>
          </cell>
          <cell r="M307" t="str">
            <v>1511.86</v>
          </cell>
          <cell r="N307" t="str">
            <v>1475.22</v>
          </cell>
          <cell r="O307" t="str">
            <v>16.806810</v>
          </cell>
          <cell r="P307" t="str">
            <v>107.045994</v>
          </cell>
          <cell r="Q307" t="str">
            <v>36.65</v>
          </cell>
          <cell r="R307" t="str">
            <v>16.804551</v>
          </cell>
          <cell r="S307" t="str">
            <v>107.040873</v>
          </cell>
          <cell r="T307" t="str">
            <v>full_h04/Quảng Trị/Mạng cấp IV-Quảng Trị (cũ)/Ring 2/Cửa Việt-Hiếu Giang/Tuyến trung thế 6</v>
          </cell>
          <cell r="U307">
            <v>1511.86</v>
          </cell>
        </row>
        <row r="308">
          <cell r="L308" t="str">
            <v>Cửa Việt-Hiếu Giang</v>
          </cell>
          <cell r="M308" t="str">
            <v>56.68</v>
          </cell>
          <cell r="N308" t="str">
            <v>44.44</v>
          </cell>
          <cell r="O308" t="str">
            <v>16.901360</v>
          </cell>
          <cell r="P308" t="str">
            <v>107.172324</v>
          </cell>
          <cell r="Q308" t="str">
            <v>12.23</v>
          </cell>
          <cell r="R308" t="str">
            <v>16.905641</v>
          </cell>
          <cell r="S308" t="str">
            <v>107.176884</v>
          </cell>
          <cell r="T308" t="str">
            <v>full_h04/Quảng Trị/Mạng cấp IV-Quảng Trị (cũ)/Ring 2/Cửa Việt-Hiếu Giang/Tuyến hạ thế 1</v>
          </cell>
          <cell r="U308">
            <v>56.68</v>
          </cell>
        </row>
        <row r="309">
          <cell r="L309" t="str">
            <v>Cam Lộ - Nam Đông Hà</v>
          </cell>
          <cell r="M309" t="str">
            <v>72.58</v>
          </cell>
          <cell r="N309" t="str">
            <v>40.58</v>
          </cell>
          <cell r="O309" t="str">
            <v>16.816952</v>
          </cell>
          <cell r="P309" t="str">
            <v>107.077390</v>
          </cell>
          <cell r="Q309" t="str">
            <v>32.00</v>
          </cell>
          <cell r="R309" t="str">
            <v>16.804628</v>
          </cell>
          <cell r="S309" t="str">
            <v>107.040678</v>
          </cell>
          <cell r="T309" t="str">
            <v>full_h04/Quảng Trị/Mạng cấp IV-Quảng Trị (cũ)/Ring 6/Cam Lộ - Nam Đông Hà/Tuyến trung thế 4</v>
          </cell>
          <cell r="U309">
            <v>72.58</v>
          </cell>
        </row>
        <row r="310">
          <cell r="L310" t="str">
            <v>Cơ sở cai nghiện (Cam Hiếu, Cam Lộ) - TTCMKV Cam Lộ</v>
          </cell>
          <cell r="M310" t="str">
            <v>480.57</v>
          </cell>
          <cell r="N310" t="str">
            <v>455.33</v>
          </cell>
          <cell r="O310" t="str">
            <v>16.800270</v>
          </cell>
          <cell r="P310" t="str">
            <v>107.040229</v>
          </cell>
          <cell r="Q310" t="str">
            <v>25.24</v>
          </cell>
          <cell r="R310" t="str">
            <v>16.807246</v>
          </cell>
          <cell r="S310" t="str">
            <v>106.992480</v>
          </cell>
          <cell r="T310" t="str">
            <v>full_h04/Quảng Trị/Mạng cấp III- Quảng Trị (cũ)/Cấp phòng/Phòng-Ring 7/Cơ sở cai nghiện (Cam Hiếu, Cam Lộ) - TTCMKV Cam Lộ/Tuyến Trung thế</v>
          </cell>
          <cell r="U310">
            <v>480.57</v>
          </cell>
        </row>
        <row r="311">
          <cell r="L311" t="str">
            <v>Cửa Việt-Hiếu Giang</v>
          </cell>
          <cell r="M311" t="str">
            <v>8215.07</v>
          </cell>
          <cell r="N311" t="str">
            <v>4809.76</v>
          </cell>
          <cell r="O311" t="str">
            <v>16.858868</v>
          </cell>
          <cell r="P311" t="str">
            <v>107.116151</v>
          </cell>
          <cell r="Q311" t="str">
            <v>3405.32</v>
          </cell>
          <cell r="R311" t="str">
            <v>16.886193</v>
          </cell>
          <cell r="S311" t="str">
            <v>107.152270</v>
          </cell>
          <cell r="T311" t="str">
            <v>full_h04/Quảng Trị/Mạng cấp IV-Quảng Trị (cũ)/Ring 2/Cửa Việt-Hiếu Giang/Tuyến hạ thế 3</v>
          </cell>
          <cell r="U311">
            <v>8215.07</v>
          </cell>
        </row>
        <row r="312">
          <cell r="L312" t="str">
            <v>Cửa Tùng-Phòng PH10 (Nhà Nghỉ dưỡng Cửa Việt)</v>
          </cell>
          <cell r="M312" t="str">
            <v>3488.89</v>
          </cell>
          <cell r="N312" t="str">
            <v>584.18</v>
          </cell>
          <cell r="O312" t="str">
            <v>16.909170</v>
          </cell>
          <cell r="P312" t="str">
            <v>107.181069</v>
          </cell>
          <cell r="Q312" t="str">
            <v>2904.71</v>
          </cell>
          <cell r="R312" t="str">
            <v>16.944781</v>
          </cell>
          <cell r="S312" t="str">
            <v>107.152832</v>
          </cell>
          <cell r="T312" t="str">
            <v>full_h04/Quảng Trị/Mạng cấp IV-Quảng Trị (cũ)/Ring 2/Cửa Tùng-Phòng PH10 (Nhà Nghỉ dưỡng Cửa Việt)/Tuyến trung thế 3</v>
          </cell>
          <cell r="U312">
            <v>3488.89</v>
          </cell>
        </row>
        <row r="313">
          <cell r="L313" t="str">
            <v>Cửa Tùng-Phòng PH10 (Nhà Nghỉ dưỡng Cửa Việt)</v>
          </cell>
          <cell r="M313" t="str">
            <v>1654.97</v>
          </cell>
          <cell r="N313" t="str">
            <v>1632.07</v>
          </cell>
          <cell r="O313" t="str">
            <v>16.978664</v>
          </cell>
          <cell r="P313" t="str">
            <v>107.129091</v>
          </cell>
          <cell r="Q313" t="str">
            <v>22.90</v>
          </cell>
          <cell r="R313" t="str">
            <v>16.988969</v>
          </cell>
          <cell r="S313" t="str">
            <v>107.106525</v>
          </cell>
          <cell r="T313" t="str">
            <v>full_h04/Quảng Trị/Mạng cấp IV-Quảng Trị (cũ)/Ring 2/Cửa Tùng-Phòng PH10 (Nhà Nghỉ dưỡng Cửa Việt)/Tuyến trung thế 1</v>
          </cell>
          <cell r="U313">
            <v>1654.97</v>
          </cell>
        </row>
        <row r="314">
          <cell r="L314" t="str">
            <v>Bến Hải-PC07 (Đội PCCC khu vực 4)</v>
          </cell>
          <cell r="M314" t="str">
            <v>784.07</v>
          </cell>
          <cell r="N314" t="str">
            <v>21.88</v>
          </cell>
          <cell r="O314" t="str">
            <v>16.988904</v>
          </cell>
          <cell r="P314" t="str">
            <v>107.106632</v>
          </cell>
          <cell r="Q314" t="str">
            <v>762.20</v>
          </cell>
          <cell r="R314" t="str">
            <v>16.970361</v>
          </cell>
          <cell r="S314" t="str">
            <v>107.075029</v>
          </cell>
          <cell r="T314" t="str">
            <v>full_h04/Quảng Trị/Mạng cấp IV-Quảng Trị (cũ)/Ring 3/Bến Hải-PC07 (Đội PCCC khu vực 4)/Tuyến hạ thế 1</v>
          </cell>
          <cell r="U314">
            <v>784.07</v>
          </cell>
        </row>
        <row r="315">
          <cell r="L315" t="str">
            <v>Cam Lộ - Vĩnh Linh</v>
          </cell>
          <cell r="M315" t="str">
            <v>305.69</v>
          </cell>
          <cell r="N315" t="str">
            <v>99.07</v>
          </cell>
          <cell r="O315" t="str">
            <v>16.827306</v>
          </cell>
          <cell r="P315" t="str">
            <v>107.003486</v>
          </cell>
          <cell r="Q315" t="str">
            <v>206.63</v>
          </cell>
          <cell r="R315" t="str">
            <v>16.808361</v>
          </cell>
          <cell r="S315" t="str">
            <v>106.994315</v>
          </cell>
          <cell r="T315" t="str">
            <v>full_h04/Quảng Trị/Mạng cấp III- Quảng Trị (cũ)/Công an Quảng Trị/TTCMKV Ring 4/Cam Lộ - Vĩnh Linh/Tuyến Trung thế</v>
          </cell>
          <cell r="U315">
            <v>305.69</v>
          </cell>
        </row>
        <row r="316">
          <cell r="L316" t="str">
            <v>TT2 Quảng Trị - Đăk Rông</v>
          </cell>
          <cell r="M316" t="str">
            <v>140.93</v>
          </cell>
          <cell r="N316" t="str">
            <v>25.04</v>
          </cell>
          <cell r="O316" t="str">
            <v>16.807250</v>
          </cell>
          <cell r="P316" t="str">
            <v>106.992480</v>
          </cell>
          <cell r="Q316" t="str">
            <v>115.89</v>
          </cell>
          <cell r="R316" t="str">
            <v>16.794359</v>
          </cell>
          <cell r="S316" t="str">
            <v>106.968371</v>
          </cell>
          <cell r="T316" t="str">
            <v>full_h04/Quảng Trị/Mạng cấp III- Quảng Trị (cũ)/Công an Quảng Trị/TTCMKV Ring 4/TT2 Quảng Trị - Đăk Rông/Tuyến Trung thế 3</v>
          </cell>
          <cell r="U316">
            <v>140.93</v>
          </cell>
        </row>
        <row r="317">
          <cell r="L317" t="str">
            <v>PA09 - TP Đông Hà</v>
          </cell>
          <cell r="M317" t="str">
            <v>832.84</v>
          </cell>
          <cell r="N317" t="str">
            <v>170.69</v>
          </cell>
          <cell r="O317" t="str">
            <v>16.814189</v>
          </cell>
          <cell r="P317" t="str">
            <v>107.104940</v>
          </cell>
          <cell r="Q317" t="str">
            <v>662.15</v>
          </cell>
          <cell r="R317" t="str">
            <v>16.810613</v>
          </cell>
          <cell r="S317" t="str">
            <v>107.108340</v>
          </cell>
          <cell r="T317" t="str">
            <v>full_h04/Quảng Trị/Mạng cấp III- Quảng Trị (cũ)/Cấp phòng/Phòng-Ring 6/PA09 - TP Đông Hà/Tuyến Trung thế</v>
          </cell>
          <cell r="U317">
            <v>832.84</v>
          </cell>
        </row>
        <row r="318">
          <cell r="L318" t="str">
            <v>Hải Lăng - TT2 Quảng Trị</v>
          </cell>
          <cell r="M318" t="str">
            <v>15092.01</v>
          </cell>
          <cell r="N318" t="str">
            <v>15061.66</v>
          </cell>
          <cell r="O318" t="str">
            <v>16.746937</v>
          </cell>
          <cell r="P318" t="str">
            <v>107.194355</v>
          </cell>
          <cell r="Q318" t="str">
            <v>30.35</v>
          </cell>
          <cell r="R318" t="str">
            <v>16.692073</v>
          </cell>
          <cell r="S318" t="str">
            <v>107.245351</v>
          </cell>
          <cell r="T318" t="str">
            <v>full_h04/Quảng Trị/Mạng cấp III- Quảng Trị (cũ)/Công an Quảng Trị/TTCMKV Ring 3/Hải Lăng - TT2 Quảng Trị/Tuyến trung thế 1</v>
          </cell>
          <cell r="U318">
            <v>15092.01</v>
          </cell>
        </row>
        <row r="319">
          <cell r="L319" t="str">
            <v>Hải Lăng - TT2 Quảng Trị</v>
          </cell>
          <cell r="M319" t="str">
            <v>989.41</v>
          </cell>
          <cell r="N319" t="str">
            <v>30.35</v>
          </cell>
          <cell r="O319" t="str">
            <v>16.692073</v>
          </cell>
          <cell r="P319" t="str">
            <v>107.245351</v>
          </cell>
          <cell r="Q319" t="str">
            <v>959.07</v>
          </cell>
          <cell r="R319" t="str">
            <v>16.744100</v>
          </cell>
          <cell r="S319" t="str">
            <v>107.195866</v>
          </cell>
          <cell r="T319" t="str">
            <v>full_h04/Quảng Trị/Mạng cấp III- Quảng Trị (cũ)/Công an Quảng Trị/TTCMKV Ring 3/Hải Lăng - TT2 Quảng Trị/Tuyến trung thế 1</v>
          </cell>
          <cell r="U319">
            <v>989.41</v>
          </cell>
        </row>
        <row r="320">
          <cell r="L320" t="str">
            <v>Mỹ Thủy - Vĩnh Định</v>
          </cell>
          <cell r="M320" t="str">
            <v>4267.69</v>
          </cell>
          <cell r="N320" t="str">
            <v>4222.55</v>
          </cell>
          <cell r="O320" t="str">
            <v>16.743266</v>
          </cell>
          <cell r="P320" t="str">
            <v>107.311608</v>
          </cell>
          <cell r="Q320" t="str">
            <v>45.14</v>
          </cell>
          <cell r="R320" t="str">
            <v>16.726124</v>
          </cell>
          <cell r="S320" t="str">
            <v>107.334998</v>
          </cell>
          <cell r="T320" t="str">
            <v>full_h04/Quảng Trị/Mạng cấp IV-Quảng Trị (cũ)/Ring 4/Mỹ Thủy - Vĩnh Định/Tuyến trung thế 3</v>
          </cell>
          <cell r="U320">
            <v>4267.6899999999996</v>
          </cell>
        </row>
        <row r="321">
          <cell r="L321" t="str">
            <v>Nam hải Lăng - Mỹ Thủy</v>
          </cell>
          <cell r="M321" t="str">
            <v>8605.83</v>
          </cell>
          <cell r="N321" t="str">
            <v>1165.58</v>
          </cell>
          <cell r="O321" t="str">
            <v>16.719866</v>
          </cell>
          <cell r="P321" t="str">
            <v>107.343448</v>
          </cell>
          <cell r="Q321" t="str">
            <v>7440.25</v>
          </cell>
          <cell r="R321" t="str">
            <v>16.657613</v>
          </cell>
          <cell r="S321" t="str">
            <v>107.305519</v>
          </cell>
          <cell r="T321" t="str">
            <v>full_h04/Quảng Trị/Mạng cấp IV-Quảng Trị (cũ)/Ring 4/Nam hải Lăng - Mỹ Thủy/Tuyến trung thế 2 (Băng sông Mỹ chánh dùng 2 Néo)</v>
          </cell>
          <cell r="U321">
            <v>8605.83</v>
          </cell>
        </row>
        <row r="322">
          <cell r="L322" t="str">
            <v>Hải Lăng - TT2 Quảng Trị</v>
          </cell>
          <cell r="M322" t="str">
            <v>1379.78</v>
          </cell>
          <cell r="N322" t="str">
            <v>30.35</v>
          </cell>
          <cell r="O322" t="str">
            <v>16.692073</v>
          </cell>
          <cell r="P322" t="str">
            <v>107.245351</v>
          </cell>
          <cell r="Q322" t="str">
            <v>1349.44</v>
          </cell>
          <cell r="R322" t="str">
            <v>16.703041</v>
          </cell>
          <cell r="S322" t="str">
            <v>107.234706</v>
          </cell>
          <cell r="T322" t="str">
            <v>full_h04/Quảng Trị/Mạng cấp III- Quảng Trị (cũ)/Công an Quảng Trị/TTCMKV Ring 3/Hải Lăng - TT2 Quảng Trị/Tuyến trung thế 1</v>
          </cell>
          <cell r="U322">
            <v>1379.78</v>
          </cell>
        </row>
        <row r="323">
          <cell r="L323" t="str">
            <v>PC07 (Đội PCCC khu vực Hải lăng)-Hải Lăng</v>
          </cell>
          <cell r="M323" t="str">
            <v>4980.23</v>
          </cell>
          <cell r="N323" t="str">
            <v>73.96</v>
          </cell>
          <cell r="O323" t="str">
            <v>16.710955</v>
          </cell>
          <cell r="P323" t="str">
            <v>107.245157</v>
          </cell>
          <cell r="Q323" t="str">
            <v>4906.27</v>
          </cell>
          <cell r="R323" t="str">
            <v>16.709967</v>
          </cell>
          <cell r="S323" t="str">
            <v>107.247390</v>
          </cell>
          <cell r="T323" t="str">
            <v>full_h04/Quảng Trị/Mạng cấp III- Quảng Trị (cũ)/Cấp phòng/Phòng-Nhánh lẽ/PC07 (Đội PCCC khu vực Hải lăng)-Hải Lăng/Tuyến trung thế</v>
          </cell>
          <cell r="U323">
            <v>4980.2299999999996</v>
          </cell>
        </row>
        <row r="324">
          <cell r="L324" t="str">
            <v>Mỹ Thủy - Vĩnh Định</v>
          </cell>
          <cell r="M324" t="str">
            <v>4079.00</v>
          </cell>
          <cell r="N324" t="str">
            <v>3737.36</v>
          </cell>
          <cell r="O324" t="str">
            <v>16.771798</v>
          </cell>
          <cell r="P324" t="str">
            <v>107.261014</v>
          </cell>
          <cell r="Q324" t="str">
            <v>341.64</v>
          </cell>
          <cell r="R324" t="str">
            <v>16.766484</v>
          </cell>
          <cell r="S324" t="str">
            <v>107.242845</v>
          </cell>
          <cell r="T324" t="str">
            <v>full_h04/Quảng Trị/Mạng cấp IV-Quảng Trị (cũ)/Ring 4/Mỹ Thủy - Vĩnh Định/Tuyến trung thế 1</v>
          </cell>
          <cell r="U324">
            <v>4079</v>
          </cell>
        </row>
        <row r="325">
          <cell r="L325" t="str">
            <v>Nam Cửa Việt - Triệu Cơ</v>
          </cell>
          <cell r="M325" t="str">
            <v>733.45</v>
          </cell>
          <cell r="N325" t="str">
            <v>46.07</v>
          </cell>
          <cell r="O325" t="str">
            <v>16.763350</v>
          </cell>
          <cell r="P325" t="str">
            <v>107.242775</v>
          </cell>
          <cell r="Q325" t="str">
            <v>687.38</v>
          </cell>
          <cell r="R325" t="str">
            <v>16.769258</v>
          </cell>
          <cell r="S325" t="str">
            <v>107.228122</v>
          </cell>
          <cell r="T325" t="str">
            <v>full_h04/Quảng Trị/Mạng cấp IV-Quảng Trị (cũ)/Ring 5/Nam Cửa Việt - Triệu Cơ/Tuyến trung thế 3</v>
          </cell>
          <cell r="U325">
            <v>733.45</v>
          </cell>
        </row>
        <row r="326">
          <cell r="L326" t="str">
            <v>Quảng Trị-PC07 (Đội PCCC khu vực 5)</v>
          </cell>
          <cell r="M326" t="str">
            <v>2915.45</v>
          </cell>
          <cell r="N326" t="str">
            <v>2885.90</v>
          </cell>
          <cell r="O326" t="str">
            <v>16.755588</v>
          </cell>
          <cell r="P326" t="str">
            <v>107.198543</v>
          </cell>
          <cell r="Q326" t="str">
            <v>29.56</v>
          </cell>
          <cell r="R326" t="str">
            <v>16.739565</v>
          </cell>
          <cell r="S326" t="str">
            <v>107.188067</v>
          </cell>
          <cell r="T326" t="str">
            <v>full_h04/Quảng Trị/Mạng cấp IV-Quảng Trị (cũ)/Ring 5/Quảng Trị-PC07 (Đội PCCC khu vực 5)/Tuyến trung thế</v>
          </cell>
          <cell r="U326">
            <v>2915.45</v>
          </cell>
        </row>
        <row r="327">
          <cell r="L327" t="str">
            <v>Diên Sanh-Nam Hải Lăng</v>
          </cell>
          <cell r="M327" t="str">
            <v>334.39</v>
          </cell>
          <cell r="N327" t="str">
            <v>44.10</v>
          </cell>
          <cell r="O327" t="str">
            <v>16.691837</v>
          </cell>
          <cell r="P327" t="str">
            <v>107.245086</v>
          </cell>
          <cell r="Q327" t="str">
            <v>290.30</v>
          </cell>
          <cell r="R327" t="str">
            <v>16.661896</v>
          </cell>
          <cell r="S327" t="str">
            <v>107.278641</v>
          </cell>
          <cell r="T327" t="str">
            <v>full_h04/Quảng Trị/Mạng cấp IV-Quảng Trị (cũ)/Ring 4/Diên Sanh-Nam Hải Lăng/Tuyến trung thế 1</v>
          </cell>
          <cell r="U327">
            <v>334.39</v>
          </cell>
        </row>
        <row r="328">
          <cell r="L328" t="str">
            <v>TX Quảng Trị - Hải Lăng</v>
          </cell>
          <cell r="M328" t="str">
            <v>196.81</v>
          </cell>
          <cell r="N328" t="str">
            <v>169.47</v>
          </cell>
          <cell r="O328" t="str">
            <v>16.740214</v>
          </cell>
          <cell r="P328" t="str">
            <v>107.192099</v>
          </cell>
          <cell r="Q328" t="str">
            <v>27.34</v>
          </cell>
          <cell r="R328" t="str">
            <v>16.739604</v>
          </cell>
          <cell r="S328" t="str">
            <v>107.188470</v>
          </cell>
          <cell r="T328" t="str">
            <v>full_h04/Quảng Trị/Mạng cấp III- Quảng Trị (cũ)/Công an Quảng Trị/TTCMKV Ring 3/TX Quảng Trị - Hải Lăng/Tuyến hạ thế 3</v>
          </cell>
          <cell r="U328">
            <v>196.81</v>
          </cell>
        </row>
        <row r="329">
          <cell r="L329" t="str">
            <v>PC07 (Đội PCCC khu vực Hải lăng)-Hải Lăng</v>
          </cell>
          <cell r="M329" t="str">
            <v>1246.45</v>
          </cell>
          <cell r="N329" t="str">
            <v>31.11</v>
          </cell>
          <cell r="O329" t="str">
            <v>16.692076</v>
          </cell>
          <cell r="P329" t="str">
            <v>107.245344</v>
          </cell>
          <cell r="Q329" t="str">
            <v>1215.34</v>
          </cell>
          <cell r="R329" t="str">
            <v>16.701003</v>
          </cell>
          <cell r="S329" t="str">
            <v>107.254479</v>
          </cell>
          <cell r="T329" t="str">
            <v>full_h04/Quảng Trị/Mạng cấp III- Quảng Trị (cũ)/Cấp phòng/Phòng-Nhánh lẽ/PC07 (Đội PCCC khu vực Hải lăng)-Hải Lăng/Tuyến cột trung thế</v>
          </cell>
          <cell r="U329">
            <v>1246.45</v>
          </cell>
        </row>
        <row r="330">
          <cell r="L330" t="str">
            <v>PC07 (Đội PCCC khu vực Hải lăng)-Hải Lăng</v>
          </cell>
          <cell r="M330" t="str">
            <v>1246.45</v>
          </cell>
          <cell r="N330" t="str">
            <v>1215.34</v>
          </cell>
          <cell r="O330" t="str">
            <v>16.701003</v>
          </cell>
          <cell r="P330" t="str">
            <v>107.254479</v>
          </cell>
          <cell r="Q330" t="str">
            <v>31.11</v>
          </cell>
          <cell r="R330" t="str">
            <v>16.692076</v>
          </cell>
          <cell r="S330" t="str">
            <v>107.245344</v>
          </cell>
          <cell r="T330" t="str">
            <v>full_h04/Quảng Trị/Mạng cấp III- Quảng Trị (cũ)/Cấp phòng/Phòng-Nhánh lẽ/PC07 (Đội PCCC khu vực Hải lăng)-Hải Lăng/Tuyến cột trung thế</v>
          </cell>
          <cell r="U330">
            <v>1246.45</v>
          </cell>
        </row>
        <row r="331">
          <cell r="L331" t="str">
            <v>Hải Lăng - TT2 Quảng Trị</v>
          </cell>
          <cell r="M331" t="str">
            <v>989.41</v>
          </cell>
          <cell r="N331" t="str">
            <v>30.35</v>
          </cell>
          <cell r="O331" t="str">
            <v>16.692073</v>
          </cell>
          <cell r="P331" t="str">
            <v>107.245351</v>
          </cell>
          <cell r="Q331" t="str">
            <v>959.07</v>
          </cell>
          <cell r="R331" t="str">
            <v>16.744100</v>
          </cell>
          <cell r="S331" t="str">
            <v>107.195866</v>
          </cell>
          <cell r="T331" t="str">
            <v>full_h04/Quảng Trị/Mạng cấp III- Quảng Trị (cũ)/Công an Quảng Trị/TTCMKV Ring 3/Hải Lăng - TT2 Quảng Trị/Tuyến trung thế 1</v>
          </cell>
          <cell r="U331">
            <v>989.41</v>
          </cell>
        </row>
        <row r="332">
          <cell r="L332" t="str">
            <v>Ái Tử-TTCMKV TX Quảng Trị</v>
          </cell>
          <cell r="M332" t="str">
            <v>1967.45</v>
          </cell>
          <cell r="N332" t="str">
            <v>629.55</v>
          </cell>
          <cell r="O332" t="str">
            <v>16.767475</v>
          </cell>
          <cell r="P332" t="str">
            <v>107.192733</v>
          </cell>
          <cell r="Q332" t="str">
            <v>1337.90</v>
          </cell>
          <cell r="R332" t="str">
            <v>16.751204</v>
          </cell>
          <cell r="S332" t="str">
            <v>107.185762</v>
          </cell>
          <cell r="T332" t="str">
            <v>full_h04/Quảng Trị/Mạng cấp IV-Quảng Trị (cũ)/Ring 7/Ái Tử-TTCMKV TX Quảng Trị/Tuyến Trung thế 2</v>
          </cell>
          <cell r="U332">
            <v>1967.45</v>
          </cell>
        </row>
        <row r="333">
          <cell r="L333" t="str">
            <v>Ái Tử-TTCMKV TX Quảng Trị</v>
          </cell>
          <cell r="M333" t="str">
            <v>3005.76</v>
          </cell>
          <cell r="N333" t="str">
            <v>3005.20</v>
          </cell>
          <cell r="O333" t="str">
            <v>16.792856</v>
          </cell>
          <cell r="P333" t="str">
            <v>107.176041</v>
          </cell>
          <cell r="Q333" t="str">
            <v>0.56</v>
          </cell>
          <cell r="R333" t="str">
            <v>16.790996</v>
          </cell>
          <cell r="S333" t="str">
            <v>107.172702</v>
          </cell>
          <cell r="T333" t="str">
            <v>full_h04/Quảng Trị/Mạng cấp IV-Quảng Trị (cũ)/Ring 7/Ái Tử-TTCMKV TX Quảng Trị/Tuyến Hạ thế 3</v>
          </cell>
          <cell r="U333">
            <v>3005.76</v>
          </cell>
        </row>
        <row r="334">
          <cell r="L334" t="str">
            <v>Hải Lăng - TT2 Quảng Trị</v>
          </cell>
          <cell r="M334" t="str">
            <v>3251.83</v>
          </cell>
          <cell r="N334" t="str">
            <v>2219.45</v>
          </cell>
          <cell r="O334" t="str">
            <v>16.777950</v>
          </cell>
          <cell r="P334" t="str">
            <v>107.156925</v>
          </cell>
          <cell r="Q334" t="str">
            <v>1032.38</v>
          </cell>
          <cell r="R334" t="str">
            <v>16.749236</v>
          </cell>
          <cell r="S334" t="str">
            <v>107.178272</v>
          </cell>
          <cell r="T334" t="str">
            <v>full_h04/Quảng Trị/Mạng cấp III- Quảng Trị (cũ)/Công an Quảng Trị/TTCMKV Ring 3/Hải Lăng - TT2 Quảng Trị/Tuyến trung thế 3</v>
          </cell>
          <cell r="U334">
            <v>3251.83</v>
          </cell>
        </row>
        <row r="335">
          <cell r="L335" t="str">
            <v>Ái Tử-TTCMKV TX Quảng Trị</v>
          </cell>
          <cell r="M335" t="str">
            <v>185.49</v>
          </cell>
          <cell r="N335" t="str">
            <v>155.45</v>
          </cell>
          <cell r="O335" t="str">
            <v>16.741446</v>
          </cell>
          <cell r="P335" t="str">
            <v>107.185410</v>
          </cell>
          <cell r="Q335" t="str">
            <v>30.04</v>
          </cell>
          <cell r="R335" t="str">
            <v>16.739592</v>
          </cell>
          <cell r="S335" t="str">
            <v>107.188083</v>
          </cell>
          <cell r="T335" t="str">
            <v>full_h04/Quảng Trị/Mạng cấp IV-Quảng Trị (cũ)/Ring 7/Ái Tử-TTCMKV TX Quảng Trị/Tuyến Hạ thế 5</v>
          </cell>
          <cell r="U335">
            <v>185.49</v>
          </cell>
        </row>
        <row r="336">
          <cell r="L336" t="str">
            <v>Nam Cửa Việt - Triệu Cơ</v>
          </cell>
          <cell r="M336" t="str">
            <v>3373.30</v>
          </cell>
          <cell r="N336" t="str">
            <v>30.58</v>
          </cell>
          <cell r="O336" t="str">
            <v>16.794289</v>
          </cell>
          <cell r="P336" t="str">
            <v>107.244959</v>
          </cell>
          <cell r="Q336" t="str">
            <v>3342.73</v>
          </cell>
          <cell r="R336" t="str">
            <v>16.771896</v>
          </cell>
          <cell r="S336" t="str">
            <v>107.225466</v>
          </cell>
          <cell r="T336" t="str">
            <v>full_h04/Quảng Trị/Mạng cấp IV-Quảng Trị (cũ)/Ring 5/Nam Cửa Việt - Triệu Cơ/Tuyến trung thế 3</v>
          </cell>
          <cell r="U336">
            <v>3373.3</v>
          </cell>
        </row>
        <row r="337">
          <cell r="L337" t="str">
            <v>Quảng Trị-PC07 (Đội PCCC khu vực 5)</v>
          </cell>
          <cell r="M337" t="str">
            <v>113.37</v>
          </cell>
          <cell r="N337" t="str">
            <v>83.81</v>
          </cell>
          <cell r="O337" t="str">
            <v>16.755588</v>
          </cell>
          <cell r="P337" t="str">
            <v>107.198543</v>
          </cell>
          <cell r="Q337" t="str">
            <v>29.56</v>
          </cell>
          <cell r="R337" t="str">
            <v>16.739565</v>
          </cell>
          <cell r="S337" t="str">
            <v>107.188067</v>
          </cell>
          <cell r="T337" t="str">
            <v>full_h04/Quảng Trị/Mạng cấp IV-Quảng Trị (cũ)/Ring 5/Quảng Trị-PC07 (Đội PCCC khu vực 5)/Tuyến trung thế</v>
          </cell>
          <cell r="U337">
            <v>113.37</v>
          </cell>
        </row>
        <row r="338">
          <cell r="L338" t="str">
            <v>TTCMKV Triệu Phong - TX Quảng Trị</v>
          </cell>
          <cell r="M338" t="str">
            <v>617.42</v>
          </cell>
          <cell r="N338" t="str">
            <v>570.32</v>
          </cell>
          <cell r="O338" t="str">
            <v>16.741590</v>
          </cell>
          <cell r="P338" t="str">
            <v>107.183447</v>
          </cell>
          <cell r="Q338" t="str">
            <v>47.10</v>
          </cell>
          <cell r="R338" t="str">
            <v>16.747253</v>
          </cell>
          <cell r="S338" t="str">
            <v>107.177973</v>
          </cell>
          <cell r="T338" t="str">
            <v>full_h04/Quảng Trị/Mạng cấp III- Quảng Trị (cũ)/Cấp phòng/Phòng-Ring 7/TTCMKV Triệu Phong - TX Quảng Trị/Tuyến Hạ Thế 2 ( Có đoạn băng cầu)</v>
          </cell>
          <cell r="U338">
            <v>617.41999999999996</v>
          </cell>
        </row>
        <row r="339">
          <cell r="L339" t="str">
            <v>TTCMKV Triệu Phong - TX Quảng Trị</v>
          </cell>
          <cell r="M339" t="str">
            <v>617.42</v>
          </cell>
          <cell r="N339" t="str">
            <v>47.10</v>
          </cell>
          <cell r="O339" t="str">
            <v>16.747253</v>
          </cell>
          <cell r="P339" t="str">
            <v>107.177973</v>
          </cell>
          <cell r="Q339" t="str">
            <v>570.32</v>
          </cell>
          <cell r="R339" t="str">
            <v>16.741590</v>
          </cell>
          <cell r="S339" t="str">
            <v>107.183447</v>
          </cell>
          <cell r="T339" t="str">
            <v>full_h04/Quảng Trị/Mạng cấp III- Quảng Trị (cũ)/Cấp phòng/Phòng-Ring 7/TTCMKV Triệu Phong - TX Quảng Trị/Tuyến Hạ Thế 2 ( Có đoạn băng cầu)</v>
          </cell>
          <cell r="U339">
            <v>617.41999999999996</v>
          </cell>
        </row>
        <row r="340">
          <cell r="L340" t="str">
            <v>Hải Lăng - TT2 Quảng Trị</v>
          </cell>
          <cell r="M340" t="str">
            <v>975.49</v>
          </cell>
          <cell r="N340" t="str">
            <v>945.15</v>
          </cell>
          <cell r="O340" t="str">
            <v>16.718718</v>
          </cell>
          <cell r="P340" t="str">
            <v>107.222302</v>
          </cell>
          <cell r="Q340" t="str">
            <v>30.35</v>
          </cell>
          <cell r="R340" t="str">
            <v>16.692073</v>
          </cell>
          <cell r="S340" t="str">
            <v>107.245351</v>
          </cell>
          <cell r="T340" t="str">
            <v>full_h04/Quảng Trị/Mạng cấp III- Quảng Trị (cũ)/Công an Quảng Trị/TTCMKV Ring 3/Hải Lăng - TT2 Quảng Trị/Tuyến trung thế 1</v>
          </cell>
          <cell r="U340">
            <v>975.49</v>
          </cell>
        </row>
        <row r="341">
          <cell r="L341" t="str">
            <v>Gio Linh-Đông Hà</v>
          </cell>
          <cell r="M341" t="str">
            <v>58.35</v>
          </cell>
          <cell r="N341" t="str">
            <v>29.18</v>
          </cell>
          <cell r="O341" t="str">
            <v>16.815601</v>
          </cell>
          <cell r="P341" t="str">
            <v>107.090208</v>
          </cell>
          <cell r="Q341" t="str">
            <v>29.17</v>
          </cell>
          <cell r="R341" t="str">
            <v>16.812353</v>
          </cell>
          <cell r="S341" t="str">
            <v>107.089033</v>
          </cell>
          <cell r="T341" t="str">
            <v>full_h04/Quảng Trị/Mạng cấp IV-Quảng Trị (cũ)/Ring 3/Gio Linh-Đông Hà/Tuyến trung thế 5</v>
          </cell>
          <cell r="U341">
            <v>58.35</v>
          </cell>
        </row>
        <row r="342">
          <cell r="L342" t="str">
            <v>Cửa Tùng-Phòng PH10 (Nhà Nghỉ dưỡng Cửa Việt)</v>
          </cell>
          <cell r="M342" t="str">
            <v>824.87</v>
          </cell>
          <cell r="N342" t="str">
            <v>240.69</v>
          </cell>
          <cell r="O342" t="str">
            <v>16.933150</v>
          </cell>
          <cell r="P342" t="str">
            <v>107.160359</v>
          </cell>
          <cell r="Q342" t="str">
            <v>584.18</v>
          </cell>
          <cell r="R342" t="str">
            <v>16.909170</v>
          </cell>
          <cell r="S342" t="str">
            <v>107.181069</v>
          </cell>
          <cell r="T342" t="str">
            <v>full_h04/Quảng Trị/Mạng cấp IV-Quảng Trị (cũ)/Ring 2/Cửa Tùng-Phòng PH10 (Nhà Nghỉ dưỡng Cửa Việt)/Tuyến trung thế 3</v>
          </cell>
          <cell r="U342">
            <v>824.87</v>
          </cell>
        </row>
        <row r="343">
          <cell r="L343" t="str">
            <v>Trung tâm sát hạch lái xe - TX Quảng Trị</v>
          </cell>
          <cell r="M343" t="str">
            <v>1209.60</v>
          </cell>
          <cell r="N343" t="str">
            <v>897.53</v>
          </cell>
          <cell r="O343" t="str">
            <v>16.783339</v>
          </cell>
          <cell r="P343" t="str">
            <v>107.109214</v>
          </cell>
          <cell r="Q343" t="str">
            <v>312.07</v>
          </cell>
          <cell r="R343" t="str">
            <v>16.786483</v>
          </cell>
          <cell r="S343" t="str">
            <v>107.105590</v>
          </cell>
          <cell r="T343" t="str">
            <v>full_h04/Quảng Trị/Mạng cấp III- Quảng Trị (cũ)/Cấp phòng/Phòng-Ring 4/Trung tâm sát hạch lái xe - TX Quảng Trị/Tuyến trung thế 2</v>
          </cell>
          <cell r="U343">
            <v>1209.5999999999999</v>
          </cell>
        </row>
        <row r="344">
          <cell r="L344" t="str">
            <v>TT2 Quảng Trị-PC07</v>
          </cell>
          <cell r="M344" t="str">
            <v>131.01</v>
          </cell>
          <cell r="N344" t="str">
            <v>90.65</v>
          </cell>
          <cell r="O344" t="str">
            <v>16.790571</v>
          </cell>
          <cell r="P344" t="str">
            <v>107.099158</v>
          </cell>
          <cell r="Q344" t="str">
            <v>40.36</v>
          </cell>
          <cell r="R344" t="str">
            <v>16.790599</v>
          </cell>
          <cell r="S344" t="str">
            <v>107.091199</v>
          </cell>
          <cell r="T344" t="str">
            <v>full_h04/Quảng Trị/Mạng cấp III- Quảng Trị (cũ)/Cấp phòng/Phòng-Ring 5/TT2 Quảng Trị-PC07/Tuyến trung thế 3</v>
          </cell>
          <cell r="U344">
            <v>131.01</v>
          </cell>
        </row>
        <row r="345">
          <cell r="L345" t="str">
            <v>Hiếu Giang-CA Công an Quảng Trị</v>
          </cell>
          <cell r="M345" t="str">
            <v>250.41</v>
          </cell>
          <cell r="N345" t="str">
            <v>246.40</v>
          </cell>
          <cell r="O345" t="str">
            <v>16.789893</v>
          </cell>
          <cell r="P345" t="str">
            <v>107.065859</v>
          </cell>
          <cell r="Q345" t="str">
            <v>4.01</v>
          </cell>
          <cell r="R345" t="str">
            <v>16.790272</v>
          </cell>
          <cell r="S345" t="str">
            <v>107.090967</v>
          </cell>
          <cell r="T345" t="str">
            <v>full_h04/Quảng Trị/Mạng cấp IV-Quảng Trị (cũ)/Ring 2/Hiếu Giang-CA Công an Quảng Trị/Tuyến trung thế 1</v>
          </cell>
          <cell r="U345">
            <v>250.41</v>
          </cell>
        </row>
        <row r="346">
          <cell r="L346" t="str">
            <v>Cam Lộ - Nam Đông Hà</v>
          </cell>
          <cell r="M346" t="str">
            <v>106.05</v>
          </cell>
          <cell r="N346" t="str">
            <v>72.54</v>
          </cell>
          <cell r="O346" t="str">
            <v>16.814690</v>
          </cell>
          <cell r="P346" t="str">
            <v>107.100023</v>
          </cell>
          <cell r="Q346" t="str">
            <v>33.50</v>
          </cell>
          <cell r="R346" t="str">
            <v>16.815836</v>
          </cell>
          <cell r="S346" t="str">
            <v>107.105145</v>
          </cell>
          <cell r="T346" t="str">
            <v>full_h04/Quảng Trị/Mạng cấp IV-Quảng Trị (cũ)/Ring 6/Cam Lộ - Nam Đông Hà/Tuyến hạ thế 4</v>
          </cell>
          <cell r="U346">
            <v>106.05</v>
          </cell>
        </row>
        <row r="347">
          <cell r="L347" t="str">
            <v>CA Công an Quảng Trị-Triệu Phong</v>
          </cell>
          <cell r="M347" t="str">
            <v>574.45</v>
          </cell>
          <cell r="N347" t="str">
            <v>408.39</v>
          </cell>
          <cell r="O347" t="str">
            <v>16.794229</v>
          </cell>
          <cell r="P347" t="str">
            <v>107.112510</v>
          </cell>
          <cell r="Q347" t="str">
            <v>166.06</v>
          </cell>
          <cell r="R347" t="str">
            <v>16.790262</v>
          </cell>
          <cell r="S347" t="str">
            <v>107.103460</v>
          </cell>
          <cell r="T347" t="str">
            <v>full_h04/Quảng Trị/Mạng cấp IV-Quảng Trị (cũ)/Ring 7/CA Công an Quảng Trị-Triệu Phong/Tuyến Trung thế</v>
          </cell>
          <cell r="U347">
            <v>574.45000000000005</v>
          </cell>
        </row>
        <row r="348">
          <cell r="L348" t="str">
            <v>Đông Hà-CA Công an Quảng Trị</v>
          </cell>
          <cell r="M348" t="str">
            <v>396.96</v>
          </cell>
          <cell r="N348" t="str">
            <v>197.76</v>
          </cell>
          <cell r="O348" t="str">
            <v>16.800302</v>
          </cell>
          <cell r="P348" t="str">
            <v>107.092807</v>
          </cell>
          <cell r="Q348" t="str">
            <v>199.20</v>
          </cell>
          <cell r="R348" t="str">
            <v>16.800886</v>
          </cell>
          <cell r="S348" t="str">
            <v>107.085670</v>
          </cell>
          <cell r="T348" t="str">
            <v>full_h04/Quảng Trị/Mạng cấp IV-Quảng Trị (cũ)/Ring 3/Đông Hà-CA Công an Quảng Trị/Tuyến trung thế 1</v>
          </cell>
          <cell r="U348">
            <v>396.96</v>
          </cell>
        </row>
        <row r="349">
          <cell r="L349" t="str">
            <v>Cửa Tùng-Phòng PH10 (Nhà Nghỉ dưỡng Cửa Việt)</v>
          </cell>
          <cell r="M349" t="str">
            <v>81.65</v>
          </cell>
          <cell r="N349" t="str">
            <v>58.75</v>
          </cell>
          <cell r="O349" t="str">
            <v>16.997064</v>
          </cell>
          <cell r="P349" t="str">
            <v>107.109176</v>
          </cell>
          <cell r="Q349" t="str">
            <v>22.90</v>
          </cell>
          <cell r="R349" t="str">
            <v>16.988969</v>
          </cell>
          <cell r="S349" t="str">
            <v>107.106525</v>
          </cell>
          <cell r="T349" t="str">
            <v>full_h04/Quảng Trị/Mạng cấp IV-Quảng Trị (cũ)/Ring 2/Cửa Tùng-Phòng PH10 (Nhà Nghỉ dưỡng Cửa Việt)/Tuyến trung thế 1</v>
          </cell>
          <cell r="U349">
            <v>81.650000000000006</v>
          </cell>
        </row>
        <row r="350">
          <cell r="L350" t="str">
            <v>Triệu Phong-Ái Tử</v>
          </cell>
          <cell r="M350" t="str">
            <v>892.75</v>
          </cell>
          <cell r="N350" t="str">
            <v>881.84</v>
          </cell>
          <cell r="O350" t="str">
            <v>16.789978</v>
          </cell>
          <cell r="P350" t="str">
            <v>107.170577</v>
          </cell>
          <cell r="Q350" t="str">
            <v>10.92</v>
          </cell>
          <cell r="R350" t="str">
            <v>16.791053</v>
          </cell>
          <cell r="S350" t="str">
            <v>107.172613</v>
          </cell>
          <cell r="T350" t="str">
            <v>full_h04/Quảng Trị/Mạng cấp IV-Quảng Trị (cũ)/Ring 7/Triệu Phong-Ái Tử/Tuyến hạ thế</v>
          </cell>
          <cell r="U350">
            <v>892.75</v>
          </cell>
        </row>
        <row r="351">
          <cell r="L351" t="str">
            <v>PC07 (Đội PCCC khu vực 5)-Triệu Cơ</v>
          </cell>
          <cell r="M351" t="str">
            <v>160.44</v>
          </cell>
          <cell r="N351" t="str">
            <v>38.99</v>
          </cell>
          <cell r="O351" t="str">
            <v>16.756113</v>
          </cell>
          <cell r="P351" t="str">
            <v>107.198879</v>
          </cell>
          <cell r="Q351" t="str">
            <v>121.44</v>
          </cell>
          <cell r="R351" t="str">
            <v>16.764667</v>
          </cell>
          <cell r="S351" t="str">
            <v>107.204076</v>
          </cell>
          <cell r="T351" t="str">
            <v>full_h04/Quảng Trị/Mạng cấp IV-Quảng Trị (cũ)/Ring 5/PC07 (Đội PCCC khu vực 5)-Triệu Cơ/Tuyến trung thế 2</v>
          </cell>
          <cell r="U351">
            <v>160.44</v>
          </cell>
        </row>
        <row r="352">
          <cell r="L352" t="str">
            <v>Mỹ Thủy - Vĩnh Định</v>
          </cell>
          <cell r="M352" t="str">
            <v>201.03</v>
          </cell>
          <cell r="N352" t="str">
            <v>9.82</v>
          </cell>
          <cell r="O352" t="str">
            <v>16.764587</v>
          </cell>
          <cell r="P352" t="str">
            <v>107.223982</v>
          </cell>
          <cell r="Q352" t="str">
            <v>191.20</v>
          </cell>
          <cell r="R352" t="str">
            <v>16.765232</v>
          </cell>
          <cell r="S352" t="str">
            <v>107.222107</v>
          </cell>
          <cell r="T352" t="str">
            <v>full_h04/Quảng Trị/Mạng cấp IV-Quảng Trị (cũ)/Ring 4/Mỹ Thủy - Vĩnh Định/Tuyến hạ thế 1</v>
          </cell>
          <cell r="U352">
            <v>201.03</v>
          </cell>
        </row>
        <row r="353">
          <cell r="L353" t="str">
            <v>Nam Cửa Việt - Triệu Cơ</v>
          </cell>
          <cell r="M353" t="str">
            <v>583.29</v>
          </cell>
          <cell r="N353" t="str">
            <v>537.22</v>
          </cell>
          <cell r="O353" t="str">
            <v>16.768227</v>
          </cell>
          <cell r="P353" t="str">
            <v>107.229687</v>
          </cell>
          <cell r="Q353" t="str">
            <v>46.07</v>
          </cell>
          <cell r="R353" t="str">
            <v>16.763350</v>
          </cell>
          <cell r="S353" t="str">
            <v>107.242775</v>
          </cell>
          <cell r="T353" t="str">
            <v>full_h04/Quảng Trị/Mạng cấp IV-Quảng Trị (cũ)/Ring 5/Nam Cửa Việt - Triệu Cơ/Tuyến trung thế 3</v>
          </cell>
          <cell r="U353">
            <v>583.29</v>
          </cell>
        </row>
        <row r="354">
          <cell r="L354" t="str">
            <v>Mỹ Thủy - Vĩnh Định</v>
          </cell>
          <cell r="M354" t="str">
            <v>848.47</v>
          </cell>
          <cell r="N354" t="str">
            <v>341.64</v>
          </cell>
          <cell r="O354" t="str">
            <v>16.766484</v>
          </cell>
          <cell r="P354" t="str">
            <v>107.242845</v>
          </cell>
          <cell r="Q354" t="str">
            <v>506.83</v>
          </cell>
          <cell r="R354" t="str">
            <v>16.771798</v>
          </cell>
          <cell r="S354" t="str">
            <v>107.261014</v>
          </cell>
          <cell r="T354" t="str">
            <v>full_h04/Quảng Trị/Mạng cấp IV-Quảng Trị (cũ)/Ring 4/Mỹ Thủy - Vĩnh Định/Tuyến trung thế 1</v>
          </cell>
          <cell r="U354">
            <v>848.47</v>
          </cell>
        </row>
        <row r="355">
          <cell r="L355" t="str">
            <v>Mỹ Thủy - Vĩnh Định</v>
          </cell>
          <cell r="M355" t="str">
            <v>367.90</v>
          </cell>
          <cell r="N355" t="str">
            <v>322.75</v>
          </cell>
          <cell r="O355" t="str">
            <v>16.734660</v>
          </cell>
          <cell r="P355" t="str">
            <v>107.321911</v>
          </cell>
          <cell r="Q355" t="str">
            <v>45.14</v>
          </cell>
          <cell r="R355" t="str">
            <v>16.726124</v>
          </cell>
          <cell r="S355" t="str">
            <v>107.334998</v>
          </cell>
          <cell r="T355" t="str">
            <v>full_h04/Quảng Trị/Mạng cấp IV-Quảng Trị (cũ)/Ring 4/Mỹ Thủy - Vĩnh Định/Tuyến trung thế 3</v>
          </cell>
          <cell r="U355">
            <v>367.9</v>
          </cell>
        </row>
        <row r="356">
          <cell r="L356" t="str">
            <v>Quảng Trị-PC07 (Đội PCCC khu vực 5)</v>
          </cell>
          <cell r="M356" t="str">
            <v>312.67</v>
          </cell>
          <cell r="N356" t="str">
            <v>228.86</v>
          </cell>
          <cell r="O356" t="str">
            <v>16.749626</v>
          </cell>
          <cell r="P356" t="str">
            <v>107.193959</v>
          </cell>
          <cell r="Q356" t="str">
            <v>83.81</v>
          </cell>
          <cell r="R356" t="str">
            <v>16.755588</v>
          </cell>
          <cell r="S356" t="str">
            <v>107.198543</v>
          </cell>
          <cell r="T356" t="str">
            <v>full_h04/Quảng Trị/Mạng cấp IV-Quảng Trị (cũ)/Ring 5/Quảng Trị-PC07 (Đội PCCC khu vực 5)/Tuyến trung thế</v>
          </cell>
          <cell r="U356">
            <v>312.67</v>
          </cell>
        </row>
        <row r="357">
          <cell r="L357" t="str">
            <v>Nam hải Lăng - Mỹ Thủy</v>
          </cell>
          <cell r="M357" t="str">
            <v>4600.14</v>
          </cell>
          <cell r="N357" t="str">
            <v>4504.26</v>
          </cell>
          <cell r="O357" t="str">
            <v>16.720812</v>
          </cell>
          <cell r="P357" t="str">
            <v>107.344017</v>
          </cell>
          <cell r="Q357" t="str">
            <v>95.88</v>
          </cell>
          <cell r="R357" t="str">
            <v>16.725816</v>
          </cell>
          <cell r="S357" t="str">
            <v>107.335505</v>
          </cell>
          <cell r="T357" t="str">
            <v>full_h04/Quảng Trị/Mạng cấp IV-Quảng Trị (cũ)/Ring 4/Nam hải Lăng - Mỹ Thủy/Tuyến trung thế 1</v>
          </cell>
          <cell r="U357">
            <v>4600.1400000000003</v>
          </cell>
        </row>
        <row r="358">
          <cell r="L358" t="str">
            <v>Diên Sanh-Nam Hải Lăng</v>
          </cell>
          <cell r="M358" t="str">
            <v>3153.37</v>
          </cell>
          <cell r="N358" t="str">
            <v>3109.27</v>
          </cell>
          <cell r="O358" t="str">
            <v>16.660246</v>
          </cell>
          <cell r="P358" t="str">
            <v>107.280727</v>
          </cell>
          <cell r="Q358" t="str">
            <v>44.10</v>
          </cell>
          <cell r="R358" t="str">
            <v>16.691837</v>
          </cell>
          <cell r="S358" t="str">
            <v>107.245086</v>
          </cell>
          <cell r="T358" t="str">
            <v>full_h04/Quảng Trị/Mạng cấp IV-Quảng Trị (cũ)/Ring 4/Diên Sanh-Nam Hải Lăng/Tuyến trung thế 1</v>
          </cell>
          <cell r="U358">
            <v>3153.37</v>
          </cell>
        </row>
        <row r="359">
          <cell r="L359" t="str">
            <v>PA09 - TP Đông Hà</v>
          </cell>
          <cell r="M359" t="str">
            <v>664.55</v>
          </cell>
          <cell r="N359" t="str">
            <v>574.74</v>
          </cell>
          <cell r="O359" t="str">
            <v>16.812517</v>
          </cell>
          <cell r="P359" t="str">
            <v>107.106554</v>
          </cell>
          <cell r="Q359" t="str">
            <v>89.80</v>
          </cell>
          <cell r="R359" t="str">
            <v>16.790647</v>
          </cell>
          <cell r="S359" t="str">
            <v>107.105089</v>
          </cell>
          <cell r="T359" t="str">
            <v>full_h04/Quảng Trị/Mạng cấp III- Quảng Trị (cũ)/Cấp phòng/Phòng-Ring 6/PA09 - TP Đông Hà/Tuyến Trung thế</v>
          </cell>
          <cell r="U359">
            <v>664.55</v>
          </cell>
        </row>
        <row r="360">
          <cell r="L360" t="str">
            <v>TT2 Quảng Trị - Đăk Rông</v>
          </cell>
          <cell r="M360" t="str">
            <v>2305.08</v>
          </cell>
          <cell r="N360" t="str">
            <v>2240.84</v>
          </cell>
          <cell r="O360" t="str">
            <v>16.803405</v>
          </cell>
          <cell r="P360" t="str">
            <v>107.021788</v>
          </cell>
          <cell r="Q360" t="str">
            <v>64.25</v>
          </cell>
          <cell r="R360" t="str">
            <v>16.790624</v>
          </cell>
          <cell r="S360" t="str">
            <v>107.103763</v>
          </cell>
          <cell r="T360" t="str">
            <v>full_h04/Quảng Trị/Mạng cấp III- Quảng Trị (cũ)/Công an Quảng Trị/TTCMKV Ring 4/TT2 Quảng Trị - Đăk Rông/Tuyến Trung thế 1</v>
          </cell>
          <cell r="U360">
            <v>2305.08</v>
          </cell>
        </row>
        <row r="361">
          <cell r="L361" t="str">
            <v>PA09 - TP Đông Hà</v>
          </cell>
          <cell r="M361" t="str">
            <v>731.79</v>
          </cell>
          <cell r="N361" t="str">
            <v>641.99</v>
          </cell>
          <cell r="O361" t="str">
            <v>16.801244</v>
          </cell>
          <cell r="P361" t="str">
            <v>107.114485</v>
          </cell>
          <cell r="Q361" t="str">
            <v>89.80</v>
          </cell>
          <cell r="R361" t="str">
            <v>16.790647</v>
          </cell>
          <cell r="S361" t="str">
            <v>107.105089</v>
          </cell>
          <cell r="T361" t="str">
            <v>full_h04/Quảng Trị/Mạng cấp III- Quảng Trị (cũ)/Cấp phòng/Phòng-Ring 6/PA09 - TP Đông Hà/Tuyến Trung thế</v>
          </cell>
          <cell r="U361">
            <v>731.79</v>
          </cell>
        </row>
        <row r="362">
          <cell r="L362" t="str">
            <v>PA09 - TP Đông Hà</v>
          </cell>
          <cell r="M362" t="str">
            <v>132.40</v>
          </cell>
          <cell r="N362" t="str">
            <v>42.59</v>
          </cell>
          <cell r="O362" t="str">
            <v>16.804106</v>
          </cell>
          <cell r="P362" t="str">
            <v>107.113777</v>
          </cell>
          <cell r="Q362" t="str">
            <v>89.80</v>
          </cell>
          <cell r="R362" t="str">
            <v>16.790647</v>
          </cell>
          <cell r="S362" t="str">
            <v>107.105089</v>
          </cell>
          <cell r="T362" t="str">
            <v>full_h04/Quảng Trị/Mạng cấp III- Quảng Trị (cũ)/Cấp phòng/Phòng-Ring 6/PA09 - TP Đông Hà/Tuyến Trung thế</v>
          </cell>
          <cell r="U362">
            <v>132.4</v>
          </cell>
        </row>
        <row r="363">
          <cell r="L363" t="str">
            <v>Vĩnh Linh - TT2 Quảng Trị</v>
          </cell>
          <cell r="M363" t="str">
            <v>412.50</v>
          </cell>
          <cell r="N363" t="str">
            <v>82.72</v>
          </cell>
          <cell r="O363" t="str">
            <v>16.815229</v>
          </cell>
          <cell r="P363" t="str">
            <v>107.110372</v>
          </cell>
          <cell r="Q363" t="str">
            <v>329.79</v>
          </cell>
          <cell r="R363" t="str">
            <v>16.817404</v>
          </cell>
          <cell r="S363" t="str">
            <v>107.107906</v>
          </cell>
          <cell r="T363" t="str">
            <v>full_h04/Quảng Trị/Mạng cấp III- Quảng Trị (cũ)/Công an Quảng Trị/TTCMKV Ring 4/Vĩnh Linh - TT2 Quảng Trị/Tuyến trung thế</v>
          </cell>
          <cell r="U363">
            <v>412.5</v>
          </cell>
        </row>
        <row r="364">
          <cell r="L364" t="str">
            <v>PA09 - TP Đông Hà</v>
          </cell>
          <cell r="M364" t="str">
            <v>883.07</v>
          </cell>
          <cell r="N364" t="str">
            <v>662.15</v>
          </cell>
          <cell r="O364" t="str">
            <v>16.810613</v>
          </cell>
          <cell r="P364" t="str">
            <v>107.108340</v>
          </cell>
          <cell r="Q364" t="str">
            <v>220.92</v>
          </cell>
          <cell r="R364" t="str">
            <v>16.790647</v>
          </cell>
          <cell r="S364" t="str">
            <v>107.105089</v>
          </cell>
          <cell r="T364" t="str">
            <v>full_h04/Quảng Trị/Mạng cấp III- Quảng Trị (cũ)/Cấp phòng/Phòng-Ring 6/PA09 - TP Đông Hà/Tuyến Trung thế</v>
          </cell>
          <cell r="U364">
            <v>883.07</v>
          </cell>
        </row>
        <row r="365">
          <cell r="L365" t="str">
            <v>PA07</v>
          </cell>
          <cell r="M365" t="str">
            <v>139.76</v>
          </cell>
          <cell r="N365" t="str">
            <v>90.53</v>
          </cell>
          <cell r="O365" t="str">
            <v>16.789712</v>
          </cell>
          <cell r="P365" t="str">
            <v>107.104035</v>
          </cell>
          <cell r="Q365" t="str">
            <v>49.23</v>
          </cell>
          <cell r="R365" t="str">
            <v>16.790007</v>
          </cell>
          <cell r="S365" t="str">
            <v>107.104020</v>
          </cell>
          <cell r="T365" t="str">
            <v>full_h04/Quảng Trị/Mạng cấp III- Quảng Trị (cũ)/Cấp phòng/Phòng-Ring 5/Khối CS-PC04/PA07/Tuyến Ngầm mới (Nhập trạm)</v>
          </cell>
          <cell r="U365">
            <v>139.76</v>
          </cell>
        </row>
        <row r="366">
          <cell r="L366" t="str">
            <v>PC07-Khối CS</v>
          </cell>
          <cell r="M366" t="str">
            <v>682.54</v>
          </cell>
          <cell r="N366" t="str">
            <v>411.42</v>
          </cell>
          <cell r="O366" t="str">
            <v>16.815262</v>
          </cell>
          <cell r="P366" t="str">
            <v>107.097443</v>
          </cell>
          <cell r="Q366" t="str">
            <v>271.13</v>
          </cell>
          <cell r="R366" t="str">
            <v>16.809928</v>
          </cell>
          <cell r="S366" t="str">
            <v>107.098350</v>
          </cell>
          <cell r="T366" t="str">
            <v>full_h04/Quảng Trị/Mạng cấp III- Quảng Trị (cũ)/Cấp phòng/Phòng-Ring 5/PC07-Khối CS/Tuyến trung thế 1</v>
          </cell>
          <cell r="U366">
            <v>682.54</v>
          </cell>
        </row>
        <row r="367">
          <cell r="L367" t="str">
            <v>PA09 - TP Đông Hà</v>
          </cell>
          <cell r="M367" t="str">
            <v>1197.22</v>
          </cell>
          <cell r="N367" t="str">
            <v>1107.42</v>
          </cell>
          <cell r="O367" t="str">
            <v>16.814189</v>
          </cell>
          <cell r="P367" t="str">
            <v>107.104940</v>
          </cell>
          <cell r="Q367" t="str">
            <v>89.80</v>
          </cell>
          <cell r="R367" t="str">
            <v>16.790647</v>
          </cell>
          <cell r="S367" t="str">
            <v>107.105089</v>
          </cell>
          <cell r="T367" t="str">
            <v>full_h04/Quảng Trị/Mạng cấp III- Quảng Trị (cũ)/Cấp phòng/Phòng-Ring 6/PA09 - TP Đông Hà/Tuyến Trung thế</v>
          </cell>
          <cell r="U367">
            <v>1197.22</v>
          </cell>
        </row>
        <row r="368">
          <cell r="L368" t="str">
            <v>PA09 - TP Đông Hà</v>
          </cell>
          <cell r="M368" t="str">
            <v>1086.74</v>
          </cell>
          <cell r="N368" t="str">
            <v>996.93</v>
          </cell>
          <cell r="O368" t="str">
            <v>16.813187</v>
          </cell>
          <cell r="P368" t="str">
            <v>107.105927</v>
          </cell>
          <cell r="Q368" t="str">
            <v>89.80</v>
          </cell>
          <cell r="R368" t="str">
            <v>16.790647</v>
          </cell>
          <cell r="S368" t="str">
            <v>107.105089</v>
          </cell>
          <cell r="T368" t="str">
            <v>full_h04/Quảng Trị/Mạng cấp III- Quảng Trị (cũ)/Cấp phòng/Phòng-Ring 6/PA09 - TP Đông Hà/Tuyến Trung thế</v>
          </cell>
          <cell r="U368">
            <v>1086.74</v>
          </cell>
        </row>
        <row r="369">
          <cell r="L369" t="str">
            <v>Gio Linh-Đông Hà</v>
          </cell>
          <cell r="M369" t="str">
            <v>40.90</v>
          </cell>
          <cell r="N369" t="str">
            <v>11.73</v>
          </cell>
          <cell r="O369" t="str">
            <v>16.819821</v>
          </cell>
          <cell r="P369" t="str">
            <v>107.090867</v>
          </cell>
          <cell r="Q369" t="str">
            <v>29.17</v>
          </cell>
          <cell r="R369" t="str">
            <v>16.812353</v>
          </cell>
          <cell r="S369" t="str">
            <v>107.089033</v>
          </cell>
          <cell r="T369" t="str">
            <v>full_h04/Quảng Trị/Mạng cấp IV-Quảng Trị (cũ)/Ring 3/Gio Linh-Đông Hà/Tuyến trung thế 5</v>
          </cell>
          <cell r="U369">
            <v>40.9</v>
          </cell>
        </row>
        <row r="370">
          <cell r="L370" t="str">
            <v>Gio Linh-Đông Hà</v>
          </cell>
          <cell r="M370" t="str">
            <v>44.28</v>
          </cell>
          <cell r="N370" t="str">
            <v>29.17</v>
          </cell>
          <cell r="O370" t="str">
            <v>16.812353</v>
          </cell>
          <cell r="P370" t="str">
            <v>107.089033</v>
          </cell>
          <cell r="Q370" t="str">
            <v>15.10</v>
          </cell>
          <cell r="R370" t="str">
            <v>16.813209</v>
          </cell>
          <cell r="S370" t="str">
            <v>107.088835</v>
          </cell>
          <cell r="T370" t="str">
            <v>full_h04/Quảng Trị/Mạng cấp IV-Quảng Trị (cũ)/Ring 3/Gio Linh-Đông Hà/Tuyến trung thế 5</v>
          </cell>
          <cell r="U370">
            <v>44.28</v>
          </cell>
        </row>
        <row r="371">
          <cell r="L371" t="str">
            <v>Đông Hà-CA Công an Quảng Trị</v>
          </cell>
          <cell r="M371" t="str">
            <v>728.56</v>
          </cell>
          <cell r="N371" t="str">
            <v>529.36</v>
          </cell>
          <cell r="O371" t="str">
            <v>16.808980</v>
          </cell>
          <cell r="P371" t="str">
            <v>107.086501</v>
          </cell>
          <cell r="Q371" t="str">
            <v>199.20</v>
          </cell>
          <cell r="R371" t="str">
            <v>16.800886</v>
          </cell>
          <cell r="S371" t="str">
            <v>107.085670</v>
          </cell>
          <cell r="T371" t="str">
            <v>full_h04/Quảng Trị/Mạng cấp IV-Quảng Trị (cũ)/Ring 3/Đông Hà-CA Công an Quảng Trị/Tuyến trung thế 1</v>
          </cell>
          <cell r="U371">
            <v>728.56</v>
          </cell>
        </row>
        <row r="372">
          <cell r="L372" t="str">
            <v>PA07</v>
          </cell>
          <cell r="M372" t="str">
            <v>437.57</v>
          </cell>
          <cell r="N372" t="str">
            <v>280.22</v>
          </cell>
          <cell r="O372" t="str">
            <v>16.798743</v>
          </cell>
          <cell r="P372" t="str">
            <v>107.087372</v>
          </cell>
          <cell r="Q372" t="str">
            <v>157.35</v>
          </cell>
          <cell r="R372" t="str">
            <v>16.790248</v>
          </cell>
          <cell r="S372" t="str">
            <v>107.089523</v>
          </cell>
          <cell r="T372" t="str">
            <v>full_h04/Quảng Trị/Mạng cấp III- Quảng Trị (cũ)/Cấp phòng/Phòng-Ring 5/Khối CS-PC04/PA07/Tuyến trung thế 2</v>
          </cell>
          <cell r="U372">
            <v>437.57</v>
          </cell>
        </row>
        <row r="373">
          <cell r="L373" t="str">
            <v>Đăk Rông - Cam Lộ</v>
          </cell>
          <cell r="M373" t="str">
            <v>65.25</v>
          </cell>
          <cell r="N373" t="str">
            <v>26.25</v>
          </cell>
          <cell r="O373" t="str">
            <v>16.806694</v>
          </cell>
          <cell r="P373" t="str">
            <v>106.993571</v>
          </cell>
          <cell r="Q373" t="str">
            <v>39.00</v>
          </cell>
          <cell r="R373" t="str">
            <v>16.807315</v>
          </cell>
          <cell r="S373" t="str">
            <v>106.993066</v>
          </cell>
          <cell r="T373" t="str">
            <v>full_h04/Quảng Trị/Mạng cấp III- Quảng Trị (cũ)/Công an Quảng Trị/TTCMKV Ring 4/Đăk Rông - Cam Lộ/Tuyến Trung thế 1</v>
          </cell>
          <cell r="U373">
            <v>65.25</v>
          </cell>
        </row>
        <row r="374">
          <cell r="L374" t="str">
            <v>Cơ sở cai nghiện (Cam Hiếu, Cam Lộ) - TTCMKV Cam Lộ</v>
          </cell>
          <cell r="M374" t="str">
            <v>261.15</v>
          </cell>
          <cell r="N374" t="str">
            <v>235.91</v>
          </cell>
          <cell r="O374" t="str">
            <v>16.800385</v>
          </cell>
          <cell r="P374" t="str">
            <v>107.023729</v>
          </cell>
          <cell r="Q374" t="str">
            <v>25.24</v>
          </cell>
          <cell r="R374" t="str">
            <v>16.807246</v>
          </cell>
          <cell r="S374" t="str">
            <v>106.992480</v>
          </cell>
          <cell r="T374" t="str">
            <v>full_h04/Quảng Trị/Mạng cấp III- Quảng Trị (cũ)/Cấp phòng/Phòng-Ring 7/Cơ sở cai nghiện (Cam Hiếu, Cam Lộ) - TTCMKV Cam Lộ/Tuyến Trung thế</v>
          </cell>
          <cell r="U374">
            <v>261.14999999999998</v>
          </cell>
        </row>
        <row r="375">
          <cell r="L375" t="str">
            <v>TT2 Quảng Trị - TX Quảng Trị</v>
          </cell>
          <cell r="M375" t="str">
            <v>2008.65</v>
          </cell>
          <cell r="N375" t="str">
            <v>935.24</v>
          </cell>
          <cell r="O375" t="str">
            <v>16.785588</v>
          </cell>
          <cell r="P375" t="str">
            <v>107.124006</v>
          </cell>
          <cell r="Q375" t="str">
            <v>1073.41</v>
          </cell>
          <cell r="R375" t="str">
            <v>16.785213</v>
          </cell>
          <cell r="S375" t="str">
            <v>107.112830</v>
          </cell>
          <cell r="T375" t="str">
            <v>full_h04/Quảng Trị/Mạng cấp III- Quảng Trị (cũ)/Công an Quảng Trị/TTCMKV Ring 3/TT2 Quảng Trị - TX Quảng Trị/Tuyến trung thế 4</v>
          </cell>
          <cell r="U375">
            <v>2008.65</v>
          </cell>
        </row>
        <row r="376">
          <cell r="L376" t="str">
            <v>Bến Hải-PC07 (Đội PCCC khu vực 4)</v>
          </cell>
          <cell r="M376" t="str">
            <v>3270.60</v>
          </cell>
          <cell r="N376" t="str">
            <v>3248.72</v>
          </cell>
          <cell r="O376" t="str">
            <v>16.978266</v>
          </cell>
          <cell r="P376" t="str">
            <v>107.099942</v>
          </cell>
          <cell r="Q376" t="str">
            <v>21.88</v>
          </cell>
          <cell r="R376" t="str">
            <v>16.988904</v>
          </cell>
          <cell r="S376" t="str">
            <v>107.106632</v>
          </cell>
          <cell r="T376" t="str">
            <v>full_h04/Quảng Trị/Mạng cấp IV-Quảng Trị (cũ)/Ring 3/Bến Hải-PC07 (Đội PCCC khu vực 4)/Tuyến hạ thế 1</v>
          </cell>
          <cell r="U376">
            <v>3270.6</v>
          </cell>
        </row>
        <row r="377">
          <cell r="L377" t="str">
            <v>Phòng PC07 (Đội PCCC khu vực 3)-Vĩnh Linh</v>
          </cell>
          <cell r="M377" t="str">
            <v>345.78</v>
          </cell>
          <cell r="N377" t="str">
            <v>254.51</v>
          </cell>
          <cell r="O377" t="str">
            <v>17.070645</v>
          </cell>
          <cell r="P377" t="str">
            <v>107.004336</v>
          </cell>
          <cell r="Q377" t="str">
            <v>91.27</v>
          </cell>
          <cell r="R377" t="str">
            <v>17.077088</v>
          </cell>
          <cell r="S377" t="str">
            <v>106.997892</v>
          </cell>
          <cell r="T377" t="str">
            <v>full_h04/Quảng Trị/Mạng cấp III- Quảng Trị (cũ)/Cấp phòng/Phòng-Nhánh lẽ/Phòng PC07 (Đội PCCC khu vực 3)-Vĩnh Linh/Tuyến trung thế 1</v>
          </cell>
          <cell r="U377">
            <v>345.78</v>
          </cell>
        </row>
        <row r="378">
          <cell r="L378" t="str">
            <v>Vĩnh Hoàng-Bến Quan</v>
          </cell>
          <cell r="M378" t="str">
            <v>2655.86</v>
          </cell>
          <cell r="N378" t="str">
            <v>2537.60</v>
          </cell>
          <cell r="O378" t="str">
            <v>17.076810</v>
          </cell>
          <cell r="P378" t="str">
            <v>106.989945</v>
          </cell>
          <cell r="Q378" t="str">
            <v>118.26</v>
          </cell>
          <cell r="R378" t="str">
            <v>17.076766</v>
          </cell>
          <cell r="S378" t="str">
            <v>106.998086</v>
          </cell>
          <cell r="T378" t="str">
            <v>full_h04/Quảng Trị/Mạng cấp IV-Quảng Trị (cũ)/Ring 1/Vĩnh Hoàng-Bến Quan/Tuyến trung thế 1</v>
          </cell>
          <cell r="U378">
            <v>2655.86</v>
          </cell>
        </row>
        <row r="379">
          <cell r="L379" t="str">
            <v>Trung tâm sát hạch lái xe - TX Quảng Trị</v>
          </cell>
          <cell r="M379" t="str">
            <v>4453.98</v>
          </cell>
          <cell r="N379" t="str">
            <v>4421.48</v>
          </cell>
          <cell r="O379" t="str">
            <v>16.739268</v>
          </cell>
          <cell r="P379" t="str">
            <v>107.185075</v>
          </cell>
          <cell r="Q379" t="str">
            <v>32.49</v>
          </cell>
          <cell r="R379" t="str">
            <v>16.739595</v>
          </cell>
          <cell r="S379" t="str">
            <v>107.188056</v>
          </cell>
          <cell r="T379" t="str">
            <v>full_h04/Quảng Trị/Mạng cấp III- Quảng Trị (cũ)/Cấp phòng/Phòng-Ring 4/Trung tâm sát hạch lái xe - TX Quảng Trị/Tuyến hạ thế 7</v>
          </cell>
          <cell r="U379">
            <v>4453.9799999999996</v>
          </cell>
        </row>
        <row r="380">
          <cell r="L380" t="str">
            <v>Công an tỉnh Lâm Đồng - TT2 - Công an xã Đức An (Trụ sở CAH Đắk Song cũ)</v>
          </cell>
          <cell r="M380" t="str">
            <v>589.26</v>
          </cell>
          <cell r="N380" t="str">
            <v>364.81</v>
          </cell>
          <cell r="O380" t="str">
            <v>12.099976</v>
          </cell>
          <cell r="P380" t="str">
            <v>107.656622</v>
          </cell>
          <cell r="Q380" t="str">
            <v>224.45</v>
          </cell>
          <cell r="R380" t="str">
            <v>12.087807</v>
          </cell>
          <cell r="S380" t="str">
            <v>107.655304</v>
          </cell>
          <cell r="T380" t="str">
            <v>full_h04/Đắk Nông/Đăk Nông - Ring 3.kmz/Đăk Nông - Ring 3/Công an tỉnh Lâm Đồng - TT2 - Công an xã Đức An (Trụ sở CAH Đắk Song cũ)/trung thế</v>
          </cell>
          <cell r="U380">
            <v>589.26</v>
          </cell>
        </row>
        <row r="381">
          <cell r="L381" t="str">
            <v>Công an xã Đức Lập (Trụ sở 2 CAH Đắk Mil cũ)
 -  Công an xã Cư Jút (Trụ sở CAH Cư Jút cũ)</v>
          </cell>
          <cell r="M381" t="str">
            <v>67.62</v>
          </cell>
          <cell r="N381" t="str">
            <v>2.06</v>
          </cell>
          <cell r="O381" t="str">
            <v>12.447380</v>
          </cell>
          <cell r="P381" t="str">
            <v>107.621711</v>
          </cell>
          <cell r="Q381" t="str">
            <v>65.56</v>
          </cell>
          <cell r="R381" t="str">
            <v>12.448696</v>
          </cell>
          <cell r="S381" t="str">
            <v>107.621010</v>
          </cell>
          <cell r="T381" t="str">
            <v>full_h04/Đắk Nông/Đắk Nông - Ring 1.kmz/Đắk Nông - Ring 1/Công an xã Đức Lập (Trụ sở 2 CAH Đắk Mil cũ)
 -  Công an xã Cư Jút (Trụ sở CAH Cư Jút cũ)/Ngầm xây dựng mới</v>
          </cell>
          <cell r="U381">
            <v>67.62</v>
          </cell>
        </row>
        <row r="382">
          <cell r="L382" t="str">
            <v>Công an xã Nam Dong - Công an xã Đắk Mil</v>
          </cell>
          <cell r="M382" t="str">
            <v>2681.12</v>
          </cell>
          <cell r="N382" t="str">
            <v>0.75</v>
          </cell>
          <cell r="O382" t="str">
            <v>12.650228</v>
          </cell>
          <cell r="P382" t="str">
            <v>107.873526</v>
          </cell>
          <cell r="Q382" t="str">
            <v>2680.37</v>
          </cell>
          <cell r="R382" t="str">
            <v>12.650228</v>
          </cell>
          <cell r="S382" t="str">
            <v>107.873526</v>
          </cell>
          <cell r="T382" t="str">
            <v>full_h04/Đắk Nông/DakNong_Cap IV_Ring 1.kmz/DakNong_Cap IV_Ring 1/Công an xã Nam Dong - Công an xã Đắk Mil/cáp treo</v>
          </cell>
          <cell r="U382">
            <v>2681.12</v>
          </cell>
        </row>
        <row r="383">
          <cell r="L383" t="str">
            <v>Đường PC08 đội 6 - CS Cai nghiện số 4</v>
          </cell>
          <cell r="M383" t="str">
            <v>2304.00</v>
          </cell>
          <cell r="N383" t="str">
            <v>47.06</v>
          </cell>
          <cell r="O383" t="str">
            <v>12.095341</v>
          </cell>
          <cell r="P383" t="str">
            <v>107.480919</v>
          </cell>
          <cell r="Q383" t="str">
            <v>2256.94</v>
          </cell>
          <cell r="R383" t="str">
            <v>12.096983</v>
          </cell>
          <cell r="S383" t="str">
            <v>107.483132</v>
          </cell>
          <cell r="T383" t="str">
            <v>full_h04/Đắk Nông/Ring 7 - Final.kmz/Ring 7/Đường PC08 đội 6 - CS Cai nghiện số 4/Trung thế</v>
          </cell>
          <cell r="U383">
            <v>2304</v>
          </cell>
        </row>
        <row r="384">
          <cell r="L384" t="str">
            <v>Công an xã Đức Lập (Trụ sở 2 CAH Đắk Mil cũ)
 -  Công an xã Cư Jút (Trụ sở CAH Cư Jút cũ)</v>
          </cell>
          <cell r="M384" t="str">
            <v>723.22</v>
          </cell>
          <cell r="N384" t="str">
            <v>260.50</v>
          </cell>
          <cell r="O384" t="str">
            <v>12.511249</v>
          </cell>
          <cell r="P384" t="str">
            <v>107.747464</v>
          </cell>
          <cell r="Q384" t="str">
            <v>462.72</v>
          </cell>
          <cell r="R384" t="str">
            <v>12.543331</v>
          </cell>
          <cell r="S384" t="str">
            <v>107.786057</v>
          </cell>
          <cell r="T384" t="str">
            <v>full_h04/Đắk Nông/Đắk Nông - Ring 1.kmz/Đắk Nông - Ring 1/Công an xã Đức Lập (Trụ sở 2 CAH Đắk Mil cũ)
 -  Công an xã Cư Jút (Trụ sở CAH Cư Jút cũ)/Trung thế</v>
          </cell>
          <cell r="U384">
            <v>723.22</v>
          </cell>
        </row>
        <row r="385">
          <cell r="L385" t="str">
            <v>Công an tỉnh Lâm Đồng - TT2 - Công an xã Quảng Khê</v>
          </cell>
          <cell r="M385" t="str">
            <v>577.42</v>
          </cell>
          <cell r="N385" t="str">
            <v>226.46</v>
          </cell>
          <cell r="O385" t="str">
            <v>11.913882</v>
          </cell>
          <cell r="P385" t="str">
            <v>107.791538</v>
          </cell>
          <cell r="Q385" t="str">
            <v>350.97</v>
          </cell>
          <cell r="R385" t="str">
            <v>11.917935</v>
          </cell>
          <cell r="S385" t="str">
            <v>107.790319</v>
          </cell>
          <cell r="T385" t="str">
            <v>full_h04/Đắk Nông/Đăk Nông - Mục IV - Ring 10.kmz/Đăk Nông - Mục IV - Ring 10/Công an tỉnh Lâm Đồng - TT2 - Công an xã Quảng Khê/hạ thế</v>
          </cell>
          <cell r="U385">
            <v>577.41999999999996</v>
          </cell>
        </row>
        <row r="386">
          <cell r="L386" t="str">
            <v>Công an tỉnh Lâm Đồng - TT2
- Công an xã Đức Lập (Trụ sở 2 CAH Đắk Mil cũ)</v>
          </cell>
          <cell r="M386" t="str">
            <v>24690.13</v>
          </cell>
          <cell r="N386" t="str">
            <v>24684.21</v>
          </cell>
          <cell r="O386" t="str">
            <v>12.415565</v>
          </cell>
          <cell r="P386" t="str">
            <v>107.583311</v>
          </cell>
          <cell r="Q386" t="str">
            <v>5.91</v>
          </cell>
          <cell r="R386" t="str">
            <v>12.447349</v>
          </cell>
          <cell r="S386" t="str">
            <v>107.621730</v>
          </cell>
          <cell r="T386" t="str">
            <v>full_h04/Đắk Nông/Đắk Nông - Ring 1.kmz/Đắk Nông - Ring 1/Công an tỉnh Lâm Đồng - TT2
- Công an xã Đức Lập (Trụ sở 2 CAH Đắk Mil cũ)/Trung thế</v>
          </cell>
          <cell r="U386">
            <v>24690.13</v>
          </cell>
        </row>
        <row r="387">
          <cell r="L387" t="str">
            <v>Công an tỉnh Lâm Đồng - TT2
- Công an xã Đức Lập (Trụ sở 2 CAH Đắk Mil cũ)</v>
          </cell>
          <cell r="M387" t="str">
            <v>15005.25</v>
          </cell>
          <cell r="N387" t="str">
            <v>11711.93</v>
          </cell>
          <cell r="O387" t="str">
            <v>12.355719</v>
          </cell>
          <cell r="P387" t="str">
            <v>107.568584</v>
          </cell>
          <cell r="Q387" t="str">
            <v>3293.32</v>
          </cell>
          <cell r="R387" t="str">
            <v>12.232109</v>
          </cell>
          <cell r="S387" t="str">
            <v>107.630541</v>
          </cell>
          <cell r="T387" t="str">
            <v>full_h04/Đắk Nông/Đắk Nông - Ring 1.kmz/Đắk Nông - Ring 1/Công an tỉnh Lâm Đồng - TT2
- Công an xã Đức Lập (Trụ sở 2 CAH Đắk Mil cũ)/Trung thế</v>
          </cell>
          <cell r="U387">
            <v>15005.25</v>
          </cell>
        </row>
        <row r="388">
          <cell r="L388" t="str">
            <v>Công an xã Tuy Đức (Trụ sở CAH Tuy Đức cũ) - Công an xã Kiến Đức (Trụ sở CAH Đắk R'Lấp cũ)</v>
          </cell>
          <cell r="M388" t="str">
            <v>2597.29</v>
          </cell>
          <cell r="N388" t="str">
            <v>2574.22</v>
          </cell>
          <cell r="O388" t="str">
            <v>12.018853</v>
          </cell>
          <cell r="P388" t="str">
            <v>107.492485</v>
          </cell>
          <cell r="Q388" t="str">
            <v>23.06</v>
          </cell>
          <cell r="R388" t="str">
            <v>12.218915</v>
          </cell>
          <cell r="S388" t="str">
            <v>107.477455</v>
          </cell>
          <cell r="T388" t="str">
            <v>full_h04/Đắk Nông/Đăk Nông - Ring 3.kmz/Đăk Nông - Ring 3/Công an xã Tuy Đức (Trụ sở CAH Tuy Đức cũ) - Công an xã Kiến Đức (Trụ sở CAH Đắk R'Lấp cũ)/trung thế</v>
          </cell>
          <cell r="U388">
            <v>2597.29</v>
          </cell>
        </row>
        <row r="389">
          <cell r="L389" t="str">
            <v>Công an xã Đức An (Trụ sở CAH Đắk Song cũ) - Công an xã Tuy Đức (Trụ sở CAH Tuy Đức cũ)</v>
          </cell>
          <cell r="M389" t="str">
            <v>8914.00</v>
          </cell>
          <cell r="N389" t="str">
            <v>4762.24</v>
          </cell>
          <cell r="O389" t="str">
            <v>12.199433</v>
          </cell>
          <cell r="P389" t="str">
            <v>107.516560</v>
          </cell>
          <cell r="Q389" t="str">
            <v>4151.75</v>
          </cell>
          <cell r="R389" t="str">
            <v>12.229092</v>
          </cell>
          <cell r="S389" t="str">
            <v>107.609746</v>
          </cell>
          <cell r="T389" t="str">
            <v>full_h04/Đắk Nông/Đăk Nông - Ring 3.kmz/Đăk Nông - Ring 3/Công an xã Đức An (Trụ sở CAH Đắk Song cũ) - Công an xã Tuy Đức (Trụ sở CAH Tuy Đức cũ)/trung thế</v>
          </cell>
          <cell r="U389">
            <v>8914</v>
          </cell>
        </row>
        <row r="390">
          <cell r="L390" t="str">
            <v>Thuận Hạnh - Quảng Trực</v>
          </cell>
          <cell r="M390" t="str">
            <v>9976.71</v>
          </cell>
          <cell r="N390" t="str">
            <v>3942.84</v>
          </cell>
          <cell r="O390" t="str">
            <v>12.250896</v>
          </cell>
          <cell r="P390" t="str">
            <v>107.493579</v>
          </cell>
          <cell r="Q390" t="str">
            <v>6033.86</v>
          </cell>
          <cell r="R390" t="str">
            <v>12.243800</v>
          </cell>
          <cell r="S390" t="str">
            <v>107.518868</v>
          </cell>
          <cell r="T390" t="str">
            <v>full_h04/Đắk Nông/Ring 6 - Final.kmz/Ring 6/Thuận Hạnh - Quảng Trực/Trồng trụ mới</v>
          </cell>
          <cell r="U390">
            <v>9976.7099999999991</v>
          </cell>
        </row>
        <row r="391">
          <cell r="L391" t="str">
            <v>Công an tỉnh Lâm Đồng - TT2
- Công an xã Đức Lập (Trụ sở 2 CAH Đắk Mil cũ)</v>
          </cell>
          <cell r="M391" t="str">
            <v>21138.30</v>
          </cell>
          <cell r="N391" t="str">
            <v>14760.23</v>
          </cell>
          <cell r="O391" t="str">
            <v>12.276176</v>
          </cell>
          <cell r="P391" t="str">
            <v>107.600225</v>
          </cell>
          <cell r="Q391" t="str">
            <v>6378.07</v>
          </cell>
          <cell r="R391" t="str">
            <v>12.355719</v>
          </cell>
          <cell r="S391" t="str">
            <v>107.568584</v>
          </cell>
          <cell r="T391" t="str">
            <v>full_h04/Đắk Nông/Đắk Nông - Ring 1.kmz/Đắk Nông - Ring 1/Công an tỉnh Lâm Đồng - TT2
- Công an xã Đức Lập (Trụ sở 2 CAH Đắk Mil cũ)/Trung thế</v>
          </cell>
          <cell r="U391">
            <v>21138.3</v>
          </cell>
        </row>
        <row r="392">
          <cell r="L392" t="str">
            <v>Công an tỉnh Lâm Đồng - TT2
- Công an xã Đức Lập (Trụ sở 2 CAH Đắk Mil cũ)</v>
          </cell>
          <cell r="M392" t="str">
            <v>670.63</v>
          </cell>
          <cell r="N392" t="str">
            <v>532.38</v>
          </cell>
          <cell r="O392" t="str">
            <v>12.415565</v>
          </cell>
          <cell r="P392" t="str">
            <v>107.583311</v>
          </cell>
          <cell r="Q392" t="str">
            <v>138.26</v>
          </cell>
          <cell r="R392" t="str">
            <v>12.447320</v>
          </cell>
          <cell r="S392" t="str">
            <v>107.609408</v>
          </cell>
          <cell r="T392" t="str">
            <v>full_h04/Đắk Nông/Đắk Nông - Ring 1.kmz/Đắk Nông - Ring 1/Công an tỉnh Lâm Đồng - TT2
- Công an xã Đức Lập (Trụ sở 2 CAH Đắk Mil cũ)/Trung thế</v>
          </cell>
          <cell r="U392">
            <v>670.63</v>
          </cell>
        </row>
        <row r="393">
          <cell r="L393" t="str">
            <v>Phòng PC07 - Đội CC&amp;CNCH khu vực 14 - Công an xã Đức Lập (Trụ sở 2 CAH Đắk Mil cũ)</v>
          </cell>
          <cell r="M393" t="str">
            <v>5.95</v>
          </cell>
          <cell r="N393" t="str">
            <v>2.99</v>
          </cell>
          <cell r="O393" t="str">
            <v>12.459466</v>
          </cell>
          <cell r="P393" t="str">
            <v>107.613251</v>
          </cell>
          <cell r="Q393" t="str">
            <v>2.96</v>
          </cell>
          <cell r="R393" t="str">
            <v>12.447415</v>
          </cell>
          <cell r="S393" t="str">
            <v>107.621692</v>
          </cell>
          <cell r="T393" t="str">
            <v>full_h04/Đắk Nông/DakNong_Cap IV_Ring 1.kmz/DakNong_Cap IV_Ring 1/Phòng PC07 - Đội CC&amp;CNCH khu vực 14 - Công an xã Đức Lập (Trụ sở 2 CAH Đắk Mil cũ)/trung thế</v>
          </cell>
          <cell r="U393">
            <v>5.95</v>
          </cell>
        </row>
        <row r="394">
          <cell r="L394" t="str">
            <v>Công an xã Đức Lập (Trụ sở 2 CAH Đắk Mil cũ)
 -  Công an xã Cư Jút (Trụ sở CAH Cư Jút cũ)</v>
          </cell>
          <cell r="M394" t="str">
            <v>291.32</v>
          </cell>
          <cell r="N394" t="str">
            <v>174.60</v>
          </cell>
          <cell r="O394" t="str">
            <v>12.448781</v>
          </cell>
          <cell r="P394" t="str">
            <v>107.620950</v>
          </cell>
          <cell r="Q394" t="str">
            <v>116.72</v>
          </cell>
          <cell r="R394" t="str">
            <v>12.455816</v>
          </cell>
          <cell r="S394" t="str">
            <v>107.636764</v>
          </cell>
          <cell r="T394" t="str">
            <v>full_h04/Đắk Nông/Đắk Nông - Ring 1.kmz/Đắk Nông - Ring 1/Công an xã Đức Lập (Trụ sở 2 CAH Đắk Mil cũ)
 -  Công an xã Cư Jút (Trụ sở CAH Cư Jút cũ)/Trung thế</v>
          </cell>
          <cell r="U394">
            <v>291.32</v>
          </cell>
        </row>
        <row r="395">
          <cell r="L395" t="str">
            <v>TTCMKV Krông Nô - Đắk Sắk</v>
          </cell>
          <cell r="M395" t="str">
            <v>3548.16</v>
          </cell>
          <cell r="N395" t="str">
            <v>3423.15</v>
          </cell>
          <cell r="O395" t="str">
            <v>12.482524</v>
          </cell>
          <cell r="P395" t="str">
            <v>107.764273</v>
          </cell>
          <cell r="Q395" t="str">
            <v>125.01</v>
          </cell>
          <cell r="R395" t="str">
            <v>12.461428</v>
          </cell>
          <cell r="S395" t="str">
            <v>107.746936</v>
          </cell>
          <cell r="T395" t="str">
            <v>full_h04/Đắk Nông/Ring 4 Final.kmz/Ring 4/TTCMKV Krông Nô - Đắk Sắk/Trung thế</v>
          </cell>
          <cell r="U395">
            <v>3548.16</v>
          </cell>
        </row>
        <row r="396">
          <cell r="L396" t="str">
            <v>Công an xã Đức Lập (Trụ sở 2 CAH Đắk Mil cũ)
 -  Công an xã Cư Jút (Trụ sở CAH Cư Jút cũ)</v>
          </cell>
          <cell r="M396" t="str">
            <v>409.40</v>
          </cell>
          <cell r="N396" t="str">
            <v>174.60</v>
          </cell>
          <cell r="O396" t="str">
            <v>12.448781</v>
          </cell>
          <cell r="P396" t="str">
            <v>107.620950</v>
          </cell>
          <cell r="Q396" t="str">
            <v>234.80</v>
          </cell>
          <cell r="R396" t="str">
            <v>12.456039</v>
          </cell>
          <cell r="S396" t="str">
            <v>107.655632</v>
          </cell>
          <cell r="T396" t="str">
            <v>full_h04/Đắk Nông/Đắk Nông - Ring 1.kmz/Đắk Nông - Ring 1/Công an xã Đức Lập (Trụ sở 2 CAH Đắk Mil cũ)
 -  Công an xã Cư Jút (Trụ sở CAH Cư Jút cũ)/Trung thế</v>
          </cell>
          <cell r="U396">
            <v>409.4</v>
          </cell>
        </row>
        <row r="397">
          <cell r="L397" t="str">
            <v>Công an tỉnh Lâm Đồng - TT2
- Công an xã Đức Lập (Trụ sở 2 CAH Đắk Mil cũ)</v>
          </cell>
          <cell r="M397" t="str">
            <v>14830.98</v>
          </cell>
          <cell r="N397" t="str">
            <v>14760.23</v>
          </cell>
          <cell r="O397" t="str">
            <v>12.276176</v>
          </cell>
          <cell r="P397" t="str">
            <v>107.600225</v>
          </cell>
          <cell r="Q397" t="str">
            <v>70.75</v>
          </cell>
          <cell r="R397" t="str">
            <v>12.355719</v>
          </cell>
          <cell r="S397" t="str">
            <v>107.568584</v>
          </cell>
          <cell r="T397" t="str">
            <v>full_h04/Đắk Nông/Đắk Nông - Ring 1.kmz/Đắk Nông - Ring 1/Công an tỉnh Lâm Đồng - TT2
- Công an xã Đức Lập (Trụ sở 2 CAH Đắk Mil cũ)/Trung thế</v>
          </cell>
          <cell r="U397">
            <v>14830.98</v>
          </cell>
        </row>
        <row r="398">
          <cell r="L398" t="str">
            <v>Công an xã Đức Lập (Trụ sở 2 CAH Đắk Mil cũ)
 -  Công an xã Cư Jút (Trụ sở CAH Cư Jút cũ)</v>
          </cell>
          <cell r="M398" t="str">
            <v>3547.73</v>
          </cell>
          <cell r="N398" t="str">
            <v>174.60</v>
          </cell>
          <cell r="O398" t="str">
            <v>12.448781</v>
          </cell>
          <cell r="P398" t="str">
            <v>107.620950</v>
          </cell>
          <cell r="Q398" t="str">
            <v>3373.13</v>
          </cell>
          <cell r="R398" t="str">
            <v>12.456171</v>
          </cell>
          <cell r="S398" t="str">
            <v>107.656017</v>
          </cell>
          <cell r="T398" t="str">
            <v>full_h04/Đắk Nông/Đắk Nông - Ring 1.kmz/Đắk Nông - Ring 1/Công an xã Đức Lập (Trụ sở 2 CAH Đắk Mil cũ)
 -  Công an xã Cư Jút (Trụ sở CAH Cư Jút cũ)/Trung thế</v>
          </cell>
          <cell r="U398">
            <v>3547.73</v>
          </cell>
        </row>
        <row r="399">
          <cell r="L399" t="str">
            <v>Đắk Sắk - Đắk Song</v>
          </cell>
          <cell r="M399" t="str">
            <v>410.29</v>
          </cell>
          <cell r="N399" t="str">
            <v>393.59</v>
          </cell>
          <cell r="O399" t="str">
            <v>12.431643</v>
          </cell>
          <cell r="P399" t="str">
            <v>107.667064</v>
          </cell>
          <cell r="Q399" t="str">
            <v>16.70</v>
          </cell>
          <cell r="R399" t="str">
            <v>12.401227</v>
          </cell>
          <cell r="S399" t="str">
            <v>107.645455</v>
          </cell>
          <cell r="T399" t="str">
            <v>full_h04/Đắk Nông/Ring 4 Final.kmz/Ring 4/Đắk Sắk - Đắk Song/Trung thế</v>
          </cell>
          <cell r="U399">
            <v>410.29</v>
          </cell>
        </row>
        <row r="400">
          <cell r="L400" t="str">
            <v>Công an xã Đắk Song - Công an xã Thuận An</v>
          </cell>
          <cell r="M400" t="str">
            <v>4850.85</v>
          </cell>
          <cell r="N400" t="str">
            <v>7.94</v>
          </cell>
          <cell r="O400" t="str">
            <v>12.401150</v>
          </cell>
          <cell r="P400" t="str">
            <v>107.645475</v>
          </cell>
          <cell r="Q400" t="str">
            <v>4842.90</v>
          </cell>
          <cell r="R400" t="str">
            <v>12.401150</v>
          </cell>
          <cell r="S400" t="str">
            <v>107.645475</v>
          </cell>
          <cell r="T400" t="str">
            <v>full_h04/Đắk Nông/Ring 4 Final.kmz/Ring 4/Công an xã Đắk Song - Công an xã Thuận An/Trồng trụ mới</v>
          </cell>
          <cell r="U400">
            <v>4850.8500000000004</v>
          </cell>
        </row>
        <row r="401">
          <cell r="L401" t="str">
            <v>Thuận Hạnh - Quảng Trực</v>
          </cell>
          <cell r="M401" t="str">
            <v>5133.63</v>
          </cell>
          <cell r="N401" t="str">
            <v>3942.84</v>
          </cell>
          <cell r="O401" t="str">
            <v>12.250896</v>
          </cell>
          <cell r="P401" t="str">
            <v>107.493579</v>
          </cell>
          <cell r="Q401" t="str">
            <v>1190.78</v>
          </cell>
          <cell r="R401" t="str">
            <v>12.256794</v>
          </cell>
          <cell r="S401" t="str">
            <v>107.386159</v>
          </cell>
          <cell r="T401" t="str">
            <v>full_h04/Đắk Nông/Ring 6 - Final.kmz/Ring 6/Thuận Hạnh - Quảng Trực/Trồng trụ mới</v>
          </cell>
          <cell r="U401">
            <v>5133.63</v>
          </cell>
        </row>
        <row r="402">
          <cell r="L402" t="str">
            <v>Thuận Hạnh - Quảng Trực</v>
          </cell>
          <cell r="M402" t="str">
            <v>1311.01</v>
          </cell>
          <cell r="N402" t="str">
            <v>1190.78</v>
          </cell>
          <cell r="O402" t="str">
            <v>12.256794</v>
          </cell>
          <cell r="P402" t="str">
            <v>107.386159</v>
          </cell>
          <cell r="Q402" t="str">
            <v>120.23</v>
          </cell>
          <cell r="R402" t="str">
            <v>12.246599</v>
          </cell>
          <cell r="S402" t="str">
            <v>107.437123</v>
          </cell>
          <cell r="T402" t="str">
            <v>full_h04/Đắk Nông/Ring 6 - Final.kmz/Ring 6/Thuận Hạnh - Quảng Trực/Trồng trụ mới</v>
          </cell>
          <cell r="U402">
            <v>1311.01</v>
          </cell>
        </row>
        <row r="403">
          <cell r="L403" t="str">
            <v>Công an tỉnh Lâm Đồng - TT2 - Công an xã Đức An (Trụ sở CAH Đắk Song cũ)</v>
          </cell>
          <cell r="M403" t="str">
            <v>3398.18</v>
          </cell>
          <cell r="N403" t="str">
            <v>101.63</v>
          </cell>
          <cell r="O403" t="str">
            <v>12.254339</v>
          </cell>
          <cell r="P403" t="str">
            <v>107.609391</v>
          </cell>
          <cell r="Q403" t="str">
            <v>3296.55</v>
          </cell>
          <cell r="R403" t="str">
            <v>12.232143</v>
          </cell>
          <cell r="S403" t="str">
            <v>107.630559</v>
          </cell>
          <cell r="T403" t="str">
            <v>full_h04/Đắk Nông/Đăk Nông - Ring 3.kmz/Đăk Nông - Ring 3/Công an tỉnh Lâm Đồng - TT2 - Công an xã Đức An (Trụ sở CAH Đắk Song cũ)/trung thế</v>
          </cell>
          <cell r="U403">
            <v>3398.18</v>
          </cell>
        </row>
        <row r="404">
          <cell r="L404" t="str">
            <v>Đường Quảng Tân - TTCMKV Đắk R'Lấp</v>
          </cell>
          <cell r="M404" t="str">
            <v>519.03</v>
          </cell>
          <cell r="N404" t="str">
            <v>232.64</v>
          </cell>
          <cell r="O404" t="str">
            <v>12.006525</v>
          </cell>
          <cell r="P404" t="str">
            <v>107.510881</v>
          </cell>
          <cell r="Q404" t="str">
            <v>286.39</v>
          </cell>
          <cell r="R404" t="str">
            <v>12.014405</v>
          </cell>
          <cell r="S404" t="str">
            <v>107.492576</v>
          </cell>
          <cell r="T404" t="str">
            <v>full_h04/Đắk Nông/Ring 7 - Final.kmz/Ring 7/Đường Quảng Tân - TTCMKV Đắk R'Lấp/Hạ thế</v>
          </cell>
          <cell r="U404">
            <v>519.03</v>
          </cell>
        </row>
        <row r="405">
          <cell r="L405" t="str">
            <v>Công an xã Tuy Đức (Trụ sở CAH Tuy Đức cũ) - Công an xã Kiến Đức (Trụ sở CAH Đắk R'Lấp cũ)</v>
          </cell>
          <cell r="M405" t="str">
            <v>216.37</v>
          </cell>
          <cell r="N405" t="str">
            <v>148.81</v>
          </cell>
          <cell r="O405" t="str">
            <v>12.043371</v>
          </cell>
          <cell r="P405" t="str">
            <v>107.489839</v>
          </cell>
          <cell r="Q405" t="str">
            <v>67.56</v>
          </cell>
          <cell r="R405" t="str">
            <v>12.094770</v>
          </cell>
          <cell r="S405" t="str">
            <v>107.481535</v>
          </cell>
          <cell r="T405" t="str">
            <v>full_h04/Đắk Nông/Đăk Nông - Ring 3.kmz/Đăk Nông - Ring 3/Công an xã Tuy Đức (Trụ sở CAH Tuy Đức cũ) - Công an xã Kiến Đức (Trụ sở CAH Đắk R'Lấp cũ)/trung thế</v>
          </cell>
          <cell r="U405">
            <v>216.37</v>
          </cell>
        </row>
        <row r="406">
          <cell r="L406" t="str">
            <v>Công an xã Tuy Đức (Trụ sở CAH Tuy Đức cũ) - Công an xã Kiến Đức (Trụ sở CAH Đắk R'Lấp cũ)</v>
          </cell>
          <cell r="M406" t="str">
            <v>142.40</v>
          </cell>
          <cell r="N406" t="str">
            <v>67.56</v>
          </cell>
          <cell r="O406" t="str">
            <v>12.094770</v>
          </cell>
          <cell r="P406" t="str">
            <v>107.481535</v>
          </cell>
          <cell r="Q406" t="str">
            <v>74.84</v>
          </cell>
          <cell r="R406" t="str">
            <v>12.184903</v>
          </cell>
          <cell r="S406" t="str">
            <v>107.450288</v>
          </cell>
          <cell r="T406" t="str">
            <v>full_h04/Đắk Nông/Đăk Nông - Ring 3.kmz/Đăk Nông - Ring 3/Công an xã Tuy Đức (Trụ sở CAH Tuy Đức cũ) - Công an xã Kiến Đức (Trụ sở CAH Đắk R'Lấp cũ)/trung thế</v>
          </cell>
          <cell r="U406">
            <v>142.4</v>
          </cell>
        </row>
        <row r="407">
          <cell r="L407" t="str">
            <v>Công an xã Đức An (Trụ sở CAH Đắk Song cũ) - Công an xã Tuy Đức (Trụ sở CAH Tuy Đức cũ)</v>
          </cell>
          <cell r="M407" t="str">
            <v>803.75</v>
          </cell>
          <cell r="N407" t="str">
            <v>4.46</v>
          </cell>
          <cell r="O407" t="str">
            <v>12.219081</v>
          </cell>
          <cell r="P407" t="str">
            <v>107.477643</v>
          </cell>
          <cell r="Q407" t="str">
            <v>799.29</v>
          </cell>
          <cell r="R407" t="str">
            <v>12.209053</v>
          </cell>
          <cell r="S407" t="str">
            <v>107.484025</v>
          </cell>
          <cell r="T407" t="str">
            <v>full_h04/Đắk Nông/Đăk Nông - Ring 3.kmz/Đăk Nông - Ring 3/Công an xã Đức An (Trụ sở CAH Đắk Song cũ) - Công an xã Tuy Đức (Trụ sở CAH Tuy Đức cũ)/hạ thế</v>
          </cell>
          <cell r="U407">
            <v>803.75</v>
          </cell>
        </row>
        <row r="408">
          <cell r="L408" t="str">
            <v>Trường Xuân - TT2 LÂM ĐỒNG (GIA NGHĨA)</v>
          </cell>
          <cell r="M408" t="str">
            <v>433.20</v>
          </cell>
          <cell r="N408" t="str">
            <v>373.54</v>
          </cell>
          <cell r="O408" t="str">
            <v>12.099860</v>
          </cell>
          <cell r="P408" t="str">
            <v>107.656604</v>
          </cell>
          <cell r="Q408" t="str">
            <v>59.66</v>
          </cell>
          <cell r="R408" t="str">
            <v>12.054191</v>
          </cell>
          <cell r="S408" t="str">
            <v>107.680781</v>
          </cell>
          <cell r="T408" t="str">
            <v>full_h04/Đắk Nông/Ring 5 - Final.kmz/Ring 5/Trường Xuân - TT2 LÂM ĐỒNG (GIA NGHĨA)/Trung thế</v>
          </cell>
          <cell r="U408">
            <v>433.2</v>
          </cell>
        </row>
        <row r="409">
          <cell r="L409" t="str">
            <v>Công an phường Bắc Gia Nghĩa - Công an phường Đông Gia Nghĩa</v>
          </cell>
          <cell r="M409" t="str">
            <v>1189.38</v>
          </cell>
          <cell r="N409" t="str">
            <v>4.06</v>
          </cell>
          <cell r="O409" t="str">
            <v>12.008977</v>
          </cell>
          <cell r="P409" t="str">
            <v>107.694585</v>
          </cell>
          <cell r="Q409" t="str">
            <v>1185.31</v>
          </cell>
          <cell r="R409" t="str">
            <v>12.008922</v>
          </cell>
          <cell r="S409" t="str">
            <v>107.695200</v>
          </cell>
          <cell r="T409" t="str">
            <v>full_h04/Đắk Nông/Đăk Nông - Mục IV - Ring 9.kmz/Đăk Nông - Mục IV - Ring 9/Công an phường Bắc Gia Nghĩa - Công an phường Đông Gia Nghĩa/hạ thế</v>
          </cell>
          <cell r="U409">
            <v>1189.3800000000001</v>
          </cell>
        </row>
        <row r="410">
          <cell r="L410" t="str">
            <v>Công an tỉnh Lâm Đồng - TT2 - Công an xã Quảng Khê</v>
          </cell>
          <cell r="M410" t="str">
            <v>32.49</v>
          </cell>
          <cell r="N410" t="str">
            <v>1.35</v>
          </cell>
          <cell r="O410" t="str">
            <v>12.023592</v>
          </cell>
          <cell r="P410" t="str">
            <v>107.685997</v>
          </cell>
          <cell r="Q410" t="str">
            <v>31.13</v>
          </cell>
          <cell r="R410" t="str">
            <v>12.007395</v>
          </cell>
          <cell r="S410" t="str">
            <v>107.685744</v>
          </cell>
          <cell r="T410" t="str">
            <v>full_h04/Đắk Nông/Đăk Nông - Mục IV - Ring 10.kmz/Đăk Nông - Mục IV - Ring 10/Công an tỉnh Lâm Đồng - TT2 - Công an xã Quảng Khê/trung thế</v>
          </cell>
          <cell r="U410">
            <v>32.49</v>
          </cell>
        </row>
        <row r="411">
          <cell r="L411" t="str">
            <v>Công an phường Nam Gia Nghĩa - Công an xã Kiến Đức</v>
          </cell>
          <cell r="M411" t="str">
            <v>223.57</v>
          </cell>
          <cell r="N411" t="str">
            <v>130.19</v>
          </cell>
          <cell r="O411" t="str">
            <v>11.982198</v>
          </cell>
          <cell r="P411" t="str">
            <v>107.588012</v>
          </cell>
          <cell r="Q411" t="str">
            <v>93.38</v>
          </cell>
          <cell r="R411" t="str">
            <v>11.984299</v>
          </cell>
          <cell r="S411" t="str">
            <v>107.573368</v>
          </cell>
          <cell r="T411" t="str">
            <v>full_h04/Đắk Nông/Đăk Nông - Mục IV - Ring 9.kmz/Đăk Nông - Mục IV - Ring 9/Công an phường Nam Gia Nghĩa - Công an xã Kiến Đức/trung thế</v>
          </cell>
          <cell r="U411">
            <v>223.57</v>
          </cell>
        </row>
        <row r="412">
          <cell r="L412" t="str">
            <v>Công an phường Nam Gia Nghĩa - Công an xã Kiến Đức</v>
          </cell>
          <cell r="M412" t="str">
            <v>972.89</v>
          </cell>
          <cell r="N412" t="str">
            <v>287.95</v>
          </cell>
          <cell r="O412" t="str">
            <v>11.981467</v>
          </cell>
          <cell r="P412" t="str">
            <v>107.657975</v>
          </cell>
          <cell r="Q412" t="str">
            <v>684.94</v>
          </cell>
          <cell r="R412" t="str">
            <v>11.981696</v>
          </cell>
          <cell r="S412" t="str">
            <v>107.580975</v>
          </cell>
          <cell r="T412" t="str">
            <v>full_h04/Đắk Nông/Đăk Nông - Mục IV - Ring 9.kmz/Đăk Nông - Mục IV - Ring 9/Công an phường Nam Gia Nghĩa - Công an xã Kiến Đức/trung thế</v>
          </cell>
          <cell r="U412">
            <v>972.89</v>
          </cell>
        </row>
        <row r="413">
          <cell r="L413" t="str">
            <v>Công an phường Nam Gia Nghĩa - Công an xã Kiến Đức</v>
          </cell>
          <cell r="M413" t="str">
            <v>2558.84</v>
          </cell>
          <cell r="N413" t="str">
            <v>684.94</v>
          </cell>
          <cell r="O413" t="str">
            <v>11.981696</v>
          </cell>
          <cell r="P413" t="str">
            <v>107.580975</v>
          </cell>
          <cell r="Q413" t="str">
            <v>1873.89</v>
          </cell>
          <cell r="R413" t="str">
            <v>11.992266</v>
          </cell>
          <cell r="S413" t="str">
            <v>107.558694</v>
          </cell>
          <cell r="T413" t="str">
            <v>full_h04/Đắk Nông/Đăk Nông - Mục IV - Ring 9.kmz/Đăk Nông - Mục IV - Ring 9/Công an phường Nam Gia Nghĩa - Công an xã Kiến Đức/trung thế</v>
          </cell>
          <cell r="U413">
            <v>2558.84</v>
          </cell>
        </row>
        <row r="414">
          <cell r="L414" t="str">
            <v>Đội CC&amp;CNCH khu vực 13 - Công an xã Quảng Tín</v>
          </cell>
          <cell r="M414" t="str">
            <v>321.42</v>
          </cell>
          <cell r="N414" t="str">
            <v>35.54</v>
          </cell>
          <cell r="O414" t="str">
            <v>11.912875</v>
          </cell>
          <cell r="P414" t="str">
            <v>107.398793</v>
          </cell>
          <cell r="Q414" t="str">
            <v>285.88</v>
          </cell>
          <cell r="R414" t="str">
            <v>11.923932</v>
          </cell>
          <cell r="S414" t="str">
            <v>107.415873</v>
          </cell>
          <cell r="T414" t="str">
            <v>full_h04/Đắk Nông/Đăk Nông - Mục IV - Ring 8.kmz/Đăk Nông - Mục IV - Ring 8/Đội CC&amp;CNCH khu vực 13 - Công an xã Quảng Tín/trung thế</v>
          </cell>
          <cell r="U414">
            <v>321.42</v>
          </cell>
        </row>
        <row r="415">
          <cell r="L415" t="str">
            <v>Công an xã Đắk Mil - Phòng PC08 - Đội CSGT số 4</v>
          </cell>
          <cell r="M415" t="str">
            <v>114.97</v>
          </cell>
          <cell r="N415" t="str">
            <v>112.39</v>
          </cell>
          <cell r="O415" t="str">
            <v>12.501187</v>
          </cell>
          <cell r="P415" t="str">
            <v>107.743188</v>
          </cell>
          <cell r="Q415" t="str">
            <v>2.58</v>
          </cell>
          <cell r="R415" t="str">
            <v>12.509452</v>
          </cell>
          <cell r="S415" t="str">
            <v>107.749016</v>
          </cell>
          <cell r="T415" t="str">
            <v>full_h04/Đắk Nông/DakNong_Cap IV_Ring 1.kmz/DakNong_Cap IV_Ring 1/Công an xã Đắk Mil - Phòng PC08 - Đội CSGT số 4/hạ thế</v>
          </cell>
          <cell r="U415">
            <v>114.97</v>
          </cell>
        </row>
        <row r="416">
          <cell r="L416" t="str">
            <v>Công an xã Đức Lập (Trụ sở 2 CAH Đắk Mil cũ)
 -  Công an xã Cư Jút (Trụ sở CAH Cư Jút cũ)</v>
          </cell>
          <cell r="M416" t="str">
            <v>1830.31</v>
          </cell>
          <cell r="N416" t="str">
            <v>1569.82</v>
          </cell>
          <cell r="O416" t="str">
            <v>12.532603</v>
          </cell>
          <cell r="P416" t="str">
            <v>107.777164</v>
          </cell>
          <cell r="Q416" t="str">
            <v>260.50</v>
          </cell>
          <cell r="R416" t="str">
            <v>12.511249</v>
          </cell>
          <cell r="S416" t="str">
            <v>107.747464</v>
          </cell>
          <cell r="T416" t="str">
            <v>full_h04/Đắk Nông/Đắk Nông - Ring 1.kmz/Đắk Nông - Ring 1/Công an xã Đức Lập (Trụ sở 2 CAH Đắk Mil cũ)
 -  Công an xã Cư Jút (Trụ sở CAH Cư Jút cũ)/Trung thế</v>
          </cell>
          <cell r="U416">
            <v>1830.31</v>
          </cell>
        </row>
        <row r="417">
          <cell r="L417" t="str">
            <v>Công an xã Thuận An - Phòng PC02 - Tổ địa bàn số 2</v>
          </cell>
          <cell r="M417" t="str">
            <v>622.14</v>
          </cell>
          <cell r="N417" t="str">
            <v>619.66</v>
          </cell>
          <cell r="O417" t="str">
            <v>12.410084</v>
          </cell>
          <cell r="P417" t="str">
            <v>107.581077</v>
          </cell>
          <cell r="Q417" t="str">
            <v>2.48</v>
          </cell>
          <cell r="R417" t="str">
            <v>12.411950</v>
          </cell>
          <cell r="S417" t="str">
            <v>107.580064</v>
          </cell>
          <cell r="T417" t="str">
            <v>full_h04/Đắk Nông/Ring 4 Final.kmz/Ring 4/Công an xã Thuận An - Phòng PC02 - Tổ địa bàn số 2/Hạ thế</v>
          </cell>
          <cell r="U417">
            <v>622.14</v>
          </cell>
        </row>
        <row r="418">
          <cell r="L418" t="str">
            <v>Công an tỉnh Lâm Đồng - TT2
- Công an xã Đức Lập (Trụ sở 2 CAH Đắk Mil cũ)</v>
          </cell>
          <cell r="M418" t="str">
            <v>654.75</v>
          </cell>
          <cell r="N418" t="str">
            <v>122.37</v>
          </cell>
          <cell r="O418" t="str">
            <v>12.436080</v>
          </cell>
          <cell r="P418" t="str">
            <v>107.592159</v>
          </cell>
          <cell r="Q418" t="str">
            <v>532.38</v>
          </cell>
          <cell r="R418" t="str">
            <v>12.415565</v>
          </cell>
          <cell r="S418" t="str">
            <v>107.583311</v>
          </cell>
          <cell r="T418" t="str">
            <v>full_h04/Đắk Nông/Đắk Nông - Ring 1.kmz/Đắk Nông - Ring 1/Công an tỉnh Lâm Đồng - TT2
- Công an xã Đức Lập (Trụ sở 2 CAH Đắk Mil cũ)/Trung thế</v>
          </cell>
          <cell r="U418">
            <v>654.75</v>
          </cell>
        </row>
        <row r="419">
          <cell r="L419" t="str">
            <v>Công an tỉnh Lâm Đồng - TT2
- Công an xã Đức Lập (Trụ sở 2 CAH Đắk Mil cũ)</v>
          </cell>
          <cell r="M419" t="str">
            <v>210.27</v>
          </cell>
          <cell r="N419" t="str">
            <v>65.91</v>
          </cell>
          <cell r="O419" t="str">
            <v>12.260488</v>
          </cell>
          <cell r="P419" t="str">
            <v>107.611086</v>
          </cell>
          <cell r="Q419" t="str">
            <v>144.36</v>
          </cell>
          <cell r="R419" t="str">
            <v>12.254780</v>
          </cell>
          <cell r="S419" t="str">
            <v>107.609988</v>
          </cell>
          <cell r="T419" t="str">
            <v>full_h04/Đắk Nông/Đắk Nông - Ring 1.kmz/Đắk Nông - Ring 1/Công an tỉnh Lâm Đồng - TT2
- Công an xã Đức Lập (Trụ sở 2 CAH Đắk Mil cũ)/Trung thế</v>
          </cell>
          <cell r="U419">
            <v>210.27</v>
          </cell>
        </row>
        <row r="420">
          <cell r="L420" t="str">
            <v>Công an xã Nam Dong - Công an xã Đắk Mil</v>
          </cell>
          <cell r="M420" t="str">
            <v>1025.74</v>
          </cell>
          <cell r="N420" t="str">
            <v>93.74</v>
          </cell>
          <cell r="O420" t="str">
            <v>12.639130</v>
          </cell>
          <cell r="P420" t="str">
            <v>107.851491</v>
          </cell>
          <cell r="Q420" t="str">
            <v>932.00</v>
          </cell>
          <cell r="R420" t="str">
            <v>12.649492</v>
          </cell>
          <cell r="S420" t="str">
            <v>107.864970</v>
          </cell>
          <cell r="T420" t="str">
            <v>full_h04/Đắk Nông/DakNong_Cap IV_Ring 1.kmz/DakNong_Cap IV_Ring 1/Công an xã Nam Dong - Công an xã Đắk Mil/trung thế</v>
          </cell>
          <cell r="U420">
            <v>1025.74</v>
          </cell>
        </row>
        <row r="421">
          <cell r="L421" t="str">
            <v>Thuận Hạnh - Quảng Trực</v>
          </cell>
          <cell r="M421" t="str">
            <v>1620.04</v>
          </cell>
          <cell r="N421" t="str">
            <v>1617.33</v>
          </cell>
          <cell r="O421" t="str">
            <v>12.263942</v>
          </cell>
          <cell r="P421" t="str">
            <v>107.377975</v>
          </cell>
          <cell r="Q421" t="str">
            <v>2.71</v>
          </cell>
          <cell r="R421" t="str">
            <v>12.263942</v>
          </cell>
          <cell r="S421" t="str">
            <v>107.377975</v>
          </cell>
          <cell r="T421" t="str">
            <v>full_h04/Đắk Nông/Ring 6 - Final.kmz/Ring 6/Thuận Hạnh - Quảng Trực/Hạ thế</v>
          </cell>
          <cell r="U421">
            <v>1620.04</v>
          </cell>
        </row>
        <row r="422">
          <cell r="L422" t="str">
            <v>Công an tỉnh Lâm Đồng - TT2 - Công an xã Đức An (Trụ sở CAH Đắk Song cũ)</v>
          </cell>
          <cell r="M422" t="str">
            <v>760.50</v>
          </cell>
          <cell r="N422" t="str">
            <v>395.69</v>
          </cell>
          <cell r="O422" t="str">
            <v>12.131571</v>
          </cell>
          <cell r="P422" t="str">
            <v>107.652833</v>
          </cell>
          <cell r="Q422" t="str">
            <v>364.81</v>
          </cell>
          <cell r="R422" t="str">
            <v>12.099976</v>
          </cell>
          <cell r="S422" t="str">
            <v>107.656622</v>
          </cell>
          <cell r="T422" t="str">
            <v>full_h04/Đắk Nông/Đăk Nông - Ring 3.kmz/Đăk Nông - Ring 3/Công an tỉnh Lâm Đồng - TT2 - Công an xã Đức An (Trụ sở CAH Đắk Song cũ)/trung thế</v>
          </cell>
          <cell r="U422">
            <v>760.5</v>
          </cell>
        </row>
        <row r="423">
          <cell r="L423" t="str">
            <v>Đội CSGT Đường bộ số 4 - II  - Trường Xuân</v>
          </cell>
          <cell r="M423" t="str">
            <v>638.96</v>
          </cell>
          <cell r="N423" t="str">
            <v>632.88</v>
          </cell>
          <cell r="O423" t="str">
            <v>12.101863</v>
          </cell>
          <cell r="P423" t="str">
            <v>107.658514</v>
          </cell>
          <cell r="Q423" t="str">
            <v>6.08</v>
          </cell>
          <cell r="R423" t="str">
            <v>12.102447</v>
          </cell>
          <cell r="S423" t="str">
            <v>107.654394</v>
          </cell>
          <cell r="T423" t="str">
            <v>full_h04/Đắk Nông/Ring 5 - Final.kmz/Ring 5/Đội CSGT Đường bộ số 4 - II  - Trường Xuân/Trồng trụ mới</v>
          </cell>
          <cell r="U423">
            <v>638.96</v>
          </cell>
        </row>
        <row r="424">
          <cell r="L424" t="str">
            <v>Công an xã Đắk Wil - Công an xã Nam Dong</v>
          </cell>
          <cell r="M424" t="str">
            <v>1445.14</v>
          </cell>
          <cell r="N424" t="str">
            <v>1390.95</v>
          </cell>
          <cell r="O424" t="str">
            <v>12.663349</v>
          </cell>
          <cell r="P424" t="str">
            <v>107.863784</v>
          </cell>
          <cell r="Q424" t="str">
            <v>54.19</v>
          </cell>
          <cell r="R424" t="str">
            <v>12.650290</v>
          </cell>
          <cell r="S424" t="str">
            <v>107.873033</v>
          </cell>
          <cell r="T424" t="str">
            <v>full_h04/Đắk Nông/DakNong_Cap IV_Ring 1.kmz/DakNong_Cap IV_Ring 1/Công an xã Đắk Wil - Công an xã Nam Dong/trung thế</v>
          </cell>
          <cell r="U424">
            <v>1445.14</v>
          </cell>
        </row>
        <row r="425">
          <cell r="L425" t="str">
            <v>Đắk Sắk - Đắk Song</v>
          </cell>
          <cell r="M425" t="str">
            <v>1137.42</v>
          </cell>
          <cell r="N425" t="str">
            <v>743.83</v>
          </cell>
          <cell r="O425" t="str">
            <v>12.430532</v>
          </cell>
          <cell r="P425" t="str">
            <v>107.656166</v>
          </cell>
          <cell r="Q425" t="str">
            <v>393.59</v>
          </cell>
          <cell r="R425" t="str">
            <v>12.431643</v>
          </cell>
          <cell r="S425" t="str">
            <v>107.667064</v>
          </cell>
          <cell r="T425" t="str">
            <v>full_h04/Đắk Nông/Ring 4 Final.kmz/Ring 4/Đắk Sắk - Đắk Song/Trung thế</v>
          </cell>
          <cell r="U425">
            <v>1137.42</v>
          </cell>
        </row>
        <row r="426">
          <cell r="L426" t="str">
            <v>Công an tỉnh Lâm Đồng - TT2
- Công an xã Đức Lập (Trụ sở 2 CAH Đắk Mil cũ)</v>
          </cell>
          <cell r="M426" t="str">
            <v>520.86</v>
          </cell>
          <cell r="N426" t="str">
            <v>470.79</v>
          </cell>
          <cell r="O426" t="str">
            <v>12.395092</v>
          </cell>
          <cell r="P426" t="str">
            <v>107.572092</v>
          </cell>
          <cell r="Q426" t="str">
            <v>50.07</v>
          </cell>
          <cell r="R426" t="str">
            <v>12.411679</v>
          </cell>
          <cell r="S426" t="str">
            <v>107.580425</v>
          </cell>
          <cell r="T426" t="str">
            <v>full_h04/Đắk Nông/Đắk Nông - Ring 1.kmz/Đắk Nông - Ring 1/Công an tỉnh Lâm Đồng - TT2
- Công an xã Đức Lập (Trụ sở 2 CAH Đắk Mil cũ)/Hạ thế</v>
          </cell>
          <cell r="U426">
            <v>520.86</v>
          </cell>
        </row>
        <row r="427">
          <cell r="L427" t="str">
            <v>Phòng PK02 - Tổ địa bàn số 2 - Phòng PA06 - Tổ địa bàn số 2</v>
          </cell>
          <cell r="M427" t="str">
            <v>250.43</v>
          </cell>
          <cell r="N427" t="str">
            <v>245.75</v>
          </cell>
          <cell r="O427" t="str">
            <v>11.992292</v>
          </cell>
          <cell r="P427" t="str">
            <v>107.664286</v>
          </cell>
          <cell r="Q427" t="str">
            <v>4.67</v>
          </cell>
          <cell r="R427" t="str">
            <v>11.982702</v>
          </cell>
          <cell r="S427" t="str">
            <v>107.655608</v>
          </cell>
          <cell r="T427" t="str">
            <v>full_h04/Đắk Nông/Đăk Nông - Mục III - Ring 8.kmz/Đăk Nông - Mục III - Ring 8/Phòng PK02 - Tổ địa bàn số 2 - Phòng PA06 - Tổ địa bàn số 2/trung thế</v>
          </cell>
          <cell r="U427">
            <v>250.43</v>
          </cell>
        </row>
        <row r="428">
          <cell r="L428" t="str">
            <v>Phòng PA06 - Tổ địa bàn số 2 - Công an tỉnh Lâm Đồng - TT2</v>
          </cell>
          <cell r="M428" t="str">
            <v>229.03</v>
          </cell>
          <cell r="N428" t="str">
            <v>213.63</v>
          </cell>
          <cell r="O428" t="str">
            <v>12.006126</v>
          </cell>
          <cell r="P428" t="str">
            <v>107.674918</v>
          </cell>
          <cell r="Q428" t="str">
            <v>15.40</v>
          </cell>
          <cell r="R428" t="str">
            <v>12.023471</v>
          </cell>
          <cell r="S428" t="str">
            <v>107.686087</v>
          </cell>
          <cell r="T428" t="str">
            <v>full_h04/Đắk Nông/Đăk Nông - Mục III - Ring 8.kmz/Đăk Nông - Mục III - Ring 8/Phòng PA06 - Tổ địa bàn số 2 - Công an tỉnh Lâm Đồng - TT2/trung thế</v>
          </cell>
          <cell r="U428">
            <v>229.03</v>
          </cell>
        </row>
        <row r="429">
          <cell r="L429" t="str">
            <v>Công an phường Nam Gia Nghĩa - Công an xã Kiến Đức</v>
          </cell>
          <cell r="M429" t="str">
            <v>3244.70</v>
          </cell>
          <cell r="N429" t="str">
            <v>3114.51</v>
          </cell>
          <cell r="O429" t="str">
            <v>11.981562</v>
          </cell>
          <cell r="P429" t="str">
            <v>107.600892</v>
          </cell>
          <cell r="Q429" t="str">
            <v>130.19</v>
          </cell>
          <cell r="R429" t="str">
            <v>11.982198</v>
          </cell>
          <cell r="S429" t="str">
            <v>107.588012</v>
          </cell>
          <cell r="T429" t="str">
            <v>full_h04/Đắk Nông/Đăk Nông - Mục IV - Ring 9.kmz/Đăk Nông - Mục IV - Ring 9/Công an phường Nam Gia Nghĩa - Công an xã Kiến Đức/trung thế</v>
          </cell>
          <cell r="U429">
            <v>3244.7</v>
          </cell>
        </row>
        <row r="430">
          <cell r="L430" t="str">
            <v>Đội CC&amp;CNCH khu vực 13 - Công an xã Quảng Tín</v>
          </cell>
          <cell r="M430" t="str">
            <v>1706.70</v>
          </cell>
          <cell r="N430" t="str">
            <v>94.46</v>
          </cell>
          <cell r="O430" t="str">
            <v>11.973898</v>
          </cell>
          <cell r="P430" t="str">
            <v>107.492827</v>
          </cell>
          <cell r="Q430" t="str">
            <v>1612.24</v>
          </cell>
          <cell r="R430" t="str">
            <v>11.992825</v>
          </cell>
          <cell r="S430" t="str">
            <v>107.510738</v>
          </cell>
          <cell r="T430" t="str">
            <v>full_h04/Đắk Nông/Đăk Nông - Mục IV - Ring 8.kmz/Đăk Nông - Mục IV - Ring 8/Đội CC&amp;CNCH khu vực 13 - Công an xã Quảng Tín/trung thế</v>
          </cell>
          <cell r="U430">
            <v>1706.7</v>
          </cell>
        </row>
        <row r="431">
          <cell r="L431" t="str">
            <v>Công an phường Nam Gia Nghĩa - Công an xã Kiến Đức</v>
          </cell>
          <cell r="M431" t="str">
            <v>203.67</v>
          </cell>
          <cell r="N431" t="str">
            <v>73.48</v>
          </cell>
          <cell r="O431" t="str">
            <v>11.976922</v>
          </cell>
          <cell r="P431" t="str">
            <v>107.625933</v>
          </cell>
          <cell r="Q431" t="str">
            <v>130.19</v>
          </cell>
          <cell r="R431" t="str">
            <v>11.982198</v>
          </cell>
          <cell r="S431" t="str">
            <v>107.588012</v>
          </cell>
          <cell r="T431" t="str">
            <v>full_h04/Đắk Nông/Đăk Nông - Mục IV - Ring 9.kmz/Đăk Nông - Mục IV - Ring 9/Công an phường Nam Gia Nghĩa - Công an xã Kiến Đức/trung thế</v>
          </cell>
          <cell r="U431">
            <v>203.67</v>
          </cell>
        </row>
        <row r="432">
          <cell r="L432" t="str">
            <v>Công an xã Kiến Đức (Trụ sở CAH Đắk R'Lấp cũ) - Công an tỉnh Lâm Đồng - TT2</v>
          </cell>
          <cell r="M432" t="str">
            <v>1804.57</v>
          </cell>
          <cell r="N432" t="str">
            <v>1506.09</v>
          </cell>
          <cell r="O432" t="str">
            <v>11.977278</v>
          </cell>
          <cell r="P432" t="str">
            <v>107.638107</v>
          </cell>
          <cell r="Q432" t="str">
            <v>298.48</v>
          </cell>
          <cell r="R432" t="str">
            <v>11.981714</v>
          </cell>
          <cell r="S432" t="str">
            <v>107.658194</v>
          </cell>
          <cell r="T432" t="str">
            <v>full_h04/Đắk Nông/Đăk Nông - Ring 3.kmz/Đăk Nông - Ring 3/Công an xã Kiến Đức (Trụ sở CAH Đắk R'Lấp cũ) - Công an tỉnh Lâm Đồng - TT2/trung thế</v>
          </cell>
          <cell r="U432">
            <v>1804.57</v>
          </cell>
        </row>
        <row r="433">
          <cell r="L433" t="str">
            <v>Công an phường Bắc Gia Nghĩa - Công an phường Đông Gia Nghĩa</v>
          </cell>
          <cell r="M433" t="str">
            <v>2068.14</v>
          </cell>
          <cell r="N433" t="str">
            <v>2062.00</v>
          </cell>
          <cell r="O433" t="str">
            <v>11.964795</v>
          </cell>
          <cell r="P433" t="str">
            <v>107.733818</v>
          </cell>
          <cell r="Q433" t="str">
            <v>6.14</v>
          </cell>
          <cell r="R433" t="str">
            <v>11.959954</v>
          </cell>
          <cell r="S433" t="str">
            <v>107.728636</v>
          </cell>
          <cell r="T433" t="str">
            <v>full_h04/Đắk Nông/Đăk Nông - Mục IV - Ring 9.kmz/Đăk Nông - Mục IV - Ring 9/Công an phường Bắc Gia Nghĩa - Công an phường Đông Gia Nghĩa/hạ thế</v>
          </cell>
          <cell r="U433">
            <v>2068.14</v>
          </cell>
        </row>
        <row r="434">
          <cell r="L434" t="str">
            <v>Công an phường Bắc Gia Nghĩa - Công an phường Đông Gia Nghĩa</v>
          </cell>
          <cell r="M434" t="str">
            <v>4385.78</v>
          </cell>
          <cell r="N434" t="str">
            <v>4379.64</v>
          </cell>
          <cell r="O434" t="str">
            <v>11.964795</v>
          </cell>
          <cell r="P434" t="str">
            <v>107.733818</v>
          </cell>
          <cell r="Q434" t="str">
            <v>6.14</v>
          </cell>
          <cell r="R434" t="str">
            <v>11.959954</v>
          </cell>
          <cell r="S434" t="str">
            <v>107.728636</v>
          </cell>
          <cell r="T434" t="str">
            <v>full_h04/Đắk Nông/Đăk Nông - Mục IV - Ring 9.kmz/Đăk Nông - Mục IV - Ring 9/Công an phường Bắc Gia Nghĩa - Công an phường Đông Gia Nghĩa/hạ thế</v>
          </cell>
          <cell r="U434">
            <v>4385.78</v>
          </cell>
        </row>
        <row r="435">
          <cell r="L435" t="str">
            <v>Công An xã Quảng Tín - Đồn CA KCN Nhân Cơ</v>
          </cell>
          <cell r="M435" t="str">
            <v>1381.74</v>
          </cell>
          <cell r="N435" t="str">
            <v>1378.88</v>
          </cell>
          <cell r="O435" t="str">
            <v>11.975606</v>
          </cell>
          <cell r="P435" t="str">
            <v>107.581761</v>
          </cell>
          <cell r="Q435" t="str">
            <v>2.86</v>
          </cell>
          <cell r="R435" t="str">
            <v>11.975606</v>
          </cell>
          <cell r="S435" t="str">
            <v>107.581761</v>
          </cell>
          <cell r="T435" t="str">
            <v>full_h04/Đắk Nông/Đăk Nông - Mục IV - Ring 8.kmz/Đăk Nông - Mục IV - Ring 8/Công An xã Quảng Tín - Đồn CA KCN Nhân Cơ/Tuyến ngầm xây dựng mới</v>
          </cell>
          <cell r="U435">
            <v>1381.74</v>
          </cell>
        </row>
        <row r="436">
          <cell r="L436" t="str">
            <v>Công an phường Nam Gia Nghĩa - Công an xã Kiến Đức</v>
          </cell>
          <cell r="M436" t="str">
            <v>849.96</v>
          </cell>
          <cell r="N436" t="str">
            <v>719.77</v>
          </cell>
          <cell r="O436" t="str">
            <v>11.980341</v>
          </cell>
          <cell r="P436" t="str">
            <v>107.607388</v>
          </cell>
          <cell r="Q436" t="str">
            <v>130.19</v>
          </cell>
          <cell r="R436" t="str">
            <v>11.982198</v>
          </cell>
          <cell r="S436" t="str">
            <v>107.588012</v>
          </cell>
          <cell r="T436" t="str">
            <v>full_h04/Đắk Nông/Đăk Nông - Mục IV - Ring 9.kmz/Đăk Nông - Mục IV - Ring 9/Công an phường Nam Gia Nghĩa - Công an xã Kiến Đức/trung thế</v>
          </cell>
          <cell r="U436">
            <v>849.96</v>
          </cell>
        </row>
        <row r="437">
          <cell r="L437" t="str">
            <v>Công an tỉnh Lâm Đồng - TT2 - Công an xã Đức An (Trụ sở CAH Đắk Song cũ)</v>
          </cell>
          <cell r="M437" t="str">
            <v>18692.10</v>
          </cell>
          <cell r="N437" t="str">
            <v>2438.15</v>
          </cell>
          <cell r="O437" t="str">
            <v>12.023574</v>
          </cell>
          <cell r="P437" t="str">
            <v>107.685997</v>
          </cell>
          <cell r="Q437" t="str">
            <v>16253.95</v>
          </cell>
          <cell r="R437" t="str">
            <v>12.205288</v>
          </cell>
          <cell r="S437" t="str">
            <v>107.626506</v>
          </cell>
          <cell r="T437" t="str">
            <v>full_h04/Đắk Nông/Đăk Nông - Ring 3.kmz/Đăk Nông - Ring 3/Công an tỉnh Lâm Đồng - TT2 - Công an xã Đức An (Trụ sở CAH Đắk Song cũ)/trung thế</v>
          </cell>
          <cell r="U437">
            <v>18692.099999999999</v>
          </cell>
        </row>
        <row r="438">
          <cell r="L438" t="str">
            <v>Công an tỉnh Lâm Đồng - TT2 - Công an xã Đức An (Trụ sở CAH Đắk Song cũ)</v>
          </cell>
          <cell r="M438" t="str">
            <v>404.43</v>
          </cell>
          <cell r="N438" t="str">
            <v>403.68</v>
          </cell>
          <cell r="O438" t="str">
            <v>12.202097</v>
          </cell>
          <cell r="P438" t="str">
            <v>107.633785</v>
          </cell>
          <cell r="Q438" t="str">
            <v>0.75</v>
          </cell>
          <cell r="R438" t="str">
            <v>12.023574</v>
          </cell>
          <cell r="S438" t="str">
            <v>107.685997</v>
          </cell>
          <cell r="T438" t="str">
            <v>full_h04/Đắk Nông/Đăk Nông - Ring 3.kmz/Đăk Nông - Ring 3/Công an tỉnh Lâm Đồng - TT2 - Công an xã Đức An (Trụ sở CAH Đắk Song cũ)/trung thế</v>
          </cell>
          <cell r="U438">
            <v>404.43</v>
          </cell>
        </row>
        <row r="439">
          <cell r="L439" t="str">
            <v>Công an tỉnh Lâm Đồng - TT2 - Công an xã Đức An (Trụ sở CAH Đắk Song cũ)</v>
          </cell>
          <cell r="M439" t="str">
            <v>404.43</v>
          </cell>
          <cell r="N439" t="str">
            <v>403.68</v>
          </cell>
          <cell r="O439" t="str">
            <v>12.202097</v>
          </cell>
          <cell r="P439" t="str">
            <v>107.633785</v>
          </cell>
          <cell r="Q439" t="str">
            <v>0.75</v>
          </cell>
          <cell r="R439" t="str">
            <v>12.023574</v>
          </cell>
          <cell r="S439" t="str">
            <v>107.685997</v>
          </cell>
          <cell r="T439" t="str">
            <v>full_h04/Đắk Nông/Đăk Nông - Ring 3.kmz/Đăk Nông - Ring 3/Công an tỉnh Lâm Đồng - TT2 - Công an xã Đức An (Trụ sở CAH Đắk Song cũ)/trung thế</v>
          </cell>
          <cell r="U439">
            <v>404.43</v>
          </cell>
        </row>
        <row r="440">
          <cell r="L440" t="str">
            <v>Phòng PC07 - Đội CC&amp;CNCH khu vực 14 - Công an xã Đức Lập (Trụ sở 2 CAH Đắk Mil cũ)</v>
          </cell>
          <cell r="M440" t="str">
            <v>141.31</v>
          </cell>
          <cell r="N440" t="str">
            <v>138.32</v>
          </cell>
          <cell r="O440" t="str">
            <v>12.447314</v>
          </cell>
          <cell r="P440" t="str">
            <v>107.609429</v>
          </cell>
          <cell r="Q440" t="str">
            <v>2.99</v>
          </cell>
          <cell r="R440" t="str">
            <v>12.459466</v>
          </cell>
          <cell r="S440" t="str">
            <v>107.613251</v>
          </cell>
          <cell r="T440" t="str">
            <v>full_h04/Đắk Nông/DakNong_Cap IV_Ring 1.kmz/DakNong_Cap IV_Ring 1/Phòng PC07 - Đội CC&amp;CNCH khu vực 14 - Công an xã Đức Lập (Trụ sở 2 CAH Đắk Mil cũ)/trung thế</v>
          </cell>
          <cell r="U440">
            <v>141.31</v>
          </cell>
        </row>
        <row r="441">
          <cell r="L441" t="str">
            <v>Công an xã Đắk Mil - Phòng PC08 - Đội CSGT số 4</v>
          </cell>
          <cell r="M441" t="str">
            <v>2939.55</v>
          </cell>
          <cell r="N441" t="str">
            <v>2936.97</v>
          </cell>
          <cell r="O441" t="str">
            <v>12.489154</v>
          </cell>
          <cell r="P441" t="str">
            <v>107.723986</v>
          </cell>
          <cell r="Q441" t="str">
            <v>2.58</v>
          </cell>
          <cell r="R441" t="str">
            <v>12.509452</v>
          </cell>
          <cell r="S441" t="str">
            <v>107.749016</v>
          </cell>
          <cell r="T441" t="str">
            <v>full_h04/Đắk Nông/DakNong_Cap IV_Ring 1.kmz/DakNong_Cap IV_Ring 1/Công an xã Đắk Mil - Phòng PC08 - Đội CSGT số 4/hạ thế</v>
          </cell>
          <cell r="U441">
            <v>2939.55</v>
          </cell>
        </row>
        <row r="442">
          <cell r="L442" t="str">
            <v>Công an xã Đắk Song - Công an xã Thuận An</v>
          </cell>
          <cell r="M442" t="str">
            <v>96.65</v>
          </cell>
          <cell r="N442" t="str">
            <v>80.05</v>
          </cell>
          <cell r="O442" t="str">
            <v>12.441776</v>
          </cell>
          <cell r="P442" t="str">
            <v>107.629672</v>
          </cell>
          <cell r="Q442" t="str">
            <v>16.60</v>
          </cell>
          <cell r="R442" t="str">
            <v>12.447270</v>
          </cell>
          <cell r="S442" t="str">
            <v>107.621786</v>
          </cell>
          <cell r="T442" t="str">
            <v>full_h04/Đắk Nông/Ring 4 Final.kmz/Ring 4/Công an xã Đắk Song - Công an xã Thuận An/Trung thế</v>
          </cell>
          <cell r="U442">
            <v>96.65</v>
          </cell>
        </row>
        <row r="443">
          <cell r="L443" t="str">
            <v>Công an tỉnh Lâm Đồng - TT2
- Công an xã Đức Lập (Trụ sở 2 CAH Đắk Mil cũ)</v>
          </cell>
          <cell r="M443" t="str">
            <v>273.01</v>
          </cell>
          <cell r="N443" t="str">
            <v>128.65</v>
          </cell>
          <cell r="O443" t="str">
            <v>12.303564</v>
          </cell>
          <cell r="P443" t="str">
            <v>107.593400</v>
          </cell>
          <cell r="Q443" t="str">
            <v>144.36</v>
          </cell>
          <cell r="R443" t="str">
            <v>12.254780</v>
          </cell>
          <cell r="S443" t="str">
            <v>107.609988</v>
          </cell>
          <cell r="T443" t="str">
            <v>full_h04/Đắk Nông/Đắk Nông - Ring 1.kmz/Đắk Nông - Ring 1/Công an tỉnh Lâm Đồng - TT2
- Công an xã Đức Lập (Trụ sở 2 CAH Đắk Mil cũ)/Trung thế</v>
          </cell>
          <cell r="U443">
            <v>273.01</v>
          </cell>
        </row>
        <row r="444">
          <cell r="L444" t="str">
            <v>Công an xã Tuy Đức (Trụ sở CAH Tuy Đức cũ) - Công an xã Kiến Đức (Trụ sở CAH Đắk R'Lấp cũ)</v>
          </cell>
          <cell r="M444" t="str">
            <v>796.43</v>
          </cell>
          <cell r="N444" t="str">
            <v>647.62</v>
          </cell>
          <cell r="O444" t="str">
            <v>12.018853</v>
          </cell>
          <cell r="P444" t="str">
            <v>107.492485</v>
          </cell>
          <cell r="Q444" t="str">
            <v>148.81</v>
          </cell>
          <cell r="R444" t="str">
            <v>12.043371</v>
          </cell>
          <cell r="S444" t="str">
            <v>107.489839</v>
          </cell>
          <cell r="T444" t="str">
            <v>full_h04/Đắk Nông/Đăk Nông - Ring 3.kmz/Đăk Nông - Ring 3/Công an xã Tuy Đức (Trụ sở CAH Tuy Đức cũ) - Công an xã Kiến Đức (Trụ sở CAH Đắk R'Lấp cũ)/trung thế</v>
          </cell>
          <cell r="U444">
            <v>796.43</v>
          </cell>
        </row>
        <row r="445">
          <cell r="L445" t="str">
            <v>Công an xã Tuy Đức (Trụ sở CAH Tuy Đức cũ) - Công an xã Kiến Đức (Trụ sở CAH Đắk R'Lấp cũ)</v>
          </cell>
          <cell r="M445" t="str">
            <v>97.91</v>
          </cell>
          <cell r="N445" t="str">
            <v>74.84</v>
          </cell>
          <cell r="O445" t="str">
            <v>12.184903</v>
          </cell>
          <cell r="P445" t="str">
            <v>107.450288</v>
          </cell>
          <cell r="Q445" t="str">
            <v>23.06</v>
          </cell>
          <cell r="R445" t="str">
            <v>12.218915</v>
          </cell>
          <cell r="S445" t="str">
            <v>107.477455</v>
          </cell>
          <cell r="T445" t="str">
            <v>full_h04/Đắk Nông/Đăk Nông - Ring 3.kmz/Đăk Nông - Ring 3/Công an xã Tuy Đức (Trụ sở CAH Tuy Đức cũ) - Công an xã Kiến Đức (Trụ sở CAH Đắk R'Lấp cũ)/trung thế</v>
          </cell>
          <cell r="U445">
            <v>97.91</v>
          </cell>
        </row>
        <row r="446">
          <cell r="L446" t="str">
            <v>Công an tỉnh Lâm Đồng - TT2
- Công an xã Đức Lập (Trụ sở 2 CAH Đắk Mil cũ)</v>
          </cell>
          <cell r="M446" t="str">
            <v>825.64</v>
          </cell>
          <cell r="N446" t="str">
            <v>452.26</v>
          </cell>
          <cell r="O446" t="str">
            <v>12.150210</v>
          </cell>
          <cell r="P446" t="str">
            <v>107.643135</v>
          </cell>
          <cell r="Q446" t="str">
            <v>373.39</v>
          </cell>
          <cell r="R446" t="str">
            <v>12.099854</v>
          </cell>
          <cell r="S446" t="str">
            <v>107.656595</v>
          </cell>
          <cell r="T446" t="str">
            <v>full_h04/Đắk Nông/Đắk Nông - Ring 1.kmz/Đắk Nông - Ring 1/Công an tỉnh Lâm Đồng - TT2
- Công an xã Đức Lập (Trụ sở 2 CAH Đắk Mil cũ)/Trung thế</v>
          </cell>
          <cell r="U446">
            <v>825.64</v>
          </cell>
        </row>
        <row r="447">
          <cell r="L447" t="str">
            <v>Công an tỉnh Lâm Đồng - TT2 - Công an xã Đức An (Trụ sở CAH Đắk Song cũ)</v>
          </cell>
          <cell r="M447" t="str">
            <v>63.53</v>
          </cell>
          <cell r="N447" t="str">
            <v>62.77</v>
          </cell>
          <cell r="O447" t="str">
            <v>12.033684</v>
          </cell>
          <cell r="P447" t="str">
            <v>107.687252</v>
          </cell>
          <cell r="Q447" t="str">
            <v>0.75</v>
          </cell>
          <cell r="R447" t="str">
            <v>12.023574</v>
          </cell>
          <cell r="S447" t="str">
            <v>107.685997</v>
          </cell>
          <cell r="T447" t="str">
            <v>full_h04/Đắk Nông/Đăk Nông - Ring 3.kmz/Đăk Nông - Ring 3/Công an tỉnh Lâm Đồng - TT2 - Công an xã Đức An (Trụ sở CAH Đắk Song cũ)/trung thế</v>
          </cell>
          <cell r="U447">
            <v>63.53</v>
          </cell>
        </row>
        <row r="448">
          <cell r="L448" t="str">
            <v>Công an xã Quảng Sơn - Trại tạm giam cơ sở 2</v>
          </cell>
          <cell r="M448" t="str">
            <v>4548.89</v>
          </cell>
          <cell r="N448" t="str">
            <v>466.07</v>
          </cell>
          <cell r="O448" t="str">
            <v>12.021367</v>
          </cell>
          <cell r="P448" t="str">
            <v>107.738292</v>
          </cell>
          <cell r="Q448" t="str">
            <v>4082.82</v>
          </cell>
          <cell r="R448" t="str">
            <v>12.006174</v>
          </cell>
          <cell r="S448" t="str">
            <v>107.719054</v>
          </cell>
          <cell r="T448" t="str">
            <v>full_h04/Đắk Nông/Đắk Nông - Ring 1.kmz/Đắk Nông - Ring 1/Công an xã Quảng Sơn - Trại tạm giam cơ sở 2/trung thế</v>
          </cell>
          <cell r="U448">
            <v>4548.8900000000003</v>
          </cell>
        </row>
        <row r="449">
          <cell r="L449" t="str">
            <v>Công An xã Quảng Tín - Đồn CA KCN Nhân Cơ</v>
          </cell>
          <cell r="M449" t="str">
            <v>205.07</v>
          </cell>
          <cell r="N449" t="str">
            <v>108.24</v>
          </cell>
          <cell r="O449" t="str">
            <v>11.970678</v>
          </cell>
          <cell r="P449" t="str">
            <v>107.576391</v>
          </cell>
          <cell r="Q449" t="str">
            <v>96.83</v>
          </cell>
          <cell r="R449" t="str">
            <v>11.976427</v>
          </cell>
          <cell r="S449" t="str">
            <v>107.581530</v>
          </cell>
          <cell r="T449" t="str">
            <v>full_h04/Đắk Nông/Đăk Nông - Mục IV - Ring 8.kmz/Đăk Nông - Mục IV - Ring 8/Công An xã Quảng Tín - Đồn CA KCN Nhân Cơ/trung thế</v>
          </cell>
          <cell r="U449">
            <v>205.07</v>
          </cell>
        </row>
        <row r="450">
          <cell r="L450" t="str">
            <v>Đội CC&amp;CNCH khu vực 13 - Công an xã Quảng Tín</v>
          </cell>
          <cell r="M450" t="str">
            <v>3604.33</v>
          </cell>
          <cell r="N450" t="str">
            <v>3532.75</v>
          </cell>
          <cell r="O450" t="str">
            <v>11.992852</v>
          </cell>
          <cell r="P450" t="str">
            <v>107.510395</v>
          </cell>
          <cell r="Q450" t="str">
            <v>71.58</v>
          </cell>
          <cell r="R450" t="str">
            <v>12.006530</v>
          </cell>
          <cell r="S450" t="str">
            <v>107.513014</v>
          </cell>
          <cell r="T450" t="str">
            <v>full_h04/Đắk Nông/Đăk Nông - Mục IV - Ring 8.kmz/Đăk Nông - Mục IV - Ring 8/Đội CC&amp;CNCH khu vực 13 - Công an xã Quảng Tín/hạ thế</v>
          </cell>
          <cell r="U450">
            <v>3604.33</v>
          </cell>
        </row>
        <row r="451">
          <cell r="L451" t="str">
            <v>Đội CC&amp;CNCH khu vực 13 - Công an xã Quảng Tín</v>
          </cell>
          <cell r="M451" t="str">
            <v>2602.99</v>
          </cell>
          <cell r="N451" t="str">
            <v>990.75</v>
          </cell>
          <cell r="O451" t="str">
            <v>11.955950</v>
          </cell>
          <cell r="P451" t="str">
            <v>107.471277</v>
          </cell>
          <cell r="Q451" t="str">
            <v>1612.24</v>
          </cell>
          <cell r="R451" t="str">
            <v>11.992825</v>
          </cell>
          <cell r="S451" t="str">
            <v>107.510738</v>
          </cell>
          <cell r="T451" t="str">
            <v>full_h04/Đắk Nông/Đăk Nông - Mục IV - Ring 8.kmz/Đăk Nông - Mục IV - Ring 8/Đội CC&amp;CNCH khu vực 13 - Công an xã Quảng Tín/trung thế</v>
          </cell>
          <cell r="U451">
            <v>2602.9899999999998</v>
          </cell>
        </row>
        <row r="452">
          <cell r="L452" t="str">
            <v>Công an phường Nam Gia Nghĩa - Công an xã Kiến Đức</v>
          </cell>
          <cell r="M452" t="str">
            <v>1891.38</v>
          </cell>
          <cell r="N452" t="str">
            <v>1761.19</v>
          </cell>
          <cell r="O452" t="str">
            <v>12.001449</v>
          </cell>
          <cell r="P452" t="str">
            <v>107.676164</v>
          </cell>
          <cell r="Q452" t="str">
            <v>130.19</v>
          </cell>
          <cell r="R452" t="str">
            <v>11.982198</v>
          </cell>
          <cell r="S452" t="str">
            <v>107.588012</v>
          </cell>
          <cell r="T452" t="str">
            <v>full_h04/Đắk Nông/Đăk Nông - Mục IV - Ring 9.kmz/Đăk Nông - Mục IV - Ring 9/Công an phường Nam Gia Nghĩa - Công an xã Kiến Đức/trung thế</v>
          </cell>
          <cell r="U452">
            <v>1891.38</v>
          </cell>
        </row>
        <row r="453">
          <cell r="L453" t="str">
            <v>Công an phường Nam Gia Nghĩa - Công an xã Kiến Đức</v>
          </cell>
          <cell r="M453" t="str">
            <v>878.39</v>
          </cell>
          <cell r="N453" t="str">
            <v>222.21</v>
          </cell>
          <cell r="O453" t="str">
            <v>11.993557</v>
          </cell>
          <cell r="P453" t="str">
            <v>107.546589</v>
          </cell>
          <cell r="Q453" t="str">
            <v>656.18</v>
          </cell>
          <cell r="R453" t="str">
            <v>12.001529</v>
          </cell>
          <cell r="S453" t="str">
            <v>107.511134</v>
          </cell>
          <cell r="T453" t="str">
            <v>full_h04/Đắk Nông/Đăk Nông - Mục IV - Ring 9.kmz/Đăk Nông - Mục IV - Ring 9/Công an phường Nam Gia Nghĩa - Công an xã Kiến Đức/trung thế</v>
          </cell>
          <cell r="U453">
            <v>878.39</v>
          </cell>
        </row>
        <row r="454">
          <cell r="L454" t="str">
            <v>Công an xã Nhân Cơ - Công an tỉnh Lâm Đồng - TT2</v>
          </cell>
          <cell r="M454" t="str">
            <v>1887.12</v>
          </cell>
          <cell r="N454" t="str">
            <v>1596.44</v>
          </cell>
          <cell r="O454" t="str">
            <v>12.013104</v>
          </cell>
          <cell r="P454" t="str">
            <v>107.682381</v>
          </cell>
          <cell r="Q454" t="str">
            <v>290.69</v>
          </cell>
          <cell r="R454" t="str">
            <v>11.981328</v>
          </cell>
          <cell r="S454" t="str">
            <v>107.657925</v>
          </cell>
          <cell r="T454" t="str">
            <v>full_h04/Đắk Nông/Đăk Nông - Mục IV - Ring 8.kmz/Đăk Nông - Mục IV - Ring 8/Công an xã Nhân Cơ - Công an tỉnh Lâm Đồng - TT2/trung thế</v>
          </cell>
          <cell r="U454">
            <v>1887.12</v>
          </cell>
        </row>
        <row r="455">
          <cell r="L455" t="str">
            <v>Đường Quảng Tân - TTCMKV Đắk R'Lấp</v>
          </cell>
          <cell r="M455" t="str">
            <v>1580.83</v>
          </cell>
          <cell r="N455" t="str">
            <v>1573.82</v>
          </cell>
          <cell r="O455" t="str">
            <v>12.007192</v>
          </cell>
          <cell r="P455" t="str">
            <v>107.512976</v>
          </cell>
          <cell r="Q455" t="str">
            <v>7.01</v>
          </cell>
          <cell r="R455" t="str">
            <v>12.007192</v>
          </cell>
          <cell r="S455" t="str">
            <v>107.512976</v>
          </cell>
          <cell r="T455" t="str">
            <v>full_h04/Đắk Nông/Ring 7 - Final.kmz/Ring 7/Đường Quảng Tân - TTCMKV Đắk R'Lấp/Trung thế</v>
          </cell>
          <cell r="U455">
            <v>1580.83</v>
          </cell>
        </row>
        <row r="456">
          <cell r="L456" t="str">
            <v>Công An xã Quảng Tín - Đồn CA KCN Nhân Cơ</v>
          </cell>
          <cell r="M456" t="str">
            <v>1133.54</v>
          </cell>
          <cell r="N456" t="str">
            <v>163.77</v>
          </cell>
          <cell r="O456" t="str">
            <v>11.877683</v>
          </cell>
          <cell r="P456" t="str">
            <v>107.416240</v>
          </cell>
          <cell r="Q456" t="str">
            <v>969.77</v>
          </cell>
          <cell r="R456" t="str">
            <v>11.904558</v>
          </cell>
          <cell r="S456" t="str">
            <v>107.395252</v>
          </cell>
          <cell r="T456" t="str">
            <v>full_h04/Đắk Nông/Đăk Nông - Mục IV - Ring 8.kmz/Đăk Nông - Mục IV - Ring 8/Công An xã Quảng Tín - Đồn CA KCN Nhân Cơ/trung thế</v>
          </cell>
          <cell r="U456">
            <v>1133.54</v>
          </cell>
        </row>
        <row r="457">
          <cell r="L457" t="str">
            <v>Đội CC&amp;CNCH khu vực 13 - Công an xã Quảng Tín</v>
          </cell>
          <cell r="M457" t="str">
            <v>1707.25</v>
          </cell>
          <cell r="N457" t="str">
            <v>95.01</v>
          </cell>
          <cell r="O457" t="str">
            <v>11.932662</v>
          </cell>
          <cell r="P457" t="str">
            <v>107.433708</v>
          </cell>
          <cell r="Q457" t="str">
            <v>1612.24</v>
          </cell>
          <cell r="R457" t="str">
            <v>11.992825</v>
          </cell>
          <cell r="S457" t="str">
            <v>107.510738</v>
          </cell>
          <cell r="T457" t="str">
            <v>full_h04/Đắk Nông/Đăk Nông - Mục IV - Ring 8.kmz/Đăk Nông - Mục IV - Ring 8/Đội CC&amp;CNCH khu vực 13 - Công an xã Quảng Tín/trung thế</v>
          </cell>
          <cell r="U457">
            <v>1707.25</v>
          </cell>
        </row>
        <row r="458">
          <cell r="L458" t="str">
            <v>Công an phường Đông Gia Nghĩa - Công an phường Nam Gia Nghĩa</v>
          </cell>
          <cell r="M458" t="str">
            <v>161.95</v>
          </cell>
          <cell r="N458" t="str">
            <v>157.74</v>
          </cell>
          <cell r="O458" t="str">
            <v>11.958558</v>
          </cell>
          <cell r="P458" t="str">
            <v>107.727834</v>
          </cell>
          <cell r="Q458" t="str">
            <v>4.21</v>
          </cell>
          <cell r="R458" t="str">
            <v>11.959940</v>
          </cell>
          <cell r="S458" t="str">
            <v>107.728562</v>
          </cell>
          <cell r="T458" t="str">
            <v>full_h04/Đắk Nông/Đăk Nông - Mục IV - Ring 9.kmz/Đăk Nông - Mục IV - Ring 9/Công an phường Đông Gia Nghĩa - Công an phường Nam Gia Nghĩa/trung thế</v>
          </cell>
          <cell r="U458">
            <v>161.94999999999999</v>
          </cell>
        </row>
        <row r="459">
          <cell r="L459" t="str">
            <v>Phòng PA06 - Tổ địa bàn số 2 - Công an tỉnh Lâm Đồng - TT2</v>
          </cell>
          <cell r="M459" t="str">
            <v>364.07</v>
          </cell>
          <cell r="N459" t="str">
            <v>348.67</v>
          </cell>
          <cell r="O459" t="str">
            <v>11.992517</v>
          </cell>
          <cell r="P459" t="str">
            <v>107.670400</v>
          </cell>
          <cell r="Q459" t="str">
            <v>15.40</v>
          </cell>
          <cell r="R459" t="str">
            <v>12.023471</v>
          </cell>
          <cell r="S459" t="str">
            <v>107.686087</v>
          </cell>
          <cell r="T459" t="str">
            <v>full_h04/Đắk Nông/Đăk Nông - Mục III - Ring 8.kmz/Đăk Nông - Mục III - Ring 8/Phòng PA06 - Tổ địa bàn số 2 - Công an tỉnh Lâm Đồng - TT2/trung thế</v>
          </cell>
          <cell r="U459">
            <v>364.07</v>
          </cell>
        </row>
        <row r="460">
          <cell r="L460" t="str">
            <v>Phòng PA06 - Tổ địa bàn số 2 - Công an tỉnh Lâm Đồng - TT2</v>
          </cell>
          <cell r="M460" t="str">
            <v>364.07</v>
          </cell>
          <cell r="N460" t="str">
            <v>15.40</v>
          </cell>
          <cell r="O460" t="str">
            <v>12.023471</v>
          </cell>
          <cell r="P460" t="str">
            <v>107.686087</v>
          </cell>
          <cell r="Q460" t="str">
            <v>348.67</v>
          </cell>
          <cell r="R460" t="str">
            <v>11.992517</v>
          </cell>
          <cell r="S460" t="str">
            <v>107.670400</v>
          </cell>
          <cell r="T460" t="str">
            <v>full_h04/Đắk Nông/Đăk Nông - Mục III - Ring 8.kmz/Đăk Nông - Mục III - Ring 8/Phòng PA06 - Tổ địa bàn số 2 - Công an tỉnh Lâm Đồng - TT2/trung thế</v>
          </cell>
          <cell r="U460">
            <v>364.07</v>
          </cell>
        </row>
        <row r="461">
          <cell r="L461" t="str">
            <v>Công an tỉnh Lâm Đồng - TT2 - Công an xã Quảng Khê</v>
          </cell>
          <cell r="M461" t="str">
            <v>91.33</v>
          </cell>
          <cell r="N461" t="str">
            <v>1.35</v>
          </cell>
          <cell r="O461" t="str">
            <v>12.023592</v>
          </cell>
          <cell r="P461" t="str">
            <v>107.685997</v>
          </cell>
          <cell r="Q461" t="str">
            <v>89.98</v>
          </cell>
          <cell r="R461" t="str">
            <v>12.002910</v>
          </cell>
          <cell r="S461" t="str">
            <v>107.693052</v>
          </cell>
          <cell r="T461" t="str">
            <v>full_h04/Đắk Nông/Đăk Nông - Mục IV - Ring 10.kmz/Đăk Nông - Mục IV - Ring 10/Công an tỉnh Lâm Đồng - TT2 - Công an xã Quảng Khê/trung thế</v>
          </cell>
          <cell r="U461">
            <v>91.33</v>
          </cell>
        </row>
        <row r="462">
          <cell r="L462" t="str">
            <v>Công an phường Nam Gia Nghĩa - Công an xã Kiến Đức</v>
          </cell>
          <cell r="M462" t="str">
            <v>1003.78</v>
          </cell>
          <cell r="N462" t="str">
            <v>347.59</v>
          </cell>
          <cell r="O462" t="str">
            <v>11.992581</v>
          </cell>
          <cell r="P462" t="str">
            <v>107.670472</v>
          </cell>
          <cell r="Q462" t="str">
            <v>656.18</v>
          </cell>
          <cell r="R462" t="str">
            <v>12.001529</v>
          </cell>
          <cell r="S462" t="str">
            <v>107.511134</v>
          </cell>
          <cell r="T462" t="str">
            <v>full_h04/Đắk Nông/Đăk Nông - Mục IV - Ring 9.kmz/Đăk Nông - Mục IV - Ring 9/Công an phường Nam Gia Nghĩa - Công an xã Kiến Đức/trung thế</v>
          </cell>
          <cell r="U462">
            <v>1003.78</v>
          </cell>
        </row>
        <row r="463">
          <cell r="L463" t="str">
            <v>Công an phường Nam Gia Nghĩa - Công an xã Kiến Đức</v>
          </cell>
          <cell r="M463" t="str">
            <v>3155.90</v>
          </cell>
          <cell r="N463" t="str">
            <v>656.18</v>
          </cell>
          <cell r="O463" t="str">
            <v>12.001529</v>
          </cell>
          <cell r="P463" t="str">
            <v>107.511134</v>
          </cell>
          <cell r="Q463" t="str">
            <v>2499.72</v>
          </cell>
          <cell r="R463" t="str">
            <v>12.003711</v>
          </cell>
          <cell r="S463" t="str">
            <v>107.675248</v>
          </cell>
          <cell r="T463" t="str">
            <v>full_h04/Đắk Nông/Đăk Nông - Mục IV - Ring 9.kmz/Đăk Nông - Mục IV - Ring 9/Công an phường Nam Gia Nghĩa - Công an xã Kiến Đức/trung thế</v>
          </cell>
          <cell r="U463">
            <v>3155.9</v>
          </cell>
        </row>
        <row r="464">
          <cell r="L464" t="str">
            <v>Công an tỉnh Lâm Đồng - TT2 - Công an xã Quảng Khê</v>
          </cell>
          <cell r="M464" t="str">
            <v>1177.36</v>
          </cell>
          <cell r="N464" t="str">
            <v>588.55</v>
          </cell>
          <cell r="O464" t="str">
            <v>11.965243</v>
          </cell>
          <cell r="P464" t="str">
            <v>107.729074</v>
          </cell>
          <cell r="Q464" t="str">
            <v>588.81</v>
          </cell>
          <cell r="R464" t="str">
            <v>11.940144</v>
          </cell>
          <cell r="S464" t="str">
            <v>107.752158</v>
          </cell>
          <cell r="T464" t="str">
            <v>full_h04/Đắk Nông/Đăk Nông - Mục IV - Ring 10.kmz/Đăk Nông - Mục IV - Ring 10/Công an tỉnh Lâm Đồng - TT2 - Công an xã Quảng Khê/trung thế</v>
          </cell>
          <cell r="U464">
            <v>1177.3599999999999</v>
          </cell>
        </row>
        <row r="465">
          <cell r="L465" t="str">
            <v>Công an phường Nam Gia Nghĩa - Công an xã Kiến Đức</v>
          </cell>
          <cell r="M465" t="str">
            <v>448.57</v>
          </cell>
          <cell r="N465" t="str">
            <v>347.59</v>
          </cell>
          <cell r="O465" t="str">
            <v>11.992581</v>
          </cell>
          <cell r="P465" t="str">
            <v>107.670472</v>
          </cell>
          <cell r="Q465" t="str">
            <v>100.98</v>
          </cell>
          <cell r="R465" t="str">
            <v>12.001449</v>
          </cell>
          <cell r="S465" t="str">
            <v>107.676164</v>
          </cell>
          <cell r="T465" t="str">
            <v>full_h04/Đắk Nông/Đăk Nông - Mục IV - Ring 9.kmz/Đăk Nông - Mục IV - Ring 9/Công an phường Nam Gia Nghĩa - Công an xã Kiến Đức/trung thế</v>
          </cell>
          <cell r="U465">
            <v>448.57</v>
          </cell>
        </row>
        <row r="466">
          <cell r="L466" t="str">
            <v>Công an xã Kiến Đức (Trụ sở CAH Đắk R'Lấp cũ) - Công an tỉnh Lâm Đồng - TT2</v>
          </cell>
          <cell r="M466" t="str">
            <v>470.24</v>
          </cell>
          <cell r="N466" t="str">
            <v>361.91</v>
          </cell>
          <cell r="O466" t="str">
            <v>12.001927</v>
          </cell>
          <cell r="P466" t="str">
            <v>107.673315</v>
          </cell>
          <cell r="Q466" t="str">
            <v>108.33</v>
          </cell>
          <cell r="R466" t="str">
            <v>12.016175</v>
          </cell>
          <cell r="S466" t="str">
            <v>107.684367</v>
          </cell>
          <cell r="T466" t="str">
            <v>full_h04/Đắk Nông/Đăk Nông - Ring 3.kmz/Đăk Nông - Ring 3/Công an xã Kiến Đức (Trụ sở CAH Đắk R'Lấp cũ) - Công an tỉnh Lâm Đồng - TT2/trung thế</v>
          </cell>
          <cell r="U466">
            <v>470.24</v>
          </cell>
        </row>
        <row r="467">
          <cell r="L467" t="str">
            <v>Công an tỉnh Lâm Đồng - TT2 - Công an xã Quảng Khê</v>
          </cell>
          <cell r="M467" t="str">
            <v>720.53</v>
          </cell>
          <cell r="N467" t="str">
            <v>647.55</v>
          </cell>
          <cell r="O467" t="str">
            <v>12.003776</v>
          </cell>
          <cell r="P467" t="str">
            <v>107.691926</v>
          </cell>
          <cell r="Q467" t="str">
            <v>72.98</v>
          </cell>
          <cell r="R467" t="str">
            <v>11.998570</v>
          </cell>
          <cell r="S467" t="str">
            <v>107.703815</v>
          </cell>
          <cell r="T467" t="str">
            <v>full_h04/Đắk Nông/Đăk Nông - Mục IV - Ring 10.kmz/Đăk Nông - Mục IV - Ring 10/Công an tỉnh Lâm Đồng - TT2 - Công an xã Quảng Khê/trung thế</v>
          </cell>
          <cell r="U467">
            <v>720.53</v>
          </cell>
        </row>
        <row r="468">
          <cell r="L468" t="str">
            <v>Công an tỉnh Lâm Đồng - TT2 - Công an xã Quảng Khê</v>
          </cell>
          <cell r="M468" t="str">
            <v>91.33</v>
          </cell>
          <cell r="N468" t="str">
            <v>89.98</v>
          </cell>
          <cell r="O468" t="str">
            <v>12.002910</v>
          </cell>
          <cell r="P468" t="str">
            <v>107.693052</v>
          </cell>
          <cell r="Q468" t="str">
            <v>1.35</v>
          </cell>
          <cell r="R468" t="str">
            <v>12.023592</v>
          </cell>
          <cell r="S468" t="str">
            <v>107.685997</v>
          </cell>
          <cell r="T468" t="str">
            <v>full_h04/Đắk Nông/Đăk Nông - Mục IV - Ring 10.kmz/Đăk Nông - Mục IV - Ring 10/Công an tỉnh Lâm Đồng - TT2 - Công an xã Quảng Khê/trung thế</v>
          </cell>
          <cell r="U468">
            <v>91.33</v>
          </cell>
        </row>
        <row r="469">
          <cell r="L469" t="str">
            <v>Công an phường Đông Gia Nghĩa - Công an phường Nam Gia Nghĩa</v>
          </cell>
          <cell r="M469" t="str">
            <v>1679.83</v>
          </cell>
          <cell r="N469" t="str">
            <v>1675.62</v>
          </cell>
          <cell r="O469" t="str">
            <v>11.965643</v>
          </cell>
          <cell r="P469" t="str">
            <v>107.707839</v>
          </cell>
          <cell r="Q469" t="str">
            <v>4.21</v>
          </cell>
          <cell r="R469" t="str">
            <v>11.959940</v>
          </cell>
          <cell r="S469" t="str">
            <v>107.728562</v>
          </cell>
          <cell r="T469" t="str">
            <v>full_h04/Đắk Nông/Đăk Nông - Mục IV - Ring 9.kmz/Đăk Nông - Mục IV - Ring 9/Công an phường Đông Gia Nghĩa - Công an phường Nam Gia Nghĩa/trung thế</v>
          </cell>
          <cell r="U469">
            <v>1679.83</v>
          </cell>
        </row>
        <row r="470">
          <cell r="L470" t="str">
            <v>Công an tỉnh Lâm Đồng - TT2 - Công an xã Quảng Khê</v>
          </cell>
          <cell r="M470" t="str">
            <v>393.01</v>
          </cell>
          <cell r="N470" t="str">
            <v>391.65</v>
          </cell>
          <cell r="O470" t="str">
            <v>11.985188</v>
          </cell>
          <cell r="P470" t="str">
            <v>107.701414</v>
          </cell>
          <cell r="Q470" t="str">
            <v>1.35</v>
          </cell>
          <cell r="R470" t="str">
            <v>12.023592</v>
          </cell>
          <cell r="S470" t="str">
            <v>107.685997</v>
          </cell>
          <cell r="T470" t="str">
            <v>full_h04/Đắk Nông/Đăk Nông - Mục IV - Ring 10.kmz/Đăk Nông - Mục IV - Ring 10/Công an tỉnh Lâm Đồng - TT2 - Công an xã Quảng Khê/trung thế</v>
          </cell>
          <cell r="U470">
            <v>393.01</v>
          </cell>
        </row>
        <row r="471">
          <cell r="L471" t="str">
            <v>Công an tỉnh Lâm Đồng - TT2 - Công an phường Bắc Gia Nghĩa</v>
          </cell>
          <cell r="M471" t="str">
            <v>301.08</v>
          </cell>
          <cell r="N471" t="str">
            <v>244.25</v>
          </cell>
          <cell r="O471" t="str">
            <v>12.015499</v>
          </cell>
          <cell r="P471" t="str">
            <v>107.687308</v>
          </cell>
          <cell r="Q471" t="str">
            <v>56.83</v>
          </cell>
          <cell r="R471" t="str">
            <v>12.009066</v>
          </cell>
          <cell r="S471" t="str">
            <v>107.694038</v>
          </cell>
          <cell r="T471" t="str">
            <v>full_h04/Đắk Nông/Đăk Nông - Mục IV - Ring 9.kmz/Đăk Nông - Mục IV - Ring 9/Công an tỉnh Lâm Đồng - TT2 - Công an phường Bắc Gia Nghĩa/trung thế</v>
          </cell>
          <cell r="U471">
            <v>301.08</v>
          </cell>
        </row>
        <row r="472">
          <cell r="L472" t="str">
            <v>Công an tỉnh Lâm Đồng - TT2 - Công an xã Quảng Khê</v>
          </cell>
          <cell r="M472" t="str">
            <v>481.47</v>
          </cell>
          <cell r="N472" t="str">
            <v>480.12</v>
          </cell>
          <cell r="O472" t="str">
            <v>12.001100</v>
          </cell>
          <cell r="P472" t="str">
            <v>107.694659</v>
          </cell>
          <cell r="Q472" t="str">
            <v>1.35</v>
          </cell>
          <cell r="R472" t="str">
            <v>12.023592</v>
          </cell>
          <cell r="S472" t="str">
            <v>107.685997</v>
          </cell>
          <cell r="T472" t="str">
            <v>full_h04/Đắk Nông/Đăk Nông - Mục IV - Ring 10.kmz/Đăk Nông - Mục IV - Ring 10/Công an tỉnh Lâm Đồng - TT2 - Công an xã Quảng Khê/trung thế</v>
          </cell>
          <cell r="U472">
            <v>481.47</v>
          </cell>
        </row>
        <row r="473">
          <cell r="L473" t="str">
            <v>Công an xã Đức Lập (Trụ sở 2 CAH Đắk Mil cũ)
 -  Công an xã Cư Jút (Trụ sở CAH Cư Jút cũ)</v>
          </cell>
          <cell r="M473" t="str">
            <v>291.32</v>
          </cell>
          <cell r="N473" t="str">
            <v>116.72</v>
          </cell>
          <cell r="O473" t="str">
            <v>12.455816</v>
          </cell>
          <cell r="P473" t="str">
            <v>107.636764</v>
          </cell>
          <cell r="Q473" t="str">
            <v>174.60</v>
          </cell>
          <cell r="R473" t="str">
            <v>12.448781</v>
          </cell>
          <cell r="S473" t="str">
            <v>107.620950</v>
          </cell>
          <cell r="T473" t="str">
            <v>full_h04/Đắk Nông/Đắk Nông - Ring 1.kmz/Đắk Nông - Ring 1/Công an xã Đức Lập (Trụ sở 2 CAH Đắk Mil cũ)
 -  Công an xã Cư Jút (Trụ sở CAH Cư Jút cũ)/Trung thế</v>
          </cell>
          <cell r="U473">
            <v>291.32</v>
          </cell>
        </row>
        <row r="474">
          <cell r="L474" t="str">
            <v>Đường Cơ sở cai nghiện số 4 - Quảng Tân</v>
          </cell>
          <cell r="M474" t="str">
            <v>219.93</v>
          </cell>
          <cell r="N474" t="str">
            <v>53.32</v>
          </cell>
          <cell r="O474" t="str">
            <v>12.095286</v>
          </cell>
          <cell r="P474" t="str">
            <v>107.480866</v>
          </cell>
          <cell r="Q474" t="str">
            <v>166.61</v>
          </cell>
          <cell r="R474" t="str">
            <v>12.069982</v>
          </cell>
          <cell r="S474" t="str">
            <v>107.474149</v>
          </cell>
          <cell r="T474" t="str">
            <v>full_h04/Đắk Nông/Ring 7 - Final.kmz/Ring 7/Đường Cơ sở cai nghiện số 4 - Quảng Tân/Trung thế</v>
          </cell>
          <cell r="U474">
            <v>219.93</v>
          </cell>
        </row>
        <row r="475">
          <cell r="L475" t="str">
            <v>Công an tỉnh Lâm Đồng - TT2 - Công an xã Đức An (Trụ sở CAH Đắk Song cũ)</v>
          </cell>
          <cell r="M475" t="str">
            <v>248.83</v>
          </cell>
          <cell r="N475" t="str">
            <v>101.63</v>
          </cell>
          <cell r="O475" t="str">
            <v>12.254339</v>
          </cell>
          <cell r="P475" t="str">
            <v>107.609391</v>
          </cell>
          <cell r="Q475" t="str">
            <v>147.20</v>
          </cell>
          <cell r="R475" t="str">
            <v>12.251628</v>
          </cell>
          <cell r="S475" t="str">
            <v>107.613875</v>
          </cell>
          <cell r="T475" t="str">
            <v>full_h04/Đắk Nông/Đăk Nông - Ring 3.kmz/Đăk Nông - Ring 3/Công an tỉnh Lâm Đồng - TT2 - Công an xã Đức An (Trụ sở CAH Đắk Song cũ)/trung thế</v>
          </cell>
          <cell r="U475">
            <v>248.83</v>
          </cell>
        </row>
        <row r="476">
          <cell r="L476" t="str">
            <v>Công an xã Kiến Đức (Trụ sở CAH Đắk R'Lấp cũ) - Công an tỉnh Lâm Đồng - TT2</v>
          </cell>
          <cell r="M476" t="str">
            <v>120.23</v>
          </cell>
          <cell r="N476" t="str">
            <v>77.24</v>
          </cell>
          <cell r="O476" t="str">
            <v>11.996240</v>
          </cell>
          <cell r="P476" t="str">
            <v>107.512438</v>
          </cell>
          <cell r="Q476" t="str">
            <v>42.99</v>
          </cell>
          <cell r="R476" t="str">
            <v>12.006998</v>
          </cell>
          <cell r="S476" t="str">
            <v>107.512562</v>
          </cell>
          <cell r="T476" t="str">
            <v>full_h04/Đắk Nông/Đăk Nông - Ring 3.kmz/Đăk Nông - Ring 3/Công an xã Kiến Đức (Trụ sở CAH Đắk R'Lấp cũ) - Công an tỉnh Lâm Đồng - TT2/hạ thế</v>
          </cell>
          <cell r="U476">
            <v>120.23</v>
          </cell>
        </row>
        <row r="477">
          <cell r="L477" t="str">
            <v>Phòng PK02 - Tổ địa bàn số 2 - Phòng PA06 - Tổ địa bàn số 2</v>
          </cell>
          <cell r="M477" t="str">
            <v>2109.31</v>
          </cell>
          <cell r="N477" t="str">
            <v>2104.63</v>
          </cell>
          <cell r="O477" t="str">
            <v>11.982702</v>
          </cell>
          <cell r="P477" t="str">
            <v>107.655608</v>
          </cell>
          <cell r="Q477" t="str">
            <v>4.67</v>
          </cell>
          <cell r="R477" t="str">
            <v>11.982702</v>
          </cell>
          <cell r="S477" t="str">
            <v>107.655608</v>
          </cell>
          <cell r="T477" t="str">
            <v>full_h04/Đắk Nông/Đăk Nông - Mục III - Ring 8.kmz/Đăk Nông - Mục III - Ring 8/Phòng PK02 - Tổ địa bàn số 2 - Phòng PA06 - Tổ địa bàn số 2/trung thế</v>
          </cell>
          <cell r="U477">
            <v>2109.31</v>
          </cell>
        </row>
        <row r="478">
          <cell r="L478" t="str">
            <v>Công an phường Bắc Gia Nghĩa - Công an phường Đông Gia Nghĩa</v>
          </cell>
          <cell r="M478" t="str">
            <v>2885.65</v>
          </cell>
          <cell r="N478" t="str">
            <v>2879.51</v>
          </cell>
          <cell r="O478" t="str">
            <v>11.964401</v>
          </cell>
          <cell r="P478" t="str">
            <v>107.734140</v>
          </cell>
          <cell r="Q478" t="str">
            <v>6.14</v>
          </cell>
          <cell r="R478" t="str">
            <v>11.959954</v>
          </cell>
          <cell r="S478" t="str">
            <v>107.728636</v>
          </cell>
          <cell r="T478" t="str">
            <v>full_h04/Đắk Nông/Đăk Nông - Mục IV - Ring 9.kmz/Đăk Nông - Mục IV - Ring 9/Công an phường Bắc Gia Nghĩa - Công an phường Đông Gia Nghĩa/hạ thế</v>
          </cell>
          <cell r="U478">
            <v>2885.65</v>
          </cell>
        </row>
        <row r="479">
          <cell r="L479" t="str">
            <v>Công an tỉnh Lâm Đồng - TT2 - Công an xã Đức An (Trụ sở CAH Đắk Song cũ)</v>
          </cell>
          <cell r="M479" t="str">
            <v>353.80</v>
          </cell>
          <cell r="N479" t="str">
            <v>252.17</v>
          </cell>
          <cell r="O479" t="str">
            <v>12.234887</v>
          </cell>
          <cell r="P479" t="str">
            <v>107.627437</v>
          </cell>
          <cell r="Q479" t="str">
            <v>101.63</v>
          </cell>
          <cell r="R479" t="str">
            <v>12.254339</v>
          </cell>
          <cell r="S479" t="str">
            <v>107.609391</v>
          </cell>
          <cell r="T479" t="str">
            <v>full_h04/Đắk Nông/Đăk Nông - Ring 3.kmz/Đăk Nông - Ring 3/Công an tỉnh Lâm Đồng - TT2 - Công an xã Đức An (Trụ sở CAH Đắk Song cũ)/trung thế</v>
          </cell>
          <cell r="U479">
            <v>353.8</v>
          </cell>
        </row>
        <row r="480">
          <cell r="L480" t="str">
            <v>Đắk Sắk - Đắk Song</v>
          </cell>
          <cell r="M480" t="str">
            <v>534.81</v>
          </cell>
          <cell r="N480" t="str">
            <v>141.22</v>
          </cell>
          <cell r="O480" t="str">
            <v>12.432173</v>
          </cell>
          <cell r="P480" t="str">
            <v>107.659920</v>
          </cell>
          <cell r="Q480" t="str">
            <v>393.59</v>
          </cell>
          <cell r="R480" t="str">
            <v>12.431643</v>
          </cell>
          <cell r="S480" t="str">
            <v>107.667064</v>
          </cell>
          <cell r="T480" t="str">
            <v>full_h04/Đắk Nông/Ring 4 Final.kmz/Ring 4/Đắk Sắk - Đắk Song/Trung thế</v>
          </cell>
          <cell r="U480">
            <v>534.80999999999995</v>
          </cell>
        </row>
        <row r="481">
          <cell r="L481" t="str">
            <v>Đường PC08 đội 6 - CS Cai nghiện số 4</v>
          </cell>
          <cell r="M481" t="str">
            <v>101.61</v>
          </cell>
          <cell r="N481" t="str">
            <v>54.55</v>
          </cell>
          <cell r="O481" t="str">
            <v>12.131737</v>
          </cell>
          <cell r="P481" t="str">
            <v>107.471434</v>
          </cell>
          <cell r="Q481" t="str">
            <v>47.06</v>
          </cell>
          <cell r="R481" t="str">
            <v>12.095341</v>
          </cell>
          <cell r="S481" t="str">
            <v>107.480919</v>
          </cell>
          <cell r="T481" t="str">
            <v>full_h04/Đắk Nông/Ring 7 - Final.kmz/Ring 7/Đường PC08 đội 6 - CS Cai nghiện số 4/Trung thế</v>
          </cell>
          <cell r="U481">
            <v>101.61</v>
          </cell>
        </row>
        <row r="482">
          <cell r="L482" t="str">
            <v>Công an xã Tuy Đức (Trụ sở CAH Tuy Đức cũ) - Công an xã Kiến Đức (Trụ sở CAH Đắk R'Lấp cũ)</v>
          </cell>
          <cell r="M482" t="str">
            <v>312.09</v>
          </cell>
          <cell r="N482" t="str">
            <v>163.28</v>
          </cell>
          <cell r="O482" t="str">
            <v>12.069726</v>
          </cell>
          <cell r="P482" t="str">
            <v>107.474314</v>
          </cell>
          <cell r="Q482" t="str">
            <v>148.81</v>
          </cell>
          <cell r="R482" t="str">
            <v>12.043371</v>
          </cell>
          <cell r="S482" t="str">
            <v>107.489839</v>
          </cell>
          <cell r="T482" t="str">
            <v>full_h04/Đắk Nông/Đăk Nông - Ring 3.kmz/Đăk Nông - Ring 3/Công an xã Tuy Đức (Trụ sở CAH Tuy Đức cũ) - Công an xã Kiến Đức (Trụ sở CAH Đắk R'Lấp cũ)/trung thế</v>
          </cell>
          <cell r="U482">
            <v>312.08999999999997</v>
          </cell>
        </row>
        <row r="483">
          <cell r="L483" t="str">
            <v>Đường Quảng Tân - TTCMKV Đắk R'Lấp</v>
          </cell>
          <cell r="M483" t="str">
            <v>1796.88</v>
          </cell>
          <cell r="N483" t="str">
            <v>1778.18</v>
          </cell>
          <cell r="O483" t="str">
            <v>12.024914</v>
          </cell>
          <cell r="P483" t="str">
            <v>107.492846</v>
          </cell>
          <cell r="Q483" t="str">
            <v>18.70</v>
          </cell>
          <cell r="R483" t="str">
            <v>12.044472</v>
          </cell>
          <cell r="S483" t="str">
            <v>107.490295</v>
          </cell>
          <cell r="T483" t="str">
            <v>full_h04/Đắk Nông/Ring 7 - Final.kmz/Ring 7/Đường Quảng Tân - TTCMKV Đắk R'Lấp/Trung thế</v>
          </cell>
          <cell r="U483">
            <v>1796.88</v>
          </cell>
        </row>
        <row r="484">
          <cell r="L484" t="str">
            <v>Công an xã Quảng Khê - Công an xã Tà Đùng</v>
          </cell>
          <cell r="M484" t="str">
            <v>1397.67</v>
          </cell>
          <cell r="N484" t="str">
            <v>1305.43</v>
          </cell>
          <cell r="O484" t="str">
            <v>11.907869</v>
          </cell>
          <cell r="P484" t="str">
            <v>107.798538</v>
          </cell>
          <cell r="Q484" t="str">
            <v>92.23</v>
          </cell>
          <cell r="R484" t="str">
            <v>11.912007</v>
          </cell>
          <cell r="S484" t="str">
            <v>107.792113</v>
          </cell>
          <cell r="T484" t="str">
            <v>full_h04/Đắk Nông/Đăk Nông - Mục IV - Ring 10.kmz/Đăk Nông - Mục IV - Ring 10/Công an xã Quảng Khê - Công an xã Tà Đùng/trung thế</v>
          </cell>
          <cell r="U484">
            <v>1397.67</v>
          </cell>
        </row>
        <row r="485">
          <cell r="L485" t="str">
            <v>Công an xã Quảng Khê - Công an xã Tà Đùng</v>
          </cell>
          <cell r="M485" t="str">
            <v>1152.06</v>
          </cell>
          <cell r="N485" t="str">
            <v>1059.83</v>
          </cell>
          <cell r="O485" t="str">
            <v>11.900826</v>
          </cell>
          <cell r="P485" t="str">
            <v>107.824889</v>
          </cell>
          <cell r="Q485" t="str">
            <v>92.23</v>
          </cell>
          <cell r="R485" t="str">
            <v>11.912007</v>
          </cell>
          <cell r="S485" t="str">
            <v>107.792113</v>
          </cell>
          <cell r="T485" t="str">
            <v>full_h04/Đắk Nông/Đăk Nông - Mục IV - Ring 10.kmz/Đăk Nông - Mục IV - Ring 10/Công an xã Quảng Khê - Công an xã Tà Đùng/trung thế</v>
          </cell>
          <cell r="U485">
            <v>1152.06</v>
          </cell>
        </row>
        <row r="486">
          <cell r="L486" t="str">
            <v>Công an xã Đức Lập (Trụ sở 2 CAH Đắk Mil cũ)
 -  Công an xã Cư Jút (Trụ sở CAH Cư Jút cũ)</v>
          </cell>
          <cell r="M486" t="str">
            <v>291.32</v>
          </cell>
          <cell r="N486" t="str">
            <v>116.72</v>
          </cell>
          <cell r="O486" t="str">
            <v>12.455816</v>
          </cell>
          <cell r="P486" t="str">
            <v>107.636764</v>
          </cell>
          <cell r="Q486" t="str">
            <v>174.60</v>
          </cell>
          <cell r="R486" t="str">
            <v>12.448781</v>
          </cell>
          <cell r="S486" t="str">
            <v>107.620950</v>
          </cell>
          <cell r="T486" t="str">
            <v>full_h04/Đắk Nông/Đắk Nông - Ring 1.kmz/Đắk Nông - Ring 1/Công an xã Đức Lập (Trụ sở 2 CAH Đắk Mil cũ)
 -  Công an xã Cư Jút (Trụ sở CAH Cư Jút cũ)/Trung thế</v>
          </cell>
          <cell r="U486">
            <v>291.32</v>
          </cell>
        </row>
        <row r="487">
          <cell r="L487" t="str">
            <v>Ngọc Hồi-Sa Thầy</v>
          </cell>
          <cell r="M487" t="str">
            <v>2358.26</v>
          </cell>
          <cell r="N487" t="str">
            <v>2321.40</v>
          </cell>
          <cell r="O487" t="str">
            <v>14.703706</v>
          </cell>
          <cell r="P487" t="str">
            <v>107.686259</v>
          </cell>
          <cell r="Q487" t="str">
            <v>36.87</v>
          </cell>
          <cell r="R487" t="str">
            <v>14.398239</v>
          </cell>
          <cell r="S487" t="str">
            <v>107.796366</v>
          </cell>
          <cell r="T487" t="str">
            <v>full_h04/KonTum/Mạng cấp III Kon Tum/Ring 3/Ngọc Hồi-Sa Thầy/Trung Thế</v>
          </cell>
          <cell r="U487">
            <v>2358.2600000000002</v>
          </cell>
        </row>
        <row r="488">
          <cell r="L488" t="str">
            <v>Đăk Mar - Ngọk Tụ</v>
          </cell>
          <cell r="M488" t="str">
            <v>4806.48</v>
          </cell>
          <cell r="N488" t="str">
            <v>52.76</v>
          </cell>
          <cell r="O488" t="str">
            <v>14.698688</v>
          </cell>
          <cell r="P488" t="str">
            <v>107.836705</v>
          </cell>
          <cell r="Q488" t="str">
            <v>4753.72</v>
          </cell>
          <cell r="R488" t="str">
            <v>14.716917</v>
          </cell>
          <cell r="S488" t="str">
            <v>107.795519</v>
          </cell>
          <cell r="T488" t="str">
            <v>full_h04/KonTum/Mạng Cấp IV Kon Tum/Kon Tum - Cấp 4 - Ring 5.kmz/Đăk Mar - Ngọk Tụ/Trung thế | EVN</v>
          </cell>
          <cell r="U488">
            <v>4806.4799999999996</v>
          </cell>
        </row>
        <row r="489">
          <cell r="L489" t="str">
            <v>TTCMKV Ngọc Hồi - Sa Loong</v>
          </cell>
          <cell r="M489" t="str">
            <v>2202.55</v>
          </cell>
          <cell r="N489" t="str">
            <v>15.81</v>
          </cell>
          <cell r="O489" t="str">
            <v>14.724419</v>
          </cell>
          <cell r="P489" t="str">
            <v>107.687892</v>
          </cell>
          <cell r="Q489" t="str">
            <v>2186.74</v>
          </cell>
          <cell r="R489" t="str">
            <v>14.694341</v>
          </cell>
          <cell r="S489" t="str">
            <v>107.686191</v>
          </cell>
          <cell r="T489" t="str">
            <v>full_h04/KonTum/Mạng Cấp IV Kon Tum/Kon Tum - Cấp 4 - Ring 8.kmz/Kon Tum - Ring 8/TTCMKV Ngọc Hồi - Sa Loong/Trụ trung thế EVN</v>
          </cell>
          <cell r="U489">
            <v>2202.5500000000002</v>
          </cell>
        </row>
        <row r="490">
          <cell r="L490" t="str">
            <v>TTCMKV Sa Thầy - Sa Bình</v>
          </cell>
          <cell r="M490" t="str">
            <v>971.36</v>
          </cell>
          <cell r="N490" t="str">
            <v>2.28</v>
          </cell>
          <cell r="O490" t="str">
            <v>14.398050</v>
          </cell>
          <cell r="P490" t="str">
            <v>107.796096</v>
          </cell>
          <cell r="Q490" t="str">
            <v>969.08</v>
          </cell>
          <cell r="R490" t="str">
            <v>14.396425</v>
          </cell>
          <cell r="S490" t="str">
            <v>107.816470</v>
          </cell>
          <cell r="T490" t="str">
            <v>full_h04/KonTum/Mạng Cấp IV Kon Tum/Kon Tum - Cấp 4 - Ring 10.kmz/Kon Tum - Ring 10/TTCMKV Sa Thầy - Sa Bình/Trung thê EVN</v>
          </cell>
          <cell r="U490">
            <v>971.36</v>
          </cell>
        </row>
        <row r="491">
          <cell r="L491" t="str">
            <v>TT2 Kon Tum - PC11</v>
          </cell>
          <cell r="M491" t="str">
            <v>2086.91</v>
          </cell>
          <cell r="N491" t="str">
            <v>77.01</v>
          </cell>
          <cell r="O491" t="str">
            <v>14.352309</v>
          </cell>
          <cell r="P491" t="str">
            <v>108.007857</v>
          </cell>
          <cell r="Q491" t="str">
            <v>2009.89</v>
          </cell>
          <cell r="R491" t="str">
            <v>14.500681</v>
          </cell>
          <cell r="S491" t="str">
            <v>107.943207</v>
          </cell>
          <cell r="T491" t="str">
            <v>full_h04/KonTum/Mạng cấp III Kon Tum/Ring 6/TT2 Kon Tum - PC11.kmz/TT2 Kon Tum - PC11/TT2 Kon Tum - PC11_Trung thế</v>
          </cell>
          <cell r="U491">
            <v>2086.91</v>
          </cell>
        </row>
        <row r="492">
          <cell r="L492" t="str">
            <v>Đăk Ui - Đăk Mar</v>
          </cell>
          <cell r="M492" t="str">
            <v>141.22</v>
          </cell>
          <cell r="N492" t="str">
            <v>50.16</v>
          </cell>
          <cell r="O492" t="str">
            <v>14.530880</v>
          </cell>
          <cell r="P492" t="str">
            <v>107.940654</v>
          </cell>
          <cell r="Q492" t="str">
            <v>91.06</v>
          </cell>
          <cell r="R492" t="str">
            <v>14.545250</v>
          </cell>
          <cell r="S492" t="str">
            <v>107.920755</v>
          </cell>
          <cell r="T492" t="str">
            <v>full_h04/KonTum/Mạng Cấp IV Kon Tum/Kon Tum - Cấp 4 - Ring 5.kmz/Đăk Ui - Đăk Mar/Trung thế| EVN</v>
          </cell>
          <cell r="U492">
            <v>141.22</v>
          </cell>
        </row>
        <row r="493">
          <cell r="L493" t="str">
            <v>Đăk Tô - TT2 Kon Tum</v>
          </cell>
          <cell r="M493" t="str">
            <v>499.47</v>
          </cell>
          <cell r="N493" t="str">
            <v>79.93</v>
          </cell>
          <cell r="O493" t="str">
            <v>14.545744</v>
          </cell>
          <cell r="P493" t="str">
            <v>107.920731</v>
          </cell>
          <cell r="Q493" t="str">
            <v>419.54</v>
          </cell>
          <cell r="R493" t="str">
            <v>14.521151</v>
          </cell>
          <cell r="S493" t="str">
            <v>107.918747</v>
          </cell>
          <cell r="T493" t="str">
            <v>full_h04/KonTum/Mạng cấp III Kon Tum/Ring 4/Đăk Tô - TT2 Kon Tum.kmz/Đăk Tô - TT2 Kon Tum/Đăk Tô - TT2 Kon Tum_Trung thế</v>
          </cell>
          <cell r="U493">
            <v>499.47</v>
          </cell>
        </row>
        <row r="494">
          <cell r="L494" t="str">
            <v>Đăk Pxi - CAT Kon Tum</v>
          </cell>
          <cell r="M494" t="str">
            <v>2835.25</v>
          </cell>
          <cell r="N494" t="str">
            <v>80.02</v>
          </cell>
          <cell r="O494" t="str">
            <v>14.491634</v>
          </cell>
          <cell r="P494" t="str">
            <v>107.925735</v>
          </cell>
          <cell r="Q494" t="str">
            <v>2755.23</v>
          </cell>
          <cell r="R494" t="str">
            <v>14.475080</v>
          </cell>
          <cell r="S494" t="str">
            <v>107.932951</v>
          </cell>
          <cell r="T494" t="str">
            <v>full_h04/KonTum/Mạng Cấp IV Kon Tum/Kon Tum - Cấp 4 - Ring 6.kmz/Đăk Pxi - CAT Kon Tum/Trung thế 3 | EVN</v>
          </cell>
          <cell r="U494">
            <v>2835.25</v>
          </cell>
        </row>
        <row r="495">
          <cell r="L495" t="str">
            <v>TT2 Kon Tum - PC11</v>
          </cell>
          <cell r="M495" t="str">
            <v>91.27</v>
          </cell>
          <cell r="N495" t="str">
            <v>82.42</v>
          </cell>
          <cell r="O495" t="str">
            <v>14.491698</v>
          </cell>
          <cell r="P495" t="str">
            <v>107.925718</v>
          </cell>
          <cell r="Q495" t="str">
            <v>8.85</v>
          </cell>
          <cell r="R495" t="str">
            <v>14.487886</v>
          </cell>
          <cell r="S495" t="str">
            <v>107.959982</v>
          </cell>
          <cell r="T495" t="str">
            <v>full_h04/KonTum/Mạng cấp III Kon Tum/Ring 6/TT2 Kon Tum - PC11.kmz/TT2 Kon Tum - PC11/TT2 Kon Tum - PC11_Trung thế</v>
          </cell>
          <cell r="U495">
            <v>91.27</v>
          </cell>
        </row>
        <row r="496">
          <cell r="L496" t="str">
            <v>Ngọk Réo - TTCMKV Đăk Hà</v>
          </cell>
          <cell r="M496" t="str">
            <v>776.52</v>
          </cell>
          <cell r="N496" t="str">
            <v>709.89</v>
          </cell>
          <cell r="O496" t="str">
            <v>14.494264</v>
          </cell>
          <cell r="P496" t="str">
            <v>107.959536</v>
          </cell>
          <cell r="Q496" t="str">
            <v>66.62</v>
          </cell>
          <cell r="R496" t="str">
            <v>14.506976</v>
          </cell>
          <cell r="S496" t="str">
            <v>108.010105</v>
          </cell>
          <cell r="T496" t="str">
            <v>full_h04/KonTum/Mạng Cấp IV Kon Tum/Kon Tum - Cấp 4 - Ring 4.kmz/Ngọk Réo - TTCMKV Đăk Hà/Trung thế | EVN</v>
          </cell>
          <cell r="U496">
            <v>776.52</v>
          </cell>
        </row>
        <row r="497">
          <cell r="L497" t="str">
            <v>TTCMKV Đăk Tô - Kon Đào</v>
          </cell>
          <cell r="M497" t="str">
            <v>93.89</v>
          </cell>
          <cell r="N497" t="str">
            <v>0.99</v>
          </cell>
          <cell r="O497" t="str">
            <v>14.698413</v>
          </cell>
          <cell r="P497" t="str">
            <v>107.836294</v>
          </cell>
          <cell r="Q497" t="str">
            <v>92.90</v>
          </cell>
          <cell r="R497" t="str">
            <v>14.695057</v>
          </cell>
          <cell r="S497" t="str">
            <v>107.837833</v>
          </cell>
          <cell r="T497" t="str">
            <v>full_h04/KonTum/Mạng Cấp IV Kon Tum/Kon Tum - Cấp 4 - Ring 7.kmz/Kon Tum - Ring 7/TTCMKV Đăk Tô - Kon Đào/Trung thế 1</v>
          </cell>
          <cell r="U497">
            <v>93.89</v>
          </cell>
        </row>
        <row r="498">
          <cell r="L498" t="str">
            <v>TTCMKV Ngọc Hồi - Sa Loong</v>
          </cell>
          <cell r="M498" t="str">
            <v>55.91</v>
          </cell>
          <cell r="N498" t="str">
            <v>15.81</v>
          </cell>
          <cell r="O498" t="str">
            <v>14.724419</v>
          </cell>
          <cell r="P498" t="str">
            <v>107.687892</v>
          </cell>
          <cell r="Q498" t="str">
            <v>40.10</v>
          </cell>
          <cell r="R498" t="str">
            <v>14.687182</v>
          </cell>
          <cell r="S498" t="str">
            <v>107.687571</v>
          </cell>
          <cell r="T498" t="str">
            <v>full_h04/KonTum/Mạng Cấp IV Kon Tum/Kon Tum - Cấp 4 - Ring 8.kmz/Kon Tum - Ring 8/TTCMKV Ngọc Hồi - Sa Loong/Trụ trung thế EVN</v>
          </cell>
          <cell r="U498">
            <v>55.91</v>
          </cell>
        </row>
        <row r="499">
          <cell r="L499" t="str">
            <v>Đak Hà- Ngọc Hồi</v>
          </cell>
          <cell r="M499" t="str">
            <v>191.92</v>
          </cell>
          <cell r="N499" t="str">
            <v>110.28</v>
          </cell>
          <cell r="O499" t="str">
            <v>14.493388</v>
          </cell>
          <cell r="P499" t="str">
            <v>107.924759</v>
          </cell>
          <cell r="Q499" t="str">
            <v>81.64</v>
          </cell>
          <cell r="R499" t="str">
            <v>14.724747</v>
          </cell>
          <cell r="S499" t="str">
            <v>107.688525</v>
          </cell>
          <cell r="T499" t="str">
            <v>full_h04/KonTum/Mạng cấp III Kon Tum/Ring 3/Đak Hà- Ngọc Hồi/Trung Thế</v>
          </cell>
          <cell r="U499">
            <v>191.92</v>
          </cell>
        </row>
        <row r="500">
          <cell r="L500" t="str">
            <v>Pô Kô - TTCMKV Ngọc Hồi</v>
          </cell>
          <cell r="M500" t="str">
            <v>161.46</v>
          </cell>
          <cell r="N500" t="str">
            <v>145.96</v>
          </cell>
          <cell r="O500" t="str">
            <v>14.704893</v>
          </cell>
          <cell r="P500" t="str">
            <v>107.697359</v>
          </cell>
          <cell r="Q500" t="str">
            <v>15.50</v>
          </cell>
          <cell r="R500" t="str">
            <v>14.724414</v>
          </cell>
          <cell r="S500" t="str">
            <v>107.687880</v>
          </cell>
          <cell r="T500" t="str">
            <v>full_h04/KonTum/Mạng Cấp IV Kon Tum/Kon Tum - Cấp 4 - Ring 10.kmz/Kon Tum - Ring 10/Pô Kô - TTCMKV Ngọc Hồi/Trung thế EVN</v>
          </cell>
          <cell r="U500">
            <v>161.46</v>
          </cell>
        </row>
        <row r="501">
          <cell r="L501" t="str">
            <v>Đăk Tô - TT2 Kon Tum</v>
          </cell>
          <cell r="M501" t="str">
            <v>4425.24</v>
          </cell>
          <cell r="N501" t="str">
            <v>109.89</v>
          </cell>
          <cell r="O501" t="str">
            <v>14.493391</v>
          </cell>
          <cell r="P501" t="str">
            <v>107.924763</v>
          </cell>
          <cell r="Q501" t="str">
            <v>4315.35</v>
          </cell>
          <cell r="R501" t="str">
            <v>14.659758</v>
          </cell>
          <cell r="S501" t="str">
            <v>107.839785</v>
          </cell>
          <cell r="T501" t="str">
            <v>full_h04/KonTum/Mạng cấp III Kon Tum/Ring 4/Đăk Tô - TT2 Kon Tum.kmz/Đăk Tô - TT2 Kon Tum/Đăk Tô - TT2 Kon Tum_Trung thế</v>
          </cell>
          <cell r="U501">
            <v>4425.24</v>
          </cell>
        </row>
        <row r="502">
          <cell r="L502" t="str">
            <v>Bờ Y - Đăk Môn</v>
          </cell>
          <cell r="M502" t="str">
            <v>131.09</v>
          </cell>
          <cell r="N502" t="str">
            <v>114.38</v>
          </cell>
          <cell r="O502" t="str">
            <v>14.732032</v>
          </cell>
          <cell r="P502" t="str">
            <v>107.691819</v>
          </cell>
          <cell r="Q502" t="str">
            <v>16.71</v>
          </cell>
          <cell r="R502" t="str">
            <v>14.724416</v>
          </cell>
          <cell r="S502" t="str">
            <v>107.687901</v>
          </cell>
          <cell r="T502" t="str">
            <v>full_h04/KonTum/Mạng Cấp IV Kon Tum/Kon Tum - Cấp 4 - Ring 13.kmz/Kon Tum - Ring 13/Bờ Y - Đăk Môn/EVN 1 trung thế</v>
          </cell>
          <cell r="U502">
            <v>131.09</v>
          </cell>
        </row>
        <row r="503">
          <cell r="L503" t="str">
            <v>Pô Kô - TTCMKV Ngọc Hồi</v>
          </cell>
          <cell r="M503" t="str">
            <v>135.58</v>
          </cell>
          <cell r="N503" t="str">
            <v>120.08</v>
          </cell>
          <cell r="O503" t="str">
            <v>14.688022</v>
          </cell>
          <cell r="P503" t="str">
            <v>107.717382</v>
          </cell>
          <cell r="Q503" t="str">
            <v>15.50</v>
          </cell>
          <cell r="R503" t="str">
            <v>14.724414</v>
          </cell>
          <cell r="S503" t="str">
            <v>107.687880</v>
          </cell>
          <cell r="T503" t="str">
            <v>full_h04/KonTum/Mạng Cấp IV Kon Tum/Kon Tum - Cấp 4 - Ring 10.kmz/Kon Tum - Ring 10/Pô Kô - TTCMKV Ngọc Hồi/Trung thế EVN</v>
          </cell>
          <cell r="U503">
            <v>135.58000000000001</v>
          </cell>
        </row>
        <row r="504">
          <cell r="L504" t="str">
            <v>CAT Kon TUm - Đăk Bla</v>
          </cell>
          <cell r="M504" t="str">
            <v>87.67</v>
          </cell>
          <cell r="N504" t="str">
            <v>55.13</v>
          </cell>
          <cell r="O504" t="str">
            <v>14.302493</v>
          </cell>
          <cell r="P504" t="str">
            <v>107.993155</v>
          </cell>
          <cell r="Q504" t="str">
            <v>32.54</v>
          </cell>
          <cell r="R504" t="str">
            <v>14.302560</v>
          </cell>
          <cell r="S504" t="str">
            <v>107.993490</v>
          </cell>
          <cell r="T504" t="str">
            <v>full_h04/KonTum/Mạng Cấp IV Kon Tum/Kon Tum - Cấp 4 - Ring 1.kmz/Kon Tum - Ring 1/CAT Kon TUm - Đăk Bla/Thiết kế CAT Kon Tum - Đăk Bla | EVN</v>
          </cell>
          <cell r="U504">
            <v>87.67</v>
          </cell>
        </row>
        <row r="505">
          <cell r="L505" t="str">
            <v>CAT Kon TUm - Đăk Bla</v>
          </cell>
          <cell r="M505" t="str">
            <v>178.46</v>
          </cell>
          <cell r="N505" t="str">
            <v>145.92</v>
          </cell>
          <cell r="O505" t="str">
            <v>14.319242</v>
          </cell>
          <cell r="P505" t="str">
            <v>107.987888</v>
          </cell>
          <cell r="Q505" t="str">
            <v>32.54</v>
          </cell>
          <cell r="R505" t="str">
            <v>14.302560</v>
          </cell>
          <cell r="S505" t="str">
            <v>107.993490</v>
          </cell>
          <cell r="T505" t="str">
            <v>full_h04/KonTum/Mạng Cấp IV Kon Tum/Kon Tum - Cấp 4 - Ring 1.kmz/Kon Tum - Ring 1/CAT Kon TUm - Đăk Bla/Thiết kế CAT Kon Tum - Đăk Bla | EVN</v>
          </cell>
          <cell r="U505">
            <v>178.46</v>
          </cell>
        </row>
        <row r="506">
          <cell r="L506" t="str">
            <v>PC07 - Khối CS (PC01, PC02, PC03, PC04)</v>
          </cell>
          <cell r="M506" t="str">
            <v>170.46</v>
          </cell>
          <cell r="N506" t="str">
            <v>167.18</v>
          </cell>
          <cell r="O506" t="str">
            <v>14.367975</v>
          </cell>
          <cell r="P506" t="str">
            <v>107.994431</v>
          </cell>
          <cell r="Q506" t="str">
            <v>3.28</v>
          </cell>
          <cell r="R506" t="str">
            <v>14.363504</v>
          </cell>
          <cell r="S506" t="str">
            <v>107.998783</v>
          </cell>
          <cell r="T506" t="str">
            <v>full_h04/KonTum/Mạng cấp III Kon Tum/Ring 5/PC07 - Khối CS (PC01, PC02, PC03, PC04).kmz/PC07 - Khối CS (PC01, PC02, PC03, PC04)/PC07 - Khối CS (PC01, PC02, PC03, PC04)_Trung thế</v>
          </cell>
          <cell r="U506">
            <v>170.46</v>
          </cell>
        </row>
        <row r="507">
          <cell r="L507" t="str">
            <v>PC08 - TT2 Kon Tum</v>
          </cell>
          <cell r="M507" t="str">
            <v>401.75</v>
          </cell>
          <cell r="N507" t="str">
            <v>399.08</v>
          </cell>
          <cell r="O507" t="str">
            <v>14.367728</v>
          </cell>
          <cell r="P507" t="str">
            <v>108.008712</v>
          </cell>
          <cell r="Q507" t="str">
            <v>2.67</v>
          </cell>
          <cell r="R507" t="str">
            <v>14.369461</v>
          </cell>
          <cell r="S507" t="str">
            <v>108.008522</v>
          </cell>
          <cell r="T507" t="str">
            <v>full_h04/KonTum/Mạng cấp III Kon Tum/Ring 5/PC08 - TT2 Kon Tum.kmz/PC08 - TT2 Kon Tum/PC08 - TT2 Kon Tum_Trung thế</v>
          </cell>
          <cell r="U507">
            <v>401.75</v>
          </cell>
        </row>
        <row r="508">
          <cell r="L508" t="str">
            <v>Ia chim - Đăk Rơ Wa</v>
          </cell>
          <cell r="M508" t="str">
            <v>331.13</v>
          </cell>
          <cell r="N508" t="str">
            <v>290.43</v>
          </cell>
          <cell r="O508" t="str">
            <v>14.381186</v>
          </cell>
          <cell r="P508" t="str">
            <v>108.029183</v>
          </cell>
          <cell r="Q508" t="str">
            <v>40.70</v>
          </cell>
          <cell r="R508" t="str">
            <v>14.377232</v>
          </cell>
          <cell r="S508" t="str">
            <v>108.020140</v>
          </cell>
          <cell r="T508" t="str">
            <v>full_h04/KonTum/Mạng Cấp IV Kon Tum/Kon Tum - Cấp 4 - Ring 1.kmz/Kon Tum - Ring 1/Ia chim - Đăk Rơ Wa/Trung thế EVN</v>
          </cell>
          <cell r="U508">
            <v>331.13</v>
          </cell>
        </row>
        <row r="509">
          <cell r="L509" t="str">
            <v>Đăk Hà - Đăk Ui</v>
          </cell>
          <cell r="M509" t="str">
            <v>1111.72</v>
          </cell>
          <cell r="N509" t="str">
            <v>1055.28</v>
          </cell>
          <cell r="O509" t="str">
            <v>14.519339</v>
          </cell>
          <cell r="P509" t="str">
            <v>107.936525</v>
          </cell>
          <cell r="Q509" t="str">
            <v>56.44</v>
          </cell>
          <cell r="R509" t="str">
            <v>14.530480</v>
          </cell>
          <cell r="S509" t="str">
            <v>107.940293</v>
          </cell>
          <cell r="T509" t="str">
            <v>full_h04/KonTum/Mạng Cấp IV Kon Tum/Kon Tum - Cấp 4 - Ring 5.kmz/Đăk Hà - Đăk Ui/Trung thế 2 |EVN</v>
          </cell>
          <cell r="U509">
            <v>1111.72</v>
          </cell>
        </row>
        <row r="510">
          <cell r="L510" t="str">
            <v>Đăk Ui - Đăk Mar</v>
          </cell>
          <cell r="M510" t="str">
            <v>141.22</v>
          </cell>
          <cell r="N510" t="str">
            <v>50.16</v>
          </cell>
          <cell r="O510" t="str">
            <v>14.530880</v>
          </cell>
          <cell r="P510" t="str">
            <v>107.940654</v>
          </cell>
          <cell r="Q510" t="str">
            <v>91.06</v>
          </cell>
          <cell r="R510" t="str">
            <v>14.545250</v>
          </cell>
          <cell r="S510" t="str">
            <v>107.920755</v>
          </cell>
          <cell r="T510" t="str">
            <v>full_h04/KonTum/Mạng Cấp IV Kon Tum/Kon Tum - Cấp 4 - Ring 5.kmz/Đăk Ui - Đăk Mar/Trung thế| EVN</v>
          </cell>
          <cell r="U510">
            <v>141.22</v>
          </cell>
        </row>
        <row r="511">
          <cell r="L511" t="str">
            <v>Đăk Tô - TT2 Kon Tum</v>
          </cell>
          <cell r="M511" t="str">
            <v>500.13</v>
          </cell>
          <cell r="N511" t="str">
            <v>419.54</v>
          </cell>
          <cell r="O511" t="str">
            <v>14.521151</v>
          </cell>
          <cell r="P511" t="str">
            <v>107.918747</v>
          </cell>
          <cell r="Q511" t="str">
            <v>80.59</v>
          </cell>
          <cell r="R511" t="str">
            <v>14.491771</v>
          </cell>
          <cell r="S511" t="str">
            <v>107.925631</v>
          </cell>
          <cell r="T511" t="str">
            <v>full_h04/KonTum/Mạng cấp III Kon Tum/Ring 4/Đăk Tô - TT2 Kon Tum.kmz/Đăk Tô - TT2 Kon Tum/Đăk Tô - TT2 Kon Tum_Trung thế</v>
          </cell>
          <cell r="U511">
            <v>500.13</v>
          </cell>
        </row>
        <row r="512">
          <cell r="L512" t="str">
            <v>TT2 Kon Tum - PC11</v>
          </cell>
          <cell r="M512" t="str">
            <v>91.27</v>
          </cell>
          <cell r="N512" t="str">
            <v>82.42</v>
          </cell>
          <cell r="O512" t="str">
            <v>14.491698</v>
          </cell>
          <cell r="P512" t="str">
            <v>107.925718</v>
          </cell>
          <cell r="Q512" t="str">
            <v>8.85</v>
          </cell>
          <cell r="R512" t="str">
            <v>14.487886</v>
          </cell>
          <cell r="S512" t="str">
            <v>107.959982</v>
          </cell>
          <cell r="T512" t="str">
            <v>full_h04/KonTum/Mạng cấp III Kon Tum/Ring 6/TT2 Kon Tum - PC11.kmz/TT2 Kon Tum - PC11/TT2 Kon Tum - PC11_Trung thế</v>
          </cell>
          <cell r="U512">
            <v>91.27</v>
          </cell>
        </row>
        <row r="513">
          <cell r="L513" t="str">
            <v>TT2 Kon Tum - PC11</v>
          </cell>
          <cell r="M513" t="str">
            <v>5661.56</v>
          </cell>
          <cell r="N513" t="str">
            <v>5584.54</v>
          </cell>
          <cell r="O513" t="str">
            <v>14.494221</v>
          </cell>
          <cell r="P513" t="str">
            <v>107.959389</v>
          </cell>
          <cell r="Q513" t="str">
            <v>77.01</v>
          </cell>
          <cell r="R513" t="str">
            <v>14.352309</v>
          </cell>
          <cell r="S513" t="str">
            <v>108.007857</v>
          </cell>
          <cell r="T513" t="str">
            <v>full_h04/KonTum/Mạng cấp III Kon Tum/Ring 6/TT2 Kon Tum - PC11.kmz/TT2 Kon Tum - PC11/TT2 Kon Tum - PC11_Trung thế</v>
          </cell>
          <cell r="U513">
            <v>5661.56</v>
          </cell>
        </row>
        <row r="514">
          <cell r="L514" t="str">
            <v>Đăk Tô - TT2 Kon Tum</v>
          </cell>
          <cell r="M514" t="str">
            <v>156124.86</v>
          </cell>
          <cell r="N514" t="str">
            <v>875.38</v>
          </cell>
          <cell r="O514" t="str">
            <v>14.352317</v>
          </cell>
          <cell r="P514" t="str">
            <v>108.007831</v>
          </cell>
          <cell r="Q514" t="str">
            <v>155249.48</v>
          </cell>
          <cell r="R514" t="str">
            <v>14.659758</v>
          </cell>
          <cell r="S514" t="str">
            <v>107.839785</v>
          </cell>
          <cell r="T514" t="str">
            <v>full_h04/KonTum/Mạng cấp III Kon Tum/Ring 4/Đăk Tô - TT2 Kon Tum.kmz/Đăk Tô - TT2 Kon Tum/Đăk Tô - TT2 Kon Tum_Trung thế</v>
          </cell>
          <cell r="U514">
            <v>156124.85999999999</v>
          </cell>
        </row>
        <row r="515">
          <cell r="L515" t="str">
            <v>Đăk Tô - TT2 Kon Tum</v>
          </cell>
          <cell r="M515" t="str">
            <v>253903.22</v>
          </cell>
          <cell r="N515" t="str">
            <v>1319.03</v>
          </cell>
          <cell r="O515" t="str">
            <v>14.363782</v>
          </cell>
          <cell r="P515" t="str">
            <v>107.999065</v>
          </cell>
          <cell r="Q515" t="str">
            <v>252584.19</v>
          </cell>
          <cell r="R515" t="str">
            <v>14.659686</v>
          </cell>
          <cell r="S515" t="str">
            <v>107.839439</v>
          </cell>
          <cell r="T515" t="str">
            <v>full_h04/KonTum/Mạng cấp III Kon Tum/Ring 4/Đăk Tô - TT2 Kon Tum.kmz/Đăk Tô - TT2 Kon Tum/Đăk Tô - TT2 Kon Tum_Trung thế</v>
          </cell>
          <cell r="U515">
            <v>253903.22</v>
          </cell>
        </row>
        <row r="516">
          <cell r="L516" t="str">
            <v>Đăk Tô - TT2 Kon Tum</v>
          </cell>
          <cell r="M516" t="str">
            <v>252723.12</v>
          </cell>
          <cell r="N516" t="str">
            <v>138.93</v>
          </cell>
          <cell r="O516" t="str">
            <v>14.360534</v>
          </cell>
          <cell r="P516" t="str">
            <v>107.999864</v>
          </cell>
          <cell r="Q516" t="str">
            <v>252584.19</v>
          </cell>
          <cell r="R516" t="str">
            <v>14.659686</v>
          </cell>
          <cell r="S516" t="str">
            <v>107.839439</v>
          </cell>
          <cell r="T516" t="str">
            <v>full_h04/KonTum/Mạng cấp III Kon Tum/Ring 4/Đăk Tô - TT2 Kon Tum.kmz/Đăk Tô - TT2 Kon Tum/Đăk Tô - TT2 Kon Tum_Trung thế</v>
          </cell>
          <cell r="U516">
            <v>252723.12</v>
          </cell>
        </row>
        <row r="517">
          <cell r="L517" t="str">
            <v>CAT Kon Tum - Ngọk Bay</v>
          </cell>
          <cell r="M517" t="str">
            <v>58.43</v>
          </cell>
          <cell r="N517" t="str">
            <v>52.82</v>
          </cell>
          <cell r="O517" t="str">
            <v>14.356554</v>
          </cell>
          <cell r="P517" t="str">
            <v>107.994704</v>
          </cell>
          <cell r="Q517" t="str">
            <v>5.61</v>
          </cell>
          <cell r="R517" t="str">
            <v>14.358169</v>
          </cell>
          <cell r="S517" t="str">
            <v>107.979270</v>
          </cell>
          <cell r="T517" t="str">
            <v>full_h04/KonTum/Mạng Cấp IV Kon Tum/Kon Tum - Cấp 4 - Ring 9.kmz/Kon Tum - Ring 9/CAT Kon Tum - Ngọk Bay/Trung thế EVN</v>
          </cell>
          <cell r="U517">
            <v>58.43</v>
          </cell>
        </row>
        <row r="518">
          <cell r="L518" t="str">
            <v>Ngọk Bay - Ya Ly</v>
          </cell>
          <cell r="M518" t="str">
            <v>303.87</v>
          </cell>
          <cell r="N518" t="str">
            <v>303.15</v>
          </cell>
          <cell r="O518" t="str">
            <v>14.360420</v>
          </cell>
          <cell r="P518" t="str">
            <v>107.974538</v>
          </cell>
          <cell r="Q518" t="str">
            <v>0.72</v>
          </cell>
          <cell r="R518" t="str">
            <v>14.358211</v>
          </cell>
          <cell r="S518" t="str">
            <v>107.979293</v>
          </cell>
          <cell r="T518" t="str">
            <v>full_h04/KonTum/Mạng Cấp IV Kon Tum/Kon Tum - Cấp 4 - Ring 9.kmz/Kon Tum - Ring 9/Ngọk Bay - Ya Ly/Trung the EVN</v>
          </cell>
          <cell r="U518">
            <v>303.87</v>
          </cell>
        </row>
        <row r="519">
          <cell r="L519" t="str">
            <v>Sa Thầy-TT2 Kon Tum</v>
          </cell>
          <cell r="M519" t="str">
            <v>462.93</v>
          </cell>
          <cell r="N519" t="str">
            <v>37.48</v>
          </cell>
          <cell r="O519" t="str">
            <v>14.364989</v>
          </cell>
          <cell r="P519" t="str">
            <v>107.990376</v>
          </cell>
          <cell r="Q519" t="str">
            <v>425.45</v>
          </cell>
          <cell r="R519" t="str">
            <v>14.377385</v>
          </cell>
          <cell r="S519" t="str">
            <v>107.984059</v>
          </cell>
          <cell r="T519" t="str">
            <v>full_h04/KonTum/Mạng cấp III Kon Tum/Ring 3/Sa Thầy-TT2 Kon Tum/Trung Thế</v>
          </cell>
          <cell r="U519">
            <v>462.93</v>
          </cell>
        </row>
        <row r="520">
          <cell r="L520" t="str">
            <v>CAT Kon TUm - Đăk Bla</v>
          </cell>
          <cell r="M520" t="str">
            <v>397.23</v>
          </cell>
          <cell r="N520" t="str">
            <v>142.83</v>
          </cell>
          <cell r="O520" t="str">
            <v>14.346040</v>
          </cell>
          <cell r="P520" t="str">
            <v>108.014417</v>
          </cell>
          <cell r="Q520" t="str">
            <v>254.40</v>
          </cell>
          <cell r="R520" t="str">
            <v>14.352304</v>
          </cell>
          <cell r="S520" t="str">
            <v>108.007864</v>
          </cell>
          <cell r="T520" t="str">
            <v>full_h04/KonTum/Mạng Cấp IV Kon Tum/Kon Tum - Cấp 4 - Ring 1.kmz/Kon Tum - Ring 1/CAT Kon TUm - Đăk Bla/Thiết kế CAT Kon Tum - Đăk Bla | EVN 2</v>
          </cell>
          <cell r="U520">
            <v>397.23</v>
          </cell>
        </row>
        <row r="521">
          <cell r="L521" t="str">
            <v>Ia chim - Đăk Rơ Wa</v>
          </cell>
          <cell r="M521" t="str">
            <v>64.91</v>
          </cell>
          <cell r="N521" t="str">
            <v>24.22</v>
          </cell>
          <cell r="O521" t="str">
            <v>14.377484</v>
          </cell>
          <cell r="P521" t="str">
            <v>108.021191</v>
          </cell>
          <cell r="Q521" t="str">
            <v>40.70</v>
          </cell>
          <cell r="R521" t="str">
            <v>14.377232</v>
          </cell>
          <cell r="S521" t="str">
            <v>108.020140</v>
          </cell>
          <cell r="T521" t="str">
            <v>full_h04/KonTum/Mạng Cấp IV Kon Tum/Kon Tum - Cấp 4 - Ring 1.kmz/Kon Tum - Ring 1/Ia chim - Đăk Rơ Wa/Trung thế EVN</v>
          </cell>
          <cell r="U521">
            <v>64.91</v>
          </cell>
        </row>
        <row r="522">
          <cell r="L522" t="str">
            <v>Đăk Bla - Ia Chim</v>
          </cell>
          <cell r="M522" t="str">
            <v>684.03</v>
          </cell>
          <cell r="N522" t="str">
            <v>61.17</v>
          </cell>
          <cell r="O522" t="str">
            <v>14.276998</v>
          </cell>
          <cell r="P522" t="str">
            <v>107.929247</v>
          </cell>
          <cell r="Q522" t="str">
            <v>622.86</v>
          </cell>
          <cell r="R522" t="str">
            <v>14.309680</v>
          </cell>
          <cell r="S522" t="str">
            <v>107.928680</v>
          </cell>
          <cell r="T522" t="str">
            <v>full_h04/KonTum/Mạng Cấp IV Kon Tum/Kon Tum - Cấp 4 - Ring 1.kmz/Kon Tum - Ring 1/Đăk Bla - Ia Chim/Trung thế 4 | EVN</v>
          </cell>
          <cell r="U522">
            <v>684.03</v>
          </cell>
        </row>
        <row r="523">
          <cell r="L523" t="str">
            <v>Đăk Mar - Ngọk Tụ</v>
          </cell>
          <cell r="M523" t="str">
            <v>326.56</v>
          </cell>
          <cell r="N523" t="str">
            <v>273.80</v>
          </cell>
          <cell r="O523" t="str">
            <v>14.716917</v>
          </cell>
          <cell r="P523" t="str">
            <v>107.795519</v>
          </cell>
          <cell r="Q523" t="str">
            <v>52.76</v>
          </cell>
          <cell r="R523" t="str">
            <v>14.698688</v>
          </cell>
          <cell r="S523" t="str">
            <v>107.836705</v>
          </cell>
          <cell r="T523" t="str">
            <v>full_h04/KonTum/Mạng Cấp IV Kon Tum/Kon Tum - Cấp 4 - Ring 5.kmz/Đăk Mar - Ngọk Tụ/Trung thế | EVN</v>
          </cell>
          <cell r="U523">
            <v>326.56</v>
          </cell>
        </row>
        <row r="524">
          <cell r="L524" t="str">
            <v>TTCMKV Sa Thầy - Sa Bình</v>
          </cell>
          <cell r="M524" t="str">
            <v>127.71</v>
          </cell>
          <cell r="N524" t="str">
            <v>125.43</v>
          </cell>
          <cell r="O524" t="str">
            <v>14.394170</v>
          </cell>
          <cell r="P524" t="str">
            <v>107.809774</v>
          </cell>
          <cell r="Q524" t="str">
            <v>2.28</v>
          </cell>
          <cell r="R524" t="str">
            <v>14.398050</v>
          </cell>
          <cell r="S524" t="str">
            <v>107.796096</v>
          </cell>
          <cell r="T524" t="str">
            <v>full_h04/KonTum/Mạng Cấp IV Kon Tum/Kon Tum - Cấp 4 - Ring 10.kmz/Kon Tum - Ring 10/TTCMKV Sa Thầy - Sa Bình/Trung thê EVN</v>
          </cell>
          <cell r="U524">
            <v>127.71</v>
          </cell>
        </row>
        <row r="525">
          <cell r="L525" t="str">
            <v>Ya Ly - Sa Thầy</v>
          </cell>
          <cell r="M525" t="str">
            <v>93.50</v>
          </cell>
          <cell r="N525" t="str">
            <v>91.99</v>
          </cell>
          <cell r="O525" t="str">
            <v>14.381275</v>
          </cell>
          <cell r="P525" t="str">
            <v>107.802266</v>
          </cell>
          <cell r="Q525" t="str">
            <v>1.51</v>
          </cell>
          <cell r="R525" t="str">
            <v>14.398033</v>
          </cell>
          <cell r="S525" t="str">
            <v>107.796086</v>
          </cell>
          <cell r="T525" t="str">
            <v>full_h04/KonTum/Mạng Cấp IV Kon Tum/Kon Tum - Cấp 4 - Ring 9.kmz/Kon Tum - Ring 9/Ya Ly - Sa Thầy/Trung thế EVN</v>
          </cell>
          <cell r="U525">
            <v>93.5</v>
          </cell>
        </row>
        <row r="526">
          <cell r="L526" t="str">
            <v>Ngọc Hồi-Sa Thầy</v>
          </cell>
          <cell r="M526" t="str">
            <v>2070.45</v>
          </cell>
          <cell r="N526" t="str">
            <v>2033.58</v>
          </cell>
          <cell r="O526" t="str">
            <v>14.410907</v>
          </cell>
          <cell r="P526" t="str">
            <v>107.786083</v>
          </cell>
          <cell r="Q526" t="str">
            <v>36.87</v>
          </cell>
          <cell r="R526" t="str">
            <v>14.398239</v>
          </cell>
          <cell r="S526" t="str">
            <v>107.796366</v>
          </cell>
          <cell r="T526" t="str">
            <v>full_h04/KonTum/Mạng cấp III Kon Tum/Ring 3/Ngọc Hồi-Sa Thầy/Trung Thế</v>
          </cell>
          <cell r="U526">
            <v>2070.4499999999998</v>
          </cell>
        </row>
        <row r="527">
          <cell r="L527" t="str">
            <v>Đăk Tô - TT2 Kon Tum</v>
          </cell>
          <cell r="M527" t="str">
            <v>178.47</v>
          </cell>
          <cell r="N527" t="str">
            <v>102.19</v>
          </cell>
          <cell r="O527" t="str">
            <v>14.354221</v>
          </cell>
          <cell r="P527" t="str">
            <v>108.002830</v>
          </cell>
          <cell r="Q527" t="str">
            <v>76.28</v>
          </cell>
          <cell r="R527" t="str">
            <v>14.352317</v>
          </cell>
          <cell r="S527" t="str">
            <v>108.007831</v>
          </cell>
          <cell r="T527" t="str">
            <v>full_h04/KonTum/Mạng cấp III Kon Tum/Ring 4/Đăk Tô - TT2 Kon Tum.kmz/Đăk Tô - TT2 Kon Tum/Đăk Tô - TT2 Kon Tum_Trung thế</v>
          </cell>
          <cell r="U527">
            <v>178.47</v>
          </cell>
        </row>
        <row r="528">
          <cell r="L528" t="str">
            <v>PX05</v>
          </cell>
          <cell r="M528" t="str">
            <v>345.25</v>
          </cell>
          <cell r="N528" t="str">
            <v>341.75</v>
          </cell>
          <cell r="O528" t="str">
            <v>14.349970</v>
          </cell>
          <cell r="P528" t="str">
            <v>108.007367</v>
          </cell>
          <cell r="Q528" t="str">
            <v>3.50</v>
          </cell>
          <cell r="R528" t="str">
            <v>14.376951</v>
          </cell>
          <cell r="S528" t="str">
            <v>108.019868</v>
          </cell>
          <cell r="T528" t="str">
            <v>full_h04/KonTum/Mạng cấp III Kon Tum/Ring 6/PK02PX03 - PA05PC10PX05PX06.kmz/PK02/PX03 - PA05/PC10/PX05/PX06/PK02/PX03 - PA05/PC10/PX05/PX06_Trung thế</v>
          </cell>
          <cell r="U528">
            <v>345.25</v>
          </cell>
        </row>
        <row r="529">
          <cell r="L529" t="str">
            <v>Sa Thầy-TT2 Kon Tum</v>
          </cell>
          <cell r="M529" t="str">
            <v>519.50</v>
          </cell>
          <cell r="N529" t="str">
            <v>94.05</v>
          </cell>
          <cell r="O529" t="str">
            <v>14.381167</v>
          </cell>
          <cell r="P529" t="str">
            <v>107.975342</v>
          </cell>
          <cell r="Q529" t="str">
            <v>425.45</v>
          </cell>
          <cell r="R529" t="str">
            <v>14.377385</v>
          </cell>
          <cell r="S529" t="str">
            <v>107.984059</v>
          </cell>
          <cell r="T529" t="str">
            <v>full_h04/KonTum/Mạng cấp III Kon Tum/Ring 3/Sa Thầy-TT2 Kon Tum/Trung Thế</v>
          </cell>
          <cell r="U529">
            <v>519.5</v>
          </cell>
        </row>
        <row r="530">
          <cell r="L530" t="str">
            <v>PX05</v>
          </cell>
          <cell r="M530" t="str">
            <v>135.08</v>
          </cell>
          <cell r="N530" t="str">
            <v>103.97</v>
          </cell>
          <cell r="O530" t="str">
            <v>14.354256</v>
          </cell>
          <cell r="P530" t="str">
            <v>108.002816</v>
          </cell>
          <cell r="Q530" t="str">
            <v>31.11</v>
          </cell>
          <cell r="R530" t="str">
            <v>14.356371</v>
          </cell>
          <cell r="S530" t="str">
            <v>108.002896</v>
          </cell>
          <cell r="T530" t="str">
            <v>full_h04/KonTum/Mạng cấp III Kon Tum/Ring 6/PK02PX03 - PA05PC10PX05PX06.kmz/PK02/PX03 - PA05/PC10/PX05/PX06/PK02/PX03 - PA05/PC10/PX05/PX06_Trung thế</v>
          </cell>
          <cell r="U530">
            <v>135.08000000000001</v>
          </cell>
        </row>
        <row r="531">
          <cell r="L531" t="str">
            <v>PA06 - PC07</v>
          </cell>
          <cell r="M531" t="str">
            <v>23.81</v>
          </cell>
          <cell r="N531" t="str">
            <v>19.25</v>
          </cell>
          <cell r="O531" t="str">
            <v>14.356164</v>
          </cell>
          <cell r="P531" t="str">
            <v>108.002830</v>
          </cell>
          <cell r="Q531" t="str">
            <v>4.56</v>
          </cell>
          <cell r="R531" t="str">
            <v>14.363441</v>
          </cell>
          <cell r="S531" t="str">
            <v>107.998813</v>
          </cell>
          <cell r="T531" t="str">
            <v>full_h04/KonTum/Mạng cấp III Kon Tum/Ring 5/PA06 - PC07.kmz/PA06 - PC07/PA06 - PC07_Trung thế</v>
          </cell>
          <cell r="U531">
            <v>23.81</v>
          </cell>
        </row>
        <row r="532">
          <cell r="L532" t="str">
            <v>Ia chim - Đăk Rơ Wa</v>
          </cell>
          <cell r="M532" t="str">
            <v>639.37</v>
          </cell>
          <cell r="N532" t="str">
            <v>293.06</v>
          </cell>
          <cell r="O532" t="str">
            <v>14.365588</v>
          </cell>
          <cell r="P532" t="str">
            <v>107.997167</v>
          </cell>
          <cell r="Q532" t="str">
            <v>346.31</v>
          </cell>
          <cell r="R532" t="str">
            <v>14.371943</v>
          </cell>
          <cell r="S532" t="str">
            <v>108.006573</v>
          </cell>
          <cell r="T532" t="str">
            <v>full_h04/KonTum/Mạng Cấp IV Kon Tum/Kon Tum - Cấp 4 - Ring 1.kmz/Kon Tum - Ring 1/Ia chim - Đăk Rơ Wa/Trung thế EVN</v>
          </cell>
          <cell r="U532">
            <v>639.37</v>
          </cell>
        </row>
        <row r="533">
          <cell r="L533" t="str">
            <v>CAT Kon Tum - Đăk Cấm</v>
          </cell>
          <cell r="M533" t="str">
            <v>98.96</v>
          </cell>
          <cell r="N533" t="str">
            <v>22.89</v>
          </cell>
          <cell r="O533" t="str">
            <v>14.369568</v>
          </cell>
          <cell r="P533" t="str">
            <v>108.008674</v>
          </cell>
          <cell r="Q533" t="str">
            <v>76.08</v>
          </cell>
          <cell r="R533" t="str">
            <v>14.352316</v>
          </cell>
          <cell r="S533" t="str">
            <v>108.007886</v>
          </cell>
          <cell r="T533" t="str">
            <v>full_h04/KonTum/Mạng Cấp IV Kon Tum/Kon Tum - Cấp 4 - Ring 4.kmz/CAT Kon Tum - Đăk Cấm/Trung thế | evn</v>
          </cell>
          <cell r="U533">
            <v>98.96</v>
          </cell>
        </row>
        <row r="534">
          <cell r="L534" t="str">
            <v>Sa Thầy-TT2 Kon Tum</v>
          </cell>
          <cell r="M534" t="str">
            <v>1449.39</v>
          </cell>
          <cell r="N534" t="str">
            <v>231.40</v>
          </cell>
          <cell r="O534" t="str">
            <v>14.377012</v>
          </cell>
          <cell r="P534" t="str">
            <v>107.958400</v>
          </cell>
          <cell r="Q534" t="str">
            <v>1217.98</v>
          </cell>
          <cell r="R534" t="str">
            <v>14.359938</v>
          </cell>
          <cell r="S534" t="str">
            <v>107.990465</v>
          </cell>
          <cell r="T534" t="str">
            <v>full_h04/KonTum/Mạng cấp III Kon Tum/Ring 3/Sa Thầy-TT2 Kon Tum/Trung Thế</v>
          </cell>
          <cell r="U534">
            <v>1449.39</v>
          </cell>
        </row>
        <row r="535">
          <cell r="L535" t="str">
            <v>PX05</v>
          </cell>
          <cell r="M535" t="str">
            <v>111.73</v>
          </cell>
          <cell r="N535" t="str">
            <v>103.97</v>
          </cell>
          <cell r="O535" t="str">
            <v>14.354256</v>
          </cell>
          <cell r="P535" t="str">
            <v>108.002816</v>
          </cell>
          <cell r="Q535" t="str">
            <v>7.76</v>
          </cell>
          <cell r="R535" t="str">
            <v>14.349694</v>
          </cell>
          <cell r="S535" t="str">
            <v>108.007432</v>
          </cell>
          <cell r="T535" t="str">
            <v>full_h04/KonTum/Mạng cấp III Kon Tum/Ring 6/PK02PX03 - PA05PC10PX05PX06.kmz/PK02/PX03 - PA05/PC10/PX05/PX06/PK02/PX03 - PA05/PC10/PX05/PX06_Trung thế</v>
          </cell>
          <cell r="U535">
            <v>111.73</v>
          </cell>
        </row>
        <row r="536">
          <cell r="L536" t="str">
            <v>Đăk Rơ Wa - Kon Tum</v>
          </cell>
          <cell r="M536" t="str">
            <v>420.80</v>
          </cell>
          <cell r="N536" t="str">
            <v>353.62</v>
          </cell>
          <cell r="O536" t="str">
            <v>14.352606</v>
          </cell>
          <cell r="P536" t="str">
            <v>108.020035</v>
          </cell>
          <cell r="Q536" t="str">
            <v>67.18</v>
          </cell>
          <cell r="R536" t="str">
            <v>14.352398</v>
          </cell>
          <cell r="S536" t="str">
            <v>108.007853</v>
          </cell>
          <cell r="T536" t="str">
            <v>full_h04/KonTum/Mạng Cấp IV Kon Tum/Kon Tum - Cấp 4 - Ring 1.kmz/Kon Tum - Ring 1/Đăk Rơ Wa - Kon Tum/Trung thế EVN 3</v>
          </cell>
          <cell r="U536">
            <v>420.8</v>
          </cell>
        </row>
        <row r="537">
          <cell r="L537" t="str">
            <v>CAT Kon TUm - Đăk Bla</v>
          </cell>
          <cell r="M537" t="str">
            <v>1588.27</v>
          </cell>
          <cell r="N537" t="str">
            <v>65.27</v>
          </cell>
          <cell r="O537" t="str">
            <v>14.334608</v>
          </cell>
          <cell r="P537" t="str">
            <v>107.996469</v>
          </cell>
          <cell r="Q537" t="str">
            <v>1523.00</v>
          </cell>
          <cell r="R537" t="str">
            <v>14.343186</v>
          </cell>
          <cell r="S537" t="str">
            <v>108.000281</v>
          </cell>
          <cell r="T537" t="str">
            <v>full_h04/KonTum/Mạng Cấp IV Kon Tum/Kon Tum - Cấp 4 - Ring 1.kmz/Kon Tum - Ring 1/CAT Kon TUm - Đăk Bla/Thiết kế CAT Kon Tum - Đăk Bla | EVN</v>
          </cell>
          <cell r="U537">
            <v>1588.27</v>
          </cell>
        </row>
        <row r="538">
          <cell r="L538" t="str">
            <v>Đăk Rơ Wa - Kon Tum</v>
          </cell>
          <cell r="M538" t="str">
            <v>142.76</v>
          </cell>
          <cell r="N538" t="str">
            <v>75.58</v>
          </cell>
          <cell r="O538" t="str">
            <v>14.352362</v>
          </cell>
          <cell r="P538" t="str">
            <v>108.010153</v>
          </cell>
          <cell r="Q538" t="str">
            <v>67.18</v>
          </cell>
          <cell r="R538" t="str">
            <v>14.352398</v>
          </cell>
          <cell r="S538" t="str">
            <v>108.007853</v>
          </cell>
          <cell r="T538" t="str">
            <v>full_h04/KonTum/Mạng Cấp IV Kon Tum/Kon Tum - Cấp 4 - Ring 1.kmz/Kon Tum - Ring 1/Đăk Rơ Wa - Kon Tum/Trung thế EVN 3</v>
          </cell>
          <cell r="U538">
            <v>142.76</v>
          </cell>
        </row>
        <row r="539">
          <cell r="L539" t="str">
            <v>Ia chim - Đăk Rơ Wa</v>
          </cell>
          <cell r="M539" t="str">
            <v>663.49</v>
          </cell>
          <cell r="N539" t="str">
            <v>582.83</v>
          </cell>
          <cell r="O539" t="str">
            <v>14.342360</v>
          </cell>
          <cell r="P539" t="str">
            <v>107.982474</v>
          </cell>
          <cell r="Q539" t="str">
            <v>80.65</v>
          </cell>
          <cell r="R539" t="str">
            <v>14.313443</v>
          </cell>
          <cell r="S539" t="str">
            <v>107.925479</v>
          </cell>
          <cell r="T539" t="str">
            <v>full_h04/KonTum/Mạng Cấp IV Kon Tum/Kon Tum - Cấp 4 - Ring 1.kmz/Kon Tum - Ring 1/Ia chim - Đăk Rơ Wa/Trung thế EVN</v>
          </cell>
          <cell r="U539">
            <v>663.49</v>
          </cell>
        </row>
        <row r="540">
          <cell r="L540" t="str">
            <v>Đăk Bla - Ia Chim</v>
          </cell>
          <cell r="M540" t="str">
            <v>2670.38</v>
          </cell>
          <cell r="N540" t="str">
            <v>622.86</v>
          </cell>
          <cell r="O540" t="str">
            <v>14.309680</v>
          </cell>
          <cell r="P540" t="str">
            <v>107.928680</v>
          </cell>
          <cell r="Q540" t="str">
            <v>2047.52</v>
          </cell>
          <cell r="R540" t="str">
            <v>14.296118</v>
          </cell>
          <cell r="S540" t="str">
            <v>107.975981</v>
          </cell>
          <cell r="T540" t="str">
            <v>full_h04/KonTum/Mạng Cấp IV Kon Tum/Kon Tum - Cấp 4 - Ring 1.kmz/Kon Tum - Ring 1/Đăk Bla - Ia Chim/Trung thế 4 | EVN</v>
          </cell>
          <cell r="U540">
            <v>2670.38</v>
          </cell>
        </row>
        <row r="541">
          <cell r="L541" t="str">
            <v>TT2 Kon Tum - Kon Rẫy</v>
          </cell>
          <cell r="M541" t="str">
            <v>2136.34</v>
          </cell>
          <cell r="N541" t="str">
            <v>2061.18</v>
          </cell>
          <cell r="O541" t="str">
            <v>14.356558</v>
          </cell>
          <cell r="P541" t="str">
            <v>108.023526</v>
          </cell>
          <cell r="Q541" t="str">
            <v>75.15</v>
          </cell>
          <cell r="R541" t="str">
            <v>14.352325</v>
          </cell>
          <cell r="S541" t="str">
            <v>108.007865</v>
          </cell>
          <cell r="T541" t="str">
            <v>full_h04/KonTum/Mạng cấp III Kon Tum/Ring 4/TT2 Kon Tum - Kon Rẫy.kmz/TT2 Kon Tum - Kon Rẫy/TT2 Kon Tum - Kon Rẫy_Trung thế</v>
          </cell>
          <cell r="U541">
            <v>2136.34</v>
          </cell>
        </row>
        <row r="542">
          <cell r="L542" t="str">
            <v>CAT Kon TUm - Đăk Bla</v>
          </cell>
          <cell r="M542" t="str">
            <v>1576.93</v>
          </cell>
          <cell r="N542" t="str">
            <v>211.43</v>
          </cell>
          <cell r="O542" t="str">
            <v>14.329800</v>
          </cell>
          <cell r="P542" t="str">
            <v>107.992604</v>
          </cell>
          <cell r="Q542" t="str">
            <v>1365.50</v>
          </cell>
          <cell r="R542" t="str">
            <v>14.343186</v>
          </cell>
          <cell r="S542" t="str">
            <v>108.000281</v>
          </cell>
          <cell r="T542" t="str">
            <v>full_h04/KonTum/Mạng Cấp IV Kon Tum/Kon Tum - Cấp 4 - Ring 1.kmz/Kon Tum - Ring 1/CAT Kon TUm - Đăk Bla/Thiết kế CAT Kon Tum - Đăk Bla | EVN</v>
          </cell>
          <cell r="U542">
            <v>1576.93</v>
          </cell>
        </row>
        <row r="543">
          <cell r="L543" t="str">
            <v>Đăk Pxi - CAT Kon Tum</v>
          </cell>
          <cell r="M543" t="str">
            <v>256.69</v>
          </cell>
          <cell r="N543" t="str">
            <v>177.82</v>
          </cell>
          <cell r="O543" t="str">
            <v>14.561059</v>
          </cell>
          <cell r="P543" t="str">
            <v>107.920536</v>
          </cell>
          <cell r="Q543" t="str">
            <v>78.87</v>
          </cell>
          <cell r="R543" t="str">
            <v>14.545739</v>
          </cell>
          <cell r="S543" t="str">
            <v>107.920722</v>
          </cell>
          <cell r="T543" t="str">
            <v>full_h04/KonTum/Mạng Cấp IV Kon Tum/Kon Tum - Cấp 4 - Ring 6.kmz/Đăk Pxi - CAT Kon Tum/Trung thế 1 |  EVN</v>
          </cell>
          <cell r="U543">
            <v>256.69</v>
          </cell>
        </row>
        <row r="544">
          <cell r="L544" t="str">
            <v>Đăk Ui - Đăk Mar</v>
          </cell>
          <cell r="M544" t="str">
            <v>3270.38</v>
          </cell>
          <cell r="N544" t="str">
            <v>3268.72</v>
          </cell>
          <cell r="O544" t="str">
            <v>14.545508</v>
          </cell>
          <cell r="P544" t="str">
            <v>107.920002</v>
          </cell>
          <cell r="Q544" t="str">
            <v>1.66</v>
          </cell>
          <cell r="R544" t="str">
            <v>14.545607</v>
          </cell>
          <cell r="S544" t="str">
            <v>107.920008</v>
          </cell>
          <cell r="T544" t="str">
            <v>full_h04/KonTum/Mạng Cấp IV Kon Tum/Kon Tum - Cấp 4 - Ring 5.kmz/Đăk Ui - Đăk Mar/Trồng trụ mới 2</v>
          </cell>
          <cell r="U544">
            <v>3270.38</v>
          </cell>
        </row>
        <row r="545">
          <cell r="L545" t="str">
            <v>Đăk Ui - Đăk Mar</v>
          </cell>
          <cell r="M545" t="str">
            <v>4607.21</v>
          </cell>
          <cell r="N545" t="str">
            <v>4557.05</v>
          </cell>
          <cell r="O545" t="str">
            <v>14.533442</v>
          </cell>
          <cell r="P545" t="str">
            <v>107.940314</v>
          </cell>
          <cell r="Q545" t="str">
            <v>50.16</v>
          </cell>
          <cell r="R545" t="str">
            <v>14.530880</v>
          </cell>
          <cell r="S545" t="str">
            <v>107.940654</v>
          </cell>
          <cell r="T545" t="str">
            <v>full_h04/KonTum/Mạng Cấp IV Kon Tum/Kon Tum - Cấp 4 - Ring 5.kmz/Đăk Ui - Đăk Mar/Trung thế| EVN</v>
          </cell>
          <cell r="U545">
            <v>4607.21</v>
          </cell>
        </row>
        <row r="546">
          <cell r="L546" t="str">
            <v>Đăk Bla - Ia Chim</v>
          </cell>
          <cell r="M546" t="str">
            <v>1000.26</v>
          </cell>
          <cell r="N546" t="str">
            <v>918.95</v>
          </cell>
          <cell r="O546" t="str">
            <v>14.309400</v>
          </cell>
          <cell r="P546" t="str">
            <v>107.916294</v>
          </cell>
          <cell r="Q546" t="str">
            <v>81.31</v>
          </cell>
          <cell r="R546" t="str">
            <v>14.313441</v>
          </cell>
          <cell r="S546" t="str">
            <v>107.925487</v>
          </cell>
          <cell r="T546" t="str">
            <v>full_h04/KonTum/Mạng Cấp IV Kon Tum/Kon Tum - Cấp 4 - Ring 1.kmz/Kon Tum - Ring 1/Đăk Bla - Ia Chim/Trung thế 5 | EVN</v>
          </cell>
          <cell r="U546">
            <v>1000.26</v>
          </cell>
        </row>
        <row r="547">
          <cell r="L547" t="str">
            <v>TT2 Kon Tum - Kon Rẫy</v>
          </cell>
          <cell r="M547" t="str">
            <v>392.20</v>
          </cell>
          <cell r="N547" t="str">
            <v>317.04</v>
          </cell>
          <cell r="O547" t="str">
            <v>14.364977</v>
          </cell>
          <cell r="P547" t="str">
            <v>108.026622</v>
          </cell>
          <cell r="Q547" t="str">
            <v>75.15</v>
          </cell>
          <cell r="R547" t="str">
            <v>14.352325</v>
          </cell>
          <cell r="S547" t="str">
            <v>108.007865</v>
          </cell>
          <cell r="T547" t="str">
            <v>full_h04/KonTum/Mạng cấp III Kon Tum/Ring 4/TT2 Kon Tum - Kon Rẫy.kmz/TT2 Kon Tum - Kon Rẫy/TT2 Kon Tum - Kon Rẫy_Trung thế</v>
          </cell>
          <cell r="U547">
            <v>392.2</v>
          </cell>
        </row>
        <row r="548">
          <cell r="L548" t="str">
            <v>CAT Kon TUm - Đăk Bla</v>
          </cell>
          <cell r="M548" t="str">
            <v>65.04</v>
          </cell>
          <cell r="N548" t="str">
            <v>27.95</v>
          </cell>
          <cell r="O548" t="str">
            <v>14.345952</v>
          </cell>
          <cell r="P548" t="str">
            <v>108.002474</v>
          </cell>
          <cell r="Q548" t="str">
            <v>37.09</v>
          </cell>
          <cell r="R548" t="str">
            <v>14.349981</v>
          </cell>
          <cell r="S548" t="str">
            <v>108.007375</v>
          </cell>
          <cell r="T548" t="str">
            <v>full_h04/KonTum/Mạng Cấp IV Kon Tum/Kon Tum - Cấp 4 - Ring 1.kmz/Kon Tum - Ring 1/CAT Kon TUm - Đăk Bla/Thiết kế CAT Kon Tum - Đăk Bla | EVN 2</v>
          </cell>
          <cell r="U548">
            <v>65.040000000000006</v>
          </cell>
        </row>
        <row r="549">
          <cell r="L549" t="str">
            <v>CAT Kon TUm - Đăk Bla</v>
          </cell>
          <cell r="M549" t="str">
            <v>596.60</v>
          </cell>
          <cell r="N549" t="str">
            <v>342.20</v>
          </cell>
          <cell r="O549" t="str">
            <v>14.345356</v>
          </cell>
          <cell r="P549" t="str">
            <v>108.009923</v>
          </cell>
          <cell r="Q549" t="str">
            <v>254.40</v>
          </cell>
          <cell r="R549" t="str">
            <v>14.352304</v>
          </cell>
          <cell r="S549" t="str">
            <v>108.007864</v>
          </cell>
          <cell r="T549" t="str">
            <v>full_h04/KonTum/Mạng Cấp IV Kon Tum/Kon Tum - Cấp 4 - Ring 1.kmz/Kon Tum - Ring 1/CAT Kon TUm - Đăk Bla/Thiết kế CAT Kon Tum - Đăk Bla | EVN 2</v>
          </cell>
          <cell r="U549">
            <v>596.6</v>
          </cell>
        </row>
        <row r="550">
          <cell r="L550" t="str">
            <v>CAT Kon Tum - Đăk Cấm</v>
          </cell>
          <cell r="M550" t="str">
            <v>228.58</v>
          </cell>
          <cell r="N550" t="str">
            <v>152.50</v>
          </cell>
          <cell r="O550" t="str">
            <v>14.356747</v>
          </cell>
          <cell r="P550" t="str">
            <v>108.012901</v>
          </cell>
          <cell r="Q550" t="str">
            <v>76.08</v>
          </cell>
          <cell r="R550" t="str">
            <v>14.352316</v>
          </cell>
          <cell r="S550" t="str">
            <v>108.007886</v>
          </cell>
          <cell r="T550" t="str">
            <v>full_h04/KonTum/Mạng Cấp IV Kon Tum/Kon Tum - Cấp 4 - Ring 4.kmz/CAT Kon Tum - Đăk Cấm/Trung thế | evn</v>
          </cell>
          <cell r="U550">
            <v>228.58</v>
          </cell>
        </row>
        <row r="551">
          <cell r="L551" t="str">
            <v>Pô Kô - TTCMKV Ngọc Hồi</v>
          </cell>
          <cell r="M551" t="str">
            <v>126.73</v>
          </cell>
          <cell r="N551" t="str">
            <v>111.23</v>
          </cell>
          <cell r="O551" t="str">
            <v>14.714510</v>
          </cell>
          <cell r="P551" t="str">
            <v>107.689918</v>
          </cell>
          <cell r="Q551" t="str">
            <v>15.50</v>
          </cell>
          <cell r="R551" t="str">
            <v>14.724414</v>
          </cell>
          <cell r="S551" t="str">
            <v>107.687880</v>
          </cell>
          <cell r="T551" t="str">
            <v>full_h04/KonTum/Mạng Cấp IV Kon Tum/Kon Tum - Cấp 4 - Ring 10.kmz/Kon Tum - Ring 10/Pô Kô - TTCMKV Ngọc Hồi/Trung thế EVN</v>
          </cell>
          <cell r="U551">
            <v>126.73</v>
          </cell>
        </row>
        <row r="552">
          <cell r="L552" t="str">
            <v>Khối CS (PC01, PC02, PC03, PC04) - PC08</v>
          </cell>
          <cell r="M552" t="str">
            <v>445.22</v>
          </cell>
          <cell r="N552" t="str">
            <v>445.06</v>
          </cell>
          <cell r="O552" t="str">
            <v>14.380141</v>
          </cell>
          <cell r="P552" t="str">
            <v>107.986801</v>
          </cell>
          <cell r="Q552" t="str">
            <v>0.16</v>
          </cell>
          <cell r="R552" t="str">
            <v>14.380141</v>
          </cell>
          <cell r="S552" t="str">
            <v>107.986801</v>
          </cell>
          <cell r="T552" t="str">
            <v>full_h04/KonTum/Mạng cấp III Kon Tum/Ring 5/Khối CS (PC01, PC02, PC03, PC04) - PC08.kmz/Khối CS (PC01, PC02, PC03, PC04) - PC08/Khối CS (PC01, PC02, PC03, PC04) - PC08_Hạ thế</v>
          </cell>
          <cell r="U552">
            <v>445.22</v>
          </cell>
        </row>
        <row r="554">
          <cell r="L554" t="str">
            <v>Bắc Trà My - Phú Ninh</v>
          </cell>
          <cell r="M554" t="str">
            <v>99407.86</v>
          </cell>
          <cell r="N554" t="str">
            <v>95430.33</v>
          </cell>
          <cell r="O554" t="str">
            <v>15.340258</v>
          </cell>
          <cell r="P554" t="str">
            <v>108.213703</v>
          </cell>
          <cell r="Q554" t="str">
            <v>3977.54</v>
          </cell>
          <cell r="R554" t="str">
            <v>15.550722</v>
          </cell>
          <cell r="S554" t="str">
            <v>108.413776</v>
          </cell>
          <cell r="T554" t="str">
            <v>full_h04/TP Đà Nẵng/TP Đà Nẵng/Mạng cấp 3_ DN và Quảng Nam/Cấp 3 - Ring 4 - Quảng Nam cũ/Bắc Trà My - Phú Ninh/Đoạn trung thế 2</v>
          </cell>
          <cell r="U554">
            <v>99407.86</v>
          </cell>
        </row>
        <row r="555">
          <cell r="L555" t="str">
            <v>Đăk Mar - Ngọk Tụ</v>
          </cell>
          <cell r="M555" t="str">
            <v>100.11</v>
          </cell>
          <cell r="N555" t="str">
            <v>47.35</v>
          </cell>
          <cell r="O555" t="str">
            <v>14.721538</v>
          </cell>
          <cell r="P555" t="str">
            <v>107.809734</v>
          </cell>
          <cell r="Q555" t="str">
            <v>52.76</v>
          </cell>
          <cell r="R555" t="str">
            <v>14.698688</v>
          </cell>
          <cell r="S555" t="str">
            <v>107.836705</v>
          </cell>
          <cell r="T555" t="str">
            <v>full_h04/KonTum/Mạng Cấp IV Kon Tum/Kon Tum - Cấp 4 - Ring 5.kmz/Đăk Mar - Ngọk Tụ/Trung thế | EVN</v>
          </cell>
          <cell r="U555">
            <v>100.11</v>
          </cell>
        </row>
        <row r="556">
          <cell r="L556" t="str">
            <v>CAT Kon Tum - Ngọk Bay</v>
          </cell>
          <cell r="M556" t="str">
            <v>42.47</v>
          </cell>
          <cell r="N556" t="str">
            <v>4.76</v>
          </cell>
          <cell r="O556" t="str">
            <v>14.352999</v>
          </cell>
          <cell r="P556" t="str">
            <v>108.007856</v>
          </cell>
          <cell r="Q556" t="str">
            <v>37.70</v>
          </cell>
          <cell r="R556" t="str">
            <v>14.349993</v>
          </cell>
          <cell r="S556" t="str">
            <v>108.007393</v>
          </cell>
          <cell r="T556" t="str">
            <v>full_h04/KonTum/Mạng Cấp IV Kon Tum/Kon Tum - Cấp 4 - Ring 9.kmz/Kon Tum - Ring 9/CAT Kon Tum - Ngọk Bay/Trung thế EVN</v>
          </cell>
          <cell r="U556">
            <v>42.47</v>
          </cell>
        </row>
        <row r="557">
          <cell r="L557" t="str">
            <v>TT1 Quảng Ngãi - Minh Long</v>
          </cell>
          <cell r="M557" t="str">
            <v>1060.35</v>
          </cell>
          <cell r="N557" t="str">
            <v>860.10</v>
          </cell>
          <cell r="O557" t="str">
            <v>15.113571</v>
          </cell>
          <cell r="P557" t="str">
            <v>108.789819</v>
          </cell>
          <cell r="Q557" t="str">
            <v>200.25</v>
          </cell>
          <cell r="R557" t="str">
            <v>15.044577</v>
          </cell>
          <cell r="S557" t="str">
            <v>108.774884</v>
          </cell>
          <cell r="T557" t="str">
            <v>full_h04/Quảng Ngãi/Quảng Ngãi Cấp III - IV/Quảng Ngãi Cấp III/Cấp 3- Ring 2/TT1 Quảng Ngãi - Minh Long/trung thế 2</v>
          </cell>
          <cell r="U557">
            <v>1060.3499999999999</v>
          </cell>
        </row>
        <row r="558">
          <cell r="L558" t="str">
            <v>PC07 - Sơn Tịnh</v>
          </cell>
          <cell r="M558" t="str">
            <v>2329.72</v>
          </cell>
          <cell r="N558" t="str">
            <v>2213.11</v>
          </cell>
          <cell r="O558" t="str">
            <v>15.139444</v>
          </cell>
          <cell r="P558" t="str">
            <v>108.784302</v>
          </cell>
          <cell r="Q558" t="str">
            <v>116.62</v>
          </cell>
          <cell r="R558" t="str">
            <v>15.155536</v>
          </cell>
          <cell r="S558" t="str">
            <v>108.736003</v>
          </cell>
          <cell r="T558" t="str">
            <v>full_h04/Quảng Ngãi/Quảng Ngãi Cấp III - IV/Quảng Ngãi Cấp III/Phòng - Ring 1/PC07 - Sơn Tịnh/PC07 - Sơn Tịnh_1</v>
          </cell>
          <cell r="U558">
            <v>2329.7199999999998</v>
          </cell>
        </row>
        <row r="559">
          <cell r="L559" t="str">
            <v>Sơn Tịnh - TT1 QUẢNG NGÃI</v>
          </cell>
          <cell r="M559" t="str">
            <v>2119.48</v>
          </cell>
          <cell r="N559" t="str">
            <v>38.96</v>
          </cell>
          <cell r="O559" t="str">
            <v>15.120827</v>
          </cell>
          <cell r="P559" t="str">
            <v>108.791734</v>
          </cell>
          <cell r="Q559" t="str">
            <v>2080.52</v>
          </cell>
          <cell r="R559" t="str">
            <v>15.129204</v>
          </cell>
          <cell r="S559" t="str">
            <v>108.731985</v>
          </cell>
          <cell r="T559" t="str">
            <v>full_h04/Quảng Ngãi/Quảng Ngãi Cấp III - IV/Quảng Ngãi Cấp IV/Cấp 4 Ring 2/Sơn Tịnh - TT1 QUẢNG NGÃI/Trung thế</v>
          </cell>
          <cell r="U559">
            <v>2119.48</v>
          </cell>
        </row>
        <row r="560">
          <cell r="L560" t="str">
            <v>E23)</v>
          </cell>
          <cell r="M560" t="str">
            <v>2461.24</v>
          </cell>
          <cell r="N560" t="str">
            <v>2350.67</v>
          </cell>
          <cell r="O560" t="str">
            <v>15.140404</v>
          </cell>
          <cell r="P560" t="str">
            <v>108.800742</v>
          </cell>
          <cell r="Q560" t="str">
            <v>110.57</v>
          </cell>
          <cell r="R560" t="str">
            <v>15.201007</v>
          </cell>
          <cell r="S560" t="str">
            <v>108.789580</v>
          </cell>
          <cell r="T560" t="str">
            <v>full_h04/Quảng Ngãi/Quảng Ngãi Cấp III - IV/Quảng Ngãi Cấp III/Phòng - Ring 2/khối phòng CAT KV P.NL - K02 (D3/E23)/trung thế 2</v>
          </cell>
          <cell r="U560">
            <v>2461.2399999999998</v>
          </cell>
        </row>
        <row r="561">
          <cell r="L561" t="str">
            <v>E23)</v>
          </cell>
          <cell r="M561" t="str">
            <v>2461.24</v>
          </cell>
          <cell r="N561" t="str">
            <v>2350.67</v>
          </cell>
          <cell r="O561" t="str">
            <v>15.140404</v>
          </cell>
          <cell r="P561" t="str">
            <v>108.800742</v>
          </cell>
          <cell r="Q561" t="str">
            <v>110.57</v>
          </cell>
          <cell r="R561" t="str">
            <v>15.201007</v>
          </cell>
          <cell r="S561" t="str">
            <v>108.789580</v>
          </cell>
          <cell r="T561" t="str">
            <v>full_h04/Quảng Ngãi/Quảng Ngãi Cấp III - IV/Quảng Ngãi Cấp III/Phòng - Ring 2/khối phòng CAT KV P.NL - K02 (D3/E23)/trung thế 2</v>
          </cell>
          <cell r="U561">
            <v>2461.2399999999998</v>
          </cell>
        </row>
        <row r="562">
          <cell r="L562" t="str">
            <v>Ba Gia - TT1 QUẢNG NGÃI</v>
          </cell>
          <cell r="M562" t="str">
            <v>2312.32</v>
          </cell>
          <cell r="N562" t="str">
            <v>56.31</v>
          </cell>
          <cell r="O562" t="str">
            <v>15.121472</v>
          </cell>
          <cell r="P562" t="str">
            <v>108.791859</v>
          </cell>
          <cell r="Q562" t="str">
            <v>2256.01</v>
          </cell>
          <cell r="R562" t="str">
            <v>15.126612</v>
          </cell>
          <cell r="S562" t="str">
            <v>108.779531</v>
          </cell>
          <cell r="T562" t="str">
            <v>full_h04/Quảng Ngãi/Quảng Ngãi Cấp III - IV/Quảng Ngãi Cấp IV/Cấp 4 Ring 8/Ba Gia - TT1 QUẢNG NGÃI/Trung thế</v>
          </cell>
          <cell r="U562">
            <v>2312.3200000000002</v>
          </cell>
        </row>
        <row r="563">
          <cell r="L563" t="str">
            <v>Ba Gia - TT1 QUẢNG NGÃI</v>
          </cell>
          <cell r="M563" t="str">
            <v>1301.12</v>
          </cell>
          <cell r="N563" t="str">
            <v>56.31</v>
          </cell>
          <cell r="O563" t="str">
            <v>15.121472</v>
          </cell>
          <cell r="P563" t="str">
            <v>108.791859</v>
          </cell>
          <cell r="Q563" t="str">
            <v>1244.81</v>
          </cell>
          <cell r="R563" t="str">
            <v>15.127291</v>
          </cell>
          <cell r="S563" t="str">
            <v>108.782879</v>
          </cell>
          <cell r="T563" t="str">
            <v>full_h04/Quảng Ngãi/Quảng Ngãi Cấp III - IV/Quảng Ngãi Cấp IV/Cấp 4 Ring 8/Ba Gia - TT1 QUẢNG NGÃI/Trung thế</v>
          </cell>
          <cell r="U563">
            <v>1301.1199999999999</v>
          </cell>
        </row>
        <row r="564">
          <cell r="L564" t="str">
            <v>Sơn Tịnh - TT1 QUẢNG NGÃI</v>
          </cell>
          <cell r="M564" t="str">
            <v>3827.45</v>
          </cell>
          <cell r="N564" t="str">
            <v>38.96</v>
          </cell>
          <cell r="O564" t="str">
            <v>15.120827</v>
          </cell>
          <cell r="P564" t="str">
            <v>108.791734</v>
          </cell>
          <cell r="Q564" t="str">
            <v>3788.49</v>
          </cell>
          <cell r="R564" t="str">
            <v>15.132574</v>
          </cell>
          <cell r="S564" t="str">
            <v>108.732478</v>
          </cell>
          <cell r="T564" t="str">
            <v>full_h04/Quảng Ngãi/Quảng Ngãi Cấp III - IV/Quảng Ngãi Cấp IV/Cấp 4 Ring 2/Sơn Tịnh - TT1 QUẢNG NGÃI/Trung thế</v>
          </cell>
          <cell r="U564">
            <v>3827.45</v>
          </cell>
        </row>
        <row r="565">
          <cell r="L565" t="str">
            <v>Ba Gia - TT1 QUẢNG NGÃI</v>
          </cell>
          <cell r="M565" t="str">
            <v>324.62</v>
          </cell>
          <cell r="N565" t="str">
            <v>56.31</v>
          </cell>
          <cell r="O565" t="str">
            <v>15.121472</v>
          </cell>
          <cell r="P565" t="str">
            <v>108.791859</v>
          </cell>
          <cell r="Q565" t="str">
            <v>268.31</v>
          </cell>
          <cell r="R565" t="str">
            <v>15.126121</v>
          </cell>
          <cell r="S565" t="str">
            <v>108.779673</v>
          </cell>
          <cell r="T565" t="str">
            <v>full_h04/Quảng Ngãi/Quảng Ngãi Cấp III - IV/Quảng Ngãi Cấp IV/Cấp 4 Ring 8/Ba Gia - TT1 QUẢNG NGÃI/Trung thế</v>
          </cell>
          <cell r="U565">
            <v>324.62</v>
          </cell>
        </row>
        <row r="566">
          <cell r="L566" t="str">
            <v>Sơn Tịnh - TT1 QUẢNG NGÃI</v>
          </cell>
          <cell r="M566" t="str">
            <v>154.49</v>
          </cell>
          <cell r="N566" t="str">
            <v>38.96</v>
          </cell>
          <cell r="O566" t="str">
            <v>15.120827</v>
          </cell>
          <cell r="P566" t="str">
            <v>108.791734</v>
          </cell>
          <cell r="Q566" t="str">
            <v>115.53</v>
          </cell>
          <cell r="R566" t="str">
            <v>15.114606</v>
          </cell>
          <cell r="S566" t="str">
            <v>108.771015</v>
          </cell>
          <cell r="T566" t="str">
            <v>full_h04/Quảng Ngãi/Quảng Ngãi Cấp III - IV/Quảng Ngãi Cấp IV/Cấp 4 Ring 2/Sơn Tịnh - TT1 QUẢNG NGÃI/Trung thế</v>
          </cell>
          <cell r="U566">
            <v>154.49</v>
          </cell>
        </row>
        <row r="567">
          <cell r="L567" t="str">
            <v>Ba Gia - TT1 QUẢNG NGÃI</v>
          </cell>
          <cell r="M567" t="str">
            <v>1001.53</v>
          </cell>
          <cell r="N567" t="str">
            <v>56.31</v>
          </cell>
          <cell r="O567" t="str">
            <v>15.121472</v>
          </cell>
          <cell r="P567" t="str">
            <v>108.791859</v>
          </cell>
          <cell r="Q567" t="str">
            <v>945.21</v>
          </cell>
          <cell r="R567" t="str">
            <v>15.126612</v>
          </cell>
          <cell r="S567" t="str">
            <v>108.779531</v>
          </cell>
          <cell r="T567" t="str">
            <v>full_h04/Quảng Ngãi/Quảng Ngãi Cấp III - IV/Quảng Ngãi Cấp IV/Cấp 4 Ring 8/Ba Gia - TT1 QUẢNG NGÃI/Trung thế</v>
          </cell>
          <cell r="U567">
            <v>1001.53</v>
          </cell>
        </row>
        <row r="568">
          <cell r="L568" t="str">
            <v>TT1 Quảng Ngãi - Minh Long</v>
          </cell>
          <cell r="M568" t="str">
            <v>994.30</v>
          </cell>
          <cell r="N568" t="str">
            <v>860.10</v>
          </cell>
          <cell r="O568" t="str">
            <v>15.113571</v>
          </cell>
          <cell r="P568" t="str">
            <v>108.789819</v>
          </cell>
          <cell r="Q568" t="str">
            <v>134.20</v>
          </cell>
          <cell r="R568" t="str">
            <v>15.104920</v>
          </cell>
          <cell r="S568" t="str">
            <v>108.766801</v>
          </cell>
          <cell r="T568" t="str">
            <v>full_h04/Quảng Ngãi/Quảng Ngãi Cấp III - IV/Quảng Ngãi Cấp III/Cấp 3- Ring 2/TT1 Quảng Ngãi - Minh Long/trung thế 2</v>
          </cell>
          <cell r="U568">
            <v>994.3</v>
          </cell>
        </row>
        <row r="569">
          <cell r="L569" t="str">
            <v>Sơn Tịnh - TT1 QUẢNG NGÃI</v>
          </cell>
          <cell r="M569" t="str">
            <v>171.71</v>
          </cell>
          <cell r="N569" t="str">
            <v>38.96</v>
          </cell>
          <cell r="O569" t="str">
            <v>15.120827</v>
          </cell>
          <cell r="P569" t="str">
            <v>108.791734</v>
          </cell>
          <cell r="Q569" t="str">
            <v>132.75</v>
          </cell>
          <cell r="R569" t="str">
            <v>15.118464</v>
          </cell>
          <cell r="S569" t="str">
            <v>108.754596</v>
          </cell>
          <cell r="T569" t="str">
            <v>full_h04/Quảng Ngãi/Quảng Ngãi Cấp III - IV/Quảng Ngãi Cấp IV/Cấp 4 Ring 2/Sơn Tịnh - TT1 QUẢNG NGÃI/Trung thế</v>
          </cell>
          <cell r="U569">
            <v>171.71</v>
          </cell>
        </row>
        <row r="570">
          <cell r="L570" t="str">
            <v>Sơn Tịnh - TT1 QUẢNG NGÃI</v>
          </cell>
          <cell r="M570" t="str">
            <v>628.67</v>
          </cell>
          <cell r="N570" t="str">
            <v>589.72</v>
          </cell>
          <cell r="O570" t="str">
            <v>15.113611</v>
          </cell>
          <cell r="P570" t="str">
            <v>108.779097</v>
          </cell>
          <cell r="Q570" t="str">
            <v>38.96</v>
          </cell>
          <cell r="R570" t="str">
            <v>15.120827</v>
          </cell>
          <cell r="S570" t="str">
            <v>108.791734</v>
          </cell>
          <cell r="T570" t="str">
            <v>full_h04/Quảng Ngãi/Quảng Ngãi Cấp III - IV/Quảng Ngãi Cấp IV/Cấp 4 Ring 2/Sơn Tịnh - TT1 QUẢNG NGÃI/Trung thế</v>
          </cell>
          <cell r="U570">
            <v>628.66999999999996</v>
          </cell>
        </row>
        <row r="571">
          <cell r="L571" t="str">
            <v>Khối Cảnh sát - Khối Phòng CAT KV P.Nghĩa Lộ</v>
          </cell>
          <cell r="M571" t="str">
            <v>606.29</v>
          </cell>
          <cell r="N571" t="str">
            <v>556.46</v>
          </cell>
          <cell r="O571" t="str">
            <v>15.127977</v>
          </cell>
          <cell r="P571" t="str">
            <v>108.795976</v>
          </cell>
          <cell r="Q571" t="str">
            <v>49.84</v>
          </cell>
          <cell r="R571" t="str">
            <v>15.121444</v>
          </cell>
          <cell r="S571" t="str">
            <v>108.792112</v>
          </cell>
          <cell r="T571" t="str">
            <v>full_h04/Quảng Ngãi/Quảng Ngãi Cấp III - IV/Quảng Ngãi Cấp III/Phòng - Ring 2/Khối Cảnh sát - Khối Phòng CAT KV P.Nghĩa Lộ/hạ thế 1</v>
          </cell>
          <cell r="U571">
            <v>606.29</v>
          </cell>
        </row>
        <row r="572">
          <cell r="L572" t="str">
            <v>Khối Cảnh sát - Khối Phòng CAT KV P.Nghĩa Lộ</v>
          </cell>
          <cell r="M572" t="str">
            <v>606.29</v>
          </cell>
          <cell r="N572" t="str">
            <v>49.84</v>
          </cell>
          <cell r="O572" t="str">
            <v>15.121444</v>
          </cell>
          <cell r="P572" t="str">
            <v>108.792112</v>
          </cell>
          <cell r="Q572" t="str">
            <v>556.46</v>
          </cell>
          <cell r="R572" t="str">
            <v>15.127977</v>
          </cell>
          <cell r="S572" t="str">
            <v>108.795976</v>
          </cell>
          <cell r="T572" t="str">
            <v>full_h04/Quảng Ngãi/Quảng Ngãi Cấp III - IV/Quảng Ngãi Cấp III/Phòng - Ring 2/Khối Cảnh sát - Khối Phòng CAT KV P.Nghĩa Lộ/hạ thế 1</v>
          </cell>
          <cell r="U572">
            <v>606.29</v>
          </cell>
        </row>
        <row r="573">
          <cell r="L573" t="str">
            <v>TT1 Quảng Ngãi - Minh Long</v>
          </cell>
          <cell r="M573" t="str">
            <v>1060.35</v>
          </cell>
          <cell r="N573" t="str">
            <v>860.10</v>
          </cell>
          <cell r="O573" t="str">
            <v>15.113571</v>
          </cell>
          <cell r="P573" t="str">
            <v>108.789819</v>
          </cell>
          <cell r="Q573" t="str">
            <v>200.25</v>
          </cell>
          <cell r="R573" t="str">
            <v>15.044577</v>
          </cell>
          <cell r="S573" t="str">
            <v>108.774884</v>
          </cell>
          <cell r="T573" t="str">
            <v>full_h04/Quảng Ngãi/Quảng Ngãi Cấp III - IV/Quảng Ngãi Cấp III/Cấp 3- Ring 2/TT1 Quảng Ngãi - Minh Long/trung thế 2</v>
          </cell>
          <cell r="U573">
            <v>1060.3499999999999</v>
          </cell>
        </row>
        <row r="574">
          <cell r="L574" t="str">
            <v>Khối Phòng PA08_PA05 - TT1 Quảng Ngãi</v>
          </cell>
          <cell r="M574" t="str">
            <v>49.18</v>
          </cell>
          <cell r="N574" t="str">
            <v>37.50</v>
          </cell>
          <cell r="O574" t="str">
            <v>15.120826</v>
          </cell>
          <cell r="P574" t="str">
            <v>108.791751</v>
          </cell>
          <cell r="Q574" t="str">
            <v>11.68</v>
          </cell>
          <cell r="R574" t="str">
            <v>15.113891</v>
          </cell>
          <cell r="S574" t="str">
            <v>108.796320</v>
          </cell>
          <cell r="T574" t="str">
            <v>full_h04/Quảng Ngãi/Quảng Ngãi Cấp III - IV/Quảng Ngãi Cấp III/Phòng - Ring 2/Khối Phòng PA08_PA05 - TT1 Quảng Ngãi/hạ thế 1</v>
          </cell>
          <cell r="U574">
            <v>49.18</v>
          </cell>
        </row>
        <row r="575">
          <cell r="L575" t="str">
            <v>Đức Phổ - TT1 Quảng Ngãi mới</v>
          </cell>
          <cell r="M575" t="str">
            <v>3196.39</v>
          </cell>
          <cell r="N575" t="str">
            <v>757.26</v>
          </cell>
          <cell r="O575" t="str">
            <v>14.941793</v>
          </cell>
          <cell r="P575" t="str">
            <v>108.884749</v>
          </cell>
          <cell r="Q575" t="str">
            <v>2439.13</v>
          </cell>
          <cell r="R575" t="str">
            <v>15.038804</v>
          </cell>
          <cell r="S575" t="str">
            <v>108.852233</v>
          </cell>
          <cell r="T575" t="str">
            <v>full_h04/Quảng Ngãi/Quảng Ngãi Cấp III - IV/Quảng Ngãi Cấp III/Cấp 3- Ring 2/Đức Phổ - TT1 Quảng Ngãi mới/trung thế 1</v>
          </cell>
          <cell r="U575">
            <v>3196.39</v>
          </cell>
        </row>
        <row r="576">
          <cell r="L576" t="str">
            <v>Trà Câu - Mộ Đức</v>
          </cell>
          <cell r="M576" t="str">
            <v>653.54</v>
          </cell>
          <cell r="N576" t="str">
            <v>321.69</v>
          </cell>
          <cell r="O576" t="str">
            <v>14.948860</v>
          </cell>
          <cell r="P576" t="str">
            <v>108.885069</v>
          </cell>
          <cell r="Q576" t="str">
            <v>331.85</v>
          </cell>
          <cell r="R576" t="str">
            <v>14.923200</v>
          </cell>
          <cell r="S576" t="str">
            <v>108.902611</v>
          </cell>
          <cell r="T576" t="str">
            <v>full_h04/Quảng Ngãi/Quảng Ngãi Cấp III - IV/Quảng Ngãi Cấp IV/Cấp 4 Ring 16/Trà Câu - Mộ Đức/Trụ trung thế 1</v>
          </cell>
          <cell r="U576">
            <v>653.54</v>
          </cell>
        </row>
        <row r="577">
          <cell r="L577" t="str">
            <v>Mộ Đức - Vệ Giang</v>
          </cell>
          <cell r="M577" t="str">
            <v>2747.46</v>
          </cell>
          <cell r="N577" t="str">
            <v>683.74</v>
          </cell>
          <cell r="O577" t="str">
            <v>14.953834</v>
          </cell>
          <cell r="P577" t="str">
            <v>108.886260</v>
          </cell>
          <cell r="Q577" t="str">
            <v>2063.72</v>
          </cell>
          <cell r="R577" t="str">
            <v>14.996030</v>
          </cell>
          <cell r="S577" t="str">
            <v>108.852765</v>
          </cell>
          <cell r="T577" t="str">
            <v>full_h04/Quảng Ngãi/Quảng Ngãi Cấp III - IV/Quảng Ngãi Cấp IV/Cấp 4 Ring 16/Mộ Đức - Vệ Giang/Trụ trung thế 2</v>
          </cell>
          <cell r="U577">
            <v>2747.46</v>
          </cell>
        </row>
        <row r="578">
          <cell r="L578" t="str">
            <v>Đức Phổ - TT1 Quảng Ngãi mới</v>
          </cell>
          <cell r="M578" t="str">
            <v>951.83</v>
          </cell>
          <cell r="N578" t="str">
            <v>757.26</v>
          </cell>
          <cell r="O578" t="str">
            <v>14.941793</v>
          </cell>
          <cell r="P578" t="str">
            <v>108.884749</v>
          </cell>
          <cell r="Q578" t="str">
            <v>194.57</v>
          </cell>
          <cell r="R578" t="str">
            <v>15.011333</v>
          </cell>
          <cell r="S578" t="str">
            <v>108.869854</v>
          </cell>
          <cell r="T578" t="str">
            <v>full_h04/Quảng Ngãi/Quảng Ngãi Cấp III - IV/Quảng Ngãi Cấp III/Cấp 3- Ring 2/Đức Phổ - TT1 Quảng Ngãi mới/trung thế 1</v>
          </cell>
          <cell r="U578">
            <v>951.83</v>
          </cell>
        </row>
        <row r="579">
          <cell r="L579" t="str">
            <v>Trà Câu - Mộ Đức</v>
          </cell>
          <cell r="M579" t="str">
            <v>1972.89</v>
          </cell>
          <cell r="N579" t="str">
            <v>321.69</v>
          </cell>
          <cell r="O579" t="str">
            <v>14.948860</v>
          </cell>
          <cell r="P579" t="str">
            <v>108.885069</v>
          </cell>
          <cell r="Q579" t="str">
            <v>1651.20</v>
          </cell>
          <cell r="R579" t="str">
            <v>14.920210</v>
          </cell>
          <cell r="S579" t="str">
            <v>108.904616</v>
          </cell>
          <cell r="T579" t="str">
            <v>full_h04/Quảng Ngãi/Quảng Ngãi Cấp III - IV/Quảng Ngãi Cấp IV/Cấp 4 Ring 16/Trà Câu - Mộ Đức/Trụ trung thế 1</v>
          </cell>
          <cell r="U579">
            <v>1972.89</v>
          </cell>
        </row>
        <row r="580">
          <cell r="L580" t="str">
            <v>Mộ Đức - Vệ Giang</v>
          </cell>
          <cell r="M580" t="str">
            <v>636.90</v>
          </cell>
          <cell r="N580" t="str">
            <v>228.52</v>
          </cell>
          <cell r="O580" t="str">
            <v>14.949937</v>
          </cell>
          <cell r="P580" t="str">
            <v>108.887698</v>
          </cell>
          <cell r="Q580" t="str">
            <v>408.38</v>
          </cell>
          <cell r="R580" t="str">
            <v>14.953834</v>
          </cell>
          <cell r="S580" t="str">
            <v>108.886257</v>
          </cell>
          <cell r="T580" t="str">
            <v>full_h04/Quảng Ngãi/Quảng Ngãi Cấp III - IV/Quảng Ngãi Cấp IV/Cấp 4 Ring 16/Mộ Đức - Vệ Giang/Trụ hạ thế 1</v>
          </cell>
          <cell r="U580">
            <v>636.9</v>
          </cell>
        </row>
        <row r="581">
          <cell r="L581" t="str">
            <v>Mộ Đức - Vệ Giang</v>
          </cell>
          <cell r="M581" t="str">
            <v>2747.46</v>
          </cell>
          <cell r="N581" t="str">
            <v>683.74</v>
          </cell>
          <cell r="O581" t="str">
            <v>14.953834</v>
          </cell>
          <cell r="P581" t="str">
            <v>108.886260</v>
          </cell>
          <cell r="Q581" t="str">
            <v>2063.72</v>
          </cell>
          <cell r="R581" t="str">
            <v>14.996030</v>
          </cell>
          <cell r="S581" t="str">
            <v>108.852765</v>
          </cell>
          <cell r="T581" t="str">
            <v>full_h04/Quảng Ngãi/Quảng Ngãi Cấp III - IV/Quảng Ngãi Cấp IV/Cấp 4 Ring 16/Mộ Đức - Vệ Giang/Trụ trung thế 2</v>
          </cell>
          <cell r="U581">
            <v>2747.46</v>
          </cell>
        </row>
        <row r="582">
          <cell r="L582" t="str">
            <v>Đức Phổ - TT1 Quảng Ngãi mới</v>
          </cell>
          <cell r="M582" t="str">
            <v>3196.39</v>
          </cell>
          <cell r="N582" t="str">
            <v>757.26</v>
          </cell>
          <cell r="O582" t="str">
            <v>14.941793</v>
          </cell>
          <cell r="P582" t="str">
            <v>108.884749</v>
          </cell>
          <cell r="Q582" t="str">
            <v>2439.13</v>
          </cell>
          <cell r="R582" t="str">
            <v>15.038804</v>
          </cell>
          <cell r="S582" t="str">
            <v>108.852233</v>
          </cell>
          <cell r="T582" t="str">
            <v>full_h04/Quảng Ngãi/Quảng Ngãi Cấp III - IV/Quảng Ngãi Cấp III/Cấp 3- Ring 2/Đức Phổ - TT1 Quảng Ngãi mới/trung thế 1</v>
          </cell>
          <cell r="U582">
            <v>3196.39</v>
          </cell>
        </row>
        <row r="583">
          <cell r="L583" t="str">
            <v>Mộ Đức - Vệ Giang</v>
          </cell>
          <cell r="M583" t="str">
            <v>8758.42</v>
          </cell>
          <cell r="N583" t="str">
            <v>8074.67</v>
          </cell>
          <cell r="O583" t="str">
            <v>15.008498</v>
          </cell>
          <cell r="P583" t="str">
            <v>108.842247</v>
          </cell>
          <cell r="Q583" t="str">
            <v>683.74</v>
          </cell>
          <cell r="R583" t="str">
            <v>14.953834</v>
          </cell>
          <cell r="S583" t="str">
            <v>108.886260</v>
          </cell>
          <cell r="T583" t="str">
            <v>full_h04/Quảng Ngãi/Quảng Ngãi Cấp III - IV/Quảng Ngãi Cấp IV/Cấp 4 Ring 16/Mộ Đức - Vệ Giang/Trụ trung thế 2</v>
          </cell>
          <cell r="U583">
            <v>8758.42</v>
          </cell>
        </row>
        <row r="584">
          <cell r="L584" t="str">
            <v>Trà Câu - Mộ Đức</v>
          </cell>
          <cell r="M584" t="str">
            <v>2814.66</v>
          </cell>
          <cell r="N584" t="str">
            <v>2675.01</v>
          </cell>
          <cell r="O584" t="str">
            <v>14.946976</v>
          </cell>
          <cell r="P584" t="str">
            <v>108.885151</v>
          </cell>
          <cell r="Q584" t="str">
            <v>139.65</v>
          </cell>
          <cell r="R584" t="str">
            <v>14.946636</v>
          </cell>
          <cell r="S584" t="str">
            <v>108.887959</v>
          </cell>
          <cell r="T584" t="str">
            <v>full_h04/Quảng Ngãi/Quảng Ngãi Cấp III - IV/Quảng Ngãi Cấp IV/Cấp 4 Ring 16/Trà Câu - Mộ Đức/hạ thế</v>
          </cell>
          <cell r="U584">
            <v>2814.66</v>
          </cell>
        </row>
        <row r="585">
          <cell r="L585" t="str">
            <v>Trà Câu - Mộ Đức</v>
          </cell>
          <cell r="M585" t="str">
            <v>498.47</v>
          </cell>
          <cell r="N585" t="str">
            <v>176.78</v>
          </cell>
          <cell r="O585" t="str">
            <v>14.904020</v>
          </cell>
          <cell r="P585" t="str">
            <v>108.911083</v>
          </cell>
          <cell r="Q585" t="str">
            <v>321.69</v>
          </cell>
          <cell r="R585" t="str">
            <v>14.948860</v>
          </cell>
          <cell r="S585" t="str">
            <v>108.885069</v>
          </cell>
          <cell r="T585" t="str">
            <v>full_h04/Quảng Ngãi/Quảng Ngãi Cấp III - IV/Quảng Ngãi Cấp IV/Cấp 4 Ring 16/Trà Câu - Mộ Đức/Trụ trung thế 1</v>
          </cell>
          <cell r="U585">
            <v>498.47</v>
          </cell>
        </row>
        <row r="586">
          <cell r="L586" t="str">
            <v>Trà Câu - Mộ Đức</v>
          </cell>
          <cell r="M586" t="str">
            <v>915.70</v>
          </cell>
          <cell r="N586" t="str">
            <v>913.32</v>
          </cell>
          <cell r="O586" t="str">
            <v>14.947109</v>
          </cell>
          <cell r="P586" t="str">
            <v>108.887216</v>
          </cell>
          <cell r="Q586" t="str">
            <v>2.39</v>
          </cell>
          <cell r="R586" t="str">
            <v>14.947894</v>
          </cell>
          <cell r="S586" t="str">
            <v>108.887912</v>
          </cell>
          <cell r="T586" t="str">
            <v>full_h04/Quảng Ngãi/Quảng Ngãi Cấp III - IV/Quảng Ngãi Cấp IV/Cấp 4 Ring 16/Trà Câu - Mộ Đức/Trồng trụ mới 1</v>
          </cell>
          <cell r="U586">
            <v>915.7</v>
          </cell>
        </row>
        <row r="587">
          <cell r="L587" t="str">
            <v>Trà Câu - Mộ Đức</v>
          </cell>
          <cell r="M587" t="str">
            <v>2292.33</v>
          </cell>
          <cell r="N587" t="str">
            <v>1970.64</v>
          </cell>
          <cell r="O587" t="str">
            <v>14.934362</v>
          </cell>
          <cell r="P587" t="str">
            <v>108.890453</v>
          </cell>
          <cell r="Q587" t="str">
            <v>321.69</v>
          </cell>
          <cell r="R587" t="str">
            <v>14.948860</v>
          </cell>
          <cell r="S587" t="str">
            <v>108.885069</v>
          </cell>
          <cell r="T587" t="str">
            <v>full_h04/Quảng Ngãi/Quảng Ngãi Cấp III - IV/Quảng Ngãi Cấp IV/Cấp 4 Ring 16/Trà Câu - Mộ Đức/Trụ trung thế 1</v>
          </cell>
          <cell r="U587">
            <v>2292.33</v>
          </cell>
        </row>
        <row r="588">
          <cell r="L588" t="str">
            <v>Phước Giang - Trà Giang</v>
          </cell>
          <cell r="M588" t="str">
            <v>3435.33</v>
          </cell>
          <cell r="N588" t="str">
            <v>3098.74</v>
          </cell>
          <cell r="O588" t="str">
            <v>15.047854</v>
          </cell>
          <cell r="P588" t="str">
            <v>108.748065</v>
          </cell>
          <cell r="Q588" t="str">
            <v>336.59</v>
          </cell>
          <cell r="R588" t="str">
            <v>15.045444</v>
          </cell>
          <cell r="S588" t="str">
            <v>108.745306</v>
          </cell>
          <cell r="T588" t="str">
            <v>full_h04/Quảng Ngãi/Quảng Ngãi Cấp III - IV/Quảng Ngãi Cấp IV/Cấp 4 Ring 13/Phước Giang - Trà Giang/Trụ trung thế 1</v>
          </cell>
          <cell r="U588">
            <v>3435.33</v>
          </cell>
        </row>
        <row r="589">
          <cell r="L589" t="str">
            <v>Đức Phổ - TT1 Quảng Ngãi mới</v>
          </cell>
          <cell r="M589" t="str">
            <v>9066.16</v>
          </cell>
          <cell r="N589" t="str">
            <v>8137.92</v>
          </cell>
          <cell r="O589" t="str">
            <v>15.038804</v>
          </cell>
          <cell r="P589" t="str">
            <v>108.852233</v>
          </cell>
          <cell r="Q589" t="str">
            <v>928.24</v>
          </cell>
          <cell r="R589" t="str">
            <v>14.889078</v>
          </cell>
          <cell r="S589" t="str">
            <v>108.926425</v>
          </cell>
          <cell r="T589" t="str">
            <v>full_h04/Quảng Ngãi/Quảng Ngãi Cấp III - IV/Quảng Ngãi Cấp III/Cấp 3- Ring 2/Đức Phổ - TT1 Quảng Ngãi mới/trung thế 1</v>
          </cell>
          <cell r="U589">
            <v>9066.16</v>
          </cell>
        </row>
        <row r="590">
          <cell r="L590" t="str">
            <v>Đình Cương - Nghĩa Hành</v>
          </cell>
          <cell r="M590" t="str">
            <v>445.83</v>
          </cell>
          <cell r="N590" t="str">
            <v>224.35</v>
          </cell>
          <cell r="O590" t="str">
            <v>15.043967</v>
          </cell>
          <cell r="P590" t="str">
            <v>108.778729</v>
          </cell>
          <cell r="Q590" t="str">
            <v>221.48</v>
          </cell>
          <cell r="R590" t="str">
            <v>15.040720</v>
          </cell>
          <cell r="S590" t="str">
            <v>108.795241</v>
          </cell>
          <cell r="T590" t="str">
            <v>full_h04/Quảng Ngãi/Quảng Ngãi Cấp III - IV/Quảng Ngãi Cấp IV/Cấp 4 Ring 12/Đình Cương - Nghĩa Hành/Trụ trung thế 1</v>
          </cell>
          <cell r="U590">
            <v>445.83</v>
          </cell>
        </row>
        <row r="591">
          <cell r="L591" t="str">
            <v>Nghĩa Hành - Nghĩa Lộ</v>
          </cell>
          <cell r="M591" t="str">
            <v>447.13</v>
          </cell>
          <cell r="N591" t="str">
            <v>425.67</v>
          </cell>
          <cell r="O591" t="str">
            <v>15.079531</v>
          </cell>
          <cell r="P591" t="str">
            <v>108.783874</v>
          </cell>
          <cell r="Q591" t="str">
            <v>21.46</v>
          </cell>
          <cell r="R591" t="str">
            <v>15.043846</v>
          </cell>
          <cell r="S591" t="str">
            <v>108.776487</v>
          </cell>
          <cell r="T591" t="str">
            <v>full_h04/Quảng Ngãi/Quảng Ngãi Cấp III - IV/Quảng Ngãi Cấp IV/Cấp 4 Ring 12/Nghĩa Hành - Nghĩa Lộ/Trụ trung thế 1</v>
          </cell>
          <cell r="U591">
            <v>447.13</v>
          </cell>
        </row>
        <row r="592">
          <cell r="L592" t="str">
            <v>Nghĩa Hành - Nghĩa Lộ</v>
          </cell>
          <cell r="M592" t="str">
            <v>1836.28</v>
          </cell>
          <cell r="N592" t="str">
            <v>1814.82</v>
          </cell>
          <cell r="O592" t="str">
            <v>15.105012</v>
          </cell>
          <cell r="P592" t="str">
            <v>108.763044</v>
          </cell>
          <cell r="Q592" t="str">
            <v>21.46</v>
          </cell>
          <cell r="R592" t="str">
            <v>15.043846</v>
          </cell>
          <cell r="S592" t="str">
            <v>108.776487</v>
          </cell>
          <cell r="T592" t="str">
            <v>full_h04/Quảng Ngãi/Quảng Ngãi Cấp III - IV/Quảng Ngãi Cấp IV/Cấp 4 Ring 12/Nghĩa Hành - Nghĩa Lộ/Trụ trung thế 1</v>
          </cell>
          <cell r="U592">
            <v>1836.28</v>
          </cell>
        </row>
        <row r="593">
          <cell r="L593" t="str">
            <v>Nghĩa Hành - Nghĩa Lộ</v>
          </cell>
          <cell r="M593" t="str">
            <v>4686.51</v>
          </cell>
          <cell r="N593" t="str">
            <v>4665.05</v>
          </cell>
          <cell r="O593" t="str">
            <v>15.105012</v>
          </cell>
          <cell r="P593" t="str">
            <v>108.763044</v>
          </cell>
          <cell r="Q593" t="str">
            <v>21.46</v>
          </cell>
          <cell r="R593" t="str">
            <v>15.043846</v>
          </cell>
          <cell r="S593" t="str">
            <v>108.776487</v>
          </cell>
          <cell r="T593" t="str">
            <v>full_h04/Quảng Ngãi/Quảng Ngãi Cấp III - IV/Quảng Ngãi Cấp IV/Cấp 4 Ring 12/Nghĩa Hành - Nghĩa Lộ/Trụ trung thế 1</v>
          </cell>
          <cell r="U593">
            <v>4686.51</v>
          </cell>
        </row>
        <row r="594">
          <cell r="L594" t="str">
            <v>Nghĩa Hành - Nghĩa Lộ</v>
          </cell>
          <cell r="M594" t="str">
            <v>1608.16</v>
          </cell>
          <cell r="N594" t="str">
            <v>1586.70</v>
          </cell>
          <cell r="O594" t="str">
            <v>15.056607</v>
          </cell>
          <cell r="P594" t="str">
            <v>108.777170</v>
          </cell>
          <cell r="Q594" t="str">
            <v>21.46</v>
          </cell>
          <cell r="R594" t="str">
            <v>15.043846</v>
          </cell>
          <cell r="S594" t="str">
            <v>108.776487</v>
          </cell>
          <cell r="T594" t="str">
            <v>full_h04/Quảng Ngãi/Quảng Ngãi Cấp III - IV/Quảng Ngãi Cấp IV/Cấp 4 Ring 12/Nghĩa Hành - Nghĩa Lộ/Trụ trung thế 1</v>
          </cell>
          <cell r="U594">
            <v>1608.16</v>
          </cell>
        </row>
        <row r="595">
          <cell r="L595" t="str">
            <v>TT1 Quảng Ngãi - Minh Long</v>
          </cell>
          <cell r="M595" t="str">
            <v>3430.77</v>
          </cell>
          <cell r="N595" t="str">
            <v>3230.52</v>
          </cell>
          <cell r="O595" t="str">
            <v>15.030418</v>
          </cell>
          <cell r="P595" t="str">
            <v>108.775809</v>
          </cell>
          <cell r="Q595" t="str">
            <v>200.25</v>
          </cell>
          <cell r="R595" t="str">
            <v>15.044577</v>
          </cell>
          <cell r="S595" t="str">
            <v>108.774884</v>
          </cell>
          <cell r="T595" t="str">
            <v>full_h04/Quảng Ngãi/Quảng Ngãi Cấp III - IV/Quảng Ngãi Cấp III/Cấp 3- Ring 2/TT1 Quảng Ngãi - Minh Long/trung thế 2</v>
          </cell>
          <cell r="U595">
            <v>3430.77</v>
          </cell>
        </row>
        <row r="596">
          <cell r="L596" t="str">
            <v>TT1 Quảng Ngãi - Minh Long</v>
          </cell>
          <cell r="M596" t="str">
            <v>5623.29</v>
          </cell>
          <cell r="N596" t="str">
            <v>200.25</v>
          </cell>
          <cell r="O596" t="str">
            <v>15.044577</v>
          </cell>
          <cell r="P596" t="str">
            <v>108.774884</v>
          </cell>
          <cell r="Q596" t="str">
            <v>5423.04</v>
          </cell>
          <cell r="R596" t="str">
            <v>15.023048</v>
          </cell>
          <cell r="S596" t="str">
            <v>108.809173</v>
          </cell>
          <cell r="T596" t="str">
            <v>full_h04/Quảng Ngãi/Quảng Ngãi Cấp III - IV/Quảng Ngãi Cấp III/Cấp 3- Ring 2/TT1 Quảng Ngãi - Minh Long/trung thế 2</v>
          </cell>
          <cell r="U596">
            <v>5623.29</v>
          </cell>
        </row>
        <row r="597">
          <cell r="L597" t="str">
            <v>Đình Cương - Nghĩa Hành</v>
          </cell>
          <cell r="M597" t="str">
            <v>55.33</v>
          </cell>
          <cell r="N597" t="str">
            <v>1.47</v>
          </cell>
          <cell r="O597" t="str">
            <v>15.043957</v>
          </cell>
          <cell r="P597" t="str">
            <v>108.776638</v>
          </cell>
          <cell r="Q597" t="str">
            <v>53.87</v>
          </cell>
          <cell r="R597" t="str">
            <v>15.043850</v>
          </cell>
          <cell r="S597" t="str">
            <v>108.776494</v>
          </cell>
          <cell r="T597" t="str">
            <v>full_h04/Quảng Ngãi/Quảng Ngãi Cấp III - IV/Quảng Ngãi Cấp IV/Cấp 4 Ring 12/Đình Cương - Nghĩa Hành/trồng mới 2</v>
          </cell>
          <cell r="U597">
            <v>55.33</v>
          </cell>
        </row>
        <row r="598">
          <cell r="L598" t="str">
            <v>TT1 Quảng Ngãi - Minh Long</v>
          </cell>
          <cell r="M598" t="str">
            <v>1302.25</v>
          </cell>
          <cell r="N598" t="str">
            <v>200.25</v>
          </cell>
          <cell r="O598" t="str">
            <v>15.044577</v>
          </cell>
          <cell r="P598" t="str">
            <v>108.774884</v>
          </cell>
          <cell r="Q598" t="str">
            <v>1101.99</v>
          </cell>
          <cell r="R598" t="str">
            <v>15.023507</v>
          </cell>
          <cell r="S598" t="str">
            <v>108.777184</v>
          </cell>
          <cell r="T598" t="str">
            <v>full_h04/Quảng Ngãi/Quảng Ngãi Cấp III - IV/Quảng Ngãi Cấp III/Cấp 3- Ring 2/TT1 Quảng Ngãi - Minh Long/trung thế 2</v>
          </cell>
          <cell r="U598">
            <v>1302.25</v>
          </cell>
        </row>
        <row r="599">
          <cell r="L599" t="str">
            <v>Nghĩa Hành - Nghĩa Lộ</v>
          </cell>
          <cell r="M599" t="str">
            <v>239.17</v>
          </cell>
          <cell r="N599" t="str">
            <v>21.46</v>
          </cell>
          <cell r="O599" t="str">
            <v>15.043846</v>
          </cell>
          <cell r="P599" t="str">
            <v>108.776487</v>
          </cell>
          <cell r="Q599" t="str">
            <v>217.71</v>
          </cell>
          <cell r="R599" t="str">
            <v>15.057552</v>
          </cell>
          <cell r="S599" t="str">
            <v>108.777463</v>
          </cell>
          <cell r="T599" t="str">
            <v>full_h04/Quảng Ngãi/Quảng Ngãi Cấp III - IV/Quảng Ngãi Cấp IV/Cấp 4 Ring 12/Nghĩa Hành - Nghĩa Lộ/Trụ trung thế 1</v>
          </cell>
          <cell r="U599">
            <v>239.17</v>
          </cell>
        </row>
        <row r="600">
          <cell r="L600" t="str">
            <v>Nghĩa Hành - Nghĩa Lộ</v>
          </cell>
          <cell r="M600" t="str">
            <v>1301.59</v>
          </cell>
          <cell r="N600" t="str">
            <v>21.46</v>
          </cell>
          <cell r="O600" t="str">
            <v>15.043846</v>
          </cell>
          <cell r="P600" t="str">
            <v>108.776487</v>
          </cell>
          <cell r="Q600" t="str">
            <v>1280.13</v>
          </cell>
          <cell r="R600" t="str">
            <v>15.044572</v>
          </cell>
          <cell r="S600" t="str">
            <v>108.774948</v>
          </cell>
          <cell r="T600" t="str">
            <v>full_h04/Quảng Ngãi/Quảng Ngãi Cấp III - IV/Quảng Ngãi Cấp IV/Cấp 4 Ring 12/Nghĩa Hành - Nghĩa Lộ/Trụ trung thế 1</v>
          </cell>
          <cell r="U600">
            <v>1301.5899999999999</v>
          </cell>
        </row>
        <row r="601">
          <cell r="L601" t="str">
            <v>Quảng Ngãi - Ring 1_CAH Bình Sơn - Vạn Tường</v>
          </cell>
          <cell r="M601" t="str">
            <v>2839.20</v>
          </cell>
          <cell r="N601" t="str">
            <v>47.26</v>
          </cell>
          <cell r="O601" t="str">
            <v>15.297487</v>
          </cell>
          <cell r="P601" t="str">
            <v>108.761878</v>
          </cell>
          <cell r="Q601" t="str">
            <v>2791.94</v>
          </cell>
          <cell r="R601" t="str">
            <v>15.324786</v>
          </cell>
          <cell r="S601" t="str">
            <v>108.813141</v>
          </cell>
          <cell r="T601" t="str">
            <v>full_h04/Quảng Ngãi/Quảng Ngãi Cấp III - IV/Quảng Ngãi Cấp IV/Cấp 4 Ring 1/Quảng Ngãi - Ring 1_CAH Bình Sơn - Vạn Tường.kmz/Quảng Ngãi - Ring 1_CAH Bình Sơn - Vạn Tường/ĐL TT_1</v>
          </cell>
          <cell r="U601">
            <v>2839.2</v>
          </cell>
        </row>
        <row r="602">
          <cell r="L602" t="str">
            <v>Quảng Ngãi - Ring 1_CAH Bình Sơn - Vạn Tường</v>
          </cell>
          <cell r="M602" t="str">
            <v>2217.81</v>
          </cell>
          <cell r="N602" t="str">
            <v>47.26</v>
          </cell>
          <cell r="O602" t="str">
            <v>15.297487</v>
          </cell>
          <cell r="P602" t="str">
            <v>108.761878</v>
          </cell>
          <cell r="Q602" t="str">
            <v>2170.55</v>
          </cell>
          <cell r="R602" t="str">
            <v>15.306986</v>
          </cell>
          <cell r="S602" t="str">
            <v>108.780300</v>
          </cell>
          <cell r="T602" t="str">
            <v>full_h04/Quảng Ngãi/Quảng Ngãi Cấp III - IV/Quảng Ngãi Cấp IV/Cấp 4 Ring 1/Quảng Ngãi - Ring 1_CAH Bình Sơn - Vạn Tường.kmz/Quảng Ngãi - Ring 1_CAH Bình Sơn - Vạn Tường/ĐL TT_1</v>
          </cell>
          <cell r="U602">
            <v>2217.81</v>
          </cell>
        </row>
        <row r="603">
          <cell r="L603" t="str">
            <v>Quảng Ngãi - Ring 1_CAH Bình Sơn - Vạn Tường</v>
          </cell>
          <cell r="M603" t="str">
            <v>2344.83</v>
          </cell>
          <cell r="N603" t="str">
            <v>47.26</v>
          </cell>
          <cell r="O603" t="str">
            <v>15.297487</v>
          </cell>
          <cell r="P603" t="str">
            <v>108.761878</v>
          </cell>
          <cell r="Q603" t="str">
            <v>2297.57</v>
          </cell>
          <cell r="R603" t="str">
            <v>15.309248</v>
          </cell>
          <cell r="S603" t="str">
            <v>108.785146</v>
          </cell>
          <cell r="T603" t="str">
            <v>full_h04/Quảng Ngãi/Quảng Ngãi Cấp III - IV/Quảng Ngãi Cấp IV/Cấp 4 Ring 1/Quảng Ngãi - Ring 1_CAH Bình Sơn - Vạn Tường.kmz/Quảng Ngãi - Ring 1_CAH Bình Sơn - Vạn Tường/ĐL TT_1</v>
          </cell>
          <cell r="U603">
            <v>2344.83</v>
          </cell>
        </row>
        <row r="604">
          <cell r="L604" t="str">
            <v>TTCMKV Bình Sơn - Bình Sơn</v>
          </cell>
          <cell r="M604" t="str">
            <v>1201.71</v>
          </cell>
          <cell r="N604" t="str">
            <v>61.38</v>
          </cell>
          <cell r="O604" t="str">
            <v>15.297667</v>
          </cell>
          <cell r="P604" t="str">
            <v>108.762175</v>
          </cell>
          <cell r="Q604" t="str">
            <v>1140.34</v>
          </cell>
          <cell r="R604" t="str">
            <v>15.301571</v>
          </cell>
          <cell r="S604" t="str">
            <v>108.757585</v>
          </cell>
          <cell r="T604" t="str">
            <v>full_h04/Quảng Ngãi/Quảng Ngãi Cấp III - IV/Quảng Ngãi Cấp IV/Cấp 4 Ring 3/TTCMKV Bình Sơn - Bình Sơn/ĐL HT_1</v>
          </cell>
          <cell r="U604">
            <v>1201.71</v>
          </cell>
        </row>
        <row r="605">
          <cell r="L605" t="str">
            <v>TTCMKV Bình Sơn - Bình Sơn</v>
          </cell>
          <cell r="M605" t="str">
            <v>657.54</v>
          </cell>
          <cell r="N605" t="str">
            <v>61.38</v>
          </cell>
          <cell r="O605" t="str">
            <v>15.297667</v>
          </cell>
          <cell r="P605" t="str">
            <v>108.762175</v>
          </cell>
          <cell r="Q605" t="str">
            <v>596.16</v>
          </cell>
          <cell r="R605" t="str">
            <v>15.301571</v>
          </cell>
          <cell r="S605" t="str">
            <v>108.757585</v>
          </cell>
          <cell r="T605" t="str">
            <v>full_h04/Quảng Ngãi/Quảng Ngãi Cấp III - IV/Quảng Ngãi Cấp IV/Cấp 4 Ring 3/TTCMKV Bình Sơn - Bình Sơn/ĐL HT_1</v>
          </cell>
          <cell r="U605">
            <v>657.54</v>
          </cell>
        </row>
        <row r="606">
          <cell r="L606" t="str">
            <v>Quảng Ngãi - Ring 1_CAH Bình Sơn - Vạn Tường</v>
          </cell>
          <cell r="M606" t="str">
            <v>62.36</v>
          </cell>
          <cell r="N606" t="str">
            <v>47.26</v>
          </cell>
          <cell r="O606" t="str">
            <v>15.297487</v>
          </cell>
          <cell r="P606" t="str">
            <v>108.761878</v>
          </cell>
          <cell r="Q606" t="str">
            <v>15.10</v>
          </cell>
          <cell r="R606" t="str">
            <v>15.336200</v>
          </cell>
          <cell r="S606" t="str">
            <v>108.841576</v>
          </cell>
          <cell r="T606" t="str">
            <v>full_h04/Quảng Ngãi/Quảng Ngãi Cấp III - IV/Quảng Ngãi Cấp IV/Cấp 4 Ring 1/Quảng Ngãi - Ring 1_CAH Bình Sơn - Vạn Tường.kmz/Quảng Ngãi - Ring 1_CAH Bình Sơn - Vạn Tường/ĐL TT_1</v>
          </cell>
          <cell r="U606">
            <v>62.36</v>
          </cell>
        </row>
        <row r="607">
          <cell r="L607" t="str">
            <v>Quảng Ngãi - Ring 1_CAH Bình Sơn - Vạn Tường</v>
          </cell>
          <cell r="M607" t="str">
            <v>2839.20</v>
          </cell>
          <cell r="N607" t="str">
            <v>47.26</v>
          </cell>
          <cell r="O607" t="str">
            <v>15.297487</v>
          </cell>
          <cell r="P607" t="str">
            <v>108.761878</v>
          </cell>
          <cell r="Q607" t="str">
            <v>2791.94</v>
          </cell>
          <cell r="R607" t="str">
            <v>15.324786</v>
          </cell>
          <cell r="S607" t="str">
            <v>108.813141</v>
          </cell>
          <cell r="T607" t="str">
            <v>full_h04/Quảng Ngãi/Quảng Ngãi Cấp III - IV/Quảng Ngãi Cấp IV/Cấp 4 Ring 1/Quảng Ngãi - Ring 1_CAH Bình Sơn - Vạn Tường.kmz/Quảng Ngãi - Ring 1_CAH Bình Sơn - Vạn Tường/ĐL TT_1</v>
          </cell>
          <cell r="U607">
            <v>2839.2</v>
          </cell>
        </row>
        <row r="608">
          <cell r="L608" t="str">
            <v>Bình Sơn - TT1 Quảng Ngãi</v>
          </cell>
          <cell r="M608" t="str">
            <v>2455.37</v>
          </cell>
          <cell r="N608" t="str">
            <v>2075.35</v>
          </cell>
          <cell r="O608" t="str">
            <v>15.219080</v>
          </cell>
          <cell r="P608" t="str">
            <v>108.787367</v>
          </cell>
          <cell r="Q608" t="str">
            <v>380.02</v>
          </cell>
          <cell r="R608" t="str">
            <v>15.294290</v>
          </cell>
          <cell r="S608" t="str">
            <v>108.764086</v>
          </cell>
          <cell r="T608" t="str">
            <v>full_h04/Quảng Ngãi/Quảng Ngãi Cấp III - IV/Quảng Ngãi Cấp III/Cấp 3 - Ring 1/Bình Sơn - TT1 Quảng Ngãi/trung thế 2</v>
          </cell>
          <cell r="U608">
            <v>2455.37</v>
          </cell>
        </row>
        <row r="609">
          <cell r="L609" t="str">
            <v>Trà Bồng - Bình Sơn</v>
          </cell>
          <cell r="M609" t="str">
            <v>259.84</v>
          </cell>
          <cell r="N609" t="str">
            <v>216.30</v>
          </cell>
          <cell r="O609" t="str">
            <v>15.274777</v>
          </cell>
          <cell r="P609" t="str">
            <v>108.720617</v>
          </cell>
          <cell r="Q609" t="str">
            <v>43.54</v>
          </cell>
          <cell r="R609" t="str">
            <v>15.297448</v>
          </cell>
          <cell r="S609" t="str">
            <v>108.761879</v>
          </cell>
          <cell r="T609" t="str">
            <v>full_h04/Quảng Ngãi/Quảng Ngãi Cấp III - IV/Quảng Ngãi Cấp III/Cấp 3 - Ring 1/Trà Bồng - Bình Sơn/trung thế 1</v>
          </cell>
          <cell r="U609">
            <v>259.83999999999997</v>
          </cell>
        </row>
        <row r="610">
          <cell r="L610" t="str">
            <v>Trà Bồng - Bình Sơn</v>
          </cell>
          <cell r="M610" t="str">
            <v>419.88</v>
          </cell>
          <cell r="N610" t="str">
            <v>376.34</v>
          </cell>
          <cell r="O610" t="str">
            <v>15.281186</v>
          </cell>
          <cell r="P610" t="str">
            <v>108.739684</v>
          </cell>
          <cell r="Q610" t="str">
            <v>43.54</v>
          </cell>
          <cell r="R610" t="str">
            <v>15.297448</v>
          </cell>
          <cell r="S610" t="str">
            <v>108.761879</v>
          </cell>
          <cell r="T610" t="str">
            <v>full_h04/Quảng Ngãi/Quảng Ngãi Cấp III - IV/Quảng Ngãi Cấp III/Cấp 3 - Ring 1/Trà Bồng - Bình Sơn/trung thế 1</v>
          </cell>
          <cell r="U610">
            <v>419.88</v>
          </cell>
        </row>
        <row r="611">
          <cell r="L611" t="str">
            <v>Bình Sơn - Thọ Phong</v>
          </cell>
          <cell r="M611" t="str">
            <v>676.53</v>
          </cell>
          <cell r="N611" t="str">
            <v>337.48</v>
          </cell>
          <cell r="O611" t="str">
            <v>15.275721</v>
          </cell>
          <cell r="P611" t="str">
            <v>108.773759</v>
          </cell>
          <cell r="Q611" t="str">
            <v>339.06</v>
          </cell>
          <cell r="R611" t="str">
            <v>15.294823</v>
          </cell>
          <cell r="S611" t="str">
            <v>108.760021</v>
          </cell>
          <cell r="T611" t="str">
            <v>full_h04/Quảng Ngãi/Quảng Ngãi Cấp III - IV/Quảng Ngãi Cấp IV/Cấp 4 Ring 3/Bình Sơn - Thọ Phong/ĐL TT_1</v>
          </cell>
          <cell r="U611">
            <v>676.53</v>
          </cell>
        </row>
        <row r="612">
          <cell r="L612" t="str">
            <v>Trà Bồng - Bình Sơn</v>
          </cell>
          <cell r="M612" t="str">
            <v>565.66</v>
          </cell>
          <cell r="N612" t="str">
            <v>522.11</v>
          </cell>
          <cell r="O612" t="str">
            <v>15.298811</v>
          </cell>
          <cell r="P612" t="str">
            <v>108.763128</v>
          </cell>
          <cell r="Q612" t="str">
            <v>43.54</v>
          </cell>
          <cell r="R612" t="str">
            <v>15.297448</v>
          </cell>
          <cell r="S612" t="str">
            <v>108.761879</v>
          </cell>
          <cell r="T612" t="str">
            <v>full_h04/Quảng Ngãi/Quảng Ngãi Cấp III - IV/Quảng Ngãi Cấp III/Cấp 3 - Ring 1/Trà Bồng - Bình Sơn/trung thế 1</v>
          </cell>
          <cell r="U612">
            <v>565.66</v>
          </cell>
        </row>
        <row r="613">
          <cell r="L613" t="str">
            <v>Trà Bồng - Bình Sơn</v>
          </cell>
          <cell r="M613" t="str">
            <v>214.98</v>
          </cell>
          <cell r="N613" t="str">
            <v>171.44</v>
          </cell>
          <cell r="O613" t="str">
            <v>15.291643</v>
          </cell>
          <cell r="P613" t="str">
            <v>108.757813</v>
          </cell>
          <cell r="Q613" t="str">
            <v>43.54</v>
          </cell>
          <cell r="R613" t="str">
            <v>15.297448</v>
          </cell>
          <cell r="S613" t="str">
            <v>108.761879</v>
          </cell>
          <cell r="T613" t="str">
            <v>full_h04/Quảng Ngãi/Quảng Ngãi Cấp III - IV/Quảng Ngãi Cấp III/Cấp 3 - Ring 1/Trà Bồng - Bình Sơn/trung thế 1</v>
          </cell>
          <cell r="U613">
            <v>214.98</v>
          </cell>
        </row>
        <row r="614">
          <cell r="L614" t="str">
            <v>Đức Phổ - TT1 Quảng Ngãi mới</v>
          </cell>
          <cell r="M614" t="str">
            <v>2588.46</v>
          </cell>
          <cell r="N614" t="str">
            <v>2242.49</v>
          </cell>
          <cell r="O614" t="str">
            <v>15.117129</v>
          </cell>
          <cell r="P614" t="str">
            <v>108.824773</v>
          </cell>
          <cell r="Q614" t="str">
            <v>345.97</v>
          </cell>
          <cell r="R614" t="str">
            <v>15.084956</v>
          </cell>
          <cell r="S614" t="str">
            <v>108.829359</v>
          </cell>
          <cell r="T614" t="str">
            <v>full_h04/Quảng Ngãi/Quảng Ngãi Cấp III - IV/Quảng Ngãi Cấp III/Cấp 3- Ring 2/Đức Phổ - TT1 Quảng Ngãi mới/trung thế 2</v>
          </cell>
          <cell r="U614">
            <v>2588.46</v>
          </cell>
        </row>
        <row r="615">
          <cell r="L615" t="str">
            <v>Vệ Giang - Cẩm Thành</v>
          </cell>
          <cell r="M615" t="str">
            <v>537.49</v>
          </cell>
          <cell r="N615" t="str">
            <v>192.46</v>
          </cell>
          <cell r="O615" t="str">
            <v>15.078923</v>
          </cell>
          <cell r="P615" t="str">
            <v>108.832810</v>
          </cell>
          <cell r="Q615" t="str">
            <v>345.03</v>
          </cell>
          <cell r="R615" t="str">
            <v>15.085029</v>
          </cell>
          <cell r="S615" t="str">
            <v>108.829308</v>
          </cell>
          <cell r="T615" t="str">
            <v>full_h04/Quảng Ngãi/Quảng Ngãi Cấp III - IV/Quảng Ngãi Cấp IV/Cấp 4 Ring 16/Vệ Giang - Cẩm Thành/Trụ trung thế 2</v>
          </cell>
          <cell r="U615">
            <v>537.49</v>
          </cell>
        </row>
        <row r="616">
          <cell r="L616" t="str">
            <v>Cơ sở cai nghiện (X. Nghĩa Kỳ, H. Tư Nghĩa) - TTCMKV Tư Nghĩa</v>
          </cell>
          <cell r="M616" t="str">
            <v>369.01</v>
          </cell>
          <cell r="N616" t="str">
            <v>321.62</v>
          </cell>
          <cell r="O616" t="str">
            <v>15.088100</v>
          </cell>
          <cell r="P616" t="str">
            <v>108.821113</v>
          </cell>
          <cell r="Q616" t="str">
            <v>47.39</v>
          </cell>
          <cell r="R616" t="str">
            <v>15.083940</v>
          </cell>
          <cell r="S616" t="str">
            <v>108.826428</v>
          </cell>
          <cell r="T616" t="str">
            <v>full_h04/Quảng Ngãi/Quảng Ngãi Cấp III - IV/Quảng Ngãi Cấp III/Phòng - Ring 4/Cơ sở cai nghiện (X. Nghĩa Kỳ, H. Tư Nghĩa) - TTCMKV Tư Nghĩa/trung thế 1</v>
          </cell>
          <cell r="U616">
            <v>369.01</v>
          </cell>
        </row>
        <row r="617">
          <cell r="L617" t="str">
            <v>Long Phụng - Tư Nghĩa</v>
          </cell>
          <cell r="M617" t="str">
            <v>380.61</v>
          </cell>
          <cell r="N617" t="str">
            <v>104.88</v>
          </cell>
          <cell r="O617" t="str">
            <v>15.058428</v>
          </cell>
          <cell r="P617" t="str">
            <v>108.842528</v>
          </cell>
          <cell r="Q617" t="str">
            <v>275.73</v>
          </cell>
          <cell r="R617" t="str">
            <v>15.081044</v>
          </cell>
          <cell r="S617" t="str">
            <v>108.826357</v>
          </cell>
          <cell r="T617" t="str">
            <v>full_h04/Quảng Ngãi/Quảng Ngãi Cấp III - IV/Quảng Ngãi Cấp IV/Cấp 4 Ring17/Long Phụng - Tư Nghĩa/Trụ trung thế 2</v>
          </cell>
          <cell r="U617">
            <v>380.61</v>
          </cell>
        </row>
        <row r="618">
          <cell r="L618" t="str">
            <v>Cơ sở cai nghiện (X. Nghĩa Kỳ, H. Tư Nghĩa) - TTCMKV Tư Nghĩa</v>
          </cell>
          <cell r="M618" t="str">
            <v>2770.12</v>
          </cell>
          <cell r="N618" t="str">
            <v>47.39</v>
          </cell>
          <cell r="O618" t="str">
            <v>15.083940</v>
          </cell>
          <cell r="P618" t="str">
            <v>108.826428</v>
          </cell>
          <cell r="Q618" t="str">
            <v>2722.73</v>
          </cell>
          <cell r="R618" t="str">
            <v>15.109165</v>
          </cell>
          <cell r="S618" t="str">
            <v>108.789150</v>
          </cell>
          <cell r="T618" t="str">
            <v>full_h04/Quảng Ngãi/Quảng Ngãi Cấp III - IV/Quảng Ngãi Cấp III/Phòng - Ring 4/Cơ sở cai nghiện (X. Nghĩa Kỳ, H. Tư Nghĩa) - TTCMKV Tư Nghĩa/trung thế 1</v>
          </cell>
          <cell r="U618">
            <v>2770.12</v>
          </cell>
        </row>
        <row r="619">
          <cell r="L619" t="str">
            <v>Quảng Ngãi - Ring 1_Vạn Tường - Đông Sơn</v>
          </cell>
          <cell r="M619" t="str">
            <v>312.98</v>
          </cell>
          <cell r="N619" t="str">
            <v>78.48</v>
          </cell>
          <cell r="O619" t="str">
            <v>15.336315</v>
          </cell>
          <cell r="P619" t="str">
            <v>108.842180</v>
          </cell>
          <cell r="Q619" t="str">
            <v>234.50</v>
          </cell>
          <cell r="R619" t="str">
            <v>15.325720</v>
          </cell>
          <cell r="S619" t="str">
            <v>108.859756</v>
          </cell>
          <cell r="T619" t="str">
            <v>full_h04/Quảng Ngãi/Quảng Ngãi Cấp III - IV/Quảng Ngãi Cấp IV/Cấp 4 Ring 1/Quảng Ngãi - Ring 1_Vạn Tường - Đông Sơn.kmz/Quảng Ngãi - Ring 1_Vạn Tường - Đông Sơn/ĐL TT_1</v>
          </cell>
          <cell r="U619">
            <v>312.98</v>
          </cell>
        </row>
        <row r="620">
          <cell r="L620" t="str">
            <v>K02 (D3</v>
          </cell>
          <cell r="M620" t="str">
            <v>66.65</v>
          </cell>
          <cell r="N620" t="str">
            <v>41.49</v>
          </cell>
          <cell r="O620" t="str">
            <v>15.336204</v>
          </cell>
          <cell r="P620" t="str">
            <v>108.841223</v>
          </cell>
          <cell r="Q620" t="str">
            <v>25.16</v>
          </cell>
          <cell r="R620" t="str">
            <v>15.336204</v>
          </cell>
          <cell r="S620" t="str">
            <v>108.841223</v>
          </cell>
          <cell r="T620" t="str">
            <v>full_h04/Quảng Ngãi/Quảng Ngãi Cấp III - IV/Quảng Ngãi Cấp III/Phòng - Ring 2/K02 (D3/E23) - Đội CSGT Đường Thuỷ/K02 (D3/E23) - Đội CSGT Đường Thuỷ</v>
          </cell>
          <cell r="U620">
            <v>66.650000000000006</v>
          </cell>
        </row>
        <row r="621">
          <cell r="L621" t="str">
            <v>K02 (D3</v>
          </cell>
          <cell r="M621" t="str">
            <v>950.54</v>
          </cell>
          <cell r="N621" t="str">
            <v>925.38</v>
          </cell>
          <cell r="O621" t="str">
            <v>15.336482</v>
          </cell>
          <cell r="P621" t="str">
            <v>108.843392</v>
          </cell>
          <cell r="Q621" t="str">
            <v>25.16</v>
          </cell>
          <cell r="R621" t="str">
            <v>15.336204</v>
          </cell>
          <cell r="S621" t="str">
            <v>108.841223</v>
          </cell>
          <cell r="T621" t="str">
            <v>full_h04/Quảng Ngãi/Quảng Ngãi Cấp III - IV/Quảng Ngãi Cấp III/Phòng - Ring 2/K02 (D3/E23) - Đội CSGT Đường Thuỷ/K02 (D3/E23) - Đội CSGT Đường Thuỷ</v>
          </cell>
          <cell r="U621">
            <v>950.54</v>
          </cell>
        </row>
        <row r="622">
          <cell r="L622" t="str">
            <v>Quảng Ngãi - Ring 1_Vạn Tường - Đông Sơn</v>
          </cell>
          <cell r="M622" t="str">
            <v>747.00</v>
          </cell>
          <cell r="N622" t="str">
            <v>668.52</v>
          </cell>
          <cell r="O622" t="str">
            <v>15.334077</v>
          </cell>
          <cell r="P622" t="str">
            <v>108.862662</v>
          </cell>
          <cell r="Q622" t="str">
            <v>78.48</v>
          </cell>
          <cell r="R622" t="str">
            <v>15.336315</v>
          </cell>
          <cell r="S622" t="str">
            <v>108.842180</v>
          </cell>
          <cell r="T622" t="str">
            <v>full_h04/Quảng Ngãi/Quảng Ngãi Cấp III - IV/Quảng Ngãi Cấp IV/Cấp 4 Ring 1/Quảng Ngãi - Ring 1_Vạn Tường - Đông Sơn.kmz/Quảng Ngãi - Ring 1_Vạn Tường - Đông Sơn/ĐL TT_1</v>
          </cell>
          <cell r="U622">
            <v>747</v>
          </cell>
        </row>
        <row r="623">
          <cell r="L623" t="str">
            <v>Quảng Ngãi - Ring 1_Vạn Tường - Đông Sơn</v>
          </cell>
          <cell r="M623" t="str">
            <v>4050.85</v>
          </cell>
          <cell r="N623" t="str">
            <v>127.84</v>
          </cell>
          <cell r="O623" t="str">
            <v>15.228390</v>
          </cell>
          <cell r="P623" t="str">
            <v>108.847660</v>
          </cell>
          <cell r="Q623" t="str">
            <v>3923.01</v>
          </cell>
          <cell r="R623" t="str">
            <v>15.243731</v>
          </cell>
          <cell r="S623" t="str">
            <v>108.864482</v>
          </cell>
          <cell r="T623" t="str">
            <v>full_h04/Quảng Ngãi/Quảng Ngãi Cấp III - IV/Quảng Ngãi Cấp IV/Cấp 4 Ring 1/Quảng Ngãi - Ring 1_Vạn Tường - Đông Sơn.kmz/Quảng Ngãi - Ring 1_Vạn Tường - Đông Sơn/ĐL TT_1</v>
          </cell>
          <cell r="U623">
            <v>4050.85</v>
          </cell>
        </row>
        <row r="624">
          <cell r="L624" t="str">
            <v>Quảng Ngãi - Ring 1_Đông Sơn - Tịnh Khê</v>
          </cell>
          <cell r="M624" t="str">
            <v>4855.92</v>
          </cell>
          <cell r="N624" t="str">
            <v>4770.16</v>
          </cell>
          <cell r="O624" t="str">
            <v>15.197280</v>
          </cell>
          <cell r="P624" t="str">
            <v>108.834865</v>
          </cell>
          <cell r="Q624" t="str">
            <v>85.76</v>
          </cell>
          <cell r="R624" t="str">
            <v>15.227816</v>
          </cell>
          <cell r="S624" t="str">
            <v>108.846234</v>
          </cell>
          <cell r="T624" t="str">
            <v>full_h04/Quảng Ngãi/Quảng Ngãi Cấp III - IV/Quảng Ngãi Cấp IV/Cấp 4 Ring 1/Quảng Ngãi - Ring 1_Đông Sơn - Tịnh Khê.kmz/Quảng Ngãi - Ring 1_Đông Sơn - Tịnh Khê/ĐL TT_1</v>
          </cell>
          <cell r="U624">
            <v>4855.92</v>
          </cell>
        </row>
        <row r="625">
          <cell r="L625" t="str">
            <v>Quảng Ngãi - Ring 1_Vạn Tường - Đông Sơn</v>
          </cell>
          <cell r="M625" t="str">
            <v>1218.79</v>
          </cell>
          <cell r="N625" t="str">
            <v>1090.95</v>
          </cell>
          <cell r="O625" t="str">
            <v>15.239502</v>
          </cell>
          <cell r="P625" t="str">
            <v>108.857239</v>
          </cell>
          <cell r="Q625" t="str">
            <v>127.84</v>
          </cell>
          <cell r="R625" t="str">
            <v>15.228390</v>
          </cell>
          <cell r="S625" t="str">
            <v>108.847660</v>
          </cell>
          <cell r="T625" t="str">
            <v>full_h04/Quảng Ngãi/Quảng Ngãi Cấp III - IV/Quảng Ngãi Cấp IV/Cấp 4 Ring 1/Quảng Ngãi - Ring 1_Vạn Tường - Đông Sơn.kmz/Quảng Ngãi - Ring 1_Vạn Tường - Đông Sơn/ĐL TT_1</v>
          </cell>
          <cell r="U625">
            <v>1218.79</v>
          </cell>
        </row>
        <row r="626">
          <cell r="L626" t="str">
            <v>Quảng Ngãi - Ring 1_Vạn Tường - Đông Sơn</v>
          </cell>
          <cell r="M626" t="str">
            <v>2025.51</v>
          </cell>
          <cell r="N626" t="str">
            <v>1897.68</v>
          </cell>
          <cell r="O626" t="str">
            <v>15.239879</v>
          </cell>
          <cell r="P626" t="str">
            <v>108.858002</v>
          </cell>
          <cell r="Q626" t="str">
            <v>127.84</v>
          </cell>
          <cell r="R626" t="str">
            <v>15.228390</v>
          </cell>
          <cell r="S626" t="str">
            <v>108.847660</v>
          </cell>
          <cell r="T626" t="str">
            <v>full_h04/Quảng Ngãi/Quảng Ngãi Cấp III - IV/Quảng Ngãi Cấp IV/Cấp 4 Ring 1/Quảng Ngãi - Ring 1_Vạn Tường - Đông Sơn.kmz/Quảng Ngãi - Ring 1_Vạn Tường - Đông Sơn/ĐL TT_1</v>
          </cell>
          <cell r="U626">
            <v>2025.51</v>
          </cell>
        </row>
        <row r="627">
          <cell r="L627" t="str">
            <v>K02 (D3</v>
          </cell>
          <cell r="M627" t="str">
            <v>104.25</v>
          </cell>
          <cell r="N627" t="str">
            <v>91.23</v>
          </cell>
          <cell r="O627" t="str">
            <v>15.259275</v>
          </cell>
          <cell r="P627" t="str">
            <v>108.874608</v>
          </cell>
          <cell r="Q627" t="str">
            <v>13.03</v>
          </cell>
          <cell r="R627" t="str">
            <v>15.220718</v>
          </cell>
          <cell r="S627" t="str">
            <v>108.912846</v>
          </cell>
          <cell r="T627" t="str">
            <v>full_h04/Quảng Ngãi/Quảng Ngãi Cấp III - IV/Quảng Ngãi Cấp III/Phòng - Ring 2/K02 (D3/E23) - Đội CSGT Đường Thuỷ/K02 (D3/E23) - Đội CSGT Đường Thuỷ</v>
          </cell>
          <cell r="U627">
            <v>104.25</v>
          </cell>
        </row>
        <row r="628">
          <cell r="L628" t="str">
            <v>Đội CSGT Đường Thuỷ - PC08</v>
          </cell>
          <cell r="M628" t="str">
            <v>1734.08</v>
          </cell>
          <cell r="N628" t="str">
            <v>12.87</v>
          </cell>
          <cell r="O628" t="str">
            <v>15.220719</v>
          </cell>
          <cell r="P628" t="str">
            <v>108.912841</v>
          </cell>
          <cell r="Q628" t="str">
            <v>1721.22</v>
          </cell>
          <cell r="R628" t="str">
            <v>15.189964</v>
          </cell>
          <cell r="S628" t="str">
            <v>108.869676</v>
          </cell>
          <cell r="T628" t="str">
            <v>full_h04/Quảng Ngãi/Quảng Ngãi Cấp III - IV/Quảng Ngãi Cấp III/Phòng - Ring 2/Đội CSGT Đường Thuỷ - PC08/trung thế 1</v>
          </cell>
          <cell r="U628">
            <v>1734.08</v>
          </cell>
        </row>
        <row r="629">
          <cell r="L629" t="str">
            <v>K02 (D3</v>
          </cell>
          <cell r="M629" t="str">
            <v>333.34</v>
          </cell>
          <cell r="N629" t="str">
            <v>320.32</v>
          </cell>
          <cell r="O629" t="str">
            <v>15.241512</v>
          </cell>
          <cell r="P629" t="str">
            <v>108.900124</v>
          </cell>
          <cell r="Q629" t="str">
            <v>13.03</v>
          </cell>
          <cell r="R629" t="str">
            <v>15.220718</v>
          </cell>
          <cell r="S629" t="str">
            <v>108.912846</v>
          </cell>
          <cell r="T629" t="str">
            <v>full_h04/Quảng Ngãi/Quảng Ngãi Cấp III - IV/Quảng Ngãi Cấp III/Phòng - Ring 2/K02 (D3/E23) - Đội CSGT Đường Thuỷ/K02 (D3/E23) - Đội CSGT Đường Thuỷ</v>
          </cell>
          <cell r="U629">
            <v>333.34</v>
          </cell>
        </row>
        <row r="630">
          <cell r="L630" t="str">
            <v>Đội CSGT Đường Thuỷ - PC08</v>
          </cell>
          <cell r="M630" t="str">
            <v>70.31</v>
          </cell>
          <cell r="N630" t="str">
            <v>57.44</v>
          </cell>
          <cell r="O630" t="str">
            <v>15.219685</v>
          </cell>
          <cell r="P630" t="str">
            <v>108.899153</v>
          </cell>
          <cell r="Q630" t="str">
            <v>12.87</v>
          </cell>
          <cell r="R630" t="str">
            <v>15.220719</v>
          </cell>
          <cell r="S630" t="str">
            <v>108.912841</v>
          </cell>
          <cell r="T630" t="str">
            <v>full_h04/Quảng Ngãi/Quảng Ngãi Cấp III - IV/Quảng Ngãi Cấp III/Phòng - Ring 2/Đội CSGT Đường Thuỷ - PC08/trung thế 1</v>
          </cell>
          <cell r="U630">
            <v>70.31</v>
          </cell>
        </row>
        <row r="631">
          <cell r="L631" t="str">
            <v>K02 (D3</v>
          </cell>
          <cell r="M631" t="str">
            <v>1132.93</v>
          </cell>
          <cell r="N631" t="str">
            <v>1119.91</v>
          </cell>
          <cell r="O631" t="str">
            <v>15.232543</v>
          </cell>
          <cell r="P631" t="str">
            <v>108.920166</v>
          </cell>
          <cell r="Q631" t="str">
            <v>13.03</v>
          </cell>
          <cell r="R631" t="str">
            <v>15.220718</v>
          </cell>
          <cell r="S631" t="str">
            <v>108.912846</v>
          </cell>
          <cell r="T631" t="str">
            <v>full_h04/Quảng Ngãi/Quảng Ngãi Cấp III - IV/Quảng Ngãi Cấp III/Phòng - Ring 2/K02 (D3/E23) - Đội CSGT Đường Thuỷ/K02 (D3/E23) - Đội CSGT Đường Thuỷ</v>
          </cell>
          <cell r="U631">
            <v>1132.93</v>
          </cell>
        </row>
        <row r="632">
          <cell r="L632" t="str">
            <v>K02 (D3</v>
          </cell>
          <cell r="M632" t="str">
            <v>1028.31</v>
          </cell>
          <cell r="N632" t="str">
            <v>1015.28</v>
          </cell>
          <cell r="O632" t="str">
            <v>15.230960</v>
          </cell>
          <cell r="P632" t="str">
            <v>108.924206</v>
          </cell>
          <cell r="Q632" t="str">
            <v>13.03</v>
          </cell>
          <cell r="R632" t="str">
            <v>15.220718</v>
          </cell>
          <cell r="S632" t="str">
            <v>108.912846</v>
          </cell>
          <cell r="T632" t="str">
            <v>full_h04/Quảng Ngãi/Quảng Ngãi Cấp III - IV/Quảng Ngãi Cấp III/Phòng - Ring 2/K02 (D3/E23) - Đội CSGT Đường Thuỷ/K02 (D3/E23) - Đội CSGT Đường Thuỷ</v>
          </cell>
          <cell r="U632">
            <v>1028.31</v>
          </cell>
        </row>
        <row r="633">
          <cell r="L633" t="str">
            <v>K02 (D3</v>
          </cell>
          <cell r="M633" t="str">
            <v>235.23</v>
          </cell>
          <cell r="N633" t="str">
            <v>13.03</v>
          </cell>
          <cell r="O633" t="str">
            <v>15.220718</v>
          </cell>
          <cell r="P633" t="str">
            <v>108.912846</v>
          </cell>
          <cell r="Q633" t="str">
            <v>222.20</v>
          </cell>
          <cell r="R633" t="str">
            <v>15.219538</v>
          </cell>
          <cell r="S633" t="str">
            <v>108.915858</v>
          </cell>
          <cell r="T633" t="str">
            <v>full_h04/Quảng Ngãi/Quảng Ngãi Cấp III - IV/Quảng Ngãi Cấp III/Phòng - Ring 2/K02 (D3/E23) - Đội CSGT Đường Thuỷ/K02 (D3/E23) - Đội CSGT Đường Thuỷ</v>
          </cell>
          <cell r="U633">
            <v>235.23</v>
          </cell>
        </row>
        <row r="634">
          <cell r="L634" t="str">
            <v>TTCMKV Bình Sơn - Đông Trà Bồng</v>
          </cell>
          <cell r="M634" t="str">
            <v>480.51</v>
          </cell>
          <cell r="N634" t="str">
            <v>274.22</v>
          </cell>
          <cell r="O634" t="str">
            <v>15.260039</v>
          </cell>
          <cell r="P634" t="str">
            <v>108.676447</v>
          </cell>
          <cell r="Q634" t="str">
            <v>206.29</v>
          </cell>
          <cell r="R634" t="str">
            <v>15.274650</v>
          </cell>
          <cell r="S634" t="str">
            <v>108.720556</v>
          </cell>
          <cell r="T634" t="str">
            <v>full_h04/Quảng Ngãi/Quảng Ngãi Cấp III - IV/Quảng Ngãi Cấp IV/Cấp 4 Ring4/TTCMKV Bình Sơn - Đông Trà Bồng/trung thế 2</v>
          </cell>
          <cell r="U634">
            <v>480.51</v>
          </cell>
        </row>
        <row r="635">
          <cell r="L635" t="str">
            <v>Bình Minh - Bình Chương</v>
          </cell>
          <cell r="M635" t="str">
            <v>264.32</v>
          </cell>
          <cell r="N635" t="str">
            <v>256.81</v>
          </cell>
          <cell r="O635" t="str">
            <v>15.273688</v>
          </cell>
          <cell r="P635" t="str">
            <v>108.724241</v>
          </cell>
          <cell r="Q635" t="str">
            <v>7.51</v>
          </cell>
          <cell r="R635" t="str">
            <v>15.272958</v>
          </cell>
          <cell r="S635" t="str">
            <v>108.721472</v>
          </cell>
          <cell r="T635" t="str">
            <v>full_h04/Quảng Ngãi/Quảng Ngãi Cấp III - IV/Quảng Ngãi Cấp IV/Cấp 4 Ring 2/Bình Minh - Bình Chương/trồng mới 2</v>
          </cell>
          <cell r="U635">
            <v>264.32</v>
          </cell>
        </row>
        <row r="636">
          <cell r="L636" t="str">
            <v>Bình Chương - Sơn Tịnh</v>
          </cell>
          <cell r="M636" t="str">
            <v>406.43</v>
          </cell>
          <cell r="N636" t="str">
            <v>373.56</v>
          </cell>
          <cell r="O636" t="str">
            <v>15.254826</v>
          </cell>
          <cell r="P636" t="str">
            <v>108.700857</v>
          </cell>
          <cell r="Q636" t="str">
            <v>32.87</v>
          </cell>
          <cell r="R636" t="str">
            <v>15.273280</v>
          </cell>
          <cell r="S636" t="str">
            <v>108.721460</v>
          </cell>
          <cell r="T636" t="str">
            <v>full_h04/Quảng Ngãi/Quảng Ngãi Cấp III - IV/Quảng Ngãi Cấp IV/Cấp 4 Ring 2/Bình Chương - Sơn Tịnh/Hạ thế</v>
          </cell>
          <cell r="U636">
            <v>406.43</v>
          </cell>
        </row>
        <row r="637">
          <cell r="L637" t="str">
            <v>Đức Phổ - Trà Câu</v>
          </cell>
          <cell r="M637" t="str">
            <v>390.45</v>
          </cell>
          <cell r="N637" t="str">
            <v>368.97</v>
          </cell>
          <cell r="O637" t="str">
            <v>14.815465</v>
          </cell>
          <cell r="P637" t="str">
            <v>108.959556</v>
          </cell>
          <cell r="Q637" t="str">
            <v>21.47</v>
          </cell>
          <cell r="R637" t="str">
            <v>14.808831</v>
          </cell>
          <cell r="S637" t="str">
            <v>108.957046</v>
          </cell>
          <cell r="T637" t="str">
            <v>full_h04/Quảng Ngãi/Quảng Ngãi Cấp III - IV/Quảng Ngãi Cấp IV/Cấp 4 Ring 16/Đức Phổ - Trà Câu/Trụ hạ thế 1</v>
          </cell>
          <cell r="U637">
            <v>390.45</v>
          </cell>
        </row>
        <row r="638">
          <cell r="L638" t="str">
            <v>Trạm csgt Đức Phổ, PC08 - TTCMKV TX Đức Phổ</v>
          </cell>
          <cell r="M638" t="str">
            <v>482.60</v>
          </cell>
          <cell r="N638" t="str">
            <v>136.83</v>
          </cell>
          <cell r="O638" t="str">
            <v>14.789779</v>
          </cell>
          <cell r="P638" t="str">
            <v>108.967879</v>
          </cell>
          <cell r="Q638" t="str">
            <v>345.78</v>
          </cell>
          <cell r="R638" t="str">
            <v>14.808942</v>
          </cell>
          <cell r="S638" t="str">
            <v>108.960066</v>
          </cell>
          <cell r="T638" t="str">
            <v>full_h04/Quảng Ngãi/Quảng Ngãi Cấp III - IV/Quảng Ngãi Cấp IV/Cấp 4 Ring 15/Trạm csgt Đức Phổ, PC08 - TTCMKV TX Đức Phổ/DL TT_2</v>
          </cell>
          <cell r="U638">
            <v>482.6</v>
          </cell>
        </row>
        <row r="639">
          <cell r="L639" t="str">
            <v>Đức Phổ - TT1 Quảng Ngãi mới</v>
          </cell>
          <cell r="M639" t="str">
            <v>603.61</v>
          </cell>
          <cell r="N639" t="str">
            <v>387.32</v>
          </cell>
          <cell r="O639" t="str">
            <v>14.811941</v>
          </cell>
          <cell r="P639" t="str">
            <v>108.958550</v>
          </cell>
          <cell r="Q639" t="str">
            <v>216.30</v>
          </cell>
          <cell r="R639" t="str">
            <v>14.824784</v>
          </cell>
          <cell r="S639" t="str">
            <v>108.950348</v>
          </cell>
          <cell r="T639" t="str">
            <v>full_h04/Quảng Ngãi/Quảng Ngãi Cấp III - IV/Quảng Ngãi Cấp III/Cấp 3- Ring 2/Đức Phổ - TT1 Quảng Ngãi mới/trung thế 1</v>
          </cell>
          <cell r="U639">
            <v>603.61</v>
          </cell>
        </row>
        <row r="640">
          <cell r="L640" t="str">
            <v>TTCMKV TX Đức Phổ - Đức Phổ</v>
          </cell>
          <cell r="M640" t="str">
            <v>349.87</v>
          </cell>
          <cell r="N640" t="str">
            <v>244.04</v>
          </cell>
          <cell r="O640" t="str">
            <v>14.808242</v>
          </cell>
          <cell r="P640" t="str">
            <v>108.960386</v>
          </cell>
          <cell r="Q640" t="str">
            <v>105.84</v>
          </cell>
          <cell r="R640" t="str">
            <v>14.808667</v>
          </cell>
          <cell r="S640" t="str">
            <v>108.957812</v>
          </cell>
          <cell r="T640" t="str">
            <v>full_h04/Quảng Ngãi/Quảng Ngãi Cấp III - IV/Quảng Ngãi Cấp IV/Cấp 4 Ring 16/TTCMKV TX Đức Phổ - Đức Phổ/Trụ trung thế 1</v>
          </cell>
          <cell r="U640">
            <v>349.87</v>
          </cell>
        </row>
        <row r="641">
          <cell r="L641" t="str">
            <v>TTCMKV TX Đức Phổ - Lân Phong</v>
          </cell>
          <cell r="M641" t="str">
            <v>891.13</v>
          </cell>
          <cell r="N641" t="str">
            <v>787.13</v>
          </cell>
          <cell r="O641" t="str">
            <v>14.815448</v>
          </cell>
          <cell r="P641" t="str">
            <v>108.959555</v>
          </cell>
          <cell r="Q641" t="str">
            <v>104.00</v>
          </cell>
          <cell r="R641" t="str">
            <v>14.822528</v>
          </cell>
          <cell r="S641" t="str">
            <v>108.962878</v>
          </cell>
          <cell r="T641" t="str">
            <v>full_h04/Quảng Ngãi/Quảng Ngãi Cấp III - IV/Quảng Ngãi Cấp IV/Cấp 4 Ring17/TTCMKV TX Đức Phổ - Lân Phong/Trụ trung thế 1</v>
          </cell>
          <cell r="U641">
            <v>891.13</v>
          </cell>
        </row>
        <row r="642">
          <cell r="L642" t="str">
            <v>Ba Tơ - Đức Phổ</v>
          </cell>
          <cell r="M642" t="str">
            <v>651.57</v>
          </cell>
          <cell r="N642" t="str">
            <v>333.13</v>
          </cell>
          <cell r="O642" t="str">
            <v>14.811826</v>
          </cell>
          <cell r="P642" t="str">
            <v>108.943702</v>
          </cell>
          <cell r="Q642" t="str">
            <v>318.45</v>
          </cell>
          <cell r="R642" t="str">
            <v>14.811582</v>
          </cell>
          <cell r="S642" t="str">
            <v>108.955898</v>
          </cell>
          <cell r="T642" t="str">
            <v>full_h04/Quảng Ngãi/Quảng Ngãi Cấp III - IV/Quảng Ngãi Cấp III/Cấp 3- Ring 2/Ba Tơ - Đức Phổ/trung thế 2</v>
          </cell>
          <cell r="U642">
            <v>651.57000000000005</v>
          </cell>
        </row>
        <row r="643">
          <cell r="L643" t="str">
            <v>Lân Phong-Mỏ Cày</v>
          </cell>
          <cell r="M643" t="str">
            <v>3599.60</v>
          </cell>
          <cell r="N643" t="str">
            <v>3594.73</v>
          </cell>
          <cell r="O643" t="str">
            <v>14.959303</v>
          </cell>
          <cell r="P643" t="str">
            <v>108.924539</v>
          </cell>
          <cell r="Q643" t="str">
            <v>4.87</v>
          </cell>
          <cell r="R643" t="str">
            <v>14.985490</v>
          </cell>
          <cell r="S643" t="str">
            <v>108.912754</v>
          </cell>
          <cell r="T643" t="str">
            <v>full_h04/Quảng Ngãi/Quảng Ngãi Cấp III - IV/Quảng Ngãi Cấp IV/Cấp 4 Ring17/Lân Phong-Mỏ Cày/Trụ trung thế 2</v>
          </cell>
          <cell r="U643">
            <v>3599.6</v>
          </cell>
        </row>
        <row r="644">
          <cell r="L644" t="str">
            <v>Mỏ Cày - Long Phụng</v>
          </cell>
          <cell r="M644" t="str">
            <v>2417.92</v>
          </cell>
          <cell r="N644" t="str">
            <v>4.86</v>
          </cell>
          <cell r="O644" t="str">
            <v>14.985491</v>
          </cell>
          <cell r="P644" t="str">
            <v>108.912754</v>
          </cell>
          <cell r="Q644" t="str">
            <v>2413.06</v>
          </cell>
          <cell r="R644" t="str">
            <v>15.001199</v>
          </cell>
          <cell r="S644" t="str">
            <v>108.909421</v>
          </cell>
          <cell r="T644" t="str">
            <v>full_h04/Quảng Ngãi/Quảng Ngãi Cấp III - IV/Quảng Ngãi Cấp IV/Cấp 4 Ring17/Mỏ Cày - Long Phụng/Trụ trung thế 1</v>
          </cell>
          <cell r="U644">
            <v>2417.92</v>
          </cell>
        </row>
        <row r="645">
          <cell r="L645" t="str">
            <v>Mỏ Cày - Long Phụng</v>
          </cell>
          <cell r="M645" t="str">
            <v>1920.32</v>
          </cell>
          <cell r="N645" t="str">
            <v>1915.46</v>
          </cell>
          <cell r="O645" t="str">
            <v>14.989230</v>
          </cell>
          <cell r="P645" t="str">
            <v>108.911379</v>
          </cell>
          <cell r="Q645" t="str">
            <v>4.86</v>
          </cell>
          <cell r="R645" t="str">
            <v>14.985491</v>
          </cell>
          <cell r="S645" t="str">
            <v>108.912754</v>
          </cell>
          <cell r="T645" t="str">
            <v>full_h04/Quảng Ngãi/Quảng Ngãi Cấp III - IV/Quảng Ngãi Cấp IV/Cấp 4 Ring17/Mỏ Cày - Long Phụng/Trụ trung thế 1</v>
          </cell>
          <cell r="U645">
            <v>1920.32</v>
          </cell>
        </row>
        <row r="646">
          <cell r="L646" t="str">
            <v>Lân Phong-Mỏ Cày</v>
          </cell>
          <cell r="M646" t="str">
            <v>1540.45</v>
          </cell>
          <cell r="N646" t="str">
            <v>1535.58</v>
          </cell>
          <cell r="O646" t="str">
            <v>14.973222</v>
          </cell>
          <cell r="P646" t="str">
            <v>108.917752</v>
          </cell>
          <cell r="Q646" t="str">
            <v>4.87</v>
          </cell>
          <cell r="R646" t="str">
            <v>14.985490</v>
          </cell>
          <cell r="S646" t="str">
            <v>108.912754</v>
          </cell>
          <cell r="T646" t="str">
            <v>full_h04/Quảng Ngãi/Quảng Ngãi Cấp III - IV/Quảng Ngãi Cấp IV/Cấp 4 Ring17/Lân Phong-Mỏ Cày/Trụ trung thế 2</v>
          </cell>
          <cell r="U646">
            <v>1540.45</v>
          </cell>
        </row>
        <row r="647">
          <cell r="L647" t="str">
            <v>Mỏ Cày - Long Phụng</v>
          </cell>
          <cell r="M647" t="str">
            <v>351.61</v>
          </cell>
          <cell r="N647" t="str">
            <v>75.63</v>
          </cell>
          <cell r="O647" t="str">
            <v>15.021850</v>
          </cell>
          <cell r="P647" t="str">
            <v>108.903124</v>
          </cell>
          <cell r="Q647" t="str">
            <v>275.98</v>
          </cell>
          <cell r="R647" t="str">
            <v>15.040078</v>
          </cell>
          <cell r="S647" t="str">
            <v>108.866172</v>
          </cell>
          <cell r="T647" t="str">
            <v>full_h04/Quảng Ngãi/Quảng Ngãi Cấp III - IV/Quảng Ngãi Cấp IV/Cấp 4 Ring17/Mỏ Cày - Long Phụng/Trụ trung thế 2</v>
          </cell>
          <cell r="U647">
            <v>351.61</v>
          </cell>
        </row>
        <row r="648">
          <cell r="L648" t="str">
            <v>Long Phụng - Tư Nghĩa</v>
          </cell>
          <cell r="M648" t="str">
            <v>1673.65</v>
          </cell>
          <cell r="N648" t="str">
            <v>1568.77</v>
          </cell>
          <cell r="O648" t="str">
            <v>15.043934</v>
          </cell>
          <cell r="P648" t="str">
            <v>108.849780</v>
          </cell>
          <cell r="Q648" t="str">
            <v>104.88</v>
          </cell>
          <cell r="R648" t="str">
            <v>15.058428</v>
          </cell>
          <cell r="S648" t="str">
            <v>108.842528</v>
          </cell>
          <cell r="T648" t="str">
            <v>full_h04/Quảng Ngãi/Quảng Ngãi Cấp III - IV/Quảng Ngãi Cấp IV/Cấp 4 Ring17/Long Phụng - Tư Nghĩa/Trụ trung thế 2</v>
          </cell>
          <cell r="U648">
            <v>1673.65</v>
          </cell>
        </row>
        <row r="649">
          <cell r="L649" t="str">
            <v>Mỏ Cày - Long Phụng</v>
          </cell>
          <cell r="M649" t="str">
            <v>649.64</v>
          </cell>
          <cell r="N649" t="str">
            <v>373.66</v>
          </cell>
          <cell r="O649" t="str">
            <v>15.035770</v>
          </cell>
          <cell r="P649" t="str">
            <v>108.878610</v>
          </cell>
          <cell r="Q649" t="str">
            <v>275.98</v>
          </cell>
          <cell r="R649" t="str">
            <v>15.040078</v>
          </cell>
          <cell r="S649" t="str">
            <v>108.866172</v>
          </cell>
          <cell r="T649" t="str">
            <v>full_h04/Quảng Ngãi/Quảng Ngãi Cấp III - IV/Quảng Ngãi Cấp IV/Cấp 4 Ring17/Mỏ Cày - Long Phụng/Trụ trung thế 2</v>
          </cell>
          <cell r="U649">
            <v>649.64</v>
          </cell>
        </row>
        <row r="650">
          <cell r="L650" t="str">
            <v>Long Phụng - Tư Nghĩa</v>
          </cell>
          <cell r="M650" t="str">
            <v>581.88</v>
          </cell>
          <cell r="N650" t="str">
            <v>216.52</v>
          </cell>
          <cell r="O650" t="str">
            <v>15.040836</v>
          </cell>
          <cell r="P650" t="str">
            <v>108.862378</v>
          </cell>
          <cell r="Q650" t="str">
            <v>365.36</v>
          </cell>
          <cell r="R650" t="str">
            <v>15.030893</v>
          </cell>
          <cell r="S650" t="str">
            <v>108.861534</v>
          </cell>
          <cell r="T650" t="str">
            <v>full_h04/Quảng Ngãi/Quảng Ngãi Cấp III - IV/Quảng Ngãi Cấp IV/Cấp 4 Ring17/Long Phụng - Tư Nghĩa/Trụ trung thế 1</v>
          </cell>
          <cell r="U650">
            <v>581.88</v>
          </cell>
        </row>
        <row r="651">
          <cell r="L651" t="str">
            <v>Sơn Mai - Phước Giang</v>
          </cell>
          <cell r="M651" t="str">
            <v>630.80</v>
          </cell>
          <cell r="N651" t="str">
            <v>347.80</v>
          </cell>
          <cell r="O651" t="str">
            <v>15.042566</v>
          </cell>
          <cell r="P651" t="str">
            <v>108.742581</v>
          </cell>
          <cell r="Q651" t="str">
            <v>283.00</v>
          </cell>
          <cell r="R651" t="str">
            <v>15.006115</v>
          </cell>
          <cell r="S651" t="str">
            <v>108.719311</v>
          </cell>
          <cell r="T651" t="str">
            <v>full_h04/Quảng Ngãi/Quảng Ngãi Cấp III - IV/Quảng Ngãi Cấp IV/Cấp 4 Ring 13/Sơn Mai - Phước Giang/Trụ trung thế 1</v>
          </cell>
          <cell r="U651">
            <v>630.79999999999995</v>
          </cell>
        </row>
        <row r="652">
          <cell r="L652" t="str">
            <v>Sơn Mai - Phước Giang</v>
          </cell>
          <cell r="M652" t="str">
            <v>1084.01</v>
          </cell>
          <cell r="N652" t="str">
            <v>736.21</v>
          </cell>
          <cell r="O652" t="str">
            <v>15.031617</v>
          </cell>
          <cell r="P652" t="str">
            <v>108.733498</v>
          </cell>
          <cell r="Q652" t="str">
            <v>347.80</v>
          </cell>
          <cell r="R652" t="str">
            <v>15.042566</v>
          </cell>
          <cell r="S652" t="str">
            <v>108.742581</v>
          </cell>
          <cell r="T652" t="str">
            <v>full_h04/Quảng Ngãi/Quảng Ngãi Cấp III - IV/Quảng Ngãi Cấp IV/Cấp 4 Ring 13/Sơn Mai - Phước Giang/Trụ trung thế 1</v>
          </cell>
          <cell r="U652">
            <v>1084.01</v>
          </cell>
        </row>
        <row r="653">
          <cell r="L653" t="str">
            <v>Phước Giang - Trà Giang</v>
          </cell>
          <cell r="M653" t="str">
            <v>1977.81</v>
          </cell>
          <cell r="N653" t="str">
            <v>1641.22</v>
          </cell>
          <cell r="O653" t="str">
            <v>15.047104</v>
          </cell>
          <cell r="P653" t="str">
            <v>108.747927</v>
          </cell>
          <cell r="Q653" t="str">
            <v>336.59</v>
          </cell>
          <cell r="R653" t="str">
            <v>15.045444</v>
          </cell>
          <cell r="S653" t="str">
            <v>108.745306</v>
          </cell>
          <cell r="T653" t="str">
            <v>full_h04/Quảng Ngãi/Quảng Ngãi Cấp III - IV/Quảng Ngãi Cấp IV/Cấp 4 Ring 13/Phước Giang - Trà Giang/Trụ trung thế 1</v>
          </cell>
          <cell r="U653">
            <v>1977.81</v>
          </cell>
        </row>
        <row r="654">
          <cell r="L654" t="str">
            <v>Phước Giang - Trà Giang</v>
          </cell>
          <cell r="M654" t="str">
            <v>480.75</v>
          </cell>
          <cell r="N654" t="str">
            <v>336.59</v>
          </cell>
          <cell r="O654" t="str">
            <v>15.045444</v>
          </cell>
          <cell r="P654" t="str">
            <v>108.745306</v>
          </cell>
          <cell r="Q654" t="str">
            <v>144.16</v>
          </cell>
          <cell r="R654" t="str">
            <v>15.066254</v>
          </cell>
          <cell r="S654" t="str">
            <v>108.750563</v>
          </cell>
          <cell r="T654" t="str">
            <v>full_h04/Quảng Ngãi/Quảng Ngãi Cấp III - IV/Quảng Ngãi Cấp IV/Cấp 4 Ring 13/Phước Giang - Trà Giang/Trụ trung thế 1</v>
          </cell>
          <cell r="U654">
            <v>480.75</v>
          </cell>
        </row>
        <row r="655">
          <cell r="L655" t="str">
            <v>TT1 Quảng Ngãi - Minh Long</v>
          </cell>
          <cell r="M655" t="str">
            <v>3533.33</v>
          </cell>
          <cell r="N655" t="str">
            <v>3228.48</v>
          </cell>
          <cell r="O655" t="str">
            <v>15.007661</v>
          </cell>
          <cell r="P655" t="str">
            <v>108.813347</v>
          </cell>
          <cell r="Q655" t="str">
            <v>304.84</v>
          </cell>
          <cell r="R655" t="str">
            <v>14.956894</v>
          </cell>
          <cell r="S655" t="str">
            <v>108.777917</v>
          </cell>
          <cell r="T655" t="str">
            <v>full_h04/Quảng Ngãi/Quảng Ngãi Cấp III - IV/Quảng Ngãi Cấp III/Cấp 3- Ring 2/TT1 Quảng Ngãi - Minh Long/trung thế 3</v>
          </cell>
          <cell r="U655">
            <v>3533.33</v>
          </cell>
        </row>
        <row r="656">
          <cell r="L656" t="str">
            <v>TTCMKV Minh Long - Đình Cương</v>
          </cell>
          <cell r="M656" t="str">
            <v>5553.40</v>
          </cell>
          <cell r="N656" t="str">
            <v>248.44</v>
          </cell>
          <cell r="O656" t="str">
            <v>14.958562</v>
          </cell>
          <cell r="P656" t="str">
            <v>108.776166</v>
          </cell>
          <cell r="Q656" t="str">
            <v>5304.96</v>
          </cell>
          <cell r="R656" t="str">
            <v>14.982705</v>
          </cell>
          <cell r="S656" t="str">
            <v>108.806114</v>
          </cell>
          <cell r="T656" t="str">
            <v>full_h04/Quảng Ngãi/Quảng Ngãi Cấp III - IV/Quảng Ngãi Cấp IV/Cấp 4 Ring 12/TTCMKV Minh Long - Đình Cương/Trụ trung thế 1</v>
          </cell>
          <cell r="U656">
            <v>5553.4</v>
          </cell>
        </row>
        <row r="657">
          <cell r="L657" t="str">
            <v>Ba Động - Thiện Tín</v>
          </cell>
          <cell r="M657" t="str">
            <v>268.15</v>
          </cell>
          <cell r="N657" t="str">
            <v>157.23</v>
          </cell>
          <cell r="O657" t="str">
            <v>14.919520</v>
          </cell>
          <cell r="P657" t="str">
            <v>108.772904</v>
          </cell>
          <cell r="Q657" t="str">
            <v>110.92</v>
          </cell>
          <cell r="R657" t="str">
            <v>14.955847</v>
          </cell>
          <cell r="S657" t="str">
            <v>108.774397</v>
          </cell>
          <cell r="T657" t="str">
            <v>full_h04/Quảng Ngãi/Quảng Ngãi Cấp III - IV/Quảng Ngãi Cấp IV/Cấp 4 Ring 11/Ba Động - Thiện Tín/Trung thế</v>
          </cell>
          <cell r="U657">
            <v>268.14999999999998</v>
          </cell>
        </row>
        <row r="658">
          <cell r="L658" t="str">
            <v>Thiện Tín - TTCMKV Minh Long</v>
          </cell>
          <cell r="M658" t="str">
            <v>154.85</v>
          </cell>
          <cell r="N658" t="str">
            <v>25.27</v>
          </cell>
          <cell r="O658" t="str">
            <v>14.962543</v>
          </cell>
          <cell r="P658" t="str">
            <v>108.738855</v>
          </cell>
          <cell r="Q658" t="str">
            <v>129.58</v>
          </cell>
          <cell r="R658" t="str">
            <v>14.957691</v>
          </cell>
          <cell r="S658" t="str">
            <v>108.774734</v>
          </cell>
          <cell r="T658" t="str">
            <v>full_h04/Quảng Ngãi/Quảng Ngãi Cấp III - IV/Quảng Ngãi Cấp IV/Cấp 4 Ring 11/Thiện Tín - TTCMKV Minh Long/Trung thế</v>
          </cell>
          <cell r="U658">
            <v>154.85</v>
          </cell>
        </row>
        <row r="659">
          <cell r="L659" t="str">
            <v>Đình Cương - Nghĩa Hành</v>
          </cell>
          <cell r="M659" t="str">
            <v>1809.87</v>
          </cell>
          <cell r="N659" t="str">
            <v>221.48</v>
          </cell>
          <cell r="O659" t="str">
            <v>15.040720</v>
          </cell>
          <cell r="P659" t="str">
            <v>108.795241</v>
          </cell>
          <cell r="Q659" t="str">
            <v>1588.40</v>
          </cell>
          <cell r="R659" t="str">
            <v>15.023048</v>
          </cell>
          <cell r="S659" t="str">
            <v>108.809188</v>
          </cell>
          <cell r="T659" t="str">
            <v>full_h04/Quảng Ngãi/Quảng Ngãi Cấp III - IV/Quảng Ngãi Cấp IV/Cấp 4 Ring 12/Đình Cương - Nghĩa Hành/Trụ trung thế 1</v>
          </cell>
          <cell r="U659">
            <v>1809.87</v>
          </cell>
        </row>
        <row r="660">
          <cell r="L660" t="str">
            <v>Đình Cương - Nghĩa Hành</v>
          </cell>
          <cell r="M660" t="str">
            <v>2000.25</v>
          </cell>
          <cell r="N660" t="str">
            <v>25.40</v>
          </cell>
          <cell r="O660" t="str">
            <v>15.015248</v>
          </cell>
          <cell r="P660" t="str">
            <v>108.821816</v>
          </cell>
          <cell r="Q660" t="str">
            <v>1974.86</v>
          </cell>
          <cell r="R660" t="str">
            <v>15.021352</v>
          </cell>
          <cell r="S660" t="str">
            <v>108.814167</v>
          </cell>
          <cell r="T660" t="str">
            <v>full_h04/Quảng Ngãi/Quảng Ngãi Cấp III - IV/Quảng Ngãi Cấp IV/Cấp 4 Ring 12/Đình Cương - Nghĩa Hành/Trụ hạ thế 1</v>
          </cell>
          <cell r="U660">
            <v>2000.25</v>
          </cell>
        </row>
        <row r="661">
          <cell r="L661" t="str">
            <v>TTCMKV Minh Long - Đình Cương</v>
          </cell>
          <cell r="M661" t="str">
            <v>492.08</v>
          </cell>
          <cell r="N661" t="str">
            <v>466.45</v>
          </cell>
          <cell r="O661" t="str">
            <v>15.013532</v>
          </cell>
          <cell r="P661" t="str">
            <v>108.821697</v>
          </cell>
          <cell r="Q661" t="str">
            <v>25.63</v>
          </cell>
          <cell r="R661" t="str">
            <v>15.015243</v>
          </cell>
          <cell r="S661" t="str">
            <v>108.821819</v>
          </cell>
          <cell r="T661" t="str">
            <v>full_h04/Quảng Ngãi/Quảng Ngãi Cấp III - IV/Quảng Ngãi Cấp IV/Cấp 4 Ring 12/TTCMKV Minh Long - Đình Cương/Trụ trung thế 1</v>
          </cell>
          <cell r="U661">
            <v>492.08</v>
          </cell>
        </row>
        <row r="662">
          <cell r="L662" t="str">
            <v>Đình Cương - Nghĩa Hành</v>
          </cell>
          <cell r="M662" t="str">
            <v>1414.49</v>
          </cell>
          <cell r="N662" t="str">
            <v>1389.10</v>
          </cell>
          <cell r="O662" t="str">
            <v>15.023050</v>
          </cell>
          <cell r="P662" t="str">
            <v>108.809184</v>
          </cell>
          <cell r="Q662" t="str">
            <v>25.40</v>
          </cell>
          <cell r="R662" t="str">
            <v>15.015248</v>
          </cell>
          <cell r="S662" t="str">
            <v>108.821816</v>
          </cell>
          <cell r="T662" t="str">
            <v>full_h04/Quảng Ngãi/Quảng Ngãi Cấp III - IV/Quảng Ngãi Cấp IV/Cấp 4 Ring 12/Đình Cương - Nghĩa Hành/Trụ hạ thế 1</v>
          </cell>
          <cell r="U662">
            <v>1414.49</v>
          </cell>
        </row>
        <row r="663">
          <cell r="L663" t="str">
            <v>Đình Cương - Nghĩa Hành</v>
          </cell>
          <cell r="M663" t="str">
            <v>2418.92</v>
          </cell>
          <cell r="N663" t="str">
            <v>2393.52</v>
          </cell>
          <cell r="O663" t="str">
            <v>15.023050</v>
          </cell>
          <cell r="P663" t="str">
            <v>108.809184</v>
          </cell>
          <cell r="Q663" t="str">
            <v>25.40</v>
          </cell>
          <cell r="R663" t="str">
            <v>15.015248</v>
          </cell>
          <cell r="S663" t="str">
            <v>108.821816</v>
          </cell>
          <cell r="T663" t="str">
            <v>full_h04/Quảng Ngãi/Quảng Ngãi Cấp III - IV/Quảng Ngãi Cấp IV/Cấp 4 Ring 12/Đình Cương - Nghĩa Hành/Trụ hạ thế 1</v>
          </cell>
          <cell r="U663">
            <v>2418.92</v>
          </cell>
        </row>
        <row r="664">
          <cell r="L664" t="str">
            <v>TTCMKV Minh Long - Đình Cương</v>
          </cell>
          <cell r="M664" t="str">
            <v>1179.57</v>
          </cell>
          <cell r="N664" t="str">
            <v>0.38</v>
          </cell>
          <cell r="O664" t="str">
            <v>15.015252</v>
          </cell>
          <cell r="P664" t="str">
            <v>108.821583</v>
          </cell>
          <cell r="Q664" t="str">
            <v>1179.19</v>
          </cell>
          <cell r="R664" t="str">
            <v>15.015311</v>
          </cell>
          <cell r="S664" t="str">
            <v>108.821809</v>
          </cell>
          <cell r="T664" t="str">
            <v>full_h04/Quảng Ngãi/Quảng Ngãi Cấp III - IV/Quảng Ngãi Cấp IV/Cấp 4 Ring 12/TTCMKV Minh Long - Đình Cương/trồng mới 2</v>
          </cell>
          <cell r="U664">
            <v>1179.57</v>
          </cell>
        </row>
        <row r="665">
          <cell r="L665" t="str">
            <v>Sơn Mai - Phước Giang</v>
          </cell>
          <cell r="M665" t="str">
            <v>5538.80</v>
          </cell>
          <cell r="N665" t="str">
            <v>283.00</v>
          </cell>
          <cell r="O665" t="str">
            <v>15.006115</v>
          </cell>
          <cell r="P665" t="str">
            <v>108.719311</v>
          </cell>
          <cell r="Q665" t="str">
            <v>5255.80</v>
          </cell>
          <cell r="R665" t="str">
            <v>15.041462</v>
          </cell>
          <cell r="S665" t="str">
            <v>108.747014</v>
          </cell>
          <cell r="T665" t="str">
            <v>full_h04/Quảng Ngãi/Quảng Ngãi Cấp III - IV/Quảng Ngãi Cấp IV/Cấp 4 Ring 13/Sơn Mai - Phước Giang/Trụ trung thế 1</v>
          </cell>
          <cell r="U665">
            <v>5538.8</v>
          </cell>
        </row>
        <row r="666">
          <cell r="L666" t="str">
            <v>TTCMKV Minh Long - Sơn Mai</v>
          </cell>
          <cell r="M666" t="str">
            <v>256.44</v>
          </cell>
          <cell r="N666" t="str">
            <v>235.36</v>
          </cell>
          <cell r="O666" t="str">
            <v>15.003126</v>
          </cell>
          <cell r="P666" t="str">
            <v>108.718464</v>
          </cell>
          <cell r="Q666" t="str">
            <v>21.07</v>
          </cell>
          <cell r="R666" t="str">
            <v>15.003926</v>
          </cell>
          <cell r="S666" t="str">
            <v>108.718257</v>
          </cell>
          <cell r="T666" t="str">
            <v>full_h04/Quảng Ngãi/Quảng Ngãi Cấp III - IV/Quảng Ngãi Cấp IV/Cấp 4 Ring 13/TTCMKV Minh Long - Sơn Mai/Trụ trung thế 2</v>
          </cell>
          <cell r="U666">
            <v>256.44</v>
          </cell>
        </row>
        <row r="667">
          <cell r="L667" t="str">
            <v>Sơn Mai - Phước Giang</v>
          </cell>
          <cell r="M667" t="str">
            <v>929.87</v>
          </cell>
          <cell r="N667" t="str">
            <v>646.87</v>
          </cell>
          <cell r="O667" t="str">
            <v>15.038031</v>
          </cell>
          <cell r="P667" t="str">
            <v>108.743124</v>
          </cell>
          <cell r="Q667" t="str">
            <v>283.00</v>
          </cell>
          <cell r="R667" t="str">
            <v>15.006115</v>
          </cell>
          <cell r="S667" t="str">
            <v>108.719311</v>
          </cell>
          <cell r="T667" t="str">
            <v>full_h04/Quảng Ngãi/Quảng Ngãi Cấp III - IV/Quảng Ngãi Cấp IV/Cấp 4 Ring 13/Sơn Mai - Phước Giang/Trụ trung thế 1</v>
          </cell>
          <cell r="U667">
            <v>929.87</v>
          </cell>
        </row>
        <row r="668">
          <cell r="L668" t="str">
            <v>PC01 - CS113_TRỤ HT_TRỤ III</v>
          </cell>
          <cell r="M668" t="str">
            <v>634.07</v>
          </cell>
          <cell r="N668" t="str">
            <v>28.63</v>
          </cell>
          <cell r="O668" t="str">
            <v>15.118627</v>
          </cell>
          <cell r="P668" t="str">
            <v>108.806135</v>
          </cell>
          <cell r="Q668" t="str">
            <v>605.44</v>
          </cell>
          <cell r="R668" t="str">
            <v>15.119050</v>
          </cell>
          <cell r="S668" t="str">
            <v>108.804942</v>
          </cell>
          <cell r="T668" t="str">
            <v>full_h04/Quảng Ngãi/Quảng Ngãi Cấp III - IV/Quảng Ngãi Cấp III/Phòng - Ring 2/PC01 - CS113/PC01 - CS113_TRỤ HT_TRỤ III/6</v>
          </cell>
          <cell r="U668">
            <v>634.07000000000005</v>
          </cell>
        </row>
        <row r="669">
          <cell r="L669" t="str">
            <v>Cẩm Thành - TT1 QUẢNG NGÃI</v>
          </cell>
          <cell r="M669" t="str">
            <v>631.58</v>
          </cell>
          <cell r="N669" t="str">
            <v>201.22</v>
          </cell>
          <cell r="O669" t="str">
            <v>15.113094</v>
          </cell>
          <cell r="P669" t="str">
            <v>108.803139</v>
          </cell>
          <cell r="Q669" t="str">
            <v>430.36</v>
          </cell>
          <cell r="R669" t="str">
            <v>15.118891</v>
          </cell>
          <cell r="S669" t="str">
            <v>108.802402</v>
          </cell>
          <cell r="T669" t="str">
            <v>full_h04/Quảng Ngãi/Quảng Ngãi Cấp III - IV/Quảng Ngãi Cấp IV/Cấp 4 Ring 16/Cẩm Thành - TT1 QUẢNG NGÃI/Trụ hạ thế 1</v>
          </cell>
          <cell r="U669">
            <v>631.58000000000004</v>
          </cell>
        </row>
        <row r="670">
          <cell r="L670" t="str">
            <v>CS113 - PK02</v>
          </cell>
          <cell r="M670" t="str">
            <v>81.26</v>
          </cell>
          <cell r="N670" t="str">
            <v>56.81</v>
          </cell>
          <cell r="O670" t="str">
            <v>15.117743</v>
          </cell>
          <cell r="P670" t="str">
            <v>108.809515</v>
          </cell>
          <cell r="Q670" t="str">
            <v>24.45</v>
          </cell>
          <cell r="R670" t="str">
            <v>15.118425</v>
          </cell>
          <cell r="S670" t="str">
            <v>108.806263</v>
          </cell>
          <cell r="T670" t="str">
            <v>full_h04/Quảng Ngãi/Quảng Ngãi Cấp III - IV/Quảng Ngãi Cấp III/Phòng - Ring 2/CS113 - PK02/hạ thế 1</v>
          </cell>
          <cell r="U670">
            <v>81.260000000000005</v>
          </cell>
        </row>
        <row r="671">
          <cell r="L671" t="str">
            <v>Cẩm Thành - TT1 QUẢNG NGÃI</v>
          </cell>
          <cell r="M671" t="str">
            <v>461.53</v>
          </cell>
          <cell r="N671" t="str">
            <v>31.17</v>
          </cell>
          <cell r="O671" t="str">
            <v>15.113121</v>
          </cell>
          <cell r="P671" t="str">
            <v>108.808390</v>
          </cell>
          <cell r="Q671" t="str">
            <v>430.36</v>
          </cell>
          <cell r="R671" t="str">
            <v>15.118891</v>
          </cell>
          <cell r="S671" t="str">
            <v>108.802402</v>
          </cell>
          <cell r="T671" t="str">
            <v>full_h04/Quảng Ngãi/Quảng Ngãi Cấp III - IV/Quảng Ngãi Cấp IV/Cấp 4 Ring 16/Cẩm Thành - TT1 QUẢNG NGÃI/Trụ hạ thế 1</v>
          </cell>
          <cell r="U671">
            <v>461.53</v>
          </cell>
        </row>
        <row r="672">
          <cell r="L672" t="str">
            <v>Trương Quang Trọng - TT1 QUẢNG NGÃI</v>
          </cell>
          <cell r="M672" t="str">
            <v>1647.78</v>
          </cell>
          <cell r="N672" t="str">
            <v>971.41</v>
          </cell>
          <cell r="O672" t="str">
            <v>15.126534</v>
          </cell>
          <cell r="P672" t="str">
            <v>108.802613</v>
          </cell>
          <cell r="Q672" t="str">
            <v>676.37</v>
          </cell>
          <cell r="R672" t="str">
            <v>15.132671</v>
          </cell>
          <cell r="S672" t="str">
            <v>108.801546</v>
          </cell>
          <cell r="T672" t="str">
            <v>full_h04/Quảng Ngãi/Quảng Ngãi Cấp III - IV/Quảng Ngãi Cấp IV/Cấp 4 Ring 3/Trương Quang Trọng - TT1 QUẢNG NGÃI/DL TT_2</v>
          </cell>
          <cell r="U672">
            <v>1647.78</v>
          </cell>
        </row>
        <row r="673">
          <cell r="L673" t="str">
            <v>K02 (D3</v>
          </cell>
          <cell r="M673" t="str">
            <v>1570.23</v>
          </cell>
          <cell r="N673" t="str">
            <v>1216.32</v>
          </cell>
          <cell r="O673" t="str">
            <v>15.108153</v>
          </cell>
          <cell r="P673" t="str">
            <v>108.817951</v>
          </cell>
          <cell r="Q673" t="str">
            <v>353.92</v>
          </cell>
          <cell r="R673" t="str">
            <v>15.122006</v>
          </cell>
          <cell r="S673" t="str">
            <v>108.814892</v>
          </cell>
          <cell r="T673" t="str">
            <v>full_h04/Quảng Ngãi/Quảng Ngãi Cấp III - IV/Quảng Ngãi Cấp III/Phòng - Ring 2/Đội CSGT Đường Thuỷ - PC08/K02 (D3/E23) - Đội CSGT Đường Thuỷ - PC08</v>
          </cell>
          <cell r="U673">
            <v>1570.23</v>
          </cell>
        </row>
        <row r="674">
          <cell r="L674" t="str">
            <v>TT1 Quảng Ngãi mới - TT1 Quảng Ngãi</v>
          </cell>
          <cell r="M674" t="str">
            <v>514.13</v>
          </cell>
          <cell r="N674" t="str">
            <v>135.80</v>
          </cell>
          <cell r="O674" t="str">
            <v>15.122529</v>
          </cell>
          <cell r="P674" t="str">
            <v>108.824441</v>
          </cell>
          <cell r="Q674" t="str">
            <v>378.33</v>
          </cell>
          <cell r="R674" t="str">
            <v>15.120935</v>
          </cell>
          <cell r="S674" t="str">
            <v>108.821087</v>
          </cell>
          <cell r="T674" t="str">
            <v>full_h04/Quảng Ngãi/Quảng Ngãi Cấp III - IV/Quảng Ngãi Cấp III/Cấp 3- Ring 2/TT1 Quảng Ngãi mới - TT1 Quảng Ngãi/Hạ thé 1</v>
          </cell>
          <cell r="U674">
            <v>514.13</v>
          </cell>
        </row>
        <row r="675">
          <cell r="L675" t="str">
            <v>PC03 - PC10</v>
          </cell>
          <cell r="M675" t="str">
            <v>1061.82</v>
          </cell>
          <cell r="N675" t="str">
            <v>383.51</v>
          </cell>
          <cell r="O675" t="str">
            <v>15.124038</v>
          </cell>
          <cell r="P675" t="str">
            <v>108.814790</v>
          </cell>
          <cell r="Q675" t="str">
            <v>678.32</v>
          </cell>
          <cell r="R675" t="str">
            <v>15.132805</v>
          </cell>
          <cell r="S675" t="str">
            <v>108.801569</v>
          </cell>
          <cell r="T675" t="str">
            <v>full_h04/Quảng Ngãi/Quảng Ngãi Cấp III - IV/Quảng Ngãi Cấp III/Phòng - Ring 3/PC03 - PC10/trung thế 1</v>
          </cell>
          <cell r="U675">
            <v>1061.82</v>
          </cell>
        </row>
        <row r="676">
          <cell r="L676" t="str">
            <v>TT1 Quảng Ngãi - PC07</v>
          </cell>
          <cell r="M676" t="str">
            <v>52.84</v>
          </cell>
          <cell r="N676" t="str">
            <v>7.72</v>
          </cell>
          <cell r="O676" t="str">
            <v>15.120788</v>
          </cell>
          <cell r="P676" t="str">
            <v>108.786946</v>
          </cell>
          <cell r="Q676" t="str">
            <v>45.11</v>
          </cell>
          <cell r="R676" t="str">
            <v>15.128276</v>
          </cell>
          <cell r="S676" t="str">
            <v>108.787037</v>
          </cell>
          <cell r="T676" t="str">
            <v>full_h04/Quảng Ngãi/Quảng Ngãi Cấp III - IV/Quảng Ngãi Cấp III/Phòng - Ring 1/TT1 Quảng Ngãi - PC07/TT1 Quảng Ngãi - PC07</v>
          </cell>
          <cell r="U676">
            <v>52.84</v>
          </cell>
        </row>
        <row r="677">
          <cell r="L677" t="str">
            <v>PC07 - Sơn Tịnh</v>
          </cell>
          <cell r="M677" t="str">
            <v>631.68</v>
          </cell>
          <cell r="N677" t="str">
            <v>46.45</v>
          </cell>
          <cell r="O677" t="str">
            <v>15.128370</v>
          </cell>
          <cell r="P677" t="str">
            <v>108.787385</v>
          </cell>
          <cell r="Q677" t="str">
            <v>585.24</v>
          </cell>
          <cell r="R677" t="str">
            <v>15.129201</v>
          </cell>
          <cell r="S677" t="str">
            <v>108.790186</v>
          </cell>
          <cell r="T677" t="str">
            <v>full_h04/Quảng Ngãi/Quảng Ngãi Cấp III - IV/Quảng Ngãi Cấp III/Phòng - Ring 1/PC07 - Sơn Tịnh/PC07 - Sơn Tịnh</v>
          </cell>
          <cell r="U677">
            <v>631.67999999999995</v>
          </cell>
        </row>
        <row r="678">
          <cell r="L678" t="str">
            <v>TT1 Quảng Ngãi - Sơn hà</v>
          </cell>
          <cell r="M678" t="str">
            <v>954.07</v>
          </cell>
          <cell r="N678" t="str">
            <v>443.79</v>
          </cell>
          <cell r="O678" t="str">
            <v>15.131817</v>
          </cell>
          <cell r="P678" t="str">
            <v>108.788362</v>
          </cell>
          <cell r="Q678" t="str">
            <v>510.28</v>
          </cell>
          <cell r="R678" t="str">
            <v>15.139509</v>
          </cell>
          <cell r="S678" t="str">
            <v>108.784069</v>
          </cell>
          <cell r="T678" t="str">
            <v>full_h04/Quảng Ngãi/Quảng Ngãi Cấp III - IV/Quảng Ngãi Cấp III/Cấp 3 - Ring 1/TT1 Quảng Ngãi - Sơn hà/hào kỹ thuật</v>
          </cell>
          <cell r="U678">
            <v>954.07</v>
          </cell>
        </row>
        <row r="679">
          <cell r="L679" t="str">
            <v>TT1 Quảng Ngãi - Minh Long</v>
          </cell>
          <cell r="M679" t="str">
            <v>999.69</v>
          </cell>
          <cell r="N679" t="str">
            <v>864.68</v>
          </cell>
          <cell r="O679" t="str">
            <v>15.113571</v>
          </cell>
          <cell r="P679" t="str">
            <v>108.789819</v>
          </cell>
          <cell r="Q679" t="str">
            <v>135.01</v>
          </cell>
          <cell r="R679" t="str">
            <v>15.094535</v>
          </cell>
          <cell r="S679" t="str">
            <v>108.782274</v>
          </cell>
          <cell r="T679" t="str">
            <v>full_h04/Quảng Ngãi/Quảng Ngãi Cấp III - IV/Quảng Ngãi Cấp III/Cấp 3- Ring 2/TT1 Quảng Ngãi - Minh Long/trung thế 2</v>
          </cell>
          <cell r="U679">
            <v>999.69</v>
          </cell>
        </row>
        <row r="680">
          <cell r="L680" t="str">
            <v>Nghĩa Hành - Nghĩa Lộ</v>
          </cell>
          <cell r="M680" t="str">
            <v>1247.84</v>
          </cell>
          <cell r="N680" t="str">
            <v>1115.89</v>
          </cell>
          <cell r="O680" t="str">
            <v>15.089324</v>
          </cell>
          <cell r="P680" t="str">
            <v>108.785945</v>
          </cell>
          <cell r="Q680" t="str">
            <v>131.95</v>
          </cell>
          <cell r="R680" t="str">
            <v>15.094568</v>
          </cell>
          <cell r="S680" t="str">
            <v>108.782255</v>
          </cell>
          <cell r="T680" t="str">
            <v>full_h04/Quảng Ngãi/Quảng Ngãi Cấp III - IV/Quảng Ngãi Cấp IV/Cấp 4 Ring 12/Nghĩa Hành - Nghĩa Lộ/Trụ trung thế 1</v>
          </cell>
          <cell r="U680">
            <v>1247.8399999999999</v>
          </cell>
        </row>
        <row r="681">
          <cell r="L681" t="str">
            <v>Nghĩa Giang - TT1 QUẢNG NGÃI</v>
          </cell>
          <cell r="M681" t="str">
            <v>2066.14</v>
          </cell>
          <cell r="N681" t="str">
            <v>693.13</v>
          </cell>
          <cell r="O681" t="str">
            <v>15.098264</v>
          </cell>
          <cell r="P681" t="str">
            <v>108.788479</v>
          </cell>
          <cell r="Q681" t="str">
            <v>1373.01</v>
          </cell>
          <cell r="R681" t="str">
            <v>15.120973</v>
          </cell>
          <cell r="S681" t="str">
            <v>108.792068</v>
          </cell>
          <cell r="T681" t="str">
            <v>full_h04/Quảng Ngãi/Quảng Ngãi Cấp III - IV/Quảng Ngãi Cấp IV/Cấp 4 Ring 13/Nghĩa Giang - TT1 QUẢNG NGÃI/Trụ hạ thế 1</v>
          </cell>
          <cell r="U681">
            <v>2066.14</v>
          </cell>
        </row>
        <row r="682">
          <cell r="L682" t="str">
            <v>Ba Gia - TT1 QUẢNG NGÃI</v>
          </cell>
          <cell r="M682" t="str">
            <v>285.20</v>
          </cell>
          <cell r="N682" t="str">
            <v>268.31</v>
          </cell>
          <cell r="O682" t="str">
            <v>15.126121</v>
          </cell>
          <cell r="P682" t="str">
            <v>108.779673</v>
          </cell>
          <cell r="Q682" t="str">
            <v>16.89</v>
          </cell>
          <cell r="R682" t="str">
            <v>15.120800</v>
          </cell>
          <cell r="S682" t="str">
            <v>108.786826</v>
          </cell>
          <cell r="T682" t="str">
            <v>full_h04/Quảng Ngãi/Quảng Ngãi Cấp III - IV/Quảng Ngãi Cấp IV/Cấp 4 Ring 8/Ba Gia - TT1 QUẢNG NGÃI/Trung thế</v>
          </cell>
          <cell r="U682">
            <v>285.2</v>
          </cell>
        </row>
        <row r="683">
          <cell r="L683" t="str">
            <v>Ba Gia - TT1 QUẢNG NGÃI</v>
          </cell>
          <cell r="M683" t="str">
            <v>212.76</v>
          </cell>
          <cell r="N683" t="str">
            <v>16.89</v>
          </cell>
          <cell r="O683" t="str">
            <v>15.120800</v>
          </cell>
          <cell r="P683" t="str">
            <v>108.786826</v>
          </cell>
          <cell r="Q683" t="str">
            <v>195.87</v>
          </cell>
          <cell r="R683" t="str">
            <v>15.125795</v>
          </cell>
          <cell r="S683" t="str">
            <v>108.786450</v>
          </cell>
          <cell r="T683" t="str">
            <v>full_h04/Quảng Ngãi/Quảng Ngãi Cấp III - IV/Quảng Ngãi Cấp IV/Cấp 4 Ring 8/Ba Gia - TT1 QUẢNG NGÃI/Trung thế</v>
          </cell>
          <cell r="U683">
            <v>212.76</v>
          </cell>
        </row>
        <row r="684">
          <cell r="L684" t="str">
            <v>Khối Phòng PA08_PA05 - TT1 Quảng Ngãi</v>
          </cell>
          <cell r="M684" t="str">
            <v>16.58</v>
          </cell>
          <cell r="N684" t="str">
            <v>11.68</v>
          </cell>
          <cell r="O684" t="str">
            <v>15.113891</v>
          </cell>
          <cell r="P684" t="str">
            <v>108.796320</v>
          </cell>
          <cell r="Q684" t="str">
            <v>4.90</v>
          </cell>
          <cell r="R684" t="str">
            <v>15.114583</v>
          </cell>
          <cell r="S684" t="str">
            <v>108.796239</v>
          </cell>
          <cell r="T684" t="str">
            <v>full_h04/Quảng Ngãi/Quảng Ngãi Cấp III - IV/Quảng Ngãi Cấp III/Phòng - Ring 2/Khối Phòng PA08_PA05 - TT1 Quảng Ngãi/hạ thế 1</v>
          </cell>
          <cell r="U684">
            <v>16.579999999999998</v>
          </cell>
        </row>
        <row r="685">
          <cell r="L685" t="str">
            <v>Khối Phòng PA08_PA05 - TT1 Quảng Ngãi</v>
          </cell>
          <cell r="M685" t="str">
            <v>311.37</v>
          </cell>
          <cell r="N685" t="str">
            <v>11.68</v>
          </cell>
          <cell r="O685" t="str">
            <v>15.113891</v>
          </cell>
          <cell r="P685" t="str">
            <v>108.796320</v>
          </cell>
          <cell r="Q685" t="str">
            <v>299.69</v>
          </cell>
          <cell r="R685" t="str">
            <v>15.118803</v>
          </cell>
          <cell r="S685" t="str">
            <v>108.796239</v>
          </cell>
          <cell r="T685" t="str">
            <v>full_h04/Quảng Ngãi/Quảng Ngãi Cấp III - IV/Quảng Ngãi Cấp III/Phòng - Ring 2/Khối Phòng PA08_PA05 - TT1 Quảng Ngãi/hạ thế 1</v>
          </cell>
          <cell r="U685">
            <v>311.37</v>
          </cell>
        </row>
        <row r="686">
          <cell r="L686" t="str">
            <v>Tư Nghĩa - TT1 QUẢNG NGÃI</v>
          </cell>
          <cell r="M686" t="str">
            <v>600.64</v>
          </cell>
          <cell r="N686" t="str">
            <v>309.87</v>
          </cell>
          <cell r="O686" t="str">
            <v>15.112746</v>
          </cell>
          <cell r="P686" t="str">
            <v>108.793737</v>
          </cell>
          <cell r="Q686" t="str">
            <v>290.77</v>
          </cell>
          <cell r="R686" t="str">
            <v>15.107789</v>
          </cell>
          <cell r="S686" t="str">
            <v>108.790053</v>
          </cell>
          <cell r="T686" t="str">
            <v>full_h04/Quảng Ngãi/Quảng Ngãi Cấp III - IV/Quảng Ngãi Cấp IV/Cấp 4 Ring17/Tư Nghĩa - TT1 QUẢNG NGÃI/Trụ hạ thế 3</v>
          </cell>
          <cell r="U686">
            <v>600.64</v>
          </cell>
        </row>
        <row r="687">
          <cell r="L687" t="str">
            <v>Khối Phòng PA08_PA05 - TT1 Quảng Ngãi</v>
          </cell>
          <cell r="M687" t="str">
            <v>121.29</v>
          </cell>
          <cell r="N687" t="str">
            <v>109.61</v>
          </cell>
          <cell r="O687" t="str">
            <v>15.118825</v>
          </cell>
          <cell r="P687" t="str">
            <v>108.798416</v>
          </cell>
          <cell r="Q687" t="str">
            <v>11.68</v>
          </cell>
          <cell r="R687" t="str">
            <v>15.113891</v>
          </cell>
          <cell r="S687" t="str">
            <v>108.796320</v>
          </cell>
          <cell r="T687" t="str">
            <v>full_h04/Quảng Ngãi/Quảng Ngãi Cấp III - IV/Quảng Ngãi Cấp III/Phòng - Ring 2/Khối Phòng PA08_PA05 - TT1 Quảng Ngãi/hạ thế 1</v>
          </cell>
          <cell r="U687">
            <v>121.29</v>
          </cell>
        </row>
        <row r="688">
          <cell r="L688" t="str">
            <v>Khối Phòng PA08_PA05 - TT1 Quảng Ngãi</v>
          </cell>
          <cell r="M688" t="str">
            <v>229.16</v>
          </cell>
          <cell r="N688" t="str">
            <v>11.68</v>
          </cell>
          <cell r="O688" t="str">
            <v>15.113891</v>
          </cell>
          <cell r="P688" t="str">
            <v>108.796320</v>
          </cell>
          <cell r="Q688" t="str">
            <v>217.48</v>
          </cell>
          <cell r="R688" t="str">
            <v>15.118927</v>
          </cell>
          <cell r="S688" t="str">
            <v>108.798140</v>
          </cell>
          <cell r="T688" t="str">
            <v>full_h04/Quảng Ngãi/Quảng Ngãi Cấp III - IV/Quảng Ngãi Cấp III/Phòng - Ring 2/Khối Phòng PA08_PA05 - TT1 Quảng Ngãi/hạ thế 1</v>
          </cell>
          <cell r="U688">
            <v>229.16</v>
          </cell>
        </row>
        <row r="689">
          <cell r="L689" t="str">
            <v>K02 (D3</v>
          </cell>
          <cell r="M689" t="str">
            <v>560.87</v>
          </cell>
          <cell r="N689" t="str">
            <v>226.41</v>
          </cell>
          <cell r="O689" t="str">
            <v>15.122006</v>
          </cell>
          <cell r="P689" t="str">
            <v>108.814892</v>
          </cell>
          <cell r="Q689" t="str">
            <v>334.46</v>
          </cell>
          <cell r="R689" t="str">
            <v>15.115344</v>
          </cell>
          <cell r="S689" t="str">
            <v>108.816458</v>
          </cell>
          <cell r="T689" t="str">
            <v>full_h04/Quảng Ngãi/Quảng Ngãi Cấp III - IV/Quảng Ngãi Cấp III/Phòng - Ring 2/Đội CSGT Đường Thuỷ - PC08/K02 (D3/E23) - Đội CSGT Đường Thuỷ - PC08</v>
          </cell>
          <cell r="U689">
            <v>560.87</v>
          </cell>
        </row>
        <row r="690">
          <cell r="L690" t="str">
            <v>K02 (D3</v>
          </cell>
          <cell r="M690" t="str">
            <v>351.74</v>
          </cell>
          <cell r="N690" t="str">
            <v>334.46</v>
          </cell>
          <cell r="O690" t="str">
            <v>15.115344</v>
          </cell>
          <cell r="P690" t="str">
            <v>108.816458</v>
          </cell>
          <cell r="Q690" t="str">
            <v>17.29</v>
          </cell>
          <cell r="R690" t="str">
            <v>15.131022</v>
          </cell>
          <cell r="S690" t="str">
            <v>108.806347</v>
          </cell>
          <cell r="T690" t="str">
            <v>full_h04/Quảng Ngãi/Quảng Ngãi Cấp III - IV/Quảng Ngãi Cấp III/Phòng - Ring 2/Đội CSGT Đường Thuỷ - PC08/K02 (D3/E23) - Đội CSGT Đường Thuỷ - PC08</v>
          </cell>
          <cell r="U690">
            <v>351.74</v>
          </cell>
        </row>
        <row r="691">
          <cell r="L691" t="str">
            <v>Quảng Ngãi - Ring 1_An Phú-CAT Quảng Ngãi</v>
          </cell>
          <cell r="M691" t="str">
            <v>3533.57</v>
          </cell>
          <cell r="N691" t="str">
            <v>3521.99</v>
          </cell>
          <cell r="O691" t="str">
            <v>15.126675</v>
          </cell>
          <cell r="P691" t="str">
            <v>108.884335</v>
          </cell>
          <cell r="Q691" t="str">
            <v>11.58</v>
          </cell>
          <cell r="R691" t="str">
            <v>15.126736</v>
          </cell>
          <cell r="S691" t="str">
            <v>108.884363</v>
          </cell>
          <cell r="T691" t="str">
            <v>full_h04/Quảng Ngãi/Quảng Ngãi Cấp III - IV/Quảng Ngãi Cấp IV/Cấp 4 Ring 1/Quảng Ngãi - Ring 1_An Phú-CAT Quảng Ngãi/DL TT_1</v>
          </cell>
          <cell r="U691">
            <v>3533.57</v>
          </cell>
        </row>
        <row r="692">
          <cell r="L692" t="str">
            <v>Quảng Ngãi - Ring 1_An Phú-CAT Quảng Ngãi</v>
          </cell>
          <cell r="M692" t="str">
            <v>1642.30</v>
          </cell>
          <cell r="N692" t="str">
            <v>11.58</v>
          </cell>
          <cell r="O692" t="str">
            <v>15.126736</v>
          </cell>
          <cell r="P692" t="str">
            <v>108.884363</v>
          </cell>
          <cell r="Q692" t="str">
            <v>1630.72</v>
          </cell>
          <cell r="R692" t="str">
            <v>15.124923</v>
          </cell>
          <cell r="S692" t="str">
            <v>108.845949</v>
          </cell>
          <cell r="T692" t="str">
            <v>full_h04/Quảng Ngãi/Quảng Ngãi Cấp III - IV/Quảng Ngãi Cấp IV/Cấp 4 Ring 1/Quảng Ngãi - Ring 1_An Phú-CAT Quảng Ngãi/DL TT_1</v>
          </cell>
          <cell r="U692">
            <v>1642.3</v>
          </cell>
        </row>
        <row r="693">
          <cell r="L693" t="str">
            <v>Quảng Ngãi - Ring 1_Tịnh Khê - An Phú</v>
          </cell>
          <cell r="M693" t="str">
            <v>504.66</v>
          </cell>
          <cell r="N693" t="str">
            <v>469.96</v>
          </cell>
          <cell r="O693" t="str">
            <v>15.132929</v>
          </cell>
          <cell r="P693" t="str">
            <v>108.876476</v>
          </cell>
          <cell r="Q693" t="str">
            <v>34.70</v>
          </cell>
          <cell r="R693" t="str">
            <v>15.127030</v>
          </cell>
          <cell r="S693" t="str">
            <v>108.884162</v>
          </cell>
          <cell r="T693" t="str">
            <v>full_h04/Quảng Ngãi/Quảng Ngãi Cấp III - IV/Quảng Ngãi Cấp IV/Cấp 4 Ring 1/Quảng Ngãi - Ring 1_Tịnh Khê - An Phú.kmz/Quảng Ngãi - Ring 1_Tịnh Khê - An Phú/ĐL_TT</v>
          </cell>
          <cell r="U693">
            <v>504.66</v>
          </cell>
        </row>
        <row r="694">
          <cell r="L694" t="str">
            <v>Quảng Ngãi - Ring 1_An Phú-CAT Quảng Ngãi</v>
          </cell>
          <cell r="M694" t="str">
            <v>293.08</v>
          </cell>
          <cell r="N694" t="str">
            <v>281.50</v>
          </cell>
          <cell r="O694" t="str">
            <v>15.128410</v>
          </cell>
          <cell r="P694" t="str">
            <v>108.880370</v>
          </cell>
          <cell r="Q694" t="str">
            <v>11.58</v>
          </cell>
          <cell r="R694" t="str">
            <v>15.126736</v>
          </cell>
          <cell r="S694" t="str">
            <v>108.884363</v>
          </cell>
          <cell r="T694" t="str">
            <v>full_h04/Quảng Ngãi/Quảng Ngãi Cấp III - IV/Quảng Ngãi Cấp IV/Cấp 4 Ring 1/Quảng Ngãi - Ring 1_An Phú-CAT Quảng Ngãi/DL TT_1</v>
          </cell>
          <cell r="U694">
            <v>293.08</v>
          </cell>
        </row>
        <row r="695">
          <cell r="L695" t="str">
            <v>Quảng Ngãi - Ring 1_An Phú-CAT Quảng Ngãi</v>
          </cell>
          <cell r="M695" t="str">
            <v>197.17</v>
          </cell>
          <cell r="N695" t="str">
            <v>185.59</v>
          </cell>
          <cell r="O695" t="str">
            <v>15.124615</v>
          </cell>
          <cell r="P695" t="str">
            <v>108.860423</v>
          </cell>
          <cell r="Q695" t="str">
            <v>11.58</v>
          </cell>
          <cell r="R695" t="str">
            <v>15.126736</v>
          </cell>
          <cell r="S695" t="str">
            <v>108.884363</v>
          </cell>
          <cell r="T695" t="str">
            <v>full_h04/Quảng Ngãi/Quảng Ngãi Cấp III - IV/Quảng Ngãi Cấp IV/Cấp 4 Ring 1/Quảng Ngãi - Ring 1_An Phú-CAT Quảng Ngãi/DL TT_1</v>
          </cell>
          <cell r="U695">
            <v>197.17</v>
          </cell>
        </row>
        <row r="696">
          <cell r="L696" t="str">
            <v>Quảng Ngãi - Ring 1_An Phú-CAT Quảng Ngãi</v>
          </cell>
          <cell r="M696" t="str">
            <v>338.94</v>
          </cell>
          <cell r="N696" t="str">
            <v>327.36</v>
          </cell>
          <cell r="O696" t="str">
            <v>15.127604</v>
          </cell>
          <cell r="P696" t="str">
            <v>108.869018</v>
          </cell>
          <cell r="Q696" t="str">
            <v>11.58</v>
          </cell>
          <cell r="R696" t="str">
            <v>15.126736</v>
          </cell>
          <cell r="S696" t="str">
            <v>108.884363</v>
          </cell>
          <cell r="T696" t="str">
            <v>full_h04/Quảng Ngãi/Quảng Ngãi Cấp III - IV/Quảng Ngãi Cấp IV/Cấp 4 Ring 1/Quảng Ngãi - Ring 1_An Phú-CAT Quảng Ngãi/DL TT_1</v>
          </cell>
          <cell r="U696">
            <v>338.94</v>
          </cell>
        </row>
        <row r="697">
          <cell r="L697" t="str">
            <v>K02 (D3</v>
          </cell>
          <cell r="M697" t="str">
            <v>483.19</v>
          </cell>
          <cell r="N697" t="str">
            <v>443.89</v>
          </cell>
          <cell r="O697" t="str">
            <v>15.104867</v>
          </cell>
          <cell r="P697" t="str">
            <v>108.815320</v>
          </cell>
          <cell r="Q697" t="str">
            <v>39.30</v>
          </cell>
          <cell r="R697" t="str">
            <v>15.099724</v>
          </cell>
          <cell r="S697" t="str">
            <v>108.806913</v>
          </cell>
          <cell r="T697" t="str">
            <v>full_h04/Quảng Ngãi/Quảng Ngãi Cấp III - IV/Quảng Ngãi Cấp III/Phòng - Ring 2/Đội CSGT Đường Thuỷ - PC08/K02 (D3/E23) - Đội CSGT Đường Thuỷ - PC08</v>
          </cell>
          <cell r="U697">
            <v>483.19</v>
          </cell>
        </row>
        <row r="698">
          <cell r="L698" t="str">
            <v>Cơ sở cai nghiện (X. Nghĩa Kỳ, H. Tư Nghĩa) - TTCMKV Tư Nghĩa</v>
          </cell>
          <cell r="M698" t="str">
            <v>515.21</v>
          </cell>
          <cell r="N698" t="str">
            <v>47.39</v>
          </cell>
          <cell r="O698" t="str">
            <v>15.083940</v>
          </cell>
          <cell r="P698" t="str">
            <v>108.826428</v>
          </cell>
          <cell r="Q698" t="str">
            <v>467.82</v>
          </cell>
          <cell r="R698" t="str">
            <v>15.104257</v>
          </cell>
          <cell r="S698" t="str">
            <v>108.807107</v>
          </cell>
          <cell r="T698" t="str">
            <v>full_h04/Quảng Ngãi/Quảng Ngãi Cấp III - IV/Quảng Ngãi Cấp III/Phòng - Ring 4/Cơ sở cai nghiện (X. Nghĩa Kỳ, H. Tư Nghĩa) - TTCMKV Tư Nghĩa/trung thế 1</v>
          </cell>
          <cell r="U698">
            <v>515.21</v>
          </cell>
        </row>
        <row r="699">
          <cell r="L699" t="str">
            <v>PC08 - Khối Phòng PA08_PA05</v>
          </cell>
          <cell r="M699" t="str">
            <v>581.97</v>
          </cell>
          <cell r="N699" t="str">
            <v>49.13</v>
          </cell>
          <cell r="O699" t="str">
            <v>15.100458</v>
          </cell>
          <cell r="P699" t="str">
            <v>108.806602</v>
          </cell>
          <cell r="Q699" t="str">
            <v>532.84</v>
          </cell>
          <cell r="R699" t="str">
            <v>15.113075</v>
          </cell>
          <cell r="S699" t="str">
            <v>108.803137</v>
          </cell>
          <cell r="T699" t="str">
            <v>full_h04/Quảng Ngãi/Quảng Ngãi Cấp III - IV/Quảng Ngãi Cấp III/Phòng - Ring 2/PC08 - Khối Phòng PA08_PA05/PC08 - Khối Phòng PA08_PA05</v>
          </cell>
          <cell r="U699">
            <v>581.97</v>
          </cell>
        </row>
        <row r="700">
          <cell r="L700" t="str">
            <v>PC08 - Khối Phòng PA08_PA05</v>
          </cell>
          <cell r="M700" t="str">
            <v>90.92</v>
          </cell>
          <cell r="N700" t="str">
            <v>49.13</v>
          </cell>
          <cell r="O700" t="str">
            <v>15.100458</v>
          </cell>
          <cell r="P700" t="str">
            <v>108.806602</v>
          </cell>
          <cell r="Q700" t="str">
            <v>41.79</v>
          </cell>
          <cell r="R700" t="str">
            <v>15.107366</v>
          </cell>
          <cell r="S700" t="str">
            <v>108.803161</v>
          </cell>
          <cell r="T700" t="str">
            <v>full_h04/Quảng Ngãi/Quảng Ngãi Cấp III - IV/Quảng Ngãi Cấp III/Phòng - Ring 2/PC08 - Khối Phòng PA08_PA05/PC08 - Khối Phòng PA08_PA05</v>
          </cell>
          <cell r="U700">
            <v>90.92</v>
          </cell>
        </row>
        <row r="701">
          <cell r="L701" t="str">
            <v>Quảng Ngãi - Ring 1_Tịnh Khê - An Phú</v>
          </cell>
          <cell r="M701" t="str">
            <v>799.29</v>
          </cell>
          <cell r="N701" t="str">
            <v>443.88</v>
          </cell>
          <cell r="O701" t="str">
            <v>15.119071</v>
          </cell>
          <cell r="P701" t="str">
            <v>108.825151</v>
          </cell>
          <cell r="Q701" t="str">
            <v>355.41</v>
          </cell>
          <cell r="R701" t="str">
            <v>15.121620</v>
          </cell>
          <cell r="S701" t="str">
            <v>108.834674</v>
          </cell>
          <cell r="T701" t="str">
            <v>full_h04/Quảng Ngãi/Quảng Ngãi Cấp III - IV/Quảng Ngãi Cấp IV/Cấp 4 Ring 1/Quảng Ngãi - Ring 1_Tịnh Khê - An Phú.kmz/Quảng Ngãi - Ring 1_Tịnh Khê - An Phú/ĐL_HT</v>
          </cell>
          <cell r="U701">
            <v>799.29</v>
          </cell>
        </row>
        <row r="702">
          <cell r="L702" t="str">
            <v>Quảng Ngãi - Ring 1_Tịnh Khê - An Phú</v>
          </cell>
          <cell r="M702" t="str">
            <v>589.25</v>
          </cell>
          <cell r="N702" t="str">
            <v>145.37</v>
          </cell>
          <cell r="O702" t="str">
            <v>15.132324</v>
          </cell>
          <cell r="P702" t="str">
            <v>108.842215</v>
          </cell>
          <cell r="Q702" t="str">
            <v>443.88</v>
          </cell>
          <cell r="R702" t="str">
            <v>15.119071</v>
          </cell>
          <cell r="S702" t="str">
            <v>108.825151</v>
          </cell>
          <cell r="T702" t="str">
            <v>full_h04/Quảng Ngãi/Quảng Ngãi Cấp III - IV/Quảng Ngãi Cấp IV/Cấp 4 Ring 1/Quảng Ngãi - Ring 1_Tịnh Khê - An Phú.kmz/Quảng Ngãi - Ring 1_Tịnh Khê - An Phú/ĐL_HT</v>
          </cell>
          <cell r="U702">
            <v>589.25</v>
          </cell>
        </row>
        <row r="703">
          <cell r="L703" t="str">
            <v>PA03 - PC03</v>
          </cell>
          <cell r="M703" t="str">
            <v>78.84</v>
          </cell>
          <cell r="N703" t="str">
            <v>65.99</v>
          </cell>
          <cell r="O703" t="str">
            <v>15.122650</v>
          </cell>
          <cell r="P703" t="str">
            <v>108.800957</v>
          </cell>
          <cell r="Q703" t="str">
            <v>12.86</v>
          </cell>
          <cell r="R703" t="str">
            <v>15.120733</v>
          </cell>
          <cell r="S703" t="str">
            <v>108.798780</v>
          </cell>
          <cell r="T703" t="str">
            <v>full_h04/Quảng Ngãi/Quảng Ngãi Cấp III - IV/Quảng Ngãi Cấp III/Phòng - Ring 3/PA03 - PC03/Hạ thế 1</v>
          </cell>
          <cell r="U703">
            <v>78.84</v>
          </cell>
        </row>
        <row r="704">
          <cell r="L704" t="str">
            <v>E23)</v>
          </cell>
          <cell r="M704" t="str">
            <v>1026.17</v>
          </cell>
          <cell r="N704" t="str">
            <v>926.76</v>
          </cell>
          <cell r="O704" t="str">
            <v>15.128491</v>
          </cell>
          <cell r="P704" t="str">
            <v>108.795727</v>
          </cell>
          <cell r="Q704" t="str">
            <v>99.41</v>
          </cell>
          <cell r="R704" t="str">
            <v>15.132609</v>
          </cell>
          <cell r="S704" t="str">
            <v>108.796115</v>
          </cell>
          <cell r="T704" t="str">
            <v>full_h04/Quảng Ngãi/Quảng Ngãi Cấp III - IV/Quảng Ngãi Cấp III/Phòng - Ring 2/khối phòng CAT KV P.NL - K02 (D3/E23)/trung thế 1</v>
          </cell>
          <cell r="U704">
            <v>1026.17</v>
          </cell>
        </row>
        <row r="705">
          <cell r="L705" t="str">
            <v>K02 (D3</v>
          </cell>
          <cell r="M705" t="str">
            <v>587.94</v>
          </cell>
          <cell r="N705" t="str">
            <v>361.53</v>
          </cell>
          <cell r="O705" t="str">
            <v>15.112512</v>
          </cell>
          <cell r="P705" t="str">
            <v>108.817047</v>
          </cell>
          <cell r="Q705" t="str">
            <v>226.41</v>
          </cell>
          <cell r="R705" t="str">
            <v>15.122006</v>
          </cell>
          <cell r="S705" t="str">
            <v>108.814892</v>
          </cell>
          <cell r="T705" t="str">
            <v>full_h04/Quảng Ngãi/Quảng Ngãi Cấp III - IV/Quảng Ngãi Cấp III/Phòng - Ring 2/Đội CSGT Đường Thuỷ - PC08/K02 (D3/E23) - Đội CSGT Đường Thuỷ - PC08</v>
          </cell>
          <cell r="U705">
            <v>587.94000000000005</v>
          </cell>
        </row>
        <row r="706">
          <cell r="L706" t="str">
            <v>Vệ Giang - Cẩm Thành</v>
          </cell>
          <cell r="M706" t="str">
            <v>971.37</v>
          </cell>
          <cell r="N706" t="str">
            <v>345.03</v>
          </cell>
          <cell r="O706" t="str">
            <v>15.085029</v>
          </cell>
          <cell r="P706" t="str">
            <v>108.829308</v>
          </cell>
          <cell r="Q706" t="str">
            <v>626.34</v>
          </cell>
          <cell r="R706" t="str">
            <v>15.116374</v>
          </cell>
          <cell r="S706" t="str">
            <v>108.816103</v>
          </cell>
          <cell r="T706" t="str">
            <v>full_h04/Quảng Ngãi/Quảng Ngãi Cấp III - IV/Quảng Ngãi Cấp IV/Cấp 4 Ring 16/Vệ Giang - Cẩm Thành/Trụ trung thế 2</v>
          </cell>
          <cell r="U706">
            <v>971.37</v>
          </cell>
        </row>
        <row r="707">
          <cell r="L707" t="str">
            <v>E23)</v>
          </cell>
          <cell r="M707" t="str">
            <v>147.31</v>
          </cell>
          <cell r="N707" t="str">
            <v>47.91</v>
          </cell>
          <cell r="O707" t="str">
            <v>15.128491</v>
          </cell>
          <cell r="P707" t="str">
            <v>108.795727</v>
          </cell>
          <cell r="Q707" t="str">
            <v>99.41</v>
          </cell>
          <cell r="R707" t="str">
            <v>15.132609</v>
          </cell>
          <cell r="S707" t="str">
            <v>108.796115</v>
          </cell>
          <cell r="T707" t="str">
            <v>full_h04/Quảng Ngãi/Quảng Ngãi Cấp III - IV/Quảng Ngãi Cấp III/Phòng - Ring 2/khối phòng CAT KV P.NL - K02 (D3/E23)/trung thế 1</v>
          </cell>
          <cell r="U707">
            <v>147.31</v>
          </cell>
        </row>
        <row r="708">
          <cell r="L708" t="str">
            <v>Quảng Ngãi - Ring 1_Đông Sơn - Tịnh Khê</v>
          </cell>
          <cell r="M708" t="str">
            <v>127.32</v>
          </cell>
          <cell r="N708" t="str">
            <v>52.80</v>
          </cell>
          <cell r="O708" t="str">
            <v>15.200166</v>
          </cell>
          <cell r="P708" t="str">
            <v>108.836060</v>
          </cell>
          <cell r="Q708" t="str">
            <v>74.52</v>
          </cell>
          <cell r="R708" t="str">
            <v>15.182303</v>
          </cell>
          <cell r="S708" t="str">
            <v>108.852679</v>
          </cell>
          <cell r="T708" t="str">
            <v>full_h04/Quảng Ngãi/Quảng Ngãi Cấp III - IV/Quảng Ngãi Cấp IV/Cấp 4 Ring 1/Quảng Ngãi - Ring 1_Đông Sơn - Tịnh Khê.kmz/Quảng Ngãi - Ring 1_Đông Sơn - Tịnh Khê/ĐL TT_1</v>
          </cell>
          <cell r="U708">
            <v>127.32</v>
          </cell>
        </row>
        <row r="709">
          <cell r="L709" t="str">
            <v>Đội CSGT Đường Thuỷ - PC08</v>
          </cell>
          <cell r="M709" t="str">
            <v>1869.73</v>
          </cell>
          <cell r="N709" t="str">
            <v>148.51</v>
          </cell>
          <cell r="O709" t="str">
            <v>15.181643</v>
          </cell>
          <cell r="P709" t="str">
            <v>108.852451</v>
          </cell>
          <cell r="Q709" t="str">
            <v>1721.22</v>
          </cell>
          <cell r="R709" t="str">
            <v>15.189964</v>
          </cell>
          <cell r="S709" t="str">
            <v>108.869676</v>
          </cell>
          <cell r="T709" t="str">
            <v>full_h04/Quảng Ngãi/Quảng Ngãi Cấp III - IV/Quảng Ngãi Cấp III/Phòng - Ring 2/Đội CSGT Đường Thuỷ - PC08/trung thế 1</v>
          </cell>
          <cell r="U709">
            <v>1869.73</v>
          </cell>
        </row>
        <row r="710">
          <cell r="L710" t="str">
            <v>Quảng Ngãi - Ring 1_Đông Sơn - Tịnh Khê</v>
          </cell>
          <cell r="M710" t="str">
            <v>918.81</v>
          </cell>
          <cell r="N710" t="str">
            <v>844.29</v>
          </cell>
          <cell r="O710" t="str">
            <v>15.191810</v>
          </cell>
          <cell r="P710" t="str">
            <v>108.841418</v>
          </cell>
          <cell r="Q710" t="str">
            <v>74.52</v>
          </cell>
          <cell r="R710" t="str">
            <v>15.182303</v>
          </cell>
          <cell r="S710" t="str">
            <v>108.852679</v>
          </cell>
          <cell r="T710" t="str">
            <v>full_h04/Quảng Ngãi/Quảng Ngãi Cấp III - IV/Quảng Ngãi Cấp IV/Cấp 4 Ring 1/Quảng Ngãi - Ring 1_Đông Sơn - Tịnh Khê.kmz/Quảng Ngãi - Ring 1_Đông Sơn - Tịnh Khê/ĐL TT_1</v>
          </cell>
          <cell r="U710">
            <v>918.81</v>
          </cell>
        </row>
        <row r="711">
          <cell r="L711" t="str">
            <v>PC10-PA06</v>
          </cell>
          <cell r="M711" t="str">
            <v>721.72</v>
          </cell>
          <cell r="N711" t="str">
            <v>192.61</v>
          </cell>
          <cell r="O711" t="str">
            <v>15.151139</v>
          </cell>
          <cell r="P711" t="str">
            <v>108.787036</v>
          </cell>
          <cell r="Q711" t="str">
            <v>529.11</v>
          </cell>
          <cell r="R711" t="str">
            <v>15.150714</v>
          </cell>
          <cell r="S711" t="str">
            <v>108.796720</v>
          </cell>
          <cell r="T711" t="str">
            <v>full_h04/Quảng Ngãi/Quảng Ngãi Cấp III - IV/Quảng Ngãi Cấp III/Phòng - Ring 3/PC10-PA06/trung thế 1</v>
          </cell>
          <cell r="U711">
            <v>721.72</v>
          </cell>
        </row>
        <row r="712">
          <cell r="L712" t="str">
            <v>Bình Sơn - TT1 Quảng Ngãi</v>
          </cell>
          <cell r="M712" t="str">
            <v>209.25</v>
          </cell>
          <cell r="N712" t="str">
            <v>98.68</v>
          </cell>
          <cell r="O712" t="str">
            <v>15.156208</v>
          </cell>
          <cell r="P712" t="str">
            <v>108.797400</v>
          </cell>
          <cell r="Q712" t="str">
            <v>110.57</v>
          </cell>
          <cell r="R712" t="str">
            <v>15.201007</v>
          </cell>
          <cell r="S712" t="str">
            <v>108.789580</v>
          </cell>
          <cell r="T712" t="str">
            <v>full_h04/Quảng Ngãi/Quảng Ngãi Cấp III - IV/Quảng Ngãi Cấp III/Cấp 3 - Ring 1/Bình Sơn - TT1 Quảng Ngãi/trung thế 3</v>
          </cell>
          <cell r="U712">
            <v>209.25</v>
          </cell>
        </row>
        <row r="713">
          <cell r="L713" t="str">
            <v>PC10-PA06</v>
          </cell>
          <cell r="M713" t="str">
            <v>1549.89</v>
          </cell>
          <cell r="N713" t="str">
            <v>1518.70</v>
          </cell>
          <cell r="O713" t="str">
            <v>15.151586</v>
          </cell>
          <cell r="P713" t="str">
            <v>108.778709</v>
          </cell>
          <cell r="Q713" t="str">
            <v>31.19</v>
          </cell>
          <cell r="R713" t="str">
            <v>15.148739</v>
          </cell>
          <cell r="S713" t="str">
            <v>108.797346</v>
          </cell>
          <cell r="T713" t="str">
            <v>full_h04/Quảng Ngãi/Quảng Ngãi Cấp III - IV/Quảng Ngãi Cấp III/Phòng - Ring 3/PC10-PA06/trung thế 1</v>
          </cell>
          <cell r="U713">
            <v>1549.89</v>
          </cell>
        </row>
        <row r="714">
          <cell r="L714" t="str">
            <v>Bình Sơn - TT1 Quảng Ngãi</v>
          </cell>
          <cell r="M714" t="str">
            <v>871.29</v>
          </cell>
          <cell r="N714" t="str">
            <v>244.90</v>
          </cell>
          <cell r="O714" t="str">
            <v>15.146458</v>
          </cell>
          <cell r="P714" t="str">
            <v>108.797673</v>
          </cell>
          <cell r="Q714" t="str">
            <v>626.39</v>
          </cell>
          <cell r="R714" t="str">
            <v>15.177980</v>
          </cell>
          <cell r="S714" t="str">
            <v>108.797039</v>
          </cell>
          <cell r="T714" t="str">
            <v>full_h04/Quảng Ngãi/Quảng Ngãi Cấp III - IV/Quảng Ngãi Cấp III/Cấp 3 - Ring 1/Bình Sơn - TT1 Quảng Ngãi/trung thế 3</v>
          </cell>
          <cell r="U714">
            <v>871.29</v>
          </cell>
        </row>
        <row r="715">
          <cell r="L715" t="str">
            <v>Thọ Phong - Trương Quang Trọng</v>
          </cell>
          <cell r="M715" t="str">
            <v>427.25</v>
          </cell>
          <cell r="N715" t="str">
            <v>365.07</v>
          </cell>
          <cell r="O715" t="str">
            <v>15.197609</v>
          </cell>
          <cell r="P715" t="str">
            <v>108.789320</v>
          </cell>
          <cell r="Q715" t="str">
            <v>62.18</v>
          </cell>
          <cell r="R715" t="str">
            <v>15.216231</v>
          </cell>
          <cell r="S715" t="str">
            <v>108.762065</v>
          </cell>
          <cell r="T715" t="str">
            <v>full_h04/Quảng Ngãi/Quảng Ngãi Cấp III - IV/Quảng Ngãi Cấp IV/Cấp 4 Ring 3/Thọ Phong - Trương Quang Trọng/ĐL TT_1</v>
          </cell>
          <cell r="U715">
            <v>427.25</v>
          </cell>
        </row>
        <row r="716">
          <cell r="L716" t="str">
            <v>Bình Sơn - Thọ Phong</v>
          </cell>
          <cell r="M716" t="str">
            <v>1405.98</v>
          </cell>
          <cell r="N716" t="str">
            <v>61.70</v>
          </cell>
          <cell r="O716" t="str">
            <v>15.216234</v>
          </cell>
          <cell r="P716" t="str">
            <v>108.762061</v>
          </cell>
          <cell r="Q716" t="str">
            <v>1344.28</v>
          </cell>
          <cell r="R716" t="str">
            <v>15.239759</v>
          </cell>
          <cell r="S716" t="str">
            <v>108.759897</v>
          </cell>
          <cell r="T716" t="str">
            <v>full_h04/Quảng Ngãi/Quảng Ngãi Cấp III - IV/Quảng Ngãi Cấp IV/Cấp 4 Ring 3/Bình Sơn - Thọ Phong/ĐL TT_2</v>
          </cell>
          <cell r="U716">
            <v>1405.98</v>
          </cell>
        </row>
        <row r="717">
          <cell r="L717" t="str">
            <v>Bình Sơn - Thọ Phong</v>
          </cell>
          <cell r="M717" t="str">
            <v>117.83</v>
          </cell>
          <cell r="N717" t="str">
            <v>56.14</v>
          </cell>
          <cell r="O717" t="str">
            <v>15.240517</v>
          </cell>
          <cell r="P717" t="str">
            <v>108.763161</v>
          </cell>
          <cell r="Q717" t="str">
            <v>61.70</v>
          </cell>
          <cell r="R717" t="str">
            <v>15.216234</v>
          </cell>
          <cell r="S717" t="str">
            <v>108.762061</v>
          </cell>
          <cell r="T717" t="str">
            <v>full_h04/Quảng Ngãi/Quảng Ngãi Cấp III - IV/Quảng Ngãi Cấp IV/Cấp 4 Ring 3/Bình Sơn - Thọ Phong/ĐL TT_2</v>
          </cell>
          <cell r="U717">
            <v>117.83</v>
          </cell>
        </row>
        <row r="718">
          <cell r="L718" t="str">
            <v>Bình Sơn - Thọ Phong</v>
          </cell>
          <cell r="M718" t="str">
            <v>1405.98</v>
          </cell>
          <cell r="N718" t="str">
            <v>1344.28</v>
          </cell>
          <cell r="O718" t="str">
            <v>15.239759</v>
          </cell>
          <cell r="P718" t="str">
            <v>108.759897</v>
          </cell>
          <cell r="Q718" t="str">
            <v>61.70</v>
          </cell>
          <cell r="R718" t="str">
            <v>15.216234</v>
          </cell>
          <cell r="S718" t="str">
            <v>108.762061</v>
          </cell>
          <cell r="T718" t="str">
            <v>full_h04/Quảng Ngãi/Quảng Ngãi Cấp III - IV/Quảng Ngãi Cấp IV/Cấp 4 Ring 3/Bình Sơn - Thọ Phong/ĐL TT_2</v>
          </cell>
          <cell r="U718">
            <v>1405.98</v>
          </cell>
        </row>
        <row r="719">
          <cell r="L719" t="str">
            <v>Bình Chương - Sơn Tịnh</v>
          </cell>
          <cell r="M719" t="str">
            <v>4295.74</v>
          </cell>
          <cell r="N719" t="str">
            <v>78.06</v>
          </cell>
          <cell r="O719" t="str">
            <v>15.155013</v>
          </cell>
          <cell r="P719" t="str">
            <v>108.735971</v>
          </cell>
          <cell r="Q719" t="str">
            <v>4217.68</v>
          </cell>
          <cell r="R719" t="str">
            <v>15.190061</v>
          </cell>
          <cell r="S719" t="str">
            <v>108.724847</v>
          </cell>
          <cell r="T719" t="str">
            <v>full_h04/Quảng Ngãi/Quảng Ngãi Cấp III - IV/Quảng Ngãi Cấp IV/Cấp 4 Ring 2/Bình Chương - Sơn Tịnh/Trung thế</v>
          </cell>
          <cell r="U719">
            <v>4295.74</v>
          </cell>
        </row>
        <row r="720">
          <cell r="L720" t="str">
            <v>PC07 - Sơn Tịnh</v>
          </cell>
          <cell r="M720" t="str">
            <v>907.42</v>
          </cell>
          <cell r="N720" t="str">
            <v>790.80</v>
          </cell>
          <cell r="O720" t="str">
            <v>15.151778</v>
          </cell>
          <cell r="P720" t="str">
            <v>108.773307</v>
          </cell>
          <cell r="Q720" t="str">
            <v>116.62</v>
          </cell>
          <cell r="R720" t="str">
            <v>15.155536</v>
          </cell>
          <cell r="S720" t="str">
            <v>108.736003</v>
          </cell>
          <cell r="T720" t="str">
            <v>full_h04/Quảng Ngãi/Quảng Ngãi Cấp III - IV/Quảng Ngãi Cấp III/Phòng - Ring 1/PC07 - Sơn Tịnh/PC07 - Sơn Tịnh_1</v>
          </cell>
          <cell r="U720">
            <v>907.42</v>
          </cell>
        </row>
        <row r="721">
          <cell r="L721" t="str">
            <v>Trà Giang - Nghĩa Giang</v>
          </cell>
          <cell r="M721" t="str">
            <v>2326.13</v>
          </cell>
          <cell r="N721" t="str">
            <v>1.62</v>
          </cell>
          <cell r="O721" t="str">
            <v>15.132306</v>
          </cell>
          <cell r="P721" t="str">
            <v>108.712856</v>
          </cell>
          <cell r="Q721" t="str">
            <v>2324.52</v>
          </cell>
          <cell r="R721" t="str">
            <v>15.132866</v>
          </cell>
          <cell r="S721" t="str">
            <v>108.712329</v>
          </cell>
          <cell r="T721" t="str">
            <v>full_h04/Quảng Ngãi/Quảng Ngãi Cấp III - IV/Quảng Ngãi Cấp IV/Cấp 4 Ring 13/Trà Giang - Nghĩa Giang/Trồng trụ mới 1</v>
          </cell>
          <cell r="U721">
            <v>2326.13</v>
          </cell>
        </row>
        <row r="722">
          <cell r="L722" t="str">
            <v>Phước Giang - Trà Giang</v>
          </cell>
          <cell r="M722" t="str">
            <v>749.14</v>
          </cell>
          <cell r="N722" t="str">
            <v>682.80</v>
          </cell>
          <cell r="O722" t="str">
            <v>15.129135</v>
          </cell>
          <cell r="P722" t="str">
            <v>108.711259</v>
          </cell>
          <cell r="Q722" t="str">
            <v>66.34</v>
          </cell>
          <cell r="R722" t="str">
            <v>15.132634</v>
          </cell>
          <cell r="S722" t="str">
            <v>108.712358</v>
          </cell>
          <cell r="T722" t="str">
            <v>full_h04/Quảng Ngãi/Quảng Ngãi Cấp III - IV/Quảng Ngãi Cấp IV/Cấp 4 Ring 13/Phước Giang - Trà Giang/Trụ trung thế 2</v>
          </cell>
          <cell r="U722">
            <v>749.14</v>
          </cell>
        </row>
        <row r="723">
          <cell r="L723" t="str">
            <v>Trà Giang - Nghĩa Giang</v>
          </cell>
          <cell r="M723" t="str">
            <v>1664.54</v>
          </cell>
          <cell r="N723" t="str">
            <v>1579.29</v>
          </cell>
          <cell r="O723" t="str">
            <v>15.132004</v>
          </cell>
          <cell r="P723" t="str">
            <v>108.721380</v>
          </cell>
          <cell r="Q723" t="str">
            <v>85.26</v>
          </cell>
          <cell r="R723" t="str">
            <v>15.132867</v>
          </cell>
          <cell r="S723" t="str">
            <v>108.712336</v>
          </cell>
          <cell r="T723" t="str">
            <v>full_h04/Quảng Ngãi/Quảng Ngãi Cấp III - IV/Quảng Ngãi Cấp IV/Cấp 4 Ring 13/Trà Giang - Nghĩa Giang/Trụ trung thế 1</v>
          </cell>
          <cell r="U723">
            <v>1664.54</v>
          </cell>
        </row>
        <row r="724">
          <cell r="L724" t="str">
            <v>Trà Giang - Nghĩa Giang</v>
          </cell>
          <cell r="M724" t="str">
            <v>376.76</v>
          </cell>
          <cell r="N724" t="str">
            <v>291.51</v>
          </cell>
          <cell r="O724" t="str">
            <v>15.119568</v>
          </cell>
          <cell r="P724" t="str">
            <v>108.747144</v>
          </cell>
          <cell r="Q724" t="str">
            <v>85.26</v>
          </cell>
          <cell r="R724" t="str">
            <v>15.132867</v>
          </cell>
          <cell r="S724" t="str">
            <v>108.712336</v>
          </cell>
          <cell r="T724" t="str">
            <v>full_h04/Quảng Ngãi/Quảng Ngãi Cấp III - IV/Quảng Ngãi Cấp IV/Cấp 4 Ring 13/Trà Giang - Nghĩa Giang/Trụ trung thế 1</v>
          </cell>
          <cell r="U724">
            <v>376.76</v>
          </cell>
        </row>
        <row r="725">
          <cell r="L725" t="str">
            <v>Mộ Đức - Vệ Giang</v>
          </cell>
          <cell r="M725" t="str">
            <v>358.00</v>
          </cell>
          <cell r="N725" t="str">
            <v>62.50</v>
          </cell>
          <cell r="O725" t="str">
            <v>15.030848</v>
          </cell>
          <cell r="P725" t="str">
            <v>108.839188</v>
          </cell>
          <cell r="Q725" t="str">
            <v>295.50</v>
          </cell>
          <cell r="R725" t="str">
            <v>15.047159</v>
          </cell>
          <cell r="S725" t="str">
            <v>108.847313</v>
          </cell>
          <cell r="T725" t="str">
            <v>full_h04/Quảng Ngãi/Quảng Ngãi Cấp III - IV/Quảng Ngãi Cấp IV/Cấp 4 Ring 16/Mộ Đức - Vệ Giang/Trụ trung thế 3</v>
          </cell>
          <cell r="U725">
            <v>358</v>
          </cell>
        </row>
        <row r="726">
          <cell r="L726" t="str">
            <v>Long Phụng - Tư Nghĩa</v>
          </cell>
          <cell r="M726" t="str">
            <v>220.25</v>
          </cell>
          <cell r="N726" t="str">
            <v>115.37</v>
          </cell>
          <cell r="O726" t="str">
            <v>15.048644</v>
          </cell>
          <cell r="P726" t="str">
            <v>108.848180</v>
          </cell>
          <cell r="Q726" t="str">
            <v>104.88</v>
          </cell>
          <cell r="R726" t="str">
            <v>15.058428</v>
          </cell>
          <cell r="S726" t="str">
            <v>108.842528</v>
          </cell>
          <cell r="T726" t="str">
            <v>full_h04/Quảng Ngãi/Quảng Ngãi Cấp III - IV/Quảng Ngãi Cấp IV/Cấp 4 Ring17/Long Phụng - Tư Nghĩa/Trụ trung thế 2</v>
          </cell>
          <cell r="U726">
            <v>220.25</v>
          </cell>
        </row>
        <row r="727">
          <cell r="L727" t="str">
            <v>Long Phụng - Tư Nghĩa</v>
          </cell>
          <cell r="M727" t="str">
            <v>1566.80</v>
          </cell>
          <cell r="N727" t="str">
            <v>365.36</v>
          </cell>
          <cell r="O727" t="str">
            <v>15.030893</v>
          </cell>
          <cell r="P727" t="str">
            <v>108.861534</v>
          </cell>
          <cell r="Q727" t="str">
            <v>1201.45</v>
          </cell>
          <cell r="R727" t="str">
            <v>15.038814</v>
          </cell>
          <cell r="S727" t="str">
            <v>108.852256</v>
          </cell>
          <cell r="T727" t="str">
            <v>full_h04/Quảng Ngãi/Quảng Ngãi Cấp III - IV/Quảng Ngãi Cấp IV/Cấp 4 Ring17/Long Phụng - Tư Nghĩa/Trụ trung thế 1</v>
          </cell>
          <cell r="U727">
            <v>1566.8</v>
          </cell>
        </row>
        <row r="728">
          <cell r="L728" t="str">
            <v>Phước Giang - Trà Giang</v>
          </cell>
          <cell r="M728" t="str">
            <v>598.44</v>
          </cell>
          <cell r="N728" t="str">
            <v>100.68</v>
          </cell>
          <cell r="O728" t="str">
            <v>15.111948</v>
          </cell>
          <cell r="P728" t="str">
            <v>108.734939</v>
          </cell>
          <cell r="Q728" t="str">
            <v>497.76</v>
          </cell>
          <cell r="R728" t="str">
            <v>15.112887</v>
          </cell>
          <cell r="S728" t="str">
            <v>108.744661</v>
          </cell>
          <cell r="T728" t="str">
            <v>full_h04/Quảng Ngãi/Quảng Ngãi Cấp III - IV/Quảng Ngãi Cấp IV/Cấp 4 Ring 13/Phước Giang - Trà Giang/Trụ trung thế 2</v>
          </cell>
          <cell r="U728">
            <v>598.44000000000005</v>
          </cell>
        </row>
        <row r="729">
          <cell r="L729" t="str">
            <v>Trường Giang - TT1 QUẢNG NGÃI</v>
          </cell>
          <cell r="M729" t="str">
            <v>303.81</v>
          </cell>
          <cell r="N729" t="str">
            <v>97.22</v>
          </cell>
          <cell r="O729" t="str">
            <v>15.116405</v>
          </cell>
          <cell r="P729" t="str">
            <v>108.754485</v>
          </cell>
          <cell r="Q729" t="str">
            <v>206.60</v>
          </cell>
          <cell r="R729" t="str">
            <v>15.118936</v>
          </cell>
          <cell r="S729" t="str">
            <v>108.746558</v>
          </cell>
          <cell r="T729" t="str">
            <v>full_h04/Quảng Ngãi/Quảng Ngãi Cấp III - IV/Quảng Ngãi Cấp IV/Cấp 4 Ring 7/Trường Giang - TT1 QUẢNG NGÃI/Hạ thế</v>
          </cell>
          <cell r="U729">
            <v>303.81</v>
          </cell>
        </row>
        <row r="730">
          <cell r="L730" t="str">
            <v>Phước Giang - Trà Giang</v>
          </cell>
          <cell r="M730" t="str">
            <v>564.60</v>
          </cell>
          <cell r="N730" t="str">
            <v>497.76</v>
          </cell>
          <cell r="O730" t="str">
            <v>15.112887</v>
          </cell>
          <cell r="P730" t="str">
            <v>108.744661</v>
          </cell>
          <cell r="Q730" t="str">
            <v>66.83</v>
          </cell>
          <cell r="R730" t="str">
            <v>15.093600</v>
          </cell>
          <cell r="S730" t="str">
            <v>108.750170</v>
          </cell>
          <cell r="T730" t="str">
            <v>full_h04/Quảng Ngãi/Quảng Ngãi Cấp III - IV/Quảng Ngãi Cấp IV/Cấp 4 Ring 13/Phước Giang - Trà Giang/Trụ trung thế 2</v>
          </cell>
          <cell r="U730">
            <v>564.6</v>
          </cell>
        </row>
        <row r="731">
          <cell r="L731" t="str">
            <v>Quảng Ngãi - Ring 1_An Phú-CAT Quảng Ngãi</v>
          </cell>
          <cell r="M731" t="str">
            <v>4454.04</v>
          </cell>
          <cell r="N731" t="str">
            <v>1296.06</v>
          </cell>
          <cell r="O731" t="str">
            <v>15.124615</v>
          </cell>
          <cell r="P731" t="str">
            <v>108.860423</v>
          </cell>
          <cell r="Q731" t="str">
            <v>3157.98</v>
          </cell>
          <cell r="R731" t="str">
            <v>15.119130</v>
          </cell>
          <cell r="S731" t="str">
            <v>108.825180</v>
          </cell>
          <cell r="T731" t="str">
            <v>full_h04/Quảng Ngãi/Quảng Ngãi Cấp III - IV/Quảng Ngãi Cấp IV/Cấp 4 Ring 1/Quảng Ngãi - Ring 1_An Phú-CAT Quảng Ngãi/DL TT_1</v>
          </cell>
          <cell r="U731">
            <v>4454.04</v>
          </cell>
        </row>
        <row r="732">
          <cell r="L732" t="str">
            <v>Vệ Giang - Cẩm Thành</v>
          </cell>
          <cell r="M732" t="str">
            <v>2723.56</v>
          </cell>
          <cell r="N732" t="str">
            <v>2001.09</v>
          </cell>
          <cell r="O732" t="str">
            <v>15.089960</v>
          </cell>
          <cell r="P732" t="str">
            <v>108.830865</v>
          </cell>
          <cell r="Q732" t="str">
            <v>722.47</v>
          </cell>
          <cell r="R732" t="str">
            <v>15.093293</v>
          </cell>
          <cell r="S732" t="str">
            <v>108.828044</v>
          </cell>
          <cell r="T732" t="str">
            <v>full_h04/Quảng Ngãi/Quảng Ngãi Cấp III - IV/Quảng Ngãi Cấp IV/Cấp 4 Ring 16/Vệ Giang - Cẩm Thành/Trụ trung thế 2</v>
          </cell>
          <cell r="U732">
            <v>2723.56</v>
          </cell>
        </row>
        <row r="733">
          <cell r="L733" t="str">
            <v>Ring 7 Hóa Châu-Mỹ Thượng</v>
          </cell>
          <cell r="M733" t="str">
            <v>3507.62</v>
          </cell>
          <cell r="N733" t="str">
            <v>1903.66</v>
          </cell>
          <cell r="O733" t="str">
            <v>16.493866</v>
          </cell>
          <cell r="P733" t="str">
            <v>107.622596</v>
          </cell>
          <cell r="Q733" t="str">
            <v>1603.95</v>
          </cell>
          <cell r="R733" t="str">
            <v>16.534875</v>
          </cell>
          <cell r="S733" t="str">
            <v>107.629738</v>
          </cell>
          <cell r="T733" t="str">
            <v>full_h04/Huế/Mang cap 4/Ring 7/Ring 7 Hóa Châu-Mỹ Thượng/Tuyến trung thế 2</v>
          </cell>
          <cell r="U733">
            <v>3507.62</v>
          </cell>
        </row>
        <row r="734">
          <cell r="L734" t="str">
            <v>TTCMKV_Ring 1_Phú Vang-Phú Lộc</v>
          </cell>
          <cell r="M734" t="str">
            <v>14876.49</v>
          </cell>
          <cell r="N734" t="str">
            <v>6451.64</v>
          </cell>
          <cell r="O734" t="str">
            <v>16.432221</v>
          </cell>
          <cell r="P734" t="str">
            <v>107.776447</v>
          </cell>
          <cell r="Q734" t="str">
            <v>8424.86</v>
          </cell>
          <cell r="R734" t="str">
            <v>16.345566</v>
          </cell>
          <cell r="S734" t="str">
            <v>107.899031</v>
          </cell>
          <cell r="T734" t="str">
            <v>full_h04/Huế/Mạng cấp 3/Ring 1 TTCMKV/TTCMKV_Ring 1_Phú Vang-Phú Lộc/Trung thế</v>
          </cell>
          <cell r="U734">
            <v>14876.49</v>
          </cell>
        </row>
        <row r="735">
          <cell r="L735" t="str">
            <v>Ring 13_Hương Phú-TTCMKV Phú Lộc</v>
          </cell>
          <cell r="M735" t="str">
            <v>4467.69</v>
          </cell>
          <cell r="N735" t="str">
            <v>710.67</v>
          </cell>
          <cell r="O735" t="str">
            <v>16.282230</v>
          </cell>
          <cell r="P735" t="str">
            <v>107.858773</v>
          </cell>
          <cell r="Q735" t="str">
            <v>3757.02</v>
          </cell>
          <cell r="R735" t="str">
            <v>16.321273</v>
          </cell>
          <cell r="S735" t="str">
            <v>107.773392</v>
          </cell>
          <cell r="T735" t="str">
            <v>full_h04/Huế/Mang cap 4/Ring 13/Ring 13_Hương Phú-TTCMKV Phú Lộc/Trung thế</v>
          </cell>
          <cell r="U735">
            <v>4467.6899999999996</v>
          </cell>
        </row>
        <row r="736">
          <cell r="L736" t="str">
            <v>TTCMKV_Ring 1_Hương Thủy-CAT Huế mới</v>
          </cell>
          <cell r="M736" t="str">
            <v>5362.34</v>
          </cell>
          <cell r="N736" t="str">
            <v>281.25</v>
          </cell>
          <cell r="O736" t="str">
            <v>16.410369</v>
          </cell>
          <cell r="P736" t="str">
            <v>107.679062</v>
          </cell>
          <cell r="Q736" t="str">
            <v>5081.09</v>
          </cell>
          <cell r="R736" t="str">
            <v>16.449481</v>
          </cell>
          <cell r="S736" t="str">
            <v>107.627885</v>
          </cell>
          <cell r="T736" t="str">
            <v>full_h04/Huế/Mạng cấp 3/Ring 1 TTCMKV/TTCMKV_Ring 1_Hương Thủy-CAT Huế mới/Trung thế</v>
          </cell>
          <cell r="U736">
            <v>5362.34</v>
          </cell>
        </row>
        <row r="737">
          <cell r="L737" t="str">
            <v>Ring 6 TTCMKV Quảng Điền-Kim Trà</v>
          </cell>
          <cell r="M737" t="str">
            <v>3050.43</v>
          </cell>
          <cell r="N737" t="str">
            <v>1525.21</v>
          </cell>
          <cell r="O737" t="str">
            <v>16.496891</v>
          </cell>
          <cell r="P737" t="str">
            <v>107.507471</v>
          </cell>
          <cell r="Q737" t="str">
            <v>1525.21</v>
          </cell>
          <cell r="R737" t="str">
            <v>16.496891</v>
          </cell>
          <cell r="S737" t="str">
            <v>107.507471</v>
          </cell>
          <cell r="T737" t="str">
            <v>full_h04/Huế/Mang cap 4/Ring 6/Ring 6 TTCMKV Quảng Điền-Kim Trà/Tuyến trung thế 1</v>
          </cell>
          <cell r="U737">
            <v>3050.43</v>
          </cell>
        </row>
        <row r="738">
          <cell r="L738" t="str">
            <v>TTCMKV_Ring 2_Quảng Điền-Phong Điền</v>
          </cell>
          <cell r="M738" t="str">
            <v>1763.15</v>
          </cell>
          <cell r="N738" t="str">
            <v>504.24</v>
          </cell>
          <cell r="O738" t="str">
            <v>16.568887</v>
          </cell>
          <cell r="P738" t="str">
            <v>107.386796</v>
          </cell>
          <cell r="Q738" t="str">
            <v>1258.90</v>
          </cell>
          <cell r="R738" t="str">
            <v>16.580060</v>
          </cell>
          <cell r="S738" t="str">
            <v>107.513435</v>
          </cell>
          <cell r="T738" t="str">
            <v>full_h04/Huế/Mạng cấp 3/Ring 2 TTCMKV/TTCMKV_Ring 2_Quảng Điền-Phong Điền/Trung thế</v>
          </cell>
          <cell r="U738">
            <v>1763.15</v>
          </cell>
        </row>
        <row r="739">
          <cell r="L739" t="str">
            <v>Ring 1 CA TP Huế-PK02</v>
          </cell>
          <cell r="M739" t="str">
            <v>116.41</v>
          </cell>
          <cell r="N739" t="str">
            <v>24.59</v>
          </cell>
          <cell r="O739" t="str">
            <v>16.465113</v>
          </cell>
          <cell r="P739" t="str">
            <v>107.595674</v>
          </cell>
          <cell r="Q739" t="str">
            <v>91.82</v>
          </cell>
          <cell r="R739" t="str">
            <v>16.463172</v>
          </cell>
          <cell r="S739" t="str">
            <v>107.594795</v>
          </cell>
          <cell r="T739" t="str">
            <v>full_h04/Huế/Mạng cấp 3/Ring phòng 1/Ring 1 CA TP Huế-PK02/Tuyến cống bể ngầm có sẵn 1</v>
          </cell>
          <cell r="U739">
            <v>116.41</v>
          </cell>
        </row>
        <row r="740">
          <cell r="L740" t="str">
            <v>Ring 1 Nguyễn Thái Học- Phú Xuân</v>
          </cell>
          <cell r="M740" t="str">
            <v>40.65</v>
          </cell>
          <cell r="N740" t="str">
            <v>23.03</v>
          </cell>
          <cell r="O740" t="str">
            <v>16.487349</v>
          </cell>
          <cell r="P740" t="str">
            <v>107.587490</v>
          </cell>
          <cell r="Q740" t="str">
            <v>17.61</v>
          </cell>
          <cell r="R740" t="str">
            <v>16.482998</v>
          </cell>
          <cell r="S740" t="str">
            <v>107.586436</v>
          </cell>
          <cell r="T740" t="str">
            <v>full_h04/Huế/Mạng cấp 3/Ring phòng 1/Ring 1 Nguyễn Thái Học- Phú Xuân/Tuyến trung thế 1</v>
          </cell>
          <cell r="U740">
            <v>40.65</v>
          </cell>
        </row>
        <row r="741">
          <cell r="L741" t="str">
            <v>Ring 3 CAT TT Huế - PA07</v>
          </cell>
          <cell r="M741" t="str">
            <v>772.53</v>
          </cell>
          <cell r="N741" t="str">
            <v>18.86</v>
          </cell>
          <cell r="O741" t="str">
            <v>16.495902</v>
          </cell>
          <cell r="P741" t="str">
            <v>107.598653</v>
          </cell>
          <cell r="Q741" t="str">
            <v>753.68</v>
          </cell>
          <cell r="R741" t="str">
            <v>16.493954</v>
          </cell>
          <cell r="S741" t="str">
            <v>107.622204</v>
          </cell>
          <cell r="T741" t="str">
            <v>full_h04/Huế/Mạng cấp 3/Ring phòng 3/Ring 3 CAT TT Huế - PA07/Tuyến trung thế 1</v>
          </cell>
          <cell r="U741">
            <v>772.53</v>
          </cell>
        </row>
        <row r="742">
          <cell r="L742" t="str">
            <v>Ring 3 PA07 - PC01</v>
          </cell>
          <cell r="M742" t="str">
            <v>346.19</v>
          </cell>
          <cell r="N742" t="str">
            <v>13.97</v>
          </cell>
          <cell r="O742" t="str">
            <v>16.475571</v>
          </cell>
          <cell r="P742" t="str">
            <v>107.603190</v>
          </cell>
          <cell r="Q742" t="str">
            <v>332.22</v>
          </cell>
          <cell r="R742" t="str">
            <v>16.475852</v>
          </cell>
          <cell r="S742" t="str">
            <v>107.603185</v>
          </cell>
          <cell r="T742" t="str">
            <v>full_h04/Huế/Mạng cấp 3/Ring phòng 3/Ring 3 PA07 - PC01/Tuyến hạ thế EVN 1</v>
          </cell>
          <cell r="U742">
            <v>346.19</v>
          </cell>
        </row>
        <row r="743">
          <cell r="L743" t="str">
            <v>TTCMKV_Ring 2_Phong Điền-CAT Huế mới</v>
          </cell>
          <cell r="M743" t="str">
            <v>493.30</v>
          </cell>
          <cell r="N743" t="str">
            <v>111.91</v>
          </cell>
          <cell r="O743" t="str">
            <v>16.452243</v>
          </cell>
          <cell r="P743" t="str">
            <v>107.613004</v>
          </cell>
          <cell r="Q743" t="str">
            <v>381.39</v>
          </cell>
          <cell r="R743" t="str">
            <v>16.457075</v>
          </cell>
          <cell r="S743" t="str">
            <v>107.600076</v>
          </cell>
          <cell r="T743" t="str">
            <v>full_h04/Huế/Mạng cấp 3/Ring 2 TTCMKV/TTCMKV_Ring 2_Phong Điền-CAT Huế mới/Hạ thế</v>
          </cell>
          <cell r="U743">
            <v>493.3</v>
          </cell>
        </row>
        <row r="744">
          <cell r="L744" t="str">
            <v>Ring 1 CA TP Huế-PK02</v>
          </cell>
          <cell r="M744" t="str">
            <v>684.71</v>
          </cell>
          <cell r="N744" t="str">
            <v>143.93</v>
          </cell>
          <cell r="O744" t="str">
            <v>16.463032</v>
          </cell>
          <cell r="P744" t="str">
            <v>107.595343</v>
          </cell>
          <cell r="Q744" t="str">
            <v>540.78</v>
          </cell>
          <cell r="R744" t="str">
            <v>16.464183</v>
          </cell>
          <cell r="S744" t="str">
            <v>107.594743</v>
          </cell>
          <cell r="T744" t="str">
            <v>full_h04/Huế/Mạng cấp 3/Ring phòng 1/Ring 1 CA TP Huế-PK02/Tuyến cống bể ngầm có sẵn 1</v>
          </cell>
          <cell r="U744">
            <v>684.71</v>
          </cell>
        </row>
        <row r="745">
          <cell r="L745" t="str">
            <v>Ring 12_Bình Điền-TTCMKV Hương Thủy</v>
          </cell>
          <cell r="M745" t="str">
            <v>6284.57</v>
          </cell>
          <cell r="N745" t="str">
            <v>3752.34</v>
          </cell>
          <cell r="O745" t="str">
            <v>16.397697</v>
          </cell>
          <cell r="P745" t="str">
            <v>107.597332</v>
          </cell>
          <cell r="Q745" t="str">
            <v>2532.23</v>
          </cell>
          <cell r="R745" t="str">
            <v>16.393180</v>
          </cell>
          <cell r="S745" t="str">
            <v>107.577963</v>
          </cell>
          <cell r="T745" t="str">
            <v>full_h04/Huế/Mang cap 4/Ring 12/Ring 12_Bình Điền-TTCMKV Hương Thủy/Trung thế</v>
          </cell>
          <cell r="U745">
            <v>6284.57</v>
          </cell>
        </row>
        <row r="746">
          <cell r="L746" t="str">
            <v>TTCMKV_Ring 2_Phong Điền-CAT Huế mới</v>
          </cell>
          <cell r="M746" t="str">
            <v>7974.80</v>
          </cell>
          <cell r="N746" t="str">
            <v>7414.04</v>
          </cell>
          <cell r="O746" t="str">
            <v>16.483526</v>
          </cell>
          <cell r="P746" t="str">
            <v>107.549825</v>
          </cell>
          <cell r="Q746" t="str">
            <v>560.76</v>
          </cell>
          <cell r="R746" t="str">
            <v>16.523812</v>
          </cell>
          <cell r="S746" t="str">
            <v>107.480937</v>
          </cell>
          <cell r="T746" t="str">
            <v>full_h04/Huế/Mạng cấp 3/Ring 2 TTCMKV/TTCMKV_Ring 2_Phong Điền-CAT Huế mới/Trung thế</v>
          </cell>
          <cell r="U746">
            <v>7974.8</v>
          </cell>
        </row>
        <row r="747">
          <cell r="L747" t="str">
            <v>PC07 (52 Hùng Vương) - TT Huế</v>
          </cell>
          <cell r="M747" t="str">
            <v>73.96</v>
          </cell>
          <cell r="N747" t="str">
            <v>13.09</v>
          </cell>
          <cell r="O747" t="str">
            <v>16.462487</v>
          </cell>
          <cell r="P747" t="str">
            <v>107.594978</v>
          </cell>
          <cell r="Q747" t="str">
            <v>60.87</v>
          </cell>
          <cell r="R747" t="str">
            <v>16.462487</v>
          </cell>
          <cell r="S747" t="str">
            <v>107.594978</v>
          </cell>
          <cell r="T747" t="str">
            <v>full_h04/Huế/Mạng cấp 3/Các đơn vị vị CA TP - Đơn nhánh/PC07 (52 Hùng Vương) - TT Huế/Tuyến cống bể xây mới 2</v>
          </cell>
          <cell r="U747">
            <v>73.959999999999994</v>
          </cell>
        </row>
        <row r="748">
          <cell r="L748" t="str">
            <v>Ring 12_Bình Điền-TTCMKV Hương Thủy</v>
          </cell>
          <cell r="M748" t="str">
            <v>4055.05</v>
          </cell>
          <cell r="N748" t="str">
            <v>3002.96</v>
          </cell>
          <cell r="O748" t="str">
            <v>16.410386</v>
          </cell>
          <cell r="P748" t="str">
            <v>107.679068</v>
          </cell>
          <cell r="Q748" t="str">
            <v>1052.09</v>
          </cell>
          <cell r="R748" t="str">
            <v>16.398535</v>
          </cell>
          <cell r="S748" t="str">
            <v>107.617428</v>
          </cell>
          <cell r="T748" t="str">
            <v>full_h04/Huế/Mang cap 4/Ring 12/Ring 12_Bình Điền-TTCMKV Hương Thủy/Trung thế</v>
          </cell>
          <cell r="U748">
            <v>4055.05</v>
          </cell>
        </row>
        <row r="749">
          <cell r="L749" t="str">
            <v>Ring 1 PK02 - Nguyễn Thái Học</v>
          </cell>
          <cell r="M749" t="str">
            <v>338.80</v>
          </cell>
          <cell r="N749" t="str">
            <v>21.06</v>
          </cell>
          <cell r="O749" t="str">
            <v>16.467756</v>
          </cell>
          <cell r="P749" t="str">
            <v>107.595181</v>
          </cell>
          <cell r="Q749" t="str">
            <v>317.75</v>
          </cell>
          <cell r="R749" t="str">
            <v>16.465074</v>
          </cell>
          <cell r="S749" t="str">
            <v>107.595547</v>
          </cell>
          <cell r="T749" t="str">
            <v>full_h04/Huế/Mạng cấp 3/Ring phòng 1/Ring 1 PK02 - Nguyễn Thái Học/Tuyến cống bể có sẵn</v>
          </cell>
          <cell r="U749">
            <v>338.8</v>
          </cell>
        </row>
        <row r="750">
          <cell r="L750" t="str">
            <v>Ring 4 Phong Quảng-TTCMKV Quảng
Điền</v>
          </cell>
          <cell r="M750" t="str">
            <v>146.69</v>
          </cell>
          <cell r="N750" t="str">
            <v>81.43</v>
          </cell>
          <cell r="O750" t="str">
            <v>16.668636</v>
          </cell>
          <cell r="P750" t="str">
            <v>107.478525</v>
          </cell>
          <cell r="Q750" t="str">
            <v>65.26</v>
          </cell>
          <cell r="R750" t="str">
            <v>16.595823</v>
          </cell>
          <cell r="S750" t="str">
            <v>107.575176</v>
          </cell>
          <cell r="T750" t="str">
            <v>full_h04/Huế/Mang cap 4/Ring 4/Ring 4 Phong Quảng-TTCMKV Quảng
Điền/Tuyến trung thế 1</v>
          </cell>
          <cell r="U750">
            <v>146.69</v>
          </cell>
        </row>
        <row r="751">
          <cell r="L751" t="str">
            <v>Ring 5 Phong Thái-Hương Trà</v>
          </cell>
          <cell r="M751" t="str">
            <v>3949.23</v>
          </cell>
          <cell r="N751" t="str">
            <v>75.87</v>
          </cell>
          <cell r="O751" t="str">
            <v>16.523371</v>
          </cell>
          <cell r="P751" t="str">
            <v>107.474601</v>
          </cell>
          <cell r="Q751" t="str">
            <v>3873.36</v>
          </cell>
          <cell r="R751" t="str">
            <v>16.525274</v>
          </cell>
          <cell r="S751" t="str">
            <v>107.469005</v>
          </cell>
          <cell r="T751" t="str">
            <v>full_h04/Huế/Mang cap 4/Ring 5/Ring 5 Phong Thái-Hương Trà/Tuyến trung thế 1</v>
          </cell>
          <cell r="U751">
            <v>3949.23</v>
          </cell>
        </row>
        <row r="752">
          <cell r="L752" t="str">
            <v>Ring 5 Hương Trà-Đan Điền</v>
          </cell>
          <cell r="M752" t="str">
            <v>926.13</v>
          </cell>
          <cell r="N752" t="str">
            <v>362.13</v>
          </cell>
          <cell r="O752" t="str">
            <v>16.528243</v>
          </cell>
          <cell r="P752" t="str">
            <v>107.493789</v>
          </cell>
          <cell r="Q752" t="str">
            <v>564.00</v>
          </cell>
          <cell r="R752" t="str">
            <v>16.523380</v>
          </cell>
          <cell r="S752" t="str">
            <v>107.480818</v>
          </cell>
          <cell r="T752" t="str">
            <v>full_h04/Huế/Mang cap 4/Ring 5/Ring 5 Hương Trà-Đan Điền/Tuyến trung thế 1</v>
          </cell>
          <cell r="U752">
            <v>926.13</v>
          </cell>
        </row>
        <row r="753">
          <cell r="L753" t="str">
            <v>Ring 6 TTCMKV Quảng Điền-Kim Trà</v>
          </cell>
          <cell r="M753" t="str">
            <v>115.09</v>
          </cell>
          <cell r="N753" t="str">
            <v>32.30</v>
          </cell>
          <cell r="O753" t="str">
            <v>16.491366</v>
          </cell>
          <cell r="P753" t="str">
            <v>107.521095</v>
          </cell>
          <cell r="Q753" t="str">
            <v>82.79</v>
          </cell>
          <cell r="R753" t="str">
            <v>16.503764</v>
          </cell>
          <cell r="S753" t="str">
            <v>107.513632</v>
          </cell>
          <cell r="T753" t="str">
            <v>full_h04/Huế/Mang cap 4/Ring 6/Ring 6 TTCMKV Quảng Điền-Kim Trà/Tuyến trung thế 1</v>
          </cell>
          <cell r="U753">
            <v>115.09</v>
          </cell>
        </row>
        <row r="754">
          <cell r="L754" t="str">
            <v>Ring 6 Kim Trà-Hương An</v>
          </cell>
          <cell r="M754" t="str">
            <v>190.84</v>
          </cell>
          <cell r="N754" t="str">
            <v>59.18</v>
          </cell>
          <cell r="O754" t="str">
            <v>16.468193</v>
          </cell>
          <cell r="P754" t="str">
            <v>107.524468</v>
          </cell>
          <cell r="Q754" t="str">
            <v>131.65</v>
          </cell>
          <cell r="R754" t="str">
            <v>16.487960</v>
          </cell>
          <cell r="S754" t="str">
            <v>107.520823</v>
          </cell>
          <cell r="T754" t="str">
            <v>full_h04/Huế/Mang cap 4/Ring 6/Ring 6 Kim Trà-Hương An/Tuyến trung thế 1</v>
          </cell>
          <cell r="U754">
            <v>190.84</v>
          </cell>
        </row>
        <row r="755">
          <cell r="L755" t="str">
            <v>Ring 6 Hương An-Kim Long</v>
          </cell>
          <cell r="M755" t="str">
            <v>129.84</v>
          </cell>
          <cell r="N755" t="str">
            <v>66.18</v>
          </cell>
          <cell r="O755" t="str">
            <v>16.439848</v>
          </cell>
          <cell r="P755" t="str">
            <v>107.523897</v>
          </cell>
          <cell r="Q755" t="str">
            <v>63.66</v>
          </cell>
          <cell r="R755" t="str">
            <v>16.458561</v>
          </cell>
          <cell r="S755" t="str">
            <v>107.520500</v>
          </cell>
          <cell r="T755" t="str">
            <v>full_h04/Huế/Mang cap 4/Ring 6/Ring 6 Hương An-Kim Long/Tuyến trung thế 1</v>
          </cell>
          <cell r="U755">
            <v>129.84</v>
          </cell>
        </row>
        <row r="756">
          <cell r="L756" t="str">
            <v>Ring 7 Hóa Châu-Mỹ Thượng</v>
          </cell>
          <cell r="M756" t="str">
            <v>2241.22</v>
          </cell>
          <cell r="N756" t="str">
            <v>36.64</v>
          </cell>
          <cell r="O756" t="str">
            <v>16.554606</v>
          </cell>
          <cell r="P756" t="str">
            <v>107.580668</v>
          </cell>
          <cell r="Q756" t="str">
            <v>2204.58</v>
          </cell>
          <cell r="R756" t="str">
            <v>16.549902</v>
          </cell>
          <cell r="S756" t="str">
            <v>107.617518</v>
          </cell>
          <cell r="T756" t="str">
            <v>full_h04/Huế/Mang cap 4/Ring 7/Ring 7 Hóa Châu-Mỹ Thượng/Tuyến trung thế 1</v>
          </cell>
          <cell r="U756">
            <v>2241.2199999999998</v>
          </cell>
        </row>
        <row r="757">
          <cell r="L757" t="str">
            <v>TTCMKV_Ring 1_CAT Huế mới-Phú Vang</v>
          </cell>
          <cell r="M757" t="str">
            <v>2918.39</v>
          </cell>
          <cell r="N757" t="str">
            <v>2714.13</v>
          </cell>
          <cell r="O757" t="str">
            <v>16.487858</v>
          </cell>
          <cell r="P757" t="str">
            <v>107.644924</v>
          </cell>
          <cell r="Q757" t="str">
            <v>204.26</v>
          </cell>
          <cell r="R757" t="str">
            <v>16.480133</v>
          </cell>
          <cell r="S757" t="str">
            <v>107.682886</v>
          </cell>
          <cell r="T757" t="str">
            <v>full_h04/Huế/Mạng cấp 3/Ring 1 TTCMKV/TTCMKV_Ring 1_CAT Huế mới-Phú Vang/Trung thế</v>
          </cell>
          <cell r="U757">
            <v>2918.39</v>
          </cell>
        </row>
        <row r="758">
          <cell r="L758" t="str">
            <v>Ring 8 Dương Nỗ-Thuận An</v>
          </cell>
          <cell r="M758" t="str">
            <v>2010.03</v>
          </cell>
          <cell r="N758" t="str">
            <v>14.74</v>
          </cell>
          <cell r="O758" t="str">
            <v>16.512826</v>
          </cell>
          <cell r="P758" t="str">
            <v>107.599742</v>
          </cell>
          <cell r="Q758" t="str">
            <v>1995.28</v>
          </cell>
          <cell r="R758" t="str">
            <v>16.529237</v>
          </cell>
          <cell r="S758" t="str">
            <v>107.616541</v>
          </cell>
          <cell r="T758" t="str">
            <v>full_h04/Huế/Mang cap 4/Ring 8/Ring 8 Dương Nỗ-Thuận An/Tuyến trung thế 1</v>
          </cell>
          <cell r="U758">
            <v>2010.03</v>
          </cell>
        </row>
        <row r="759">
          <cell r="L759" t="str">
            <v>Ring 8 Dương Nỗ-Thuận An</v>
          </cell>
          <cell r="M759" t="str">
            <v>521.73</v>
          </cell>
          <cell r="N759" t="str">
            <v>12.56</v>
          </cell>
          <cell r="O759" t="str">
            <v>16.543879</v>
          </cell>
          <cell r="P759" t="str">
            <v>107.636127</v>
          </cell>
          <cell r="Q759" t="str">
            <v>509.17</v>
          </cell>
          <cell r="R759" t="str">
            <v>16.530933</v>
          </cell>
          <cell r="S759" t="str">
            <v>107.618884</v>
          </cell>
          <cell r="T759" t="str">
            <v>full_h04/Huế/Mang cap 4/Ring 8/Ring 8 Dương Nỗ-Thuận An/Tuyến trung thế 1</v>
          </cell>
          <cell r="U759">
            <v>521.73</v>
          </cell>
        </row>
        <row r="760">
          <cell r="L760" t="str">
            <v>Ring 1 CA TP Huế-PK02</v>
          </cell>
          <cell r="M760" t="str">
            <v>150.99</v>
          </cell>
          <cell r="N760" t="str">
            <v>144.19</v>
          </cell>
          <cell r="O760" t="str">
            <v>16.459177</v>
          </cell>
          <cell r="P760" t="str">
            <v>107.607506</v>
          </cell>
          <cell r="Q760" t="str">
            <v>6.80</v>
          </cell>
          <cell r="R760" t="str">
            <v>16.462241</v>
          </cell>
          <cell r="S760" t="str">
            <v>107.600860</v>
          </cell>
          <cell r="T760" t="str">
            <v>full_h04/Huế/Mạng cấp 3/Ring phòng 1/Ring 1 CA TP Huế-PK02/Tuyến trung thế 1</v>
          </cell>
          <cell r="U760">
            <v>150.99</v>
          </cell>
        </row>
        <row r="761">
          <cell r="L761" t="str">
            <v>Ring 9 An Cựu-Phú Hồ</v>
          </cell>
          <cell r="M761" t="str">
            <v>1947.88</v>
          </cell>
          <cell r="N761" t="str">
            <v>16.07</v>
          </cell>
          <cell r="O761" t="str">
            <v>16.454187</v>
          </cell>
          <cell r="P761" t="str">
            <v>107.680341</v>
          </cell>
          <cell r="Q761" t="str">
            <v>1931.81</v>
          </cell>
          <cell r="R761" t="str">
            <v>16.443624</v>
          </cell>
          <cell r="S761" t="str">
            <v>107.667667</v>
          </cell>
          <cell r="T761" t="str">
            <v>full_h04/Huế/Mang cap 4/Ring 9/Ring 9 An Cựu-Phú Hồ/Tuyến trung thế 2</v>
          </cell>
          <cell r="U761">
            <v>1947.88</v>
          </cell>
        </row>
        <row r="762">
          <cell r="L762" t="str">
            <v>PC07 (52 Hùng Vương) - TT Huế</v>
          </cell>
          <cell r="M762" t="str">
            <v>491.00</v>
          </cell>
          <cell r="N762" t="str">
            <v>314.15</v>
          </cell>
          <cell r="O762" t="str">
            <v>16.479895</v>
          </cell>
          <cell r="P762" t="str">
            <v>107.601732</v>
          </cell>
          <cell r="Q762" t="str">
            <v>176.85</v>
          </cell>
          <cell r="R762" t="str">
            <v>16.471789</v>
          </cell>
          <cell r="S762" t="str">
            <v>107.600525</v>
          </cell>
          <cell r="T762" t="str">
            <v>full_h04/Huế/Mạng cấp 3/Các đơn vị vị CA TP - Đơn nhánh/PC07 (52 Hùng Vương) - TT Huế/Tuyến trung thế 1</v>
          </cell>
          <cell r="U762">
            <v>491</v>
          </cell>
        </row>
        <row r="763">
          <cell r="L763" t="str">
            <v>TTCMKV_Ring 2_Phong Điền-CAT Huế mới</v>
          </cell>
          <cell r="M763" t="str">
            <v>1256.68</v>
          </cell>
          <cell r="N763" t="str">
            <v>814.52</v>
          </cell>
          <cell r="O763" t="str">
            <v>16.450233</v>
          </cell>
          <cell r="P763" t="str">
            <v>107.618140</v>
          </cell>
          <cell r="Q763" t="str">
            <v>442.16</v>
          </cell>
          <cell r="R763" t="str">
            <v>16.460461</v>
          </cell>
          <cell r="S763" t="str">
            <v>107.624076</v>
          </cell>
          <cell r="T763" t="str">
            <v>full_h04/Huế/Mạng cấp 3/Ring 2 TTCMKV/TTCMKV_Ring 2_Phong Điền-CAT Huế mới/Hạ thế</v>
          </cell>
          <cell r="U763">
            <v>1256.68</v>
          </cell>
        </row>
        <row r="764">
          <cell r="L764" t="str">
            <v>Ring 11 "Thủy Xuân-TTCMKV TX Hương
Thủy"</v>
          </cell>
          <cell r="M764" t="str">
            <v>669.52</v>
          </cell>
          <cell r="N764" t="str">
            <v>68.68</v>
          </cell>
          <cell r="O764" t="str">
            <v>16.408671</v>
          </cell>
          <cell r="P764" t="str">
            <v>107.681068</v>
          </cell>
          <cell r="Q764" t="str">
            <v>600.84</v>
          </cell>
          <cell r="R764" t="str">
            <v>16.434963</v>
          </cell>
          <cell r="S764" t="str">
            <v>107.611178</v>
          </cell>
          <cell r="T764" t="str">
            <v>full_h04/Huế/Mang cap 4/Ring 11/Ring 11 "Thủy Xuân-TTCMKV TX Hương
Thủy"/Tuyến trung thế 1</v>
          </cell>
          <cell r="U764">
            <v>669.52</v>
          </cell>
        </row>
        <row r="765">
          <cell r="L765" t="str">
            <v>Ring 11 CAT Thừa Thiên Huế-Thủy Xuân</v>
          </cell>
          <cell r="M765" t="str">
            <v>3150.34</v>
          </cell>
          <cell r="N765" t="str">
            <v>459.56</v>
          </cell>
          <cell r="O765" t="str">
            <v>16.442993</v>
          </cell>
          <cell r="P765" t="str">
            <v>107.540175</v>
          </cell>
          <cell r="Q765" t="str">
            <v>2690.77</v>
          </cell>
          <cell r="R765" t="str">
            <v>16.439700</v>
          </cell>
          <cell r="S765" t="str">
            <v>107.585761</v>
          </cell>
          <cell r="T765" t="str">
            <v>full_h04/Huế/Mang cap 4/Ring 11/Ring 11 CAT Thừa Thiên Huế-Thủy Xuân/Tuyến trung thế 1</v>
          </cell>
          <cell r="U765">
            <v>3150.34</v>
          </cell>
        </row>
        <row r="766">
          <cell r="L766" t="str">
            <v>Ring 12_CAT Huế mới-Bình Điền</v>
          </cell>
          <cell r="M766" t="str">
            <v>6002.95</v>
          </cell>
          <cell r="N766" t="str">
            <v>53.04</v>
          </cell>
          <cell r="O766" t="str">
            <v>16.349127</v>
          </cell>
          <cell r="P766" t="str">
            <v>107.504623</v>
          </cell>
          <cell r="Q766" t="str">
            <v>5949.91</v>
          </cell>
          <cell r="R766" t="str">
            <v>16.396788</v>
          </cell>
          <cell r="S766" t="str">
            <v>107.564254</v>
          </cell>
          <cell r="T766" t="str">
            <v>full_h04/Huế/Mang cap 4/Ring 12/Ring 12_CAT Huế mới-Bình Điền/Trung thế</v>
          </cell>
          <cell r="U766">
            <v>6002.95</v>
          </cell>
        </row>
        <row r="767">
          <cell r="L767" t="str">
            <v>Ring 2 Phú Xuân - Hương Thủy</v>
          </cell>
          <cell r="M767" t="str">
            <v>172.60</v>
          </cell>
          <cell r="N767" t="str">
            <v>117.37</v>
          </cell>
          <cell r="O767" t="str">
            <v>16.444256</v>
          </cell>
          <cell r="P767" t="str">
            <v>107.620498</v>
          </cell>
          <cell r="Q767" t="str">
            <v>55.23</v>
          </cell>
          <cell r="R767" t="str">
            <v>16.449211</v>
          </cell>
          <cell r="S767" t="str">
            <v>107.607276</v>
          </cell>
          <cell r="T767" t="str">
            <v>full_h04/Huế/Mạng cấp 3/Ring phòng 2/Ring 2 Phú Xuân - Hương Thủy/Tuyến hạ thế EVN 2</v>
          </cell>
          <cell r="U767">
            <v>172.6</v>
          </cell>
        </row>
        <row r="768">
          <cell r="L768" t="str">
            <v>Ring 1 Phú Xuân - CAT TT Huế</v>
          </cell>
          <cell r="M768" t="str">
            <v>3057.31</v>
          </cell>
          <cell r="N768" t="str">
            <v>2854.68</v>
          </cell>
          <cell r="O768" t="str">
            <v>16.493091</v>
          </cell>
          <cell r="P768" t="str">
            <v>107.594409</v>
          </cell>
          <cell r="Q768" t="str">
            <v>202.64</v>
          </cell>
          <cell r="R768" t="str">
            <v>16.478172</v>
          </cell>
          <cell r="S768" t="str">
            <v>107.624154</v>
          </cell>
          <cell r="T768" t="str">
            <v>full_h04/Huế/Mạng cấp 3/Ring phòng 1/Ring 1 Phú Xuân - CAT TT Huế/Tuyến trung thế 2</v>
          </cell>
          <cell r="U768">
            <v>3057.31</v>
          </cell>
        </row>
        <row r="769">
          <cell r="L769" t="str">
            <v>Ring 7 TTCMKV Quảng Điền-Hóa Châu</v>
          </cell>
          <cell r="M769" t="str">
            <v>6923.49</v>
          </cell>
          <cell r="N769" t="str">
            <v>6905.29</v>
          </cell>
          <cell r="O769" t="str">
            <v>16.537220</v>
          </cell>
          <cell r="P769" t="str">
            <v>107.561479</v>
          </cell>
          <cell r="Q769" t="str">
            <v>18.20</v>
          </cell>
          <cell r="R769" t="str">
            <v>16.554478</v>
          </cell>
          <cell r="S769" t="str">
            <v>107.580550</v>
          </cell>
          <cell r="T769" t="str">
            <v>full_h04/Huế/Mang cap 4/Ring 7/Ring 7 TTCMKV Quảng Điền-Hóa Châu/Tuyến trung thế 1</v>
          </cell>
          <cell r="U769">
            <v>6923.49</v>
          </cell>
        </row>
        <row r="770">
          <cell r="L770" t="str">
            <v>Ring 3 PA07 - PC01</v>
          </cell>
          <cell r="M770" t="str">
            <v>346.19</v>
          </cell>
          <cell r="N770" t="str">
            <v>332.22</v>
          </cell>
          <cell r="O770" t="str">
            <v>16.475852</v>
          </cell>
          <cell r="P770" t="str">
            <v>107.603185</v>
          </cell>
          <cell r="Q770" t="str">
            <v>13.97</v>
          </cell>
          <cell r="R770" t="str">
            <v>16.475571</v>
          </cell>
          <cell r="S770" t="str">
            <v>107.603190</v>
          </cell>
          <cell r="T770" t="str">
            <v>full_h04/Huế/Mạng cấp 3/Ring phòng 3/Ring 3 PA07 - PC01/Tuyến hạ thế EVN 1</v>
          </cell>
          <cell r="U770">
            <v>346.19</v>
          </cell>
        </row>
        <row r="771">
          <cell r="L771" t="str">
            <v>Ring 3 PA07 - PC01</v>
          </cell>
          <cell r="M771" t="str">
            <v>346.19</v>
          </cell>
          <cell r="N771" t="str">
            <v>332.22</v>
          </cell>
          <cell r="O771" t="str">
            <v>16.475852</v>
          </cell>
          <cell r="P771" t="str">
            <v>107.603185</v>
          </cell>
          <cell r="Q771" t="str">
            <v>13.97</v>
          </cell>
          <cell r="R771" t="str">
            <v>16.475571</v>
          </cell>
          <cell r="S771" t="str">
            <v>107.603190</v>
          </cell>
          <cell r="T771" t="str">
            <v>full_h04/Huế/Mạng cấp 3/Ring phòng 3/Ring 3 PA07 - PC01/Tuyến hạ thế EVN 1</v>
          </cell>
          <cell r="U771">
            <v>346.19</v>
          </cell>
        </row>
        <row r="772">
          <cell r="L772" t="str">
            <v>Ring 11 CAT Thừa Thiên Huế-Thủy Xuân</v>
          </cell>
          <cell r="M772" t="str">
            <v>827.83</v>
          </cell>
          <cell r="N772" t="str">
            <v>368.27</v>
          </cell>
          <cell r="O772" t="str">
            <v>16.435271</v>
          </cell>
          <cell r="P772" t="str">
            <v>107.600075</v>
          </cell>
          <cell r="Q772" t="str">
            <v>459.56</v>
          </cell>
          <cell r="R772" t="str">
            <v>16.442993</v>
          </cell>
          <cell r="S772" t="str">
            <v>107.540175</v>
          </cell>
          <cell r="T772" t="str">
            <v>full_h04/Huế/Mang cap 4/Ring 11/Ring 11 CAT Thừa Thiên Huế-Thủy Xuân/Tuyến trung thế 1</v>
          </cell>
          <cell r="U772">
            <v>827.83</v>
          </cell>
        </row>
        <row r="773">
          <cell r="L773" t="str">
            <v>TTCMKV_Ring 2_Phong Điền-CAT Huế mới</v>
          </cell>
          <cell r="M773" t="str">
            <v>2170.08</v>
          </cell>
          <cell r="N773" t="str">
            <v>345.85</v>
          </cell>
          <cell r="O773" t="str">
            <v>16.456905</v>
          </cell>
          <cell r="P773" t="str">
            <v>107.606543</v>
          </cell>
          <cell r="Q773" t="str">
            <v>1824.23</v>
          </cell>
          <cell r="R773" t="str">
            <v>16.460649</v>
          </cell>
          <cell r="S773" t="str">
            <v>107.624078</v>
          </cell>
          <cell r="T773" t="str">
            <v>full_h04/Huế/Mạng cấp 3/Ring 2 TTCMKV/TTCMKV_Ring 2_Phong Điền-CAT Huế mới/Hạ thế</v>
          </cell>
          <cell r="U773">
            <v>2170.08</v>
          </cell>
        </row>
        <row r="774">
          <cell r="L774" t="str">
            <v>Ring 3 PC10 - PC11</v>
          </cell>
          <cell r="M774" t="str">
            <v>39.70</v>
          </cell>
          <cell r="N774" t="str">
            <v>19.85</v>
          </cell>
          <cell r="O774" t="str">
            <v>16.423394</v>
          </cell>
          <cell r="P774" t="str">
            <v>107.588523</v>
          </cell>
          <cell r="Q774" t="str">
            <v>19.85</v>
          </cell>
          <cell r="R774" t="str">
            <v>16.423394</v>
          </cell>
          <cell r="S774" t="str">
            <v>107.588523</v>
          </cell>
          <cell r="T774" t="str">
            <v>full_h04/Huế/Mạng cấp 3/Ring phòng 3/Ring 3 PC10 - PC11/Tuyến ngầm đầu tư mới 2</v>
          </cell>
          <cell r="U774">
            <v>39.700000000000003</v>
          </cell>
        </row>
        <row r="775">
          <cell r="L775" t="str">
            <v>Ring 4 Phong Quảng-TTCMKV Quảng
Điền</v>
          </cell>
          <cell r="M775" t="str">
            <v>2328.67</v>
          </cell>
          <cell r="N775" t="str">
            <v>126.69</v>
          </cell>
          <cell r="O775" t="str">
            <v>16.569879</v>
          </cell>
          <cell r="P775" t="str">
            <v>107.513603</v>
          </cell>
          <cell r="Q775" t="str">
            <v>2201.98</v>
          </cell>
          <cell r="R775" t="str">
            <v>16.579503</v>
          </cell>
          <cell r="S775" t="str">
            <v>107.587335</v>
          </cell>
          <cell r="T775" t="str">
            <v>full_h04/Huế/Mang cap 4/Ring 4/Ring 4 Phong Quảng-TTCMKV Quảng
Điền/Tuyến trung thế 2</v>
          </cell>
          <cell r="U775">
            <v>2328.67</v>
          </cell>
        </row>
        <row r="776">
          <cell r="L776" t="str">
            <v>Ring 11 CAT Thừa Thiên Huế-Thủy Xuân</v>
          </cell>
          <cell r="M776" t="str">
            <v>560.18</v>
          </cell>
          <cell r="N776" t="str">
            <v>459.56</v>
          </cell>
          <cell r="O776" t="str">
            <v>16.442993</v>
          </cell>
          <cell r="P776" t="str">
            <v>107.540175</v>
          </cell>
          <cell r="Q776" t="str">
            <v>100.62</v>
          </cell>
          <cell r="R776" t="str">
            <v>16.434708</v>
          </cell>
          <cell r="S776" t="str">
            <v>107.565218</v>
          </cell>
          <cell r="T776" t="str">
            <v>full_h04/Huế/Mang cap 4/Ring 11/Ring 11 CAT Thừa Thiên Huế-Thủy Xuân/Tuyến trung thế 1</v>
          </cell>
          <cell r="U776">
            <v>560.17999999999995</v>
          </cell>
        </row>
        <row r="777">
          <cell r="L777" t="str">
            <v>PC04 (trung tâm cái nghiện) - Phú Xuân</v>
          </cell>
          <cell r="M777" t="str">
            <v>4689.78</v>
          </cell>
          <cell r="N777" t="str">
            <v>3828.14</v>
          </cell>
          <cell r="O777" t="str">
            <v>16.478937</v>
          </cell>
          <cell r="P777" t="str">
            <v>107.589756</v>
          </cell>
          <cell r="Q777" t="str">
            <v>861.64</v>
          </cell>
          <cell r="R777" t="str">
            <v>16.460555</v>
          </cell>
          <cell r="S777" t="str">
            <v>107.569109</v>
          </cell>
          <cell r="T777" t="str">
            <v>full_h04/Huế/Mạng cấp 3/Các đơn vị vị CA TP - Đơn nhánh/PC04 (trung tâm cái nghiện) - Phú Xuân/Tuyến cống bể ngầm có sẵn 2</v>
          </cell>
          <cell r="U777">
            <v>4689.78</v>
          </cell>
        </row>
        <row r="778">
          <cell r="L778" t="str">
            <v>Ring 1 Phú Xuân - CAT TT Huế</v>
          </cell>
          <cell r="M778" t="str">
            <v>3845.70</v>
          </cell>
          <cell r="N778" t="str">
            <v>202.64</v>
          </cell>
          <cell r="O778" t="str">
            <v>16.478172</v>
          </cell>
          <cell r="P778" t="str">
            <v>107.624154</v>
          </cell>
          <cell r="Q778" t="str">
            <v>3643.07</v>
          </cell>
          <cell r="R778" t="str">
            <v>16.493091</v>
          </cell>
          <cell r="S778" t="str">
            <v>107.594409</v>
          </cell>
          <cell r="T778" t="str">
            <v>full_h04/Huế/Mạng cấp 3/Ring phòng 1/Ring 1 Phú Xuân - CAT TT Huế/Tuyến trung thế 2</v>
          </cell>
          <cell r="U778">
            <v>3845.7</v>
          </cell>
        </row>
        <row r="779">
          <cell r="L779" t="str">
            <v>PC04 (trung tâm cái nghiện) - Phú Xuân</v>
          </cell>
          <cell r="M779" t="str">
            <v>812.40</v>
          </cell>
          <cell r="N779" t="str">
            <v>21.39</v>
          </cell>
          <cell r="O779" t="str">
            <v>16.487358</v>
          </cell>
          <cell r="P779" t="str">
            <v>107.587509</v>
          </cell>
          <cell r="Q779" t="str">
            <v>791.01</v>
          </cell>
          <cell r="R779" t="str">
            <v>16.479980</v>
          </cell>
          <cell r="S779" t="str">
            <v>107.585702</v>
          </cell>
          <cell r="T779" t="str">
            <v>full_h04/Huế/Mạng cấp 3/Các đơn vị vị CA TP - Đơn nhánh/PC04 (trung tâm cái nghiện) - Phú Xuân/Tuyến trung thế 3</v>
          </cell>
          <cell r="U779">
            <v>812.4</v>
          </cell>
        </row>
        <row r="780">
          <cell r="L780" t="str">
            <v>Ring 3_Phong Dinh-TTCMKV Quảng Điền</v>
          </cell>
          <cell r="M780" t="str">
            <v>5064.17</v>
          </cell>
          <cell r="N780" t="str">
            <v>5010.44</v>
          </cell>
          <cell r="O780" t="str">
            <v>16.579531</v>
          </cell>
          <cell r="P780" t="str">
            <v>107.513243</v>
          </cell>
          <cell r="Q780" t="str">
            <v>53.73</v>
          </cell>
          <cell r="R780" t="str">
            <v>16.569083</v>
          </cell>
          <cell r="S780" t="str">
            <v>107.513955</v>
          </cell>
          <cell r="T780" t="str">
            <v>full_h04/Huế/Mang cap 4/Ring 3/Ring 3_Phong Dinh-TTCMKV Quảng Điền/Trung thế</v>
          </cell>
          <cell r="U780">
            <v>5064.17</v>
          </cell>
        </row>
        <row r="781">
          <cell r="L781" t="str">
            <v>Ring 9 CAT Thừa Thiên Huế-Thuận Hóa</v>
          </cell>
          <cell r="M781" t="str">
            <v>190.52</v>
          </cell>
          <cell r="N781" t="str">
            <v>157.80</v>
          </cell>
          <cell r="O781" t="str">
            <v>16.452961</v>
          </cell>
          <cell r="P781" t="str">
            <v>107.592315</v>
          </cell>
          <cell r="Q781" t="str">
            <v>32.72</v>
          </cell>
          <cell r="R781" t="str">
            <v>16.451110</v>
          </cell>
          <cell r="S781" t="str">
            <v>107.589151</v>
          </cell>
          <cell r="T781" t="str">
            <v>full_h04/Huế/Mang cap 4/Ring 9/Ring 9 CAT Thừa Thiên Huế-Thuận Hóa/Tuyến trung thế 1</v>
          </cell>
          <cell r="U781">
            <v>190.52</v>
          </cell>
        </row>
        <row r="782">
          <cell r="L782" t="str">
            <v>Ring 11 CAT Thừa Thiên Huế-Thủy Xuân</v>
          </cell>
          <cell r="M782" t="str">
            <v>827.83</v>
          </cell>
          <cell r="N782" t="str">
            <v>368.27</v>
          </cell>
          <cell r="O782" t="str">
            <v>16.435271</v>
          </cell>
          <cell r="P782" t="str">
            <v>107.600075</v>
          </cell>
          <cell r="Q782" t="str">
            <v>459.56</v>
          </cell>
          <cell r="R782" t="str">
            <v>16.442993</v>
          </cell>
          <cell r="S782" t="str">
            <v>107.540175</v>
          </cell>
          <cell r="T782" t="str">
            <v>full_h04/Huế/Mang cap 4/Ring 11/Ring 11 CAT Thừa Thiên Huế-Thủy Xuân/Tuyến trung thế 1</v>
          </cell>
          <cell r="U782">
            <v>827.83</v>
          </cell>
        </row>
        <row r="783">
          <cell r="L783" t="str">
            <v>Ring 3 PC10 - PC11</v>
          </cell>
          <cell r="M783" t="str">
            <v>2596.10</v>
          </cell>
          <cell r="N783" t="str">
            <v>1787.78</v>
          </cell>
          <cell r="O783" t="str">
            <v>16.451485</v>
          </cell>
          <cell r="P783" t="str">
            <v>107.574380</v>
          </cell>
          <cell r="Q783" t="str">
            <v>808.32</v>
          </cell>
          <cell r="R783" t="str">
            <v>16.430464</v>
          </cell>
          <cell r="S783" t="str">
            <v>107.587190</v>
          </cell>
          <cell r="T783" t="str">
            <v>full_h04/Huế/Mạng cấp 3/Ring phòng 3/Ring 3 PC10 - PC11/Tuyến trung thế 1</v>
          </cell>
          <cell r="U783">
            <v>2596.1</v>
          </cell>
        </row>
        <row r="784">
          <cell r="L784" t="str">
            <v>Ring 11 CAT Thừa Thiên Huế-Thủy Xuân</v>
          </cell>
          <cell r="M784" t="str">
            <v>560.18</v>
          </cell>
          <cell r="N784" t="str">
            <v>100.62</v>
          </cell>
          <cell r="O784" t="str">
            <v>16.434708</v>
          </cell>
          <cell r="P784" t="str">
            <v>107.565218</v>
          </cell>
          <cell r="Q784" t="str">
            <v>459.56</v>
          </cell>
          <cell r="R784" t="str">
            <v>16.442993</v>
          </cell>
          <cell r="S784" t="str">
            <v>107.540175</v>
          </cell>
          <cell r="T784" t="str">
            <v>full_h04/Huế/Mang cap 4/Ring 11/Ring 11 CAT Thừa Thiên Huế-Thủy Xuân/Tuyến trung thế 1</v>
          </cell>
          <cell r="U784">
            <v>560.17999999999995</v>
          </cell>
        </row>
        <row r="785">
          <cell r="L785" t="str">
            <v>Ring 1 Phú Xuân - CAT TT Huế</v>
          </cell>
          <cell r="M785" t="str">
            <v>4278.71</v>
          </cell>
          <cell r="N785" t="str">
            <v>4076.07</v>
          </cell>
          <cell r="O785" t="str">
            <v>16.493091</v>
          </cell>
          <cell r="P785" t="str">
            <v>107.594409</v>
          </cell>
          <cell r="Q785" t="str">
            <v>202.64</v>
          </cell>
          <cell r="R785" t="str">
            <v>16.478172</v>
          </cell>
          <cell r="S785" t="str">
            <v>107.624154</v>
          </cell>
          <cell r="T785" t="str">
            <v>full_h04/Huế/Mạng cấp 3/Ring phòng 1/Ring 1 Phú Xuân - CAT TT Huế/Tuyến trung thế 2</v>
          </cell>
          <cell r="U785">
            <v>4278.71</v>
          </cell>
        </row>
        <row r="786">
          <cell r="L786" t="str">
            <v>Ring 3 PC10 - PC11</v>
          </cell>
          <cell r="M786" t="str">
            <v>1195.21</v>
          </cell>
          <cell r="N786" t="str">
            <v>386.89</v>
          </cell>
          <cell r="O786" t="str">
            <v>16.451485</v>
          </cell>
          <cell r="P786" t="str">
            <v>107.574380</v>
          </cell>
          <cell r="Q786" t="str">
            <v>808.32</v>
          </cell>
          <cell r="R786" t="str">
            <v>16.430464</v>
          </cell>
          <cell r="S786" t="str">
            <v>107.587190</v>
          </cell>
          <cell r="T786" t="str">
            <v>full_h04/Huế/Mạng cấp 3/Ring phòng 3/Ring 3 PC10 - PC11/Tuyến trung thế 1</v>
          </cell>
          <cell r="U786">
            <v>1195.21</v>
          </cell>
        </row>
        <row r="787">
          <cell r="L787" t="str">
            <v>Ring 1 Phú Xuân - CAT TT Huế</v>
          </cell>
          <cell r="M787" t="str">
            <v>4315.85</v>
          </cell>
          <cell r="N787" t="str">
            <v>4113.21</v>
          </cell>
          <cell r="O787" t="str">
            <v>16.493091</v>
          </cell>
          <cell r="P787" t="str">
            <v>107.594409</v>
          </cell>
          <cell r="Q787" t="str">
            <v>202.64</v>
          </cell>
          <cell r="R787" t="str">
            <v>16.478172</v>
          </cell>
          <cell r="S787" t="str">
            <v>107.624154</v>
          </cell>
          <cell r="T787" t="str">
            <v>full_h04/Huế/Mạng cấp 3/Ring phòng 1/Ring 1 Phú Xuân - CAT TT Huế/Tuyến trung thế 2</v>
          </cell>
          <cell r="U787">
            <v>4315.8500000000004</v>
          </cell>
        </row>
        <row r="788">
          <cell r="L788" t="str">
            <v>Ring 6 TTCMKV Quảng Điền-Kim Trà</v>
          </cell>
          <cell r="M788" t="str">
            <v>5227.70</v>
          </cell>
          <cell r="N788" t="str">
            <v>5158.09</v>
          </cell>
          <cell r="O788" t="str">
            <v>16.491366</v>
          </cell>
          <cell r="P788" t="str">
            <v>107.521095</v>
          </cell>
          <cell r="Q788" t="str">
            <v>69.61</v>
          </cell>
          <cell r="R788" t="str">
            <v>16.568550</v>
          </cell>
          <cell r="S788" t="str">
            <v>107.514222</v>
          </cell>
          <cell r="T788" t="str">
            <v>full_h04/Huế/Mang cap 4/Ring 6/Ring 6 TTCMKV Quảng Điền-Kim Trà/Tuyến trung thế 1</v>
          </cell>
          <cell r="U788">
            <v>5227.7</v>
          </cell>
        </row>
        <row r="789">
          <cell r="L789" t="str">
            <v>Ring 1 Phú Xuân - CAT TT Huế</v>
          </cell>
          <cell r="M789" t="str">
            <v>4278.71</v>
          </cell>
          <cell r="N789" t="str">
            <v>4076.07</v>
          </cell>
          <cell r="O789" t="str">
            <v>16.493091</v>
          </cell>
          <cell r="P789" t="str">
            <v>107.594409</v>
          </cell>
          <cell r="Q789" t="str">
            <v>202.64</v>
          </cell>
          <cell r="R789" t="str">
            <v>16.478172</v>
          </cell>
          <cell r="S789" t="str">
            <v>107.624154</v>
          </cell>
          <cell r="T789" t="str">
            <v>full_h04/Huế/Mạng cấp 3/Ring phòng 1/Ring 1 Phú Xuân - CAT TT Huế/Tuyến trung thế 2</v>
          </cell>
          <cell r="U789">
            <v>4278.71</v>
          </cell>
        </row>
        <row r="790">
          <cell r="L790" t="str">
            <v>Ring 7 TTCMKV Quảng Điền-Hóa Châu</v>
          </cell>
          <cell r="M790" t="str">
            <v>4485.49</v>
          </cell>
          <cell r="N790" t="str">
            <v>65.89</v>
          </cell>
          <cell r="O790" t="str">
            <v>16.568568</v>
          </cell>
          <cell r="P790" t="str">
            <v>107.514192</v>
          </cell>
          <cell r="Q790" t="str">
            <v>4419.60</v>
          </cell>
          <cell r="R790" t="str">
            <v>16.537220</v>
          </cell>
          <cell r="S790" t="str">
            <v>107.561479</v>
          </cell>
          <cell r="T790" t="str">
            <v>full_h04/Huế/Mang cap 4/Ring 7/Ring 7 TTCMKV Quảng Điền-Hóa Châu/Tuyến trung thế 1</v>
          </cell>
          <cell r="U790">
            <v>4485.49</v>
          </cell>
        </row>
        <row r="791">
          <cell r="L791" t="str">
            <v>Ring 4 Phong Phú-Phong Quảng</v>
          </cell>
          <cell r="M791" t="str">
            <v>253.75</v>
          </cell>
          <cell r="N791" t="str">
            <v>67.10</v>
          </cell>
          <cell r="O791" t="str">
            <v>16.668463</v>
          </cell>
          <cell r="P791" t="str">
            <v>107.478875</v>
          </cell>
          <cell r="Q791" t="str">
            <v>186.65</v>
          </cell>
          <cell r="R791" t="str">
            <v>16.684887</v>
          </cell>
          <cell r="S791" t="str">
            <v>107.412782</v>
          </cell>
          <cell r="T791" t="str">
            <v>full_h04/Huế/Mang cap 4/Ring 4/Ring 4 Phong Phú-Phong Quảng/Tuyến trung thế 1</v>
          </cell>
          <cell r="U791">
            <v>253.75</v>
          </cell>
        </row>
        <row r="792">
          <cell r="L792" t="str">
            <v>Ring 5 Đan Điền-Quảng Điền</v>
          </cell>
          <cell r="M792" t="str">
            <v>1022.75</v>
          </cell>
          <cell r="N792" t="str">
            <v>93.33</v>
          </cell>
          <cell r="O792" t="str">
            <v>16.569546</v>
          </cell>
          <cell r="P792" t="str">
            <v>107.513842</v>
          </cell>
          <cell r="Q792" t="str">
            <v>929.42</v>
          </cell>
          <cell r="R792" t="str">
            <v>16.544544</v>
          </cell>
          <cell r="S792" t="str">
            <v>107.495996</v>
          </cell>
          <cell r="T792" t="str">
            <v>full_h04/Huế/Mang cap 4/Ring 5/Ring 5 Đan Điền-Quảng Điền/Tuyến trung thế 1</v>
          </cell>
          <cell r="U792">
            <v>1022.75</v>
          </cell>
        </row>
        <row r="793">
          <cell r="L793" t="str">
            <v>Ring 5 Đan Điền-Quảng Điền</v>
          </cell>
          <cell r="M793" t="str">
            <v>566.15</v>
          </cell>
          <cell r="N793" t="str">
            <v>93.33</v>
          </cell>
          <cell r="O793" t="str">
            <v>16.569546</v>
          </cell>
          <cell r="P793" t="str">
            <v>107.513842</v>
          </cell>
          <cell r="Q793" t="str">
            <v>472.82</v>
          </cell>
          <cell r="R793" t="str">
            <v>16.542022</v>
          </cell>
          <cell r="S793" t="str">
            <v>107.497739</v>
          </cell>
          <cell r="T793" t="str">
            <v>full_h04/Huế/Mang cap 4/Ring 5/Ring 5 Đan Điền-Quảng Điền/Tuyến trung thế 1</v>
          </cell>
          <cell r="U793">
            <v>566.15</v>
          </cell>
        </row>
        <row r="794">
          <cell r="L794" t="str">
            <v>Ring 12_Bình Điền-TTCMKV Hương Thủy</v>
          </cell>
          <cell r="M794" t="str">
            <v>967.32</v>
          </cell>
          <cell r="N794" t="str">
            <v>281.56</v>
          </cell>
          <cell r="O794" t="str">
            <v>16.410386</v>
          </cell>
          <cell r="P794" t="str">
            <v>107.679068</v>
          </cell>
          <cell r="Q794" t="str">
            <v>685.77</v>
          </cell>
          <cell r="R794" t="str">
            <v>16.400524</v>
          </cell>
          <cell r="S794" t="str">
            <v>107.620839</v>
          </cell>
          <cell r="T794" t="str">
            <v>full_h04/Huế/Mang cap 4/Ring 12/Ring 12_Bình Điền-TTCMKV Hương Thủy/Trung thế</v>
          </cell>
          <cell r="U794">
            <v>967.32</v>
          </cell>
        </row>
        <row r="795">
          <cell r="L795" t="str">
            <v>PC04 (trung tâm cái nghiện) - Phú Xuân</v>
          </cell>
          <cell r="M795" t="str">
            <v>2290.84</v>
          </cell>
          <cell r="N795" t="str">
            <v>1335.43</v>
          </cell>
          <cell r="O795" t="str">
            <v>16.460555</v>
          </cell>
          <cell r="P795" t="str">
            <v>107.569109</v>
          </cell>
          <cell r="Q795" t="str">
            <v>955.41</v>
          </cell>
          <cell r="R795" t="str">
            <v>16.478937</v>
          </cell>
          <cell r="S795" t="str">
            <v>107.589756</v>
          </cell>
          <cell r="T795" t="str">
            <v>full_h04/Huế/Mạng cấp 3/Các đơn vị vị CA TP - Đơn nhánh/PC04 (trung tâm cái nghiện) - Phú Xuân/Tuyến cống bể ngầm có sẵn 2</v>
          </cell>
          <cell r="U795">
            <v>2290.84</v>
          </cell>
        </row>
        <row r="796">
          <cell r="L796" t="str">
            <v>Ring 1 Phú Xuân - CAT TT Huế</v>
          </cell>
          <cell r="M796" t="str">
            <v>3916.26</v>
          </cell>
          <cell r="N796" t="str">
            <v>202.64</v>
          </cell>
          <cell r="O796" t="str">
            <v>16.478172</v>
          </cell>
          <cell r="P796" t="str">
            <v>107.624154</v>
          </cell>
          <cell r="Q796" t="str">
            <v>3713.62</v>
          </cell>
          <cell r="R796" t="str">
            <v>16.493091</v>
          </cell>
          <cell r="S796" t="str">
            <v>107.594409</v>
          </cell>
          <cell r="T796" t="str">
            <v>full_h04/Huế/Mạng cấp 3/Ring phòng 1/Ring 1 Phú Xuân - CAT TT Huế/Tuyến trung thế 2</v>
          </cell>
          <cell r="U796">
            <v>3916.26</v>
          </cell>
        </row>
        <row r="797">
          <cell r="L797" t="str">
            <v>Ring 1 Phú Xuân - CAT TT Huế</v>
          </cell>
          <cell r="M797" t="str">
            <v>3529.71</v>
          </cell>
          <cell r="N797" t="str">
            <v>202.64</v>
          </cell>
          <cell r="O797" t="str">
            <v>16.478172</v>
          </cell>
          <cell r="P797" t="str">
            <v>107.624154</v>
          </cell>
          <cell r="Q797" t="str">
            <v>3327.08</v>
          </cell>
          <cell r="R797" t="str">
            <v>16.493091</v>
          </cell>
          <cell r="S797" t="str">
            <v>107.594409</v>
          </cell>
          <cell r="T797" t="str">
            <v>full_h04/Huế/Mạng cấp 3/Ring phòng 1/Ring 1 Phú Xuân - CAT TT Huế/Tuyến trung thế 2</v>
          </cell>
          <cell r="U797">
            <v>3529.71</v>
          </cell>
        </row>
        <row r="798">
          <cell r="L798" t="str">
            <v>Ring 1 Phú Xuân - CAT TT Huế</v>
          </cell>
          <cell r="M798" t="str">
            <v>3558.91</v>
          </cell>
          <cell r="N798" t="str">
            <v>202.64</v>
          </cell>
          <cell r="O798" t="str">
            <v>16.478172</v>
          </cell>
          <cell r="P798" t="str">
            <v>107.624154</v>
          </cell>
          <cell r="Q798" t="str">
            <v>3356.28</v>
          </cell>
          <cell r="R798" t="str">
            <v>16.493091</v>
          </cell>
          <cell r="S798" t="str">
            <v>107.594409</v>
          </cell>
          <cell r="T798" t="str">
            <v>full_h04/Huế/Mạng cấp 3/Ring phòng 1/Ring 1 Phú Xuân - CAT TT Huế/Tuyến trung thế 2</v>
          </cell>
          <cell r="U798">
            <v>3558.91</v>
          </cell>
        </row>
        <row r="799">
          <cell r="L799" t="str">
            <v>Ring 1 Phú Xuân - CAT TT Huế</v>
          </cell>
          <cell r="M799" t="str">
            <v>3558.91</v>
          </cell>
          <cell r="N799" t="str">
            <v>3356.28</v>
          </cell>
          <cell r="O799" t="str">
            <v>16.493091</v>
          </cell>
          <cell r="P799" t="str">
            <v>107.594409</v>
          </cell>
          <cell r="Q799" t="str">
            <v>202.64</v>
          </cell>
          <cell r="R799" t="str">
            <v>16.478172</v>
          </cell>
          <cell r="S799" t="str">
            <v>107.624154</v>
          </cell>
          <cell r="T799" t="str">
            <v>full_h04/Huế/Mạng cấp 3/Ring phòng 1/Ring 1 Phú Xuân - CAT TT Huế/Tuyến trung thế 2</v>
          </cell>
          <cell r="U799">
            <v>3558.91</v>
          </cell>
        </row>
        <row r="800">
          <cell r="L800" t="str">
            <v>Ring 1 Phú Xuân - CAT TT Huế</v>
          </cell>
          <cell r="M800" t="str">
            <v>4023.15</v>
          </cell>
          <cell r="N800" t="str">
            <v>3820.51</v>
          </cell>
          <cell r="O800" t="str">
            <v>16.493091</v>
          </cell>
          <cell r="P800" t="str">
            <v>107.594409</v>
          </cell>
          <cell r="Q800" t="str">
            <v>202.64</v>
          </cell>
          <cell r="R800" t="str">
            <v>16.478172</v>
          </cell>
          <cell r="S800" t="str">
            <v>107.624154</v>
          </cell>
          <cell r="T800" t="str">
            <v>full_h04/Huế/Mạng cấp 3/Ring phòng 1/Ring 1 Phú Xuân - CAT TT Huế/Tuyến trung thế 2</v>
          </cell>
          <cell r="U800">
            <v>4023.15</v>
          </cell>
        </row>
        <row r="801">
          <cell r="L801" t="str">
            <v>TTCMKV_Ring 2_CAT Huế mới-Quảng Điền</v>
          </cell>
          <cell r="M801" t="str">
            <v>6264.39</v>
          </cell>
          <cell r="N801" t="str">
            <v>4904.61</v>
          </cell>
          <cell r="O801" t="str">
            <v>16.512765</v>
          </cell>
          <cell r="P801" t="str">
            <v>107.534930</v>
          </cell>
          <cell r="Q801" t="str">
            <v>1359.78</v>
          </cell>
          <cell r="R801" t="str">
            <v>16.494384</v>
          </cell>
          <cell r="S801" t="str">
            <v>107.577304</v>
          </cell>
          <cell r="T801" t="str">
            <v>full_h04/Huế/Mạng cấp 3/Ring 2 TTCMKV/TTCMKV_Ring 2_CAT Huế mới-Quảng Điền/Trung thế</v>
          </cell>
          <cell r="U801">
            <v>6264.39</v>
          </cell>
        </row>
        <row r="802">
          <cell r="L802" t="str">
            <v>Ring 8 Thuận An-TTCMKV Phú Vang</v>
          </cell>
          <cell r="M802" t="str">
            <v>18685.63</v>
          </cell>
          <cell r="N802" t="str">
            <v>11240.10</v>
          </cell>
          <cell r="O802" t="str">
            <v>16.432163</v>
          </cell>
          <cell r="P802" t="str">
            <v>107.776574</v>
          </cell>
          <cell r="Q802" t="str">
            <v>7445.52</v>
          </cell>
          <cell r="R802" t="str">
            <v>16.556288</v>
          </cell>
          <cell r="S802" t="str">
            <v>107.650227</v>
          </cell>
          <cell r="T802" t="str">
            <v>full_h04/Huế/Mang cap 4/Ring 8/Ring 8 Thuận An-TTCMKV Phú Vang/Tuyến trung thế 2</v>
          </cell>
          <cell r="U802">
            <v>18685.63</v>
          </cell>
        </row>
        <row r="803">
          <cell r="L803" t="str">
            <v>TTCMKV_Ring 1_Phú Vang-Phú Lộc</v>
          </cell>
          <cell r="M803" t="str">
            <v>5426.63</v>
          </cell>
          <cell r="N803" t="str">
            <v>2372.01</v>
          </cell>
          <cell r="O803" t="str">
            <v>16.349120</v>
          </cell>
          <cell r="P803" t="str">
            <v>107.918336</v>
          </cell>
          <cell r="Q803" t="str">
            <v>3054.62</v>
          </cell>
          <cell r="R803" t="str">
            <v>16.264000</v>
          </cell>
          <cell r="S803" t="str">
            <v>107.887810</v>
          </cell>
          <cell r="T803" t="str">
            <v>full_h04/Huế/Mạng cấp 3/Ring 1 TTCMKV/TTCMKV_Ring 1_Phú Vang-Phú Lộc/Trung thế</v>
          </cell>
          <cell r="U803">
            <v>5426.63</v>
          </cell>
        </row>
        <row r="804">
          <cell r="L804" t="str">
            <v>Ring 8 Thuận An-TTCMKV Phú Vang</v>
          </cell>
          <cell r="M804" t="str">
            <v>29450.85</v>
          </cell>
          <cell r="N804" t="str">
            <v>9907.93</v>
          </cell>
          <cell r="O804" t="str">
            <v>16.556288</v>
          </cell>
          <cell r="P804" t="str">
            <v>107.650227</v>
          </cell>
          <cell r="Q804" t="str">
            <v>19542.92</v>
          </cell>
          <cell r="R804" t="str">
            <v>16.432163</v>
          </cell>
          <cell r="S804" t="str">
            <v>107.776574</v>
          </cell>
          <cell r="T804" t="str">
            <v>full_h04/Huế/Mang cap 4/Ring 8/Ring 8 Thuận An-TTCMKV Phú Vang/Tuyến trung thế 2</v>
          </cell>
          <cell r="U804">
            <v>29450.85</v>
          </cell>
        </row>
        <row r="805">
          <cell r="L805" t="str">
            <v>Ring 5 Đan Điền-Quảng Điền</v>
          </cell>
          <cell r="M805" t="str">
            <v>67.46</v>
          </cell>
          <cell r="N805" t="str">
            <v>33.73</v>
          </cell>
          <cell r="O805" t="str">
            <v>16.568541</v>
          </cell>
          <cell r="P805" t="str">
            <v>107.513361</v>
          </cell>
          <cell r="Q805" t="str">
            <v>33.73</v>
          </cell>
          <cell r="R805" t="str">
            <v>16.568541</v>
          </cell>
          <cell r="S805" t="str">
            <v>107.513361</v>
          </cell>
          <cell r="T805" t="str">
            <v>full_h04/Huế/Mang cap 4/Ring 5/Ring 5 Đan Điền-Quảng Điền/Tuyến ngầm đầu tư mới 1</v>
          </cell>
          <cell r="U805">
            <v>67.459999999999994</v>
          </cell>
        </row>
        <row r="806">
          <cell r="L806" t="str">
            <v>Ring 6 TTCMKV Quảng Điền-Kim Trà</v>
          </cell>
          <cell r="M806" t="str">
            <v>1557.52</v>
          </cell>
          <cell r="N806" t="str">
            <v>32.30</v>
          </cell>
          <cell r="O806" t="str">
            <v>16.491366</v>
          </cell>
          <cell r="P806" t="str">
            <v>107.521095</v>
          </cell>
          <cell r="Q806" t="str">
            <v>1525.21</v>
          </cell>
          <cell r="R806" t="str">
            <v>16.496891</v>
          </cell>
          <cell r="S806" t="str">
            <v>107.507471</v>
          </cell>
          <cell r="T806" t="str">
            <v>full_h04/Huế/Mang cap 4/Ring 6/Ring 6 TTCMKV Quảng Điền-Kim Trà/Tuyến trung thế 1</v>
          </cell>
          <cell r="U806">
            <v>1557.52</v>
          </cell>
        </row>
        <row r="807">
          <cell r="L807" t="str">
            <v>TTCMKV_Ring 2_CAT Huế mới-Quảng Điền</v>
          </cell>
          <cell r="M807" t="str">
            <v>887.99</v>
          </cell>
          <cell r="N807" t="str">
            <v>444.00</v>
          </cell>
          <cell r="O807" t="str">
            <v>16.488940</v>
          </cell>
          <cell r="P807" t="str">
            <v>107.569457</v>
          </cell>
          <cell r="Q807" t="str">
            <v>444.00</v>
          </cell>
          <cell r="R807" t="str">
            <v>16.488940</v>
          </cell>
          <cell r="S807" t="str">
            <v>107.569457</v>
          </cell>
          <cell r="T807" t="str">
            <v>full_h04/Huế/Mạng cấp 3/Ring 2 TTCMKV/TTCMKV_Ring 2_CAT Huế mới-Quảng Điền/Trung thế</v>
          </cell>
          <cell r="U807">
            <v>887.99</v>
          </cell>
        </row>
        <row r="808">
          <cell r="L808" t="str">
            <v>Ring 3 PC10 - PC11</v>
          </cell>
          <cell r="M808" t="str">
            <v>439.21</v>
          </cell>
          <cell r="N808" t="str">
            <v>219.61</v>
          </cell>
          <cell r="O808" t="str">
            <v>16.443131</v>
          </cell>
          <cell r="P808" t="str">
            <v>107.579831</v>
          </cell>
          <cell r="Q808" t="str">
            <v>219.61</v>
          </cell>
          <cell r="R808" t="str">
            <v>16.443131</v>
          </cell>
          <cell r="S808" t="str">
            <v>107.579831</v>
          </cell>
          <cell r="T808" t="str">
            <v>full_h04/Huế/Mạng cấp 3/Ring phòng 3/Ring 3 PC10 - PC11/Tuyến trung thế 1</v>
          </cell>
          <cell r="U808">
            <v>439.21</v>
          </cell>
        </row>
        <row r="809">
          <cell r="L809" t="str">
            <v>Ring 3 PA07 - PC01</v>
          </cell>
          <cell r="M809" t="str">
            <v>412.51</v>
          </cell>
          <cell r="N809" t="str">
            <v>206.26</v>
          </cell>
          <cell r="O809" t="str">
            <v>16.478684</v>
          </cell>
          <cell r="P809" t="str">
            <v>107.598051</v>
          </cell>
          <cell r="Q809" t="str">
            <v>206.26</v>
          </cell>
          <cell r="R809" t="str">
            <v>16.478684</v>
          </cell>
          <cell r="S809" t="str">
            <v>107.598051</v>
          </cell>
          <cell r="T809" t="str">
            <v>full_h04/Huế/Mạng cấp 3/Ring phòng 3/Ring 3 PA07 - PC01/Tuyến hạ thế EVN 1</v>
          </cell>
          <cell r="U809">
            <v>412.51</v>
          </cell>
        </row>
        <row r="810">
          <cell r="L810" t="str">
            <v>TTCMKV_Ring 2_Phong Điền-CAT Huế mới</v>
          </cell>
          <cell r="M810" t="str">
            <v>22.42</v>
          </cell>
          <cell r="N810" t="str">
            <v>11.21</v>
          </cell>
          <cell r="O810" t="str">
            <v>16.481582</v>
          </cell>
          <cell r="P810" t="str">
            <v>107.555908</v>
          </cell>
          <cell r="Q810" t="str">
            <v>11.21</v>
          </cell>
          <cell r="R810" t="str">
            <v>16.481582</v>
          </cell>
          <cell r="S810" t="str">
            <v>107.555908</v>
          </cell>
          <cell r="T810" t="str">
            <v>full_h04/Huế/Mạng cấp 3/Ring 2 TTCMKV/TTCMKV_Ring 2_Phong Điền-CAT Huế mới/Trung thế</v>
          </cell>
          <cell r="U810">
            <v>22.42</v>
          </cell>
        </row>
        <row r="811">
          <cell r="L811" t="str">
            <v>Ring 3 PC10 - PC11</v>
          </cell>
          <cell r="M811" t="str">
            <v>816.87</v>
          </cell>
          <cell r="N811" t="str">
            <v>408.43</v>
          </cell>
          <cell r="O811" t="str">
            <v>16.463817</v>
          </cell>
          <cell r="P811" t="str">
            <v>107.586459</v>
          </cell>
          <cell r="Q811" t="str">
            <v>408.43</v>
          </cell>
          <cell r="R811" t="str">
            <v>16.463817</v>
          </cell>
          <cell r="S811" t="str">
            <v>107.586459</v>
          </cell>
          <cell r="T811" t="str">
            <v>full_h04/Huế/Mạng cấp 3/Ring phòng 3/Ring 3 PC10 - PC11/Tuyến cống bể có sẵn  1</v>
          </cell>
          <cell r="U811">
            <v>816.87</v>
          </cell>
        </row>
        <row r="812">
          <cell r="L812" t="str">
            <v>PC06 (54 Hùng Vương) - TT Huế</v>
          </cell>
          <cell r="M812" t="str">
            <v>35.35</v>
          </cell>
          <cell r="N812" t="str">
            <v>17.67</v>
          </cell>
          <cell r="O812" t="str">
            <v>16.459884</v>
          </cell>
          <cell r="P812" t="str">
            <v>107.605284</v>
          </cell>
          <cell r="Q812" t="str">
            <v>17.67</v>
          </cell>
          <cell r="R812" t="str">
            <v>16.459884</v>
          </cell>
          <cell r="S812" t="str">
            <v>107.605284</v>
          </cell>
          <cell r="T812" t="str">
            <v>full_h04/Huế/Mạng cấp 3/Các đơn vị vị CA TP - Đơn nhánh/PC06 (54 Hùng Vương) - TT Huế/Tuyến trung thế 1</v>
          </cell>
          <cell r="U812">
            <v>35.35</v>
          </cell>
        </row>
        <row r="813">
          <cell r="L813" t="str">
            <v>Ring 1 Nguyễn Thái Học- Phú Xuân</v>
          </cell>
          <cell r="M813" t="str">
            <v>743.01</v>
          </cell>
          <cell r="N813" t="str">
            <v>92.14</v>
          </cell>
          <cell r="O813" t="str">
            <v>16.470612</v>
          </cell>
          <cell r="P813" t="str">
            <v>107.587018</v>
          </cell>
          <cell r="Q813" t="str">
            <v>650.87</v>
          </cell>
          <cell r="R813" t="str">
            <v>16.481928</v>
          </cell>
          <cell r="S813" t="str">
            <v>107.590125</v>
          </cell>
          <cell r="T813" t="str">
            <v>full_h04/Huế/Mạng cấp 3/Ring phòng 1/Ring 1 Nguyễn Thái Học- Phú Xuân/Tuyến cống bể có sẵn</v>
          </cell>
          <cell r="U813">
            <v>743.01</v>
          </cell>
        </row>
        <row r="814">
          <cell r="L814" t="str">
            <v>Ring 1 Vinh Lộc-Chân Mây_Lăng Cô</v>
          </cell>
          <cell r="M814" t="str">
            <v>1322.43</v>
          </cell>
          <cell r="N814" t="str">
            <v>1095.65</v>
          </cell>
          <cell r="O814" t="str">
            <v>16.272388</v>
          </cell>
          <cell r="P814" t="str">
            <v>107.972993</v>
          </cell>
          <cell r="Q814" t="str">
            <v>226.78</v>
          </cell>
          <cell r="R814" t="str">
            <v>16.242724</v>
          </cell>
          <cell r="S814" t="str">
            <v>108.077697</v>
          </cell>
          <cell r="T814" t="str">
            <v>full_h04/Huế/Mang cap 4/Ring 1/Ring 1 Vinh Lộc-Chân Mây_Lăng Cô/Tuyến trung thế 2</v>
          </cell>
          <cell r="U814">
            <v>1322.43</v>
          </cell>
        </row>
        <row r="815">
          <cell r="L815" t="str">
            <v>Ring 8 Dương Nỗ-Thuận An</v>
          </cell>
          <cell r="M815" t="str">
            <v>975.75</v>
          </cell>
          <cell r="N815" t="str">
            <v>963.19</v>
          </cell>
          <cell r="O815" t="str">
            <v>16.512826</v>
          </cell>
          <cell r="P815" t="str">
            <v>107.599742</v>
          </cell>
          <cell r="Q815" t="str">
            <v>12.56</v>
          </cell>
          <cell r="R815" t="str">
            <v>16.543879</v>
          </cell>
          <cell r="S815" t="str">
            <v>107.636127</v>
          </cell>
          <cell r="T815" t="str">
            <v>full_h04/Huế/Mang cap 4/Ring 8/Ring 8 Dương Nỗ-Thuận An/Tuyến trung thế 1</v>
          </cell>
          <cell r="U815">
            <v>975.75</v>
          </cell>
        </row>
        <row r="816">
          <cell r="L816" t="str">
            <v>TTCMKV_Ring 1_CAT Huế mới-Phú Vang</v>
          </cell>
          <cell r="M816" t="str">
            <v>783.80</v>
          </cell>
          <cell r="N816" t="str">
            <v>726.09</v>
          </cell>
          <cell r="O816" t="str">
            <v>16.487858</v>
          </cell>
          <cell r="P816" t="str">
            <v>107.644924</v>
          </cell>
          <cell r="Q816" t="str">
            <v>57.71</v>
          </cell>
          <cell r="R816" t="str">
            <v>16.439834</v>
          </cell>
          <cell r="S816" t="str">
            <v>107.715987</v>
          </cell>
          <cell r="T816" t="str">
            <v>full_h04/Huế/Mạng cấp 3/Ring 1 TTCMKV/TTCMKV_Ring 1_CAT Huế mới-Phú Vang/Trung thế</v>
          </cell>
          <cell r="U816">
            <v>783.8</v>
          </cell>
        </row>
        <row r="817">
          <cell r="L817" t="str">
            <v>Ring 5 Đan Điền-Quảng Điền</v>
          </cell>
          <cell r="M817" t="str">
            <v>478.44</v>
          </cell>
          <cell r="N817" t="str">
            <v>385.11</v>
          </cell>
          <cell r="O817" t="str">
            <v>16.566453</v>
          </cell>
          <cell r="P817" t="str">
            <v>107.498831</v>
          </cell>
          <cell r="Q817" t="str">
            <v>93.33</v>
          </cell>
          <cell r="R817" t="str">
            <v>16.569546</v>
          </cell>
          <cell r="S817" t="str">
            <v>107.513842</v>
          </cell>
          <cell r="T817" t="str">
            <v>full_h04/Huế/Mang cap 4/Ring 5/Ring 5 Đan Điền-Quảng Điền/Tuyến trung thế 1</v>
          </cell>
          <cell r="U817">
            <v>478.44</v>
          </cell>
        </row>
        <row r="818">
          <cell r="L818" t="str">
            <v>Ring 3_Phong Dinh-TTCMKV Quảng Điền</v>
          </cell>
          <cell r="M818" t="str">
            <v>6198.63</v>
          </cell>
          <cell r="N818" t="str">
            <v>4938.23</v>
          </cell>
          <cell r="O818" t="str">
            <v>16.596873</v>
          </cell>
          <cell r="P818" t="str">
            <v>107.501725</v>
          </cell>
          <cell r="Q818" t="str">
            <v>1260.40</v>
          </cell>
          <cell r="R818" t="str">
            <v>16.580074</v>
          </cell>
          <cell r="S818" t="str">
            <v>107.513431</v>
          </cell>
          <cell r="T818" t="str">
            <v>full_h04/Huế/Mang cap 4/Ring 3/Ring 3_Phong Dinh-TTCMKV Quảng Điền/Trung thế</v>
          </cell>
          <cell r="U818">
            <v>6198.63</v>
          </cell>
        </row>
        <row r="819">
          <cell r="L819" t="str">
            <v>PC04 (trung tâm cái nghiện) - Phú Xuân</v>
          </cell>
          <cell r="M819" t="str">
            <v>1854.24</v>
          </cell>
          <cell r="N819" t="str">
            <v>898.82</v>
          </cell>
          <cell r="O819" t="str">
            <v>16.460555</v>
          </cell>
          <cell r="P819" t="str">
            <v>107.569109</v>
          </cell>
          <cell r="Q819" t="str">
            <v>955.41</v>
          </cell>
          <cell r="R819" t="str">
            <v>16.478937</v>
          </cell>
          <cell r="S819" t="str">
            <v>107.589756</v>
          </cell>
          <cell r="T819" t="str">
            <v>full_h04/Huế/Mạng cấp 3/Các đơn vị vị CA TP - Đơn nhánh/PC04 (trung tâm cái nghiện) - Phú Xuân/Tuyến cống bể ngầm có sẵn 2</v>
          </cell>
          <cell r="U819">
            <v>1854.24</v>
          </cell>
        </row>
        <row r="820">
          <cell r="L820" t="str">
            <v>Ring 3 PC10 - PC11</v>
          </cell>
          <cell r="M820" t="str">
            <v>2594.86</v>
          </cell>
          <cell r="N820" t="str">
            <v>1786.54</v>
          </cell>
          <cell r="O820" t="str">
            <v>16.451485</v>
          </cell>
          <cell r="P820" t="str">
            <v>107.574380</v>
          </cell>
          <cell r="Q820" t="str">
            <v>808.32</v>
          </cell>
          <cell r="R820" t="str">
            <v>16.430464</v>
          </cell>
          <cell r="S820" t="str">
            <v>107.587190</v>
          </cell>
          <cell r="T820" t="str">
            <v>full_h04/Huế/Mạng cấp 3/Ring phòng 3/Ring 3 PC10 - PC11/Tuyến trung thế 1</v>
          </cell>
          <cell r="U820">
            <v>2594.86</v>
          </cell>
        </row>
        <row r="821">
          <cell r="L821" t="str">
            <v>Ring 3_Phong Dinh-TTCMKV Quảng Điền</v>
          </cell>
          <cell r="M821" t="str">
            <v>5064.17</v>
          </cell>
          <cell r="N821" t="str">
            <v>5010.44</v>
          </cell>
          <cell r="O821" t="str">
            <v>16.579531</v>
          </cell>
          <cell r="P821" t="str">
            <v>107.513243</v>
          </cell>
          <cell r="Q821" t="str">
            <v>53.73</v>
          </cell>
          <cell r="R821" t="str">
            <v>16.569083</v>
          </cell>
          <cell r="S821" t="str">
            <v>107.513955</v>
          </cell>
          <cell r="T821" t="str">
            <v>full_h04/Huế/Mang cap 4/Ring 3/Ring 3_Phong Dinh-TTCMKV Quảng Điền/Trung thế</v>
          </cell>
          <cell r="U821">
            <v>5064.17</v>
          </cell>
        </row>
        <row r="822">
          <cell r="L822" t="str">
            <v>Ring 12_Bình Điền-TTCMKV Hương Thủy</v>
          </cell>
          <cell r="M822" t="str">
            <v>3946.60</v>
          </cell>
          <cell r="N822" t="str">
            <v>3665.05</v>
          </cell>
          <cell r="O822" t="str">
            <v>16.398535</v>
          </cell>
          <cell r="P822" t="str">
            <v>107.617428</v>
          </cell>
          <cell r="Q822" t="str">
            <v>281.56</v>
          </cell>
          <cell r="R822" t="str">
            <v>16.410386</v>
          </cell>
          <cell r="S822" t="str">
            <v>107.679068</v>
          </cell>
          <cell r="T822" t="str">
            <v>full_h04/Huế/Mang cap 4/Ring 12/Ring 12_Bình Điền-TTCMKV Hương Thủy/Trung thế</v>
          </cell>
          <cell r="U822">
            <v>3946.6</v>
          </cell>
        </row>
        <row r="823">
          <cell r="L823" t="str">
            <v>PC04 (trung tâm cái nghiện) - Phú Xuân</v>
          </cell>
          <cell r="M823" t="str">
            <v>1134.90</v>
          </cell>
          <cell r="N823" t="str">
            <v>1113.51</v>
          </cell>
          <cell r="O823" t="str">
            <v>16.479980</v>
          </cell>
          <cell r="P823" t="str">
            <v>107.585702</v>
          </cell>
          <cell r="Q823" t="str">
            <v>21.39</v>
          </cell>
          <cell r="R823" t="str">
            <v>16.487358</v>
          </cell>
          <cell r="S823" t="str">
            <v>107.587509</v>
          </cell>
          <cell r="T823" t="str">
            <v>full_h04/Huế/Mạng cấp 3/Các đơn vị vị CA TP - Đơn nhánh/PC04 (trung tâm cái nghiện) - Phú Xuân/Tuyến trung thế 3</v>
          </cell>
          <cell r="U823">
            <v>1134.9000000000001</v>
          </cell>
        </row>
        <row r="824">
          <cell r="L824" t="str">
            <v>Ring 3_Phong Dinh-TTCMKV Quảng Điền</v>
          </cell>
          <cell r="M824" t="str">
            <v>1446.38</v>
          </cell>
          <cell r="N824" t="str">
            <v>185.98</v>
          </cell>
          <cell r="O824" t="str">
            <v>16.612981</v>
          </cell>
          <cell r="P824" t="str">
            <v>107.465622</v>
          </cell>
          <cell r="Q824" t="str">
            <v>1260.40</v>
          </cell>
          <cell r="R824" t="str">
            <v>16.580074</v>
          </cell>
          <cell r="S824" t="str">
            <v>107.513431</v>
          </cell>
          <cell r="T824" t="str">
            <v>full_h04/Huế/Mang cap 4/Ring 3/Ring 3_Phong Dinh-TTCMKV Quảng Điền/Trung thế</v>
          </cell>
          <cell r="U824">
            <v>1446.38</v>
          </cell>
        </row>
        <row r="825">
          <cell r="L825" t="str">
            <v>Ring 5 Phong Thái-Hương Trà</v>
          </cell>
          <cell r="M825" t="str">
            <v>2398.43</v>
          </cell>
          <cell r="N825" t="str">
            <v>2322.56</v>
          </cell>
          <cell r="O825" t="str">
            <v>16.527670</v>
          </cell>
          <cell r="P825" t="str">
            <v>107.465991</v>
          </cell>
          <cell r="Q825" t="str">
            <v>75.87</v>
          </cell>
          <cell r="R825" t="str">
            <v>16.523371</v>
          </cell>
          <cell r="S825" t="str">
            <v>107.474601</v>
          </cell>
          <cell r="T825" t="str">
            <v>full_h04/Huế/Mang cap 4/Ring 5/Ring 5 Phong Thái-Hương Trà/Tuyến trung thế 1</v>
          </cell>
          <cell r="U825">
            <v>2398.4299999999998</v>
          </cell>
        </row>
        <row r="826">
          <cell r="L826" t="str">
            <v>Ring 11 CAT Thừa Thiên Huế-Thủy Xuân</v>
          </cell>
          <cell r="M826" t="str">
            <v>1649.43</v>
          </cell>
          <cell r="N826" t="str">
            <v>1189.87</v>
          </cell>
          <cell r="O826" t="str">
            <v>16.433597</v>
          </cell>
          <cell r="P826" t="str">
            <v>107.570817</v>
          </cell>
          <cell r="Q826" t="str">
            <v>459.56</v>
          </cell>
          <cell r="R826" t="str">
            <v>16.442993</v>
          </cell>
          <cell r="S826" t="str">
            <v>107.540175</v>
          </cell>
          <cell r="T826" t="str">
            <v>full_h04/Huế/Mang cap 4/Ring 11/Ring 11 CAT Thừa Thiên Huế-Thủy Xuân/Tuyến trung thế 1</v>
          </cell>
          <cell r="U826">
            <v>1649.43</v>
          </cell>
        </row>
        <row r="827">
          <cell r="L827" t="str">
            <v>Ring 6 TTCMKV Quảng Điền-Kim Trà</v>
          </cell>
          <cell r="M827" t="str">
            <v>5727.86</v>
          </cell>
          <cell r="N827" t="str">
            <v>5658.25</v>
          </cell>
          <cell r="O827" t="str">
            <v>16.491366</v>
          </cell>
          <cell r="P827" t="str">
            <v>107.521095</v>
          </cell>
          <cell r="Q827" t="str">
            <v>69.61</v>
          </cell>
          <cell r="R827" t="str">
            <v>16.568550</v>
          </cell>
          <cell r="S827" t="str">
            <v>107.514222</v>
          </cell>
          <cell r="T827" t="str">
            <v>full_h04/Huế/Mang cap 4/Ring 6/Ring 6 TTCMKV Quảng Điền-Kim Trà/Tuyến trung thế 1</v>
          </cell>
          <cell r="U827">
            <v>5727.86</v>
          </cell>
        </row>
        <row r="828">
          <cell r="L828" t="str">
            <v>Ring 11 "Thủy Xuân-TTCMKV TX Hương
Thủy"</v>
          </cell>
          <cell r="M828" t="str">
            <v>1843.49</v>
          </cell>
          <cell r="N828" t="str">
            <v>1774.82</v>
          </cell>
          <cell r="O828" t="str">
            <v>16.436325</v>
          </cell>
          <cell r="P828" t="str">
            <v>107.608712</v>
          </cell>
          <cell r="Q828" t="str">
            <v>68.68</v>
          </cell>
          <cell r="R828" t="str">
            <v>16.408671</v>
          </cell>
          <cell r="S828" t="str">
            <v>107.681068</v>
          </cell>
          <cell r="T828" t="str">
            <v>full_h04/Huế/Mang cap 4/Ring 11/Ring 11 "Thủy Xuân-TTCMKV TX Hương
Thủy"/Tuyến trung thế 1</v>
          </cell>
          <cell r="U828">
            <v>1843.49</v>
          </cell>
        </row>
        <row r="829">
          <cell r="L829" t="str">
            <v>Ring 6 TTCMKV Quảng Điền-Kim Trà</v>
          </cell>
          <cell r="M829" t="str">
            <v>5398.50</v>
          </cell>
          <cell r="N829" t="str">
            <v>5328.89</v>
          </cell>
          <cell r="O829" t="str">
            <v>16.491366</v>
          </cell>
          <cell r="P829" t="str">
            <v>107.521095</v>
          </cell>
          <cell r="Q829" t="str">
            <v>69.61</v>
          </cell>
          <cell r="R829" t="str">
            <v>16.568550</v>
          </cell>
          <cell r="S829" t="str">
            <v>107.514222</v>
          </cell>
          <cell r="T829" t="str">
            <v>full_h04/Huế/Mang cap 4/Ring 6/Ring 6 TTCMKV Quảng Điền-Kim Trà/Tuyến trung thế 1</v>
          </cell>
          <cell r="U829">
            <v>5398.5</v>
          </cell>
        </row>
        <row r="830">
          <cell r="L830" t="str">
            <v>Ring 3 PA07 - PC01</v>
          </cell>
          <cell r="M830" t="str">
            <v>146.82</v>
          </cell>
          <cell r="N830" t="str">
            <v>132.85</v>
          </cell>
          <cell r="O830" t="str">
            <v>16.481053</v>
          </cell>
          <cell r="P830" t="str">
            <v>107.598243</v>
          </cell>
          <cell r="Q830" t="str">
            <v>13.97</v>
          </cell>
          <cell r="R830" t="str">
            <v>16.475571</v>
          </cell>
          <cell r="S830" t="str">
            <v>107.603190</v>
          </cell>
          <cell r="T830" t="str">
            <v>full_h04/Huế/Mạng cấp 3/Ring phòng 3/Ring 3 PA07 - PC01/Tuyến hạ thế EVN 1</v>
          </cell>
          <cell r="U830">
            <v>146.82</v>
          </cell>
        </row>
        <row r="831">
          <cell r="L831" t="str">
            <v>TTCMKV_Ring 2_Phong Điền-CAT Huế mới</v>
          </cell>
          <cell r="M831" t="str">
            <v>2614.82</v>
          </cell>
          <cell r="N831" t="str">
            <v>790.60</v>
          </cell>
          <cell r="O831" t="str">
            <v>16.457075</v>
          </cell>
          <cell r="P831" t="str">
            <v>107.600076</v>
          </cell>
          <cell r="Q831" t="str">
            <v>1824.23</v>
          </cell>
          <cell r="R831" t="str">
            <v>16.460649</v>
          </cell>
          <cell r="S831" t="str">
            <v>107.624078</v>
          </cell>
          <cell r="T831" t="str">
            <v>full_h04/Huế/Mạng cấp 3/Ring 2 TTCMKV/TTCMKV_Ring 2_Phong Điền-CAT Huế mới/Hạ thế</v>
          </cell>
          <cell r="U831">
            <v>2614.8200000000002</v>
          </cell>
        </row>
        <row r="832">
          <cell r="L832" t="str">
            <v>Ring 3 PA07 - PC01</v>
          </cell>
          <cell r="M832" t="str">
            <v>436.60</v>
          </cell>
          <cell r="N832" t="str">
            <v>422.63</v>
          </cell>
          <cell r="O832" t="str">
            <v>16.478684</v>
          </cell>
          <cell r="P832" t="str">
            <v>107.598051</v>
          </cell>
          <cell r="Q832" t="str">
            <v>13.97</v>
          </cell>
          <cell r="R832" t="str">
            <v>16.475571</v>
          </cell>
          <cell r="S832" t="str">
            <v>107.603190</v>
          </cell>
          <cell r="T832" t="str">
            <v>full_h04/Huế/Mạng cấp 3/Ring phòng 3/Ring 3 PA07 - PC01/Tuyến hạ thế EVN 1</v>
          </cell>
          <cell r="U832">
            <v>436.6</v>
          </cell>
        </row>
        <row r="833">
          <cell r="L833" t="str">
            <v>E28)</v>
          </cell>
          <cell r="M833" t="str">
            <v>5061.25</v>
          </cell>
          <cell r="N833" t="str">
            <v>5002.00</v>
          </cell>
          <cell r="O833" t="str">
            <v>16.335578</v>
          </cell>
          <cell r="P833" t="str">
            <v>107.739281</v>
          </cell>
          <cell r="Q833" t="str">
            <v>59.25</v>
          </cell>
          <cell r="R833" t="str">
            <v>16.408867</v>
          </cell>
          <cell r="S833" t="str">
            <v>107.680966</v>
          </cell>
          <cell r="T833" t="str">
            <v>full_h04/Huế/Mạng cấp 3/Ring phòng 2/Ring 2 Hương Thủy - K02 (D2/E28)/Tuyến trung thế 1</v>
          </cell>
          <cell r="U833">
            <v>5061.25</v>
          </cell>
        </row>
        <row r="834">
          <cell r="L834" t="str">
            <v>TTCMKV_Ring 1_Phú Vang-Phú Lộc</v>
          </cell>
          <cell r="M834" t="str">
            <v>10224.05</v>
          </cell>
          <cell r="N834" t="str">
            <v>1722.27</v>
          </cell>
          <cell r="O834" t="str">
            <v>16.387333</v>
          </cell>
          <cell r="P834" t="str">
            <v>107.835729</v>
          </cell>
          <cell r="Q834" t="str">
            <v>8501.78</v>
          </cell>
          <cell r="R834" t="str">
            <v>16.346129</v>
          </cell>
          <cell r="S834" t="str">
            <v>107.896635</v>
          </cell>
          <cell r="T834" t="str">
            <v>full_h04/Huế/Mạng cấp 3/Ring 1 TTCMKV/TTCMKV_Ring 1_Phú Vang-Phú Lộc/Trung thế</v>
          </cell>
          <cell r="U834">
            <v>10224.049999999999</v>
          </cell>
        </row>
        <row r="835">
          <cell r="L835" t="str">
            <v>TTCMKV_Ring 1_CAT Huế mới-Phú Vang</v>
          </cell>
          <cell r="M835" t="str">
            <v>80.32</v>
          </cell>
          <cell r="N835" t="str">
            <v>22.61</v>
          </cell>
          <cell r="O835" t="str">
            <v>16.484102</v>
          </cell>
          <cell r="P835" t="str">
            <v>107.668222</v>
          </cell>
          <cell r="Q835" t="str">
            <v>57.71</v>
          </cell>
          <cell r="R835" t="str">
            <v>16.439834</v>
          </cell>
          <cell r="S835" t="str">
            <v>107.715987</v>
          </cell>
          <cell r="T835" t="str">
            <v>full_h04/Huế/Mạng cấp 3/Ring 1 TTCMKV/TTCMKV_Ring 1_CAT Huế mới-Phú Vang/Trung thế</v>
          </cell>
          <cell r="U835">
            <v>80.319999999999993</v>
          </cell>
        </row>
        <row r="836">
          <cell r="L836" t="str">
            <v>Ring 3_Phong Dinh-TTCMKV Quảng Điền</v>
          </cell>
          <cell r="M836" t="str">
            <v>5041.82</v>
          </cell>
          <cell r="N836" t="str">
            <v>4988.09</v>
          </cell>
          <cell r="O836" t="str">
            <v>16.579531</v>
          </cell>
          <cell r="P836" t="str">
            <v>107.513243</v>
          </cell>
          <cell r="Q836" t="str">
            <v>53.73</v>
          </cell>
          <cell r="R836" t="str">
            <v>16.569083</v>
          </cell>
          <cell r="S836" t="str">
            <v>107.513955</v>
          </cell>
          <cell r="T836" t="str">
            <v>full_h04/Huế/Mang cap 4/Ring 3/Ring 3_Phong Dinh-TTCMKV Quảng Điền/Trung thế</v>
          </cell>
          <cell r="U836">
            <v>5041.82</v>
          </cell>
        </row>
        <row r="837">
          <cell r="L837" t="str">
            <v>Ring 3_Phong Dinh-TTCMKV Quảng Điền</v>
          </cell>
          <cell r="M837" t="str">
            <v>5586.14</v>
          </cell>
          <cell r="N837" t="str">
            <v>4325.74</v>
          </cell>
          <cell r="O837" t="str">
            <v>16.596873</v>
          </cell>
          <cell r="P837" t="str">
            <v>107.501725</v>
          </cell>
          <cell r="Q837" t="str">
            <v>1260.40</v>
          </cell>
          <cell r="R837" t="str">
            <v>16.580074</v>
          </cell>
          <cell r="S837" t="str">
            <v>107.513431</v>
          </cell>
          <cell r="T837" t="str">
            <v>full_h04/Huế/Mang cap 4/Ring 3/Ring 3_Phong Dinh-TTCMKV Quảng Điền/Trung thế</v>
          </cell>
          <cell r="U837">
            <v>5586.14</v>
          </cell>
        </row>
        <row r="838">
          <cell r="L838" t="str">
            <v>Ring 4 TTCMKV Phong Điền-Phong Phú</v>
          </cell>
          <cell r="M838" t="str">
            <v>2697.99</v>
          </cell>
          <cell r="N838" t="str">
            <v>2498.12</v>
          </cell>
          <cell r="O838" t="str">
            <v>16.595790</v>
          </cell>
          <cell r="P838" t="str">
            <v>107.357463</v>
          </cell>
          <cell r="Q838" t="str">
            <v>199.86</v>
          </cell>
          <cell r="R838" t="str">
            <v>16.661760</v>
          </cell>
          <cell r="S838" t="str">
            <v>107.381658</v>
          </cell>
          <cell r="T838" t="str">
            <v>full_h04/Huế/Mang cap 4/Ring 4/Ring 4 TTCMKV Phong Điền-Phong Phú/Tuyến trung thế 2</v>
          </cell>
          <cell r="U838">
            <v>2697.99</v>
          </cell>
        </row>
        <row r="839">
          <cell r="L839" t="str">
            <v>Ring 7 TTCMKV Quảng Điền-Hóa Châu</v>
          </cell>
          <cell r="M839" t="str">
            <v>4815.21</v>
          </cell>
          <cell r="N839" t="str">
            <v>4749.32</v>
          </cell>
          <cell r="O839" t="str">
            <v>16.537596</v>
          </cell>
          <cell r="P839" t="str">
            <v>107.563883</v>
          </cell>
          <cell r="Q839" t="str">
            <v>65.89</v>
          </cell>
          <cell r="R839" t="str">
            <v>16.568568</v>
          </cell>
          <cell r="S839" t="str">
            <v>107.514192</v>
          </cell>
          <cell r="T839" t="str">
            <v>full_h04/Huế/Mang cap 4/Ring 7/Ring 7 TTCMKV Quảng Điền-Hóa Châu/Tuyến trung thế 1</v>
          </cell>
          <cell r="U839">
            <v>4815.21</v>
          </cell>
        </row>
        <row r="840">
          <cell r="L840" t="str">
            <v>TTCMKV_Ring 1_Phú Vang-Phú Lộc</v>
          </cell>
          <cell r="M840" t="str">
            <v>8845.82</v>
          </cell>
          <cell r="N840" t="str">
            <v>344.04</v>
          </cell>
          <cell r="O840" t="str">
            <v>16.378901</v>
          </cell>
          <cell r="P840" t="str">
            <v>107.851676</v>
          </cell>
          <cell r="Q840" t="str">
            <v>8501.78</v>
          </cell>
          <cell r="R840" t="str">
            <v>16.346129</v>
          </cell>
          <cell r="S840" t="str">
            <v>107.896635</v>
          </cell>
          <cell r="T840" t="str">
            <v>full_h04/Huế/Mạng cấp 3/Ring 1 TTCMKV/TTCMKV_Ring 1_Phú Vang-Phú Lộc/Trung thế</v>
          </cell>
          <cell r="U840">
            <v>8845.82</v>
          </cell>
        </row>
        <row r="841">
          <cell r="L841" t="str">
            <v>Ring 4 TTCMKV Phong Điền-Phong Phú</v>
          </cell>
          <cell r="M841" t="str">
            <v>3937.89</v>
          </cell>
          <cell r="N841" t="str">
            <v>3738.03</v>
          </cell>
          <cell r="O841" t="str">
            <v>16.597567</v>
          </cell>
          <cell r="P841" t="str">
            <v>107.360275</v>
          </cell>
          <cell r="Q841" t="str">
            <v>199.86</v>
          </cell>
          <cell r="R841" t="str">
            <v>16.661760</v>
          </cell>
          <cell r="S841" t="str">
            <v>107.381658</v>
          </cell>
          <cell r="T841" t="str">
            <v>full_h04/Huế/Mang cap 4/Ring 4/Ring 4 TTCMKV Phong Điền-Phong Phú/Tuyến trung thế 2</v>
          </cell>
          <cell r="U841">
            <v>3937.89</v>
          </cell>
        </row>
        <row r="842">
          <cell r="L842" t="str">
            <v>Ring 1 Phú Xuân - CAT TT Huế</v>
          </cell>
          <cell r="M842" t="str">
            <v>3443.02</v>
          </cell>
          <cell r="N842" t="str">
            <v>3240.38</v>
          </cell>
          <cell r="O842" t="str">
            <v>16.493091</v>
          </cell>
          <cell r="P842" t="str">
            <v>107.594409</v>
          </cell>
          <cell r="Q842" t="str">
            <v>202.64</v>
          </cell>
          <cell r="R842" t="str">
            <v>16.478172</v>
          </cell>
          <cell r="S842" t="str">
            <v>107.624154</v>
          </cell>
          <cell r="T842" t="str">
            <v>full_h04/Huế/Mạng cấp 3/Ring phòng 1/Ring 1 Phú Xuân - CAT TT Huế/Tuyến trung thế 2</v>
          </cell>
          <cell r="U842">
            <v>3443.02</v>
          </cell>
        </row>
        <row r="843">
          <cell r="L843" t="str">
            <v>TTCMKV_Ring 2_Phong Điền-CAT Huế mới</v>
          </cell>
          <cell r="M843" t="str">
            <v>7950.65</v>
          </cell>
          <cell r="N843" t="str">
            <v>560.76</v>
          </cell>
          <cell r="O843" t="str">
            <v>16.523812</v>
          </cell>
          <cell r="P843" t="str">
            <v>107.480937</v>
          </cell>
          <cell r="Q843" t="str">
            <v>7389.89</v>
          </cell>
          <cell r="R843" t="str">
            <v>16.479613</v>
          </cell>
          <cell r="S843" t="str">
            <v>107.556349</v>
          </cell>
          <cell r="T843" t="str">
            <v>full_h04/Huế/Mạng cấp 3/Ring 2 TTCMKV/TTCMKV_Ring 2_Phong Điền-CAT Huế mới/Trung thế</v>
          </cell>
          <cell r="U843">
            <v>7950.65</v>
          </cell>
        </row>
        <row r="844">
          <cell r="L844" t="str">
            <v>Ring 6 Hương An-Kim Long</v>
          </cell>
          <cell r="M844" t="str">
            <v>248.10</v>
          </cell>
          <cell r="N844" t="str">
            <v>181.92</v>
          </cell>
          <cell r="O844" t="str">
            <v>16.452961</v>
          </cell>
          <cell r="P844" t="str">
            <v>107.529519</v>
          </cell>
          <cell r="Q844" t="str">
            <v>66.18</v>
          </cell>
          <cell r="R844" t="str">
            <v>16.439848</v>
          </cell>
          <cell r="S844" t="str">
            <v>107.523897</v>
          </cell>
          <cell r="T844" t="str">
            <v>full_h04/Huế/Mang cap 4/Ring 6/Ring 6 Hương An-Kim Long/Tuyến trung thế 1</v>
          </cell>
          <cell r="U844">
            <v>248.1</v>
          </cell>
        </row>
        <row r="845">
          <cell r="L845" t="str">
            <v>TTCMKV_Ring 1_Hương Thủy-CAT Huế mới</v>
          </cell>
          <cell r="M845" t="str">
            <v>3373.19</v>
          </cell>
          <cell r="N845" t="str">
            <v>304.64</v>
          </cell>
          <cell r="O845" t="str">
            <v>16.426506</v>
          </cell>
          <cell r="P845" t="str">
            <v>107.651908</v>
          </cell>
          <cell r="Q845" t="str">
            <v>3068.55</v>
          </cell>
          <cell r="R845" t="str">
            <v>16.449481</v>
          </cell>
          <cell r="S845" t="str">
            <v>107.627885</v>
          </cell>
          <cell r="T845" t="str">
            <v>full_h04/Huế/Mạng cấp 3/Ring 1 TTCMKV/TTCMKV_Ring 1_Hương Thủy-CAT Huế mới/Trung thế</v>
          </cell>
          <cell r="U845">
            <v>3373.19</v>
          </cell>
        </row>
        <row r="846">
          <cell r="L846" t="str">
            <v>Ring 2 Phú Xuân - Hương Thủy</v>
          </cell>
          <cell r="M846" t="str">
            <v>207.23</v>
          </cell>
          <cell r="N846" t="str">
            <v>132.15</v>
          </cell>
          <cell r="O846" t="str">
            <v>16.412330</v>
          </cell>
          <cell r="P846" t="str">
            <v>107.673615</v>
          </cell>
          <cell r="Q846" t="str">
            <v>75.08</v>
          </cell>
          <cell r="R846" t="str">
            <v>16.408631</v>
          </cell>
          <cell r="S846" t="str">
            <v>107.681020</v>
          </cell>
          <cell r="T846" t="str">
            <v>full_h04/Huế/Mạng cấp 3/Ring phòng 2/Ring 2 Phú Xuân - Hương Thủy/Tuyến trung thế 3</v>
          </cell>
          <cell r="U846">
            <v>207.23</v>
          </cell>
        </row>
        <row r="847">
          <cell r="L847" t="str">
            <v>Ring 8 Thuận An-TTCMKV Phú Vang</v>
          </cell>
          <cell r="M847" t="str">
            <v>5198.95</v>
          </cell>
          <cell r="N847" t="str">
            <v>53.01</v>
          </cell>
          <cell r="O847" t="str">
            <v>16.526154</v>
          </cell>
          <cell r="P847" t="str">
            <v>107.702167</v>
          </cell>
          <cell r="Q847" t="str">
            <v>5145.94</v>
          </cell>
          <cell r="R847" t="str">
            <v>16.471926</v>
          </cell>
          <cell r="S847" t="str">
            <v>107.751434</v>
          </cell>
          <cell r="T847" t="str">
            <v>full_h04/Huế/Mang cap 4/Ring 8/Ring 8 Thuận An-TTCMKV Phú Vang/Tuyến trung thế 2</v>
          </cell>
          <cell r="U847">
            <v>5198.95</v>
          </cell>
        </row>
        <row r="848">
          <cell r="L848" t="str">
            <v>Ring 8 CAT Thừa Thiên Huế-Dương Nỗ</v>
          </cell>
          <cell r="M848" t="str">
            <v>108.71</v>
          </cell>
          <cell r="N848" t="str">
            <v>94.82</v>
          </cell>
          <cell r="O848" t="str">
            <v>16.492583</v>
          </cell>
          <cell r="P848" t="str">
            <v>107.605600</v>
          </cell>
          <cell r="Q848" t="str">
            <v>13.89</v>
          </cell>
          <cell r="R848" t="str">
            <v>16.512819</v>
          </cell>
          <cell r="S848" t="str">
            <v>107.599738</v>
          </cell>
          <cell r="T848" t="str">
            <v>full_h04/Huế/Mang cap 4/Ring 8/Ring 8 CAT Thừa Thiên Huế-Dương Nỗ/Tuyến trung thế 1</v>
          </cell>
          <cell r="U848">
            <v>108.71</v>
          </cell>
        </row>
        <row r="849">
          <cell r="L849" t="str">
            <v>Ring 7 TTCMKV Quảng Điền-Hóa Châu</v>
          </cell>
          <cell r="M849" t="str">
            <v>97.13</v>
          </cell>
          <cell r="N849" t="str">
            <v>78.92</v>
          </cell>
          <cell r="O849" t="str">
            <v>16.558936</v>
          </cell>
          <cell r="P849" t="str">
            <v>107.529976</v>
          </cell>
          <cell r="Q849" t="str">
            <v>18.20</v>
          </cell>
          <cell r="R849" t="str">
            <v>16.554478</v>
          </cell>
          <cell r="S849" t="str">
            <v>107.580550</v>
          </cell>
          <cell r="T849" t="str">
            <v>full_h04/Huế/Mang cap 4/Ring 7/Ring 7 TTCMKV Quảng Điền-Hóa Châu/Tuyến trung thế 1</v>
          </cell>
          <cell r="U849">
            <v>97.13</v>
          </cell>
        </row>
        <row r="850">
          <cell r="L850" t="str">
            <v>ILA Sơn Thành - TT2 Đăk Lăk (Tuy Hòa)</v>
          </cell>
          <cell r="M850" t="str">
            <v>2472.34</v>
          </cell>
          <cell r="N850" t="str">
            <v>2321.14</v>
          </cell>
          <cell r="O850" t="str">
            <v>13.021641</v>
          </cell>
          <cell r="P850" t="str">
            <v>109.280637</v>
          </cell>
          <cell r="Q850" t="str">
            <v>151.21</v>
          </cell>
          <cell r="R850" t="str">
            <v>12.983107</v>
          </cell>
          <cell r="S850" t="str">
            <v>109.095792</v>
          </cell>
          <cell r="T850" t="str">
            <v>full_h04/Đắk Lắk/Mạng cấp II Đắk Lắk.kmz/Link 2/ILA Sơn Thành - TT2 Đăk Lăk (Tuy Hòa)/trung thế</v>
          </cell>
          <cell r="U850">
            <v>2472.34</v>
          </cell>
        </row>
        <row r="851">
          <cell r="L851" t="str">
            <v>ILA Sơn Thành - TT2 Đăk Lăk (Tuy Hòa)</v>
          </cell>
          <cell r="M851" t="str">
            <v>8389.08</v>
          </cell>
          <cell r="N851" t="str">
            <v>151.21</v>
          </cell>
          <cell r="O851" t="str">
            <v>12.983107</v>
          </cell>
          <cell r="P851" t="str">
            <v>109.095792</v>
          </cell>
          <cell r="Q851" t="str">
            <v>8237.87</v>
          </cell>
          <cell r="R851" t="str">
            <v>13.021641</v>
          </cell>
          <cell r="S851" t="str">
            <v>109.280637</v>
          </cell>
          <cell r="T851" t="str">
            <v>full_h04/Đắk Lắk/Mạng cấp II Đắk Lắk.kmz/Link 2/ILA Sơn Thành - TT2 Đăk Lăk (Tuy Hòa)/trung thế</v>
          </cell>
          <cell r="U851">
            <v>8389.08</v>
          </cell>
        </row>
        <row r="852">
          <cell r="L852" t="str">
            <v>ILA Sông Hinh - TT2 Đăk Lăk (Tuy Hòa)</v>
          </cell>
          <cell r="M852" t="str">
            <v>1023.35</v>
          </cell>
          <cell r="N852" t="str">
            <v>196.77</v>
          </cell>
          <cell r="O852" t="str">
            <v>13.064997</v>
          </cell>
          <cell r="P852" t="str">
            <v>109.026458</v>
          </cell>
          <cell r="Q852" t="str">
            <v>826.58</v>
          </cell>
          <cell r="R852" t="str">
            <v>13.017183</v>
          </cell>
          <cell r="S852" t="str">
            <v>109.202381</v>
          </cell>
          <cell r="T852" t="str">
            <v>full_h04/Đắk Lắk/Mạng cấp II Đắk Lắk.kmz/Link 1/ILA Sông Hinh - TT2 Đăk Lăk (Tuy Hòa)/Trung thế</v>
          </cell>
          <cell r="U852">
            <v>1023.35</v>
          </cell>
        </row>
        <row r="853">
          <cell r="L853" t="str">
            <v>Tuy Hòa - Sơn Hòa</v>
          </cell>
          <cell r="M853" t="str">
            <v>5411.44</v>
          </cell>
          <cell r="N853" t="str">
            <v>533.28</v>
          </cell>
          <cell r="O853" t="str">
            <v>13.018408</v>
          </cell>
          <cell r="P853" t="str">
            <v>109.208019</v>
          </cell>
          <cell r="Q853" t="str">
            <v>4878.16</v>
          </cell>
          <cell r="R853" t="str">
            <v>13.063355</v>
          </cell>
          <cell r="S853" t="str">
            <v>109.261531</v>
          </cell>
          <cell r="T853" t="str">
            <v>full_h04/Đắk Lắk/Mạng cấp III Đắk Lắk.kmz/Mạng cấp III Phú Yên/Ring 5/Tuy Hòa - Sơn Hòa/Tuy Hòa - Sơn Hòa-TT02</v>
          </cell>
          <cell r="U853">
            <v>5411.44</v>
          </cell>
        </row>
        <row r="854">
          <cell r="L854" t="str">
            <v>Sông Cầu - TT2 Tuy Hòa</v>
          </cell>
          <cell r="M854" t="str">
            <v>367.94</v>
          </cell>
          <cell r="N854" t="str">
            <v>234.35</v>
          </cell>
          <cell r="O854" t="str">
            <v>13.203866</v>
          </cell>
          <cell r="P854" t="str">
            <v>109.269097</v>
          </cell>
          <cell r="Q854" t="str">
            <v>133.60</v>
          </cell>
          <cell r="R854" t="str">
            <v>13.308895</v>
          </cell>
          <cell r="S854" t="str">
            <v>109.214591</v>
          </cell>
          <cell r="T854" t="str">
            <v>full_h04/Đắk Lắk/Mạng cấp III Đắk Lắk.kmz/Mạng cấp III Phú Yên/Ring 5/Sông Cầu - TT2 Tuy Hòa/Trung thế</v>
          </cell>
          <cell r="U854">
            <v>367.94</v>
          </cell>
        </row>
        <row r="855">
          <cell r="L855" t="str">
            <v>Xuân Đài - Tuy An Bắc</v>
          </cell>
          <cell r="M855" t="str">
            <v>3838.71</v>
          </cell>
          <cell r="N855" t="str">
            <v>61.31</v>
          </cell>
          <cell r="O855" t="str">
            <v>13.307845</v>
          </cell>
          <cell r="P855" t="str">
            <v>109.215296</v>
          </cell>
          <cell r="Q855" t="str">
            <v>3777.40</v>
          </cell>
          <cell r="R855" t="str">
            <v>13.366142</v>
          </cell>
          <cell r="S855" t="str">
            <v>109.141080</v>
          </cell>
          <cell r="T855" t="str">
            <v>full_h04/Đắk Lắk/Mạng cấp IV Đắk Lắk.kmz/Mạng cấp IV Phú Yên/Phú Yên_Ring 5/Xuân Đài - Tuy An Bắc/Trung thế</v>
          </cell>
          <cell r="U855">
            <v>3838.71</v>
          </cell>
        </row>
        <row r="856">
          <cell r="L856" t="str">
            <v>CAX Sơn Định (Sơn Hòa) - Đồng Xuân</v>
          </cell>
          <cell r="M856" t="str">
            <v>12956.23</v>
          </cell>
          <cell r="N856" t="str">
            <v>2136.63</v>
          </cell>
          <cell r="O856" t="str">
            <v>13.361313</v>
          </cell>
          <cell r="P856" t="str">
            <v>109.097143</v>
          </cell>
          <cell r="Q856" t="str">
            <v>10819.60</v>
          </cell>
          <cell r="R856" t="str">
            <v>13.301635</v>
          </cell>
          <cell r="S856" t="str">
            <v>109.073190</v>
          </cell>
          <cell r="T856" t="str">
            <v>full_h04/Đắk Lắk/Mạng cấp III Đắk Lắk.kmz/Mạng cấp III Phú Yên/Ring 5/CAX Sơn Định (Sơn Hòa) - Đồng Xuân/Trung thế</v>
          </cell>
          <cell r="U856">
            <v>12956.23</v>
          </cell>
        </row>
        <row r="857">
          <cell r="L857" t="str">
            <v>Xuân Phước - Vân Hòa</v>
          </cell>
          <cell r="M857" t="str">
            <v>19263.05</v>
          </cell>
          <cell r="N857" t="str">
            <v>98.50</v>
          </cell>
          <cell r="O857" t="str">
            <v>13.205010</v>
          </cell>
          <cell r="P857" t="str">
            <v>109.064284</v>
          </cell>
          <cell r="Q857" t="str">
            <v>19164.55</v>
          </cell>
          <cell r="R857" t="str">
            <v>13.163214</v>
          </cell>
          <cell r="S857" t="str">
            <v>109.130590</v>
          </cell>
          <cell r="T857" t="str">
            <v>full_h04/Đắk Lắk/Mạng cấp IV Đắk Lắk.kmz/Mạng cấp IV Phú Yên/Phú Yên_Ring 6/Xuân Phước - Vân Hòa/Trung thế</v>
          </cell>
          <cell r="U857">
            <v>19263.05</v>
          </cell>
        </row>
        <row r="858">
          <cell r="L858" t="str">
            <v>Buôn Hồ - Ea H'Leo</v>
          </cell>
          <cell r="M858" t="str">
            <v>322.97</v>
          </cell>
          <cell r="N858" t="str">
            <v>220.97</v>
          </cell>
          <cell r="O858" t="str">
            <v>12.976204</v>
          </cell>
          <cell r="P858" t="str">
            <v>108.241081</v>
          </cell>
          <cell r="Q858" t="str">
            <v>102.00</v>
          </cell>
          <cell r="R858" t="str">
            <v>12.970822</v>
          </cell>
          <cell r="S858" t="str">
            <v>108.244495</v>
          </cell>
          <cell r="T858" t="str">
            <v>full_h04/Đắk Lắk/Mạng cấp III Đắk Lắk.kmz/Mạng cấp III Đắk Lắk/Ring 1/Buôn Hồ - Ea H'Leo/Trung Thế</v>
          </cell>
          <cell r="U858">
            <v>322.97000000000003</v>
          </cell>
        </row>
        <row r="859">
          <cell r="L859" t="str">
            <v>CAT Đắk Lắk - Tân Lập</v>
          </cell>
          <cell r="M859" t="str">
            <v>2602.67</v>
          </cell>
          <cell r="N859" t="str">
            <v>2478.59</v>
          </cell>
          <cell r="O859" t="str">
            <v>12.651996</v>
          </cell>
          <cell r="P859" t="str">
            <v>108.101606</v>
          </cell>
          <cell r="Q859" t="str">
            <v>124.09</v>
          </cell>
          <cell r="R859" t="str">
            <v>12.653543</v>
          </cell>
          <cell r="S859" t="str">
            <v>108.107871</v>
          </cell>
          <cell r="T859" t="str">
            <v>full_h04/Đắk Lắk/Mạng cấp IV Đắk Lắk.kmz/Mạng cấp IV Đắk Lắk/Đắk Lắk Ring 1.kmz/Đắk Lắk Ring 1/CAT Đắk Lắk - Tân Lập/Trung thế 472BMT</v>
          </cell>
          <cell r="U859">
            <v>2602.67</v>
          </cell>
        </row>
        <row r="860">
          <cell r="L860" t="str">
            <v>Tân An - Cuôr Đăng</v>
          </cell>
          <cell r="M860" t="str">
            <v>41.73</v>
          </cell>
          <cell r="N860" t="str">
            <v>20.57</v>
          </cell>
          <cell r="O860" t="str">
            <v>12.697199</v>
          </cell>
          <cell r="P860" t="str">
            <v>108.072289</v>
          </cell>
          <cell r="Q860" t="str">
            <v>21.17</v>
          </cell>
          <cell r="R860" t="str">
            <v>12.696991</v>
          </cell>
          <cell r="S860" t="str">
            <v>108.072281</v>
          </cell>
          <cell r="T860" t="str">
            <v>full_h04/Đắk Lắk/Mạng cấp IV Đắk Lắk.kmz/Mạng cấp IV Đắk Lắk/Đắk Lắk Ring 13.kmz/ring 13/Tân An - Cuôr Đăng/Hạ Thê Băng Đường</v>
          </cell>
          <cell r="U860">
            <v>41.73</v>
          </cell>
        </row>
        <row r="861">
          <cell r="L861" t="str">
            <v>Tân Lập - Ea Knuec</v>
          </cell>
          <cell r="M861" t="str">
            <v>446.98</v>
          </cell>
          <cell r="N861" t="str">
            <v>328.00</v>
          </cell>
          <cell r="O861" t="str">
            <v>12.668918</v>
          </cell>
          <cell r="P861" t="str">
            <v>108.097835</v>
          </cell>
          <cell r="Q861" t="str">
            <v>118.99</v>
          </cell>
          <cell r="R861" t="str">
            <v>12.655568</v>
          </cell>
          <cell r="S861" t="str">
            <v>108.107465</v>
          </cell>
          <cell r="T861" t="str">
            <v>full_h04/Đắk Lắk/Mạng cấp IV Đắk Lắk.kmz/Mạng cấp IV Đắk Lắk/Đắk Lắk Ring 1.kmz/Đắk Lắk Ring 1/Tân Lập - Ea Knuec/Trung thế 472BMT</v>
          </cell>
          <cell r="U861">
            <v>446.98</v>
          </cell>
        </row>
        <row r="862">
          <cell r="L862" t="str">
            <v>11(472KRN)__127</v>
          </cell>
          <cell r="M862" t="str">
            <v>2604.93</v>
          </cell>
          <cell r="N862" t="str">
            <v>2332.11</v>
          </cell>
          <cell r="O862" t="str">
            <v>13.132066</v>
          </cell>
          <cell r="P862" t="str">
            <v>108.325123</v>
          </cell>
          <cell r="Q862" t="str">
            <v>272.81</v>
          </cell>
          <cell r="R862" t="str">
            <v>13.118877</v>
          </cell>
          <cell r="S862" t="str">
            <v>108.329477</v>
          </cell>
          <cell r="T862" t="str">
            <v>full_h04/Đắk Lắk/Mạng cấp IV Đắk Lắk.kmz/Mạng cấp IV Đắk Lắk/Đắk Lắk Ring 19.kmz/Dliê Ya - Ea Hiao/Trung thế 172/10/11(472KRN)__127/41(472KRN)</v>
          </cell>
          <cell r="U862">
            <v>2604.9299999999998</v>
          </cell>
        </row>
        <row r="863">
          <cell r="L863" t="str">
            <v>Trung thế 170</v>
          </cell>
          <cell r="M863" t="str">
            <v>865.89</v>
          </cell>
          <cell r="N863" t="str">
            <v>39.79</v>
          </cell>
          <cell r="O863" t="str">
            <v>13.043096</v>
          </cell>
          <cell r="P863" t="str">
            <v>108.193259</v>
          </cell>
          <cell r="Q863" t="str">
            <v>826.10</v>
          </cell>
          <cell r="R863" t="str">
            <v>13.043447</v>
          </cell>
          <cell r="S863" t="str">
            <v>108.212785</v>
          </cell>
          <cell r="T863" t="str">
            <v>full_h04/Đắk Lắk/Mạng cấp IV Đắk Lắk.kmz/Mạng cấp IV Đắk Lắk/Đắk Lắk Ring 17.kmz/Cư Pơng - Krông Búk/Trung thế 170/17(476T2KBU)</v>
          </cell>
          <cell r="U863">
            <v>865.89</v>
          </cell>
        </row>
        <row r="864">
          <cell r="L864" t="str">
            <v>CAT Đắk Lắk - Tân Lập</v>
          </cell>
          <cell r="M864" t="str">
            <v>1653.43</v>
          </cell>
          <cell r="N864" t="str">
            <v>1644.17</v>
          </cell>
          <cell r="O864" t="str">
            <v>12.654529</v>
          </cell>
          <cell r="P864" t="str">
            <v>108.107689</v>
          </cell>
          <cell r="Q864" t="str">
            <v>9.25</v>
          </cell>
          <cell r="R864" t="str">
            <v>12.654433</v>
          </cell>
          <cell r="S864" t="str">
            <v>108.107332</v>
          </cell>
          <cell r="T864" t="str">
            <v>full_h04/Đắk Lắk/Mạng cấp IV Đắk Lắk.kmz/Mạng cấp IV Đắk Lắk/Đắk Lắk Ring 1.kmz/Đắk Lắk Ring 1/CAT Đắk Lắk - Tân Lập/Trồng mới</v>
          </cell>
          <cell r="U864">
            <v>1653.43</v>
          </cell>
        </row>
        <row r="865">
          <cell r="L865" t="str">
            <v>22</v>
          </cell>
          <cell r="M865" t="str">
            <v>118.57</v>
          </cell>
          <cell r="N865" t="str">
            <v>82.58</v>
          </cell>
          <cell r="O865" t="str">
            <v>12.951738</v>
          </cell>
          <cell r="P865" t="str">
            <v>108.342784</v>
          </cell>
          <cell r="Q865" t="str">
            <v>35.99</v>
          </cell>
          <cell r="R865" t="str">
            <v>12.951675</v>
          </cell>
          <cell r="S865" t="str">
            <v>108.344356</v>
          </cell>
          <cell r="T865" t="str">
            <v>full_h04/Đắk Lắk/Mạng cấp IV Đắk Lắk.kmz/Mạng cấp IV Đắk Lắk/Đắk Lắk Ring 20.kmz/Tam Giang - TTCMKV Krông Năng/Trung thế 55/22/5(474KRN)__KrongNang</v>
          </cell>
          <cell r="U865">
            <v>118.57</v>
          </cell>
        </row>
        <row r="866">
          <cell r="L866" t="str">
            <v>Quảng Phú - Ea M’Droh</v>
          </cell>
          <cell r="M866" t="str">
            <v>3053.22</v>
          </cell>
          <cell r="N866" t="str">
            <v>2975.67</v>
          </cell>
          <cell r="O866" t="str">
            <v>12.858968</v>
          </cell>
          <cell r="P866" t="str">
            <v>107.964492</v>
          </cell>
          <cell r="Q866" t="str">
            <v>77.55</v>
          </cell>
          <cell r="R866" t="str">
            <v>12.860792</v>
          </cell>
          <cell r="S866" t="str">
            <v>107.964518</v>
          </cell>
          <cell r="T866" t="str">
            <v>full_h04/Đắk Lắk/Mạng cấp IV Đắk Lắk.kmz/Mạng cấp IV Đắk Lắk/Đắk Lắk Ring 15.kmz/Ring Đắk Lắk 15/Quảng Phú - Ea M’Droh/Trung Thế 474</v>
          </cell>
          <cell r="U866">
            <v>3053.22</v>
          </cell>
        </row>
        <row r="867">
          <cell r="L867" t="str">
            <v>Cư M'ga - Buôn Hồ</v>
          </cell>
          <cell r="M867" t="str">
            <v>1733.38</v>
          </cell>
          <cell r="N867" t="str">
            <v>1616.38</v>
          </cell>
          <cell r="O867" t="str">
            <v>12.861892</v>
          </cell>
          <cell r="P867" t="str">
            <v>108.106399</v>
          </cell>
          <cell r="Q867" t="str">
            <v>117.01</v>
          </cell>
          <cell r="R867" t="str">
            <v>12.853419</v>
          </cell>
          <cell r="S867" t="str">
            <v>108.104357</v>
          </cell>
          <cell r="T867" t="str">
            <v>full_h04/Đắk Lắk/Mạng cấp III Đắk Lắk.kmz/Mạng cấp III Đắk Lắk/Ring 1/Cư M'ga - Buôn Hồ/Trung thế</v>
          </cell>
          <cell r="U867">
            <v>1733.38</v>
          </cell>
        </row>
        <row r="868">
          <cell r="L868" t="str">
            <v>Trung thế __200</v>
          </cell>
          <cell r="M868" t="str">
            <v>1016.45</v>
          </cell>
          <cell r="N868" t="str">
            <v>965.45</v>
          </cell>
          <cell r="O868" t="str">
            <v>13.245973</v>
          </cell>
          <cell r="P868" t="str">
            <v>108.296445</v>
          </cell>
          <cell r="Q868" t="str">
            <v>51.00</v>
          </cell>
          <cell r="R868" t="str">
            <v>13.266173</v>
          </cell>
          <cell r="S868" t="str">
            <v>108.287495</v>
          </cell>
          <cell r="T868" t="str">
            <v>full_h04/Đắk Lắk/Mạng cấp IV Đắk Lắk.kmz/Mạng cấp IV Đắk Lắk/Đắk Lắk Ring 19.kmz/Dliê Ya - Ea Hiao/Trung thế __200/137(475EHL)</v>
          </cell>
          <cell r="U868">
            <v>1016.45</v>
          </cell>
        </row>
        <row r="869">
          <cell r="L869" t="str">
            <v>Quảng Phú - Ea M’Droh</v>
          </cell>
          <cell r="M869" t="str">
            <v>4539.86</v>
          </cell>
          <cell r="N869" t="str">
            <v>4491.00</v>
          </cell>
          <cell r="O869" t="str">
            <v>12.861238</v>
          </cell>
          <cell r="P869" t="str">
            <v>107.964528</v>
          </cell>
          <cell r="Q869" t="str">
            <v>48.86</v>
          </cell>
          <cell r="R869" t="str">
            <v>12.861019</v>
          </cell>
          <cell r="S869" t="str">
            <v>107.965223</v>
          </cell>
          <cell r="T869" t="str">
            <v>full_h04/Đắk Lắk/Mạng cấp IV Đắk Lắk.kmz/Mạng cấp IV Đắk Lắk/Đắk Lắk Ring 15.kmz/Ring Đắk Lắk 15/Quảng Phú - Ea M’Droh/Hạ thế</v>
          </cell>
          <cell r="U869">
            <v>4539.8599999999997</v>
          </cell>
        </row>
        <row r="870">
          <cell r="L870" t="str">
            <v>Trung thế 477T2KBU__R56</v>
          </cell>
          <cell r="M870" t="str">
            <v>211.52</v>
          </cell>
          <cell r="N870" t="str">
            <v>153.57</v>
          </cell>
          <cell r="O870" t="str">
            <v>12.909005</v>
          </cell>
          <cell r="P870" t="str">
            <v>108.266229</v>
          </cell>
          <cell r="Q870" t="str">
            <v>57.95</v>
          </cell>
          <cell r="R870" t="str">
            <v>12.916483</v>
          </cell>
          <cell r="S870" t="str">
            <v>108.266070</v>
          </cell>
          <cell r="T870" t="str">
            <v>full_h04/Đắk Lắk/Mạng cấp III Đắk Lắk.kmz/Mạng cấp III Đắk Lắk/Ring 2/KRông Năng - TT1 Đăk Lăk/Trung thế 477T2KBU__R56/13__164__475BHO</v>
          </cell>
          <cell r="U870">
            <v>211.52</v>
          </cell>
        </row>
        <row r="871">
          <cell r="L871" t="str">
            <v>TT1 Đăk Lăk - ILA Ea Kar</v>
          </cell>
          <cell r="M871" t="str">
            <v>91981.11</v>
          </cell>
          <cell r="N871" t="str">
            <v>1359.62</v>
          </cell>
          <cell r="O871" t="str">
            <v>12.690893</v>
          </cell>
          <cell r="P871" t="str">
            <v>108.067450</v>
          </cell>
          <cell r="Q871" t="str">
            <v>90621.49</v>
          </cell>
          <cell r="R871" t="str">
            <v>12.811566</v>
          </cell>
          <cell r="S871" t="str">
            <v>108.483311</v>
          </cell>
          <cell r="T871" t="str">
            <v>full_h04/Đắk Lắk/Mạng cấp II Đắk Lắk.kmz/Link 1/TT1 Đăk Lăk - ILA Ea Kar/Trung thế</v>
          </cell>
          <cell r="U871">
            <v>91981.11</v>
          </cell>
        </row>
        <row r="872">
          <cell r="L872" t="str">
            <v>Thành Nhất - Ea Nuôl</v>
          </cell>
          <cell r="M872" t="str">
            <v>844.35</v>
          </cell>
          <cell r="N872" t="str">
            <v>775.90</v>
          </cell>
          <cell r="O872" t="str">
            <v>12.682521</v>
          </cell>
          <cell r="P872" t="str">
            <v>108.011870</v>
          </cell>
          <cell r="Q872" t="str">
            <v>68.45</v>
          </cell>
          <cell r="R872" t="str">
            <v>12.682445</v>
          </cell>
          <cell r="S872" t="str">
            <v>108.016256</v>
          </cell>
          <cell r="T872" t="str">
            <v>full_h04/Đắk Lắk/Mạng cấp IV Đắk Lắk.kmz/Mạng cấp IV Đắk Lắk/Đắk Lắk Ring 12.kmz/Đắk Lắk Ring 12/Thành Nhất - Ea Nuôl/Hạ Thế Nguyễn Thị Định Thành Nhất</v>
          </cell>
          <cell r="U872">
            <v>844.35</v>
          </cell>
        </row>
        <row r="873">
          <cell r="L873" t="str">
            <v>TT1 Đăk Lăk - ILA Ea Kar</v>
          </cell>
          <cell r="M873" t="str">
            <v>97510.54</v>
          </cell>
          <cell r="N873" t="str">
            <v>3004.72</v>
          </cell>
          <cell r="O873" t="str">
            <v>12.690893</v>
          </cell>
          <cell r="P873" t="str">
            <v>108.067450</v>
          </cell>
          <cell r="Q873" t="str">
            <v>94505.82</v>
          </cell>
          <cell r="R873" t="str">
            <v>12.811566</v>
          </cell>
          <cell r="S873" t="str">
            <v>108.483311</v>
          </cell>
          <cell r="T873" t="str">
            <v>full_h04/Đắk Lắk/Mạng cấp II Đắk Lắk.kmz/Link 1/TT1 Đăk Lăk - ILA Ea Kar/Trung thế</v>
          </cell>
          <cell r="U873">
            <v>97510.54</v>
          </cell>
        </row>
        <row r="874">
          <cell r="L874" t="str">
            <v>TT1 Đăk Lăk - ILA Ea Kar</v>
          </cell>
          <cell r="M874" t="str">
            <v>277.89</v>
          </cell>
          <cell r="N874" t="str">
            <v>244.30</v>
          </cell>
          <cell r="O874" t="str">
            <v>12.706446</v>
          </cell>
          <cell r="P874" t="str">
            <v>108.080821</v>
          </cell>
          <cell r="Q874" t="str">
            <v>33.59</v>
          </cell>
          <cell r="R874" t="str">
            <v>12.697137</v>
          </cell>
          <cell r="S874" t="str">
            <v>108.072342</v>
          </cell>
          <cell r="T874" t="str">
            <v>full_h04/Đắk Lắk/Mạng cấp II Đắk Lắk.kmz/Link 1/TT1 Đăk Lăk - ILA Ea Kar/Trung thế</v>
          </cell>
          <cell r="U874">
            <v>277.89</v>
          </cell>
        </row>
        <row r="875">
          <cell r="L875" t="str">
            <v>Cư M'ga - Buôn Hồ</v>
          </cell>
          <cell r="M875" t="str">
            <v>176.16</v>
          </cell>
          <cell r="N875" t="str">
            <v>58.60</v>
          </cell>
          <cell r="O875" t="str">
            <v>12.836508</v>
          </cell>
          <cell r="P875" t="str">
            <v>108.089682</v>
          </cell>
          <cell r="Q875" t="str">
            <v>117.56</v>
          </cell>
          <cell r="R875" t="str">
            <v>12.853426</v>
          </cell>
          <cell r="S875" t="str">
            <v>108.104358</v>
          </cell>
          <cell r="T875" t="str">
            <v>full_h04/Đắk Lắk/Mạng cấp III Đắk Lắk.kmz/Mạng cấp III Đắk Lắk/Ring 1/Cư M'ga - Buôn Hồ/Trung Thế</v>
          </cell>
          <cell r="U875">
            <v>176.16</v>
          </cell>
        </row>
        <row r="876">
          <cell r="L876" t="str">
            <v>Trung thế 200</v>
          </cell>
          <cell r="M876" t="str">
            <v>105.32</v>
          </cell>
          <cell r="N876" t="str">
            <v>61.08</v>
          </cell>
          <cell r="O876" t="str">
            <v>13.262590</v>
          </cell>
          <cell r="P876" t="str">
            <v>108.276438</v>
          </cell>
          <cell r="Q876" t="str">
            <v>44.24</v>
          </cell>
          <cell r="R876" t="str">
            <v>13.266167</v>
          </cell>
          <cell r="S876" t="str">
            <v>108.287032</v>
          </cell>
          <cell r="T876" t="str">
            <v>full_h04/Đắk Lắk/Mạng cấp IV Đắk Lắk.kmz/Mạng cấp IV Đắk Lắk/Đắk Lắk Ring 19.kmz/Ea Hiao - TTCMKV Ea H'leo/Trung thế 200/136(475EHL)__EaDrang</v>
          </cell>
          <cell r="U876">
            <v>105.32</v>
          </cell>
        </row>
        <row r="877">
          <cell r="L877" t="str">
            <v>Ea M’Droh - Ea Kiết</v>
          </cell>
          <cell r="M877" t="str">
            <v>404.88</v>
          </cell>
          <cell r="N877" t="str">
            <v>76.32</v>
          </cell>
          <cell r="O877" t="str">
            <v>12.874235</v>
          </cell>
          <cell r="P877" t="str">
            <v>107.988370</v>
          </cell>
          <cell r="Q877" t="str">
            <v>328.56</v>
          </cell>
          <cell r="R877" t="str">
            <v>12.861001</v>
          </cell>
          <cell r="S877" t="str">
            <v>107.968200</v>
          </cell>
          <cell r="T877" t="str">
            <v>full_h04/Đắk Lắk/Mạng cấp IV Đắk Lắk.kmz/Mạng cấp IV Đắk Lắk/Đắk Lắk Ring 15.kmz/Ring Đắk Lắk 15/Ea M’Droh - Ea Kiết/Trung thế 474_471</v>
          </cell>
          <cell r="U877">
            <v>404.88</v>
          </cell>
        </row>
        <row r="878">
          <cell r="L878" t="str">
            <v>Quảng Phú - Ea M’Droh</v>
          </cell>
          <cell r="M878" t="str">
            <v>343.09</v>
          </cell>
          <cell r="N878" t="str">
            <v>265.54</v>
          </cell>
          <cell r="O878" t="str">
            <v>12.840204</v>
          </cell>
          <cell r="P878" t="str">
            <v>107.985059</v>
          </cell>
          <cell r="Q878" t="str">
            <v>77.55</v>
          </cell>
          <cell r="R878" t="str">
            <v>12.860792</v>
          </cell>
          <cell r="S878" t="str">
            <v>107.964518</v>
          </cell>
          <cell r="T878" t="str">
            <v>full_h04/Đắk Lắk/Mạng cấp IV Đắk Lắk.kmz/Mạng cấp IV Đắk Lắk/Đắk Lắk Ring 15.kmz/Ring Đắk Lắk 15/Quảng Phú - Ea M’Droh/Trung Thế 474</v>
          </cell>
          <cell r="U878">
            <v>343.09</v>
          </cell>
        </row>
        <row r="879">
          <cell r="L879" t="str">
            <v>TTCMKV Cư Kuin - Dang Kang</v>
          </cell>
          <cell r="M879" t="str">
            <v>1086.22</v>
          </cell>
          <cell r="N879" t="str">
            <v>528.90</v>
          </cell>
          <cell r="O879" t="str">
            <v>12.553849</v>
          </cell>
          <cell r="P879" t="str">
            <v>108.180274</v>
          </cell>
          <cell r="Q879" t="str">
            <v>557.32</v>
          </cell>
          <cell r="R879" t="str">
            <v>12.561992</v>
          </cell>
          <cell r="S879" t="str">
            <v>108.168603</v>
          </cell>
          <cell r="T879" t="str">
            <v>full_h04/Đắk Lắk/Mạng cấp IV Đắk Lắk.kmz/Mạng cấp IV Đắk Lắk/Đắk Lắk Ring 4.kmz/Đắk Lắk Ring 4/TTCMKV Cư Kuin - Dang Kang/Trung thế 473KNA</v>
          </cell>
          <cell r="U879">
            <v>1086.22</v>
          </cell>
        </row>
        <row r="880">
          <cell r="L880" t="str">
            <v>Ea Ning - TTCMKV Cư Kuin</v>
          </cell>
          <cell r="M880" t="str">
            <v>1010.67</v>
          </cell>
          <cell r="N880" t="str">
            <v>452.05</v>
          </cell>
          <cell r="O880" t="str">
            <v>12.573183</v>
          </cell>
          <cell r="P880" t="str">
            <v>108.164991</v>
          </cell>
          <cell r="Q880" t="str">
            <v>558.62</v>
          </cell>
          <cell r="R880" t="str">
            <v>12.561987</v>
          </cell>
          <cell r="S880" t="str">
            <v>108.168619</v>
          </cell>
          <cell r="T880" t="str">
            <v>full_h04/Đắk Lắk/Mạng cấp IV Đắk Lắk.kmz/Mạng cấp IV Đắk Lắk/Đắk Lắk Ring 2.kmz/Đắk Lắk Ring 2/Ea Ning - TTCMKV Cư Kuin/Trung thế 474KNA-473KNA</v>
          </cell>
          <cell r="U880">
            <v>1010.67</v>
          </cell>
        </row>
        <row r="881">
          <cell r="L881" t="str">
            <v>TT1 Đăk Lăk - ILA Ea Kar</v>
          </cell>
          <cell r="M881" t="str">
            <v>161.05</v>
          </cell>
          <cell r="N881" t="str">
            <v>91.81</v>
          </cell>
          <cell r="O881" t="str">
            <v>12.807167</v>
          </cell>
          <cell r="P881" t="str">
            <v>108.433002</v>
          </cell>
          <cell r="Q881" t="str">
            <v>69.25</v>
          </cell>
          <cell r="R881" t="str">
            <v>12.811566</v>
          </cell>
          <cell r="S881" t="str">
            <v>108.483311</v>
          </cell>
          <cell r="T881" t="str">
            <v>full_h04/Đắk Lắk/Mạng cấp II Đắk Lắk.kmz/Link 1/TT1 Đăk Lăk - ILA Ea Kar/Trung thế</v>
          </cell>
          <cell r="U881">
            <v>161.05000000000001</v>
          </cell>
        </row>
        <row r="882">
          <cell r="L882" t="str">
            <v>22</v>
          </cell>
          <cell r="M882" t="str">
            <v>315.25</v>
          </cell>
          <cell r="N882" t="str">
            <v>279.26</v>
          </cell>
          <cell r="O882" t="str">
            <v>12.954125</v>
          </cell>
          <cell r="P882" t="str">
            <v>108.332991</v>
          </cell>
          <cell r="Q882" t="str">
            <v>35.99</v>
          </cell>
          <cell r="R882" t="str">
            <v>12.951675</v>
          </cell>
          <cell r="S882" t="str">
            <v>108.344356</v>
          </cell>
          <cell r="T882" t="str">
            <v>full_h04/Đắk Lắk/Mạng cấp IV Đắk Lắk.kmz/Mạng cấp IV Đắk Lắk/Đắk Lắk Ring 20.kmz/Tam Giang - TTCMKV Krông Năng/Trung thế 55/22/5(474KRN)__KrongNang</v>
          </cell>
          <cell r="U882">
            <v>315.25</v>
          </cell>
        </row>
        <row r="883">
          <cell r="L883" t="str">
            <v>11(472KRN)__127</v>
          </cell>
          <cell r="M883" t="str">
            <v>565.14</v>
          </cell>
          <cell r="N883" t="str">
            <v>292.32</v>
          </cell>
          <cell r="O883" t="str">
            <v>13.136281</v>
          </cell>
          <cell r="P883" t="str">
            <v>108.327502</v>
          </cell>
          <cell r="Q883" t="str">
            <v>272.81</v>
          </cell>
          <cell r="R883" t="str">
            <v>13.118877</v>
          </cell>
          <cell r="S883" t="str">
            <v>108.329477</v>
          </cell>
          <cell r="T883" t="str">
            <v>full_h04/Đắk Lắk/Mạng cấp IV Đắk Lắk.kmz/Mạng cấp IV Đắk Lắk/Đắk Lắk Ring 19.kmz/Dliê Ya - Ea Hiao/Trung thế 172/10/11(472KRN)__127/41(472KRN)</v>
          </cell>
          <cell r="U883">
            <v>565.14</v>
          </cell>
        </row>
        <row r="884">
          <cell r="L884" t="str">
            <v>TTCMKV Buôn Hồ - Dliê Ya</v>
          </cell>
          <cell r="M884" t="str">
            <v>315.45</v>
          </cell>
          <cell r="N884" t="str">
            <v>132.01</v>
          </cell>
          <cell r="O884" t="str">
            <v>13.092209</v>
          </cell>
          <cell r="P884" t="str">
            <v>108.340898</v>
          </cell>
          <cell r="Q884" t="str">
            <v>183.44</v>
          </cell>
          <cell r="R884" t="str">
            <v>13.114953</v>
          </cell>
          <cell r="S884" t="str">
            <v>108.330055</v>
          </cell>
          <cell r="T884" t="str">
            <v>full_h04/Đắk Lắk/Mạng cấp IV Đắk Lắk.kmz/Mạng cấp IV Đắk Lắk/Đắk Lắk Ring 19.kmz/TTCMKV Buôn Hồ - Dliê Ya/Trung thế BuonHo_116(472KRN)</v>
          </cell>
          <cell r="U884">
            <v>315.45</v>
          </cell>
        </row>
        <row r="885">
          <cell r="L885" t="str">
            <v>Cơ sở cai nghiện (X. Tân Tiến, H. Kron Pắc) - TTCMKV Krong Pắc</v>
          </cell>
          <cell r="M885" t="str">
            <v>159.73</v>
          </cell>
          <cell r="N885" t="str">
            <v>90.58</v>
          </cell>
          <cell r="O885" t="str">
            <v>12.674484</v>
          </cell>
          <cell r="P885" t="str">
            <v>108.341233</v>
          </cell>
          <cell r="Q885" t="str">
            <v>69.15</v>
          </cell>
          <cell r="R885" t="str">
            <v>12.655667</v>
          </cell>
          <cell r="S885" t="str">
            <v>108.343625</v>
          </cell>
          <cell r="T885" t="str">
            <v>full_h04/Đắk Lắk/Mạng cấp III Đắk Lắk.kmz/Mạng cấp III Đắk Lắk/Cơ sở cai nghiện (X. Tân Tiến, H. Kron Pắc) - TTCMKV Krong Pắc/Trung thế</v>
          </cell>
          <cell r="U885">
            <v>159.72999999999999</v>
          </cell>
        </row>
        <row r="886">
          <cell r="L886" t="str">
            <v>Cư M'ga - Buôn Hồ</v>
          </cell>
          <cell r="M886" t="str">
            <v>324.75</v>
          </cell>
          <cell r="N886" t="str">
            <v>207.75</v>
          </cell>
          <cell r="O886" t="str">
            <v>12.887229</v>
          </cell>
          <cell r="P886" t="str">
            <v>108.110760</v>
          </cell>
          <cell r="Q886" t="str">
            <v>117.01</v>
          </cell>
          <cell r="R886" t="str">
            <v>12.853419</v>
          </cell>
          <cell r="S886" t="str">
            <v>108.104357</v>
          </cell>
          <cell r="T886" t="str">
            <v>full_h04/Đắk Lắk/Mạng cấp III Đắk Lắk.kmz/Mạng cấp III Đắk Lắk/Ring 1/Cư M'ga - Buôn Hồ/Trung thế</v>
          </cell>
          <cell r="U886">
            <v>324.75</v>
          </cell>
        </row>
        <row r="887">
          <cell r="L887" t="str">
            <v>Krông Búk - Ea Khăl</v>
          </cell>
          <cell r="M887" t="str">
            <v>1073.34</v>
          </cell>
          <cell r="N887" t="str">
            <v>847.69</v>
          </cell>
          <cell r="O887" t="str">
            <v>13.059899</v>
          </cell>
          <cell r="P887" t="str">
            <v>108.227368</v>
          </cell>
          <cell r="Q887" t="str">
            <v>225.65</v>
          </cell>
          <cell r="R887" t="str">
            <v>13.038637</v>
          </cell>
          <cell r="S887" t="str">
            <v>108.220683</v>
          </cell>
          <cell r="T887" t="str">
            <v>full_h04/Đắk Lắk/Mạng cấp IV Đắk Lắk.kmz/Mạng cấp IV Đắk Lắk/Đắk Lắk Ring 17.kmz/Krông Búk - Ea Khăl/Trung thế</v>
          </cell>
          <cell r="U887">
            <v>1073.3399999999999</v>
          </cell>
        </row>
        <row r="888">
          <cell r="L888" t="str">
            <v>Trung thế 477T2KBU__R56</v>
          </cell>
          <cell r="M888" t="str">
            <v>381.06</v>
          </cell>
          <cell r="N888" t="str">
            <v>323.11</v>
          </cell>
          <cell r="O888" t="str">
            <v>12.904659</v>
          </cell>
          <cell r="P888" t="str">
            <v>108.265595</v>
          </cell>
          <cell r="Q888" t="str">
            <v>57.95</v>
          </cell>
          <cell r="R888" t="str">
            <v>12.916483</v>
          </cell>
          <cell r="S888" t="str">
            <v>108.266070</v>
          </cell>
          <cell r="T888" t="str">
            <v>full_h04/Đắk Lắk/Mạng cấp III Đắk Lắk.kmz/Mạng cấp III Đắk Lắk/Ring 2/KRông Năng - TT1 Đăk Lăk/Trung thế 477T2KBU__R56/13__164__475BHO</v>
          </cell>
          <cell r="U888">
            <v>381.06</v>
          </cell>
        </row>
        <row r="889">
          <cell r="L889" t="str">
            <v>TT1 Đăk Lăk - KRông Ana</v>
          </cell>
          <cell r="M889" t="str">
            <v>531.51</v>
          </cell>
          <cell r="N889" t="str">
            <v>458.29</v>
          </cell>
          <cell r="O889" t="str">
            <v>12.681184</v>
          </cell>
          <cell r="P889" t="str">
            <v>108.047180</v>
          </cell>
          <cell r="Q889" t="str">
            <v>73.21</v>
          </cell>
          <cell r="R889" t="str">
            <v>12.684740</v>
          </cell>
          <cell r="S889" t="str">
            <v>108.052298</v>
          </cell>
          <cell r="T889" t="str">
            <v>full_h04/Đắk Lắk/Mạng cấp III Đắk Lắk.kmz/Mạng cấp III Đắk Lắk/Ring 3/TT1 Đăk Lăk - KRông Ana/Cống bể Ban QLDA</v>
          </cell>
          <cell r="U889">
            <v>531.51</v>
          </cell>
        </row>
        <row r="890">
          <cell r="L890" t="str">
            <v>CAT Đắk Lắk - Buôn Ma Thuột</v>
          </cell>
          <cell r="M890" t="str">
            <v>1548.06</v>
          </cell>
          <cell r="N890" t="str">
            <v>1247.22</v>
          </cell>
          <cell r="O890" t="str">
            <v>12.685477</v>
          </cell>
          <cell r="P890" t="str">
            <v>108.046100</v>
          </cell>
          <cell r="Q890" t="str">
            <v>300.84</v>
          </cell>
          <cell r="R890" t="str">
            <v>12.710325</v>
          </cell>
          <cell r="S890" t="str">
            <v>108.068253</v>
          </cell>
          <cell r="T890" t="str">
            <v>full_h04/Đắk Lắk/Mạng cấp IV Đắk Lắk.kmz/Mạng cấp IV Đắk Lắk/Đắk Lắk Ring 23.kmz/Đắk Lắk Ring 23/CAT Đắk Lắk - Buôn Ma Thuột/trung Thế</v>
          </cell>
          <cell r="U890">
            <v>1548.06</v>
          </cell>
        </row>
        <row r="891">
          <cell r="L891" t="str">
            <v>TT1 Đăk Lăk - ILA Ea Kar</v>
          </cell>
          <cell r="M891" t="str">
            <v>92205.65</v>
          </cell>
          <cell r="N891" t="str">
            <v>1584.15</v>
          </cell>
          <cell r="O891" t="str">
            <v>12.701527</v>
          </cell>
          <cell r="P891" t="str">
            <v>108.075967</v>
          </cell>
          <cell r="Q891" t="str">
            <v>90621.49</v>
          </cell>
          <cell r="R891" t="str">
            <v>12.811566</v>
          </cell>
          <cell r="S891" t="str">
            <v>108.483311</v>
          </cell>
          <cell r="T891" t="str">
            <v>full_h04/Đắk Lắk/Mạng cấp II Đắk Lắk.kmz/Link 1/TT1 Đăk Lăk - ILA Ea Kar/Trung thế</v>
          </cell>
          <cell r="U891">
            <v>92205.65</v>
          </cell>
        </row>
        <row r="892">
          <cell r="L892" t="str">
            <v>TT1 Đăk Lăk - ILA Ea Kar</v>
          </cell>
          <cell r="M892" t="str">
            <v>92371.60</v>
          </cell>
          <cell r="N892" t="str">
            <v>90621.49</v>
          </cell>
          <cell r="O892" t="str">
            <v>12.811566</v>
          </cell>
          <cell r="P892" t="str">
            <v>108.483311</v>
          </cell>
          <cell r="Q892" t="str">
            <v>1750.11</v>
          </cell>
          <cell r="R892" t="str">
            <v>12.690893</v>
          </cell>
          <cell r="S892" t="str">
            <v>108.067450</v>
          </cell>
          <cell r="T892" t="str">
            <v>full_h04/Đắk Lắk/Mạng cấp II Đắk Lắk.kmz/Link 1/TT1 Đăk Lăk - ILA Ea Kar/Trung thế</v>
          </cell>
          <cell r="U892">
            <v>92371.6</v>
          </cell>
        </row>
        <row r="893">
          <cell r="L893" t="str">
            <v>TT1 Đăk Lăk - KRông Ana</v>
          </cell>
          <cell r="M893" t="str">
            <v>1974.77</v>
          </cell>
          <cell r="N893" t="str">
            <v>699.16</v>
          </cell>
          <cell r="O893" t="str">
            <v>12.681206</v>
          </cell>
          <cell r="P893" t="str">
            <v>108.047189</v>
          </cell>
          <cell r="Q893" t="str">
            <v>1275.61</v>
          </cell>
          <cell r="R893" t="str">
            <v>12.668707</v>
          </cell>
          <cell r="S893" t="str">
            <v>108.043490</v>
          </cell>
          <cell r="T893" t="str">
            <v>full_h04/Đắk Lắk/Mạng cấp III Đắk Lắk.kmz/Mạng cấp III Đắk Lắk/Ring 3/TT1 Đăk Lăk - KRông Ana/Trung thế 478BMT</v>
          </cell>
          <cell r="U893">
            <v>1974.77</v>
          </cell>
        </row>
        <row r="894">
          <cell r="L894" t="str">
            <v>Ea Kao - Ea Ktur</v>
          </cell>
          <cell r="M894" t="str">
            <v>4391.47</v>
          </cell>
          <cell r="N894" t="str">
            <v>4070.81</v>
          </cell>
          <cell r="O894" t="str">
            <v>12.656804</v>
          </cell>
          <cell r="P894" t="str">
            <v>108.028026</v>
          </cell>
          <cell r="Q894" t="str">
            <v>320.66</v>
          </cell>
          <cell r="R894" t="str">
            <v>12.632830</v>
          </cell>
          <cell r="S894" t="str">
            <v>108.030221</v>
          </cell>
          <cell r="T894" t="str">
            <v>full_h04/Đắk Lắk/Mạng cấp IV Đắk Lắk.kmz/Mạng cấp IV Đắk Lắk/Đắk Lắk Ring 2.kmz/Đắk Lắk Ring 2/Ea Kao - Ea Ktur/Trung thế</v>
          </cell>
          <cell r="U894">
            <v>4391.47</v>
          </cell>
        </row>
        <row r="895">
          <cell r="L895" t="str">
            <v>CAT Đắk Lắk - Tân An</v>
          </cell>
          <cell r="M895" t="str">
            <v>362.98</v>
          </cell>
          <cell r="N895" t="str">
            <v>284.67</v>
          </cell>
          <cell r="O895" t="str">
            <v>12.692307</v>
          </cell>
          <cell r="P895" t="str">
            <v>108.064505</v>
          </cell>
          <cell r="Q895" t="str">
            <v>78.31</v>
          </cell>
          <cell r="R895" t="str">
            <v>12.684724</v>
          </cell>
          <cell r="S895" t="str">
            <v>108.052223</v>
          </cell>
          <cell r="T895" t="str">
            <v>full_h04/Đắk Lắk/Mạng cấp IV Đắk Lắk.kmz/Mạng cấp IV Đắk Lắk/Đắk Lắk Ring 13.kmz/ring 13/CAT Đắk Lắk - Tân An/Bể Ngầm BQL DA</v>
          </cell>
          <cell r="U895">
            <v>362.98</v>
          </cell>
        </row>
        <row r="896">
          <cell r="L896" t="str">
            <v>TTCMKV Krông Năng - Tam Giang</v>
          </cell>
          <cell r="M896" t="str">
            <v>813.21</v>
          </cell>
          <cell r="N896" t="str">
            <v>784.60</v>
          </cell>
          <cell r="O896" t="str">
            <v>12.984244</v>
          </cell>
          <cell r="P896" t="str">
            <v>108.427704</v>
          </cell>
          <cell r="Q896" t="str">
            <v>28.61</v>
          </cell>
          <cell r="R896" t="str">
            <v>12.951984</v>
          </cell>
          <cell r="S896" t="str">
            <v>108.344781</v>
          </cell>
          <cell r="T896" t="str">
            <v>full_h04/Đắk Lắk/Mạng cấp IV Đắk Lắk.kmz/Mạng cấp IV Đắk Lắk/Đắk Lắk Ring 20.kmz/TTCMKV Krông Năng - Tam Giang/Trung thế TamGiang__126</v>
          </cell>
          <cell r="U896">
            <v>813.21</v>
          </cell>
        </row>
        <row r="897">
          <cell r="L897" t="str">
            <v>Buôn Hồ - Ea H'Leo</v>
          </cell>
          <cell r="M897" t="str">
            <v>17290.89</v>
          </cell>
          <cell r="N897" t="str">
            <v>7793.81</v>
          </cell>
          <cell r="O897" t="str">
            <v>12.951309</v>
          </cell>
          <cell r="P897" t="str">
            <v>108.248815</v>
          </cell>
          <cell r="Q897" t="str">
            <v>9497.08</v>
          </cell>
          <cell r="R897" t="str">
            <v>13.192185</v>
          </cell>
          <cell r="S897" t="str">
            <v>108.203992</v>
          </cell>
          <cell r="T897" t="str">
            <v>full_h04/Đắk Lắk/Mạng cấp III Đắk Lắk.kmz/Mạng cấp III Đắk Lắk/Ring 1/Buôn Hồ - Ea H'Leo/Trung Thế</v>
          </cell>
          <cell r="U897">
            <v>17290.89</v>
          </cell>
        </row>
        <row r="898">
          <cell r="L898" t="str">
            <v>Trung thế 318(477T2KBU)__15</v>
          </cell>
          <cell r="M898" t="str">
            <v>93.35</v>
          </cell>
          <cell r="N898" t="str">
            <v>56.69</v>
          </cell>
          <cell r="O898" t="str">
            <v>12.916477</v>
          </cell>
          <cell r="P898" t="str">
            <v>108.266079</v>
          </cell>
          <cell r="Q898" t="str">
            <v>36.66</v>
          </cell>
          <cell r="R898" t="str">
            <v>12.920687</v>
          </cell>
          <cell r="S898" t="str">
            <v>108.264589</v>
          </cell>
          <cell r="T898" t="str">
            <v>full_h04/Đắk Lắk/Mạng cấp IV Đắk Lắk.kmz/Mạng cấp IV Đắk Lắk/Đắk Lắk Ring 17.kmz/"TTCMKV Thị xã Buôn Hồ - Pơng
Drang"/Trung thế 318(477T2KBU)__15/32(477T2KBU)</v>
          </cell>
          <cell r="U898">
            <v>93.35</v>
          </cell>
        </row>
        <row r="899">
          <cell r="L899" t="str">
            <v>TT1 Đăk Lăk - ILA Ea Kar</v>
          </cell>
          <cell r="M899" t="str">
            <v>92569.00</v>
          </cell>
          <cell r="N899" t="str">
            <v>90621.49</v>
          </cell>
          <cell r="O899" t="str">
            <v>12.811566</v>
          </cell>
          <cell r="P899" t="str">
            <v>108.483311</v>
          </cell>
          <cell r="Q899" t="str">
            <v>1947.51</v>
          </cell>
          <cell r="R899" t="str">
            <v>12.690893</v>
          </cell>
          <cell r="S899" t="str">
            <v>108.067450</v>
          </cell>
          <cell r="T899" t="str">
            <v>full_h04/Đắk Lắk/Mạng cấp II Đắk Lắk.kmz/Link 1/TT1 Đăk Lăk - ILA Ea Kar/Trung thế</v>
          </cell>
          <cell r="U899">
            <v>92569</v>
          </cell>
        </row>
        <row r="900">
          <cell r="L900" t="str">
            <v>"Buôn Ma Thuột - TTCMKV Cư
M'gar"</v>
          </cell>
          <cell r="M900" t="str">
            <v>260.27</v>
          </cell>
          <cell r="N900" t="str">
            <v>75.59</v>
          </cell>
          <cell r="O900" t="str">
            <v>12.712070</v>
          </cell>
          <cell r="P900" t="str">
            <v>108.069571</v>
          </cell>
          <cell r="Q900" t="str">
            <v>184.68</v>
          </cell>
          <cell r="R900" t="str">
            <v>12.733822</v>
          </cell>
          <cell r="S900" t="str">
            <v>108.079147</v>
          </cell>
          <cell r="T900" t="str">
            <v>full_h04/Đắk Lắk/Mạng cấp IV Đắk Lắk.kmz/Mạng cấp IV Đắk Lắk/Đắk Lắk Ring 23.kmz/Đắk Lắk Ring 23/"Buôn Ma Thuột - TTCMKV Cư
M'gar"/Trung Thế</v>
          </cell>
          <cell r="U900">
            <v>260.27</v>
          </cell>
        </row>
        <row r="901">
          <cell r="L901" t="str">
            <v>Cư Pơng - Krông Búk</v>
          </cell>
          <cell r="M901" t="str">
            <v>1015.69</v>
          </cell>
          <cell r="N901" t="str">
            <v>115.74</v>
          </cell>
          <cell r="O901" t="str">
            <v>13.038184</v>
          </cell>
          <cell r="P901" t="str">
            <v>108.217640</v>
          </cell>
          <cell r="Q901" t="str">
            <v>899.95</v>
          </cell>
          <cell r="R901" t="str">
            <v>13.043448</v>
          </cell>
          <cell r="S901" t="str">
            <v>108.213028</v>
          </cell>
          <cell r="T901" t="str">
            <v>full_h04/Đắk Lắk/Mạng cấp IV Đắk Lắk.kmz/Mạng cấp IV Đắk Lắk/Đắk Lắk Ring 17.kmz/Cư Pơng - Krông Búk/Hạ thế</v>
          </cell>
          <cell r="U901">
            <v>1015.69</v>
          </cell>
        </row>
        <row r="902">
          <cell r="L902" t="str">
            <v>Buôn Hồ - Ea H'Leo</v>
          </cell>
          <cell r="M902" t="str">
            <v>288.27</v>
          </cell>
          <cell r="N902" t="str">
            <v>102.00</v>
          </cell>
          <cell r="O902" t="str">
            <v>12.970822</v>
          </cell>
          <cell r="P902" t="str">
            <v>108.244495</v>
          </cell>
          <cell r="Q902" t="str">
            <v>186.28</v>
          </cell>
          <cell r="R902" t="str">
            <v>12.947990</v>
          </cell>
          <cell r="S902" t="str">
            <v>108.251840</v>
          </cell>
          <cell r="T902" t="str">
            <v>full_h04/Đắk Lắk/Mạng cấp III Đắk Lắk.kmz/Mạng cấp III Đắk Lắk/Ring 1/Buôn Hồ - Ea H'Leo/Trung Thế</v>
          </cell>
          <cell r="U902">
            <v>288.27</v>
          </cell>
        </row>
        <row r="903">
          <cell r="L903" t="str">
            <v>Trung thế 170</v>
          </cell>
          <cell r="M903" t="str">
            <v>938.27</v>
          </cell>
          <cell r="N903" t="str">
            <v>826.10</v>
          </cell>
          <cell r="O903" t="str">
            <v>13.043447</v>
          </cell>
          <cell r="P903" t="str">
            <v>108.212785</v>
          </cell>
          <cell r="Q903" t="str">
            <v>112.17</v>
          </cell>
          <cell r="R903" t="str">
            <v>13.008883</v>
          </cell>
          <cell r="S903" t="str">
            <v>108.150448</v>
          </cell>
          <cell r="T903" t="str">
            <v>full_h04/Đắk Lắk/Mạng cấp IV Đắk Lắk.kmz/Mạng cấp IV Đắk Lắk/Đắk Lắk Ring 17.kmz/Cư Pơng - Krông Búk/Trung thế 170/17(476T2KBU)</v>
          </cell>
          <cell r="U903">
            <v>938.27</v>
          </cell>
        </row>
        <row r="904">
          <cell r="L904" t="str">
            <v>Buôn Hồ - Ea H'Leo</v>
          </cell>
          <cell r="M904" t="str">
            <v>821.95</v>
          </cell>
          <cell r="N904" t="str">
            <v>102.00</v>
          </cell>
          <cell r="O904" t="str">
            <v>12.970822</v>
          </cell>
          <cell r="P904" t="str">
            <v>108.244495</v>
          </cell>
          <cell r="Q904" t="str">
            <v>719.96</v>
          </cell>
          <cell r="R904" t="str">
            <v>13.039525</v>
          </cell>
          <cell r="S904" t="str">
            <v>108.225184</v>
          </cell>
          <cell r="T904" t="str">
            <v>full_h04/Đắk Lắk/Mạng cấp III Đắk Lắk.kmz/Mạng cấp III Đắk Lắk/Ring 1/Buôn Hồ - Ea H'Leo/Trung Thế</v>
          </cell>
          <cell r="U904">
            <v>821.95</v>
          </cell>
        </row>
        <row r="905">
          <cell r="L905" t="str">
            <v>Ea Tul - Buôn Hồ</v>
          </cell>
          <cell r="M905" t="str">
            <v>1917.70</v>
          </cell>
          <cell r="N905" t="str">
            <v>126.75</v>
          </cell>
          <cell r="O905" t="str">
            <v>12.939247</v>
          </cell>
          <cell r="P905" t="str">
            <v>108.231073</v>
          </cell>
          <cell r="Q905" t="str">
            <v>1790.95</v>
          </cell>
          <cell r="R905" t="str">
            <v>12.954533</v>
          </cell>
          <cell r="S905" t="str">
            <v>108.246934</v>
          </cell>
          <cell r="T905" t="str">
            <v>full_h04/Đắk Lắk/Mạng cấp IV Đắk Lắk.kmz/Mạng cấp IV Đắk Lắk/Đắk Lắk Ring 16.kmz/Đắk Lắk ring 16/Ea Tul - Buôn Hồ/Trung Thế</v>
          </cell>
          <cell r="U905">
            <v>1917.7</v>
          </cell>
        </row>
        <row r="906">
          <cell r="L906" t="str">
            <v>22</v>
          </cell>
          <cell r="M906" t="str">
            <v>121.03</v>
          </cell>
          <cell r="N906" t="str">
            <v>85.03</v>
          </cell>
          <cell r="O906" t="str">
            <v>13.041829</v>
          </cell>
          <cell r="P906" t="str">
            <v>108.332318</v>
          </cell>
          <cell r="Q906" t="str">
            <v>35.99</v>
          </cell>
          <cell r="R906" t="str">
            <v>12.951675</v>
          </cell>
          <cell r="S906" t="str">
            <v>108.344356</v>
          </cell>
          <cell r="T906" t="str">
            <v>full_h04/Đắk Lắk/Mạng cấp IV Đắk Lắk.kmz/Mạng cấp IV Đắk Lắk/Đắk Lắk Ring 20.kmz/Tam Giang - TTCMKV Krông Năng/Trung thế 55/22/5(474KRN)__KrongNang</v>
          </cell>
          <cell r="U906">
            <v>121.03</v>
          </cell>
        </row>
        <row r="907">
          <cell r="L907" t="str">
            <v>Buôn Hồ - Ea H'Leo</v>
          </cell>
          <cell r="M907" t="str">
            <v>150.20</v>
          </cell>
          <cell r="N907" t="str">
            <v>58.27</v>
          </cell>
          <cell r="O907" t="str">
            <v>12.916486</v>
          </cell>
          <cell r="P907" t="str">
            <v>108.266068</v>
          </cell>
          <cell r="Q907" t="str">
            <v>91.93</v>
          </cell>
          <cell r="R907" t="str">
            <v>13.175211</v>
          </cell>
          <cell r="S907" t="str">
            <v>108.218376</v>
          </cell>
          <cell r="T907" t="str">
            <v>full_h04/Đắk Lắk/Mạng cấp III Đắk Lắk.kmz/Mạng cấp III Đắk Lắk/Ring 1/Buôn Hồ - Ea H'Leo/Trung Thế</v>
          </cell>
          <cell r="U907">
            <v>150.19999999999999</v>
          </cell>
        </row>
        <row r="908">
          <cell r="L908" t="str">
            <v>Trung thế 474T2KBU__126__R56</v>
          </cell>
          <cell r="M908" t="str">
            <v>196.50</v>
          </cell>
          <cell r="N908" t="str">
            <v>165.63</v>
          </cell>
          <cell r="O908" t="str">
            <v>12.951854</v>
          </cell>
          <cell r="P908" t="str">
            <v>108.305722</v>
          </cell>
          <cell r="Q908" t="str">
            <v>30.87</v>
          </cell>
          <cell r="R908" t="str">
            <v>12.951996</v>
          </cell>
          <cell r="S908" t="str">
            <v>108.344803</v>
          </cell>
          <cell r="T908" t="str">
            <v>full_h04/Đắk Lắk/Mạng cấp III Đắk Lắk.kmz/Mạng cấp III Đắk Lắk/Ring 2/KRông Năng - TT1 Đăk Lăk/Trung thế 474T2KBU__126__R56/13__477T2KBU</v>
          </cell>
          <cell r="U908">
            <v>196.5</v>
          </cell>
        </row>
        <row r="909">
          <cell r="L909" t="str">
            <v>TTCMKV Buôn Hồ - Dliê Ya</v>
          </cell>
          <cell r="M909" t="str">
            <v>223.08</v>
          </cell>
          <cell r="N909" t="str">
            <v>58.00</v>
          </cell>
          <cell r="O909" t="str">
            <v>12.916521</v>
          </cell>
          <cell r="P909" t="str">
            <v>108.266099</v>
          </cell>
          <cell r="Q909" t="str">
            <v>165.08</v>
          </cell>
          <cell r="R909" t="str">
            <v>12.951842</v>
          </cell>
          <cell r="S909" t="str">
            <v>108.305711</v>
          </cell>
          <cell r="T909" t="str">
            <v>full_h04/Đắk Lắk/Mạng cấp IV Đắk Lắk.kmz/Mạng cấp IV Đắk Lắk/Đắk Lắk Ring 19.kmz/TTCMKV Buôn Hồ - Dliê Ya/Trung thế BuonHo_116(472KRN)</v>
          </cell>
          <cell r="U909">
            <v>223.08</v>
          </cell>
        </row>
        <row r="910">
          <cell r="L910" t="str">
            <v>TTCMKV Buôn Hồ - Dliê Ya</v>
          </cell>
          <cell r="M910" t="str">
            <v>4309.11</v>
          </cell>
          <cell r="N910" t="str">
            <v>183.44</v>
          </cell>
          <cell r="O910" t="str">
            <v>13.114953</v>
          </cell>
          <cell r="P910" t="str">
            <v>108.330055</v>
          </cell>
          <cell r="Q910" t="str">
            <v>4125.67</v>
          </cell>
          <cell r="R910" t="str">
            <v>12.959835</v>
          </cell>
          <cell r="S910" t="str">
            <v>108.307524</v>
          </cell>
          <cell r="T910" t="str">
            <v>full_h04/Đắk Lắk/Mạng cấp IV Đắk Lắk.kmz/Mạng cấp IV Đắk Lắk/Đắk Lắk Ring 19.kmz/TTCMKV Buôn Hồ - Dliê Ya/Trung thế BuonHo_116(472KRN)</v>
          </cell>
          <cell r="U910">
            <v>4309.1099999999997</v>
          </cell>
        </row>
        <row r="911">
          <cell r="L911" t="str">
            <v>Trung thế __235</v>
          </cell>
          <cell r="M911" t="str">
            <v>8933.98</v>
          </cell>
          <cell r="N911" t="str">
            <v>4630.83</v>
          </cell>
          <cell r="O911" t="str">
            <v>13.225431</v>
          </cell>
          <cell r="P911" t="str">
            <v>108.294114</v>
          </cell>
          <cell r="Q911" t="str">
            <v>4303.16</v>
          </cell>
          <cell r="R911" t="str">
            <v>13.154978</v>
          </cell>
          <cell r="S911" t="str">
            <v>108.325789</v>
          </cell>
          <cell r="T911" t="str">
            <v>full_h04/Đắk Lắk/Mạng cấp IV Đắk Lắk.kmz/Mạng cấp IV Đắk Lắk/Đắk Lắk Ring 19.kmz/Dliê Ya - Ea Hiao/Trung thế __235/27(475EHL)</v>
          </cell>
          <cell r="U911">
            <v>8933.98</v>
          </cell>
        </row>
        <row r="912">
          <cell r="L912" t="str">
            <v>Trung thế 200</v>
          </cell>
          <cell r="M912" t="str">
            <v>153.88</v>
          </cell>
          <cell r="N912" t="str">
            <v>109.64</v>
          </cell>
          <cell r="O912" t="str">
            <v>13.201871</v>
          </cell>
          <cell r="P912" t="str">
            <v>108.214752</v>
          </cell>
          <cell r="Q912" t="str">
            <v>44.24</v>
          </cell>
          <cell r="R912" t="str">
            <v>13.266167</v>
          </cell>
          <cell r="S912" t="str">
            <v>108.287032</v>
          </cell>
          <cell r="T912" t="str">
            <v>full_h04/Đắk Lắk/Mạng cấp IV Đắk Lắk.kmz/Mạng cấp IV Đắk Lắk/Đắk Lắk Ring 19.kmz/Ea Hiao - TTCMKV Ea H'leo/Trung thế 200/136(475EHL)__EaDrang</v>
          </cell>
          <cell r="U912">
            <v>153.88</v>
          </cell>
        </row>
        <row r="913">
          <cell r="L913" t="str">
            <v>Buôn Hồ - Ea H'Leo</v>
          </cell>
          <cell r="M913" t="str">
            <v>1026.28</v>
          </cell>
          <cell r="N913" t="str">
            <v>58.27</v>
          </cell>
          <cell r="O913" t="str">
            <v>12.916486</v>
          </cell>
          <cell r="P913" t="str">
            <v>108.266068</v>
          </cell>
          <cell r="Q913" t="str">
            <v>968.01</v>
          </cell>
          <cell r="R913" t="str">
            <v>13.204206</v>
          </cell>
          <cell r="S913" t="str">
            <v>108.207145</v>
          </cell>
          <cell r="T913" t="str">
            <v>full_h04/Đắk Lắk/Mạng cấp III Đắk Lắk.kmz/Mạng cấp III Đắk Lắk/Ring 1/Buôn Hồ - Ea H'Leo/Trung Thế</v>
          </cell>
          <cell r="U913">
            <v>1026.28</v>
          </cell>
        </row>
        <row r="914">
          <cell r="L914" t="str">
            <v>Ea Kar - KRông Năng</v>
          </cell>
          <cell r="M914" t="str">
            <v>9422.79</v>
          </cell>
          <cell r="N914" t="str">
            <v>9287.61</v>
          </cell>
          <cell r="O914" t="str">
            <v>12.924610</v>
          </cell>
          <cell r="P914" t="str">
            <v>108.351768</v>
          </cell>
          <cell r="Q914" t="str">
            <v>135.18</v>
          </cell>
          <cell r="R914" t="str">
            <v>12.880810</v>
          </cell>
          <cell r="S914" t="str">
            <v>108.386491</v>
          </cell>
          <cell r="T914" t="str">
            <v>full_h04/Đắk Lắk/Mạng cấp III Đắk Lắk.kmz/Mạng cấp III Đắk Lắk/Ring 2/Ea Kar - KRông Năng/Trung thế 475EKA__103__386__475EKA</v>
          </cell>
          <cell r="U914">
            <v>9422.7900000000009</v>
          </cell>
        </row>
        <row r="915">
          <cell r="L915" t="str">
            <v>CAT Đắk Lắk - Buôn Ma Thuột</v>
          </cell>
          <cell r="M915" t="str">
            <v>2274.60</v>
          </cell>
          <cell r="N915" t="str">
            <v>76.38</v>
          </cell>
          <cell r="O915" t="str">
            <v>12.711752</v>
          </cell>
          <cell r="P915" t="str">
            <v>108.069326</v>
          </cell>
          <cell r="Q915" t="str">
            <v>2198.21</v>
          </cell>
          <cell r="R915" t="str">
            <v>12.687672</v>
          </cell>
          <cell r="S915" t="str">
            <v>108.046783</v>
          </cell>
          <cell r="T915" t="str">
            <v>full_h04/Đắk Lắk/Mạng cấp IV Đắk Lắk.kmz/Mạng cấp IV Đắk Lắk/Đắk Lắk Ring 23.kmz/Đắk Lắk Ring 23/CAT Đắk Lắk - Buôn Ma Thuột/trung Thế</v>
          </cell>
          <cell r="U915">
            <v>2274.6</v>
          </cell>
        </row>
        <row r="916">
          <cell r="L916" t="str">
            <v>CAT Đắk Lắk - Buôn Ma Thuột</v>
          </cell>
          <cell r="M916" t="str">
            <v>137.86</v>
          </cell>
          <cell r="N916" t="str">
            <v>61.48</v>
          </cell>
          <cell r="O916" t="str">
            <v>12.688961</v>
          </cell>
          <cell r="P916" t="str">
            <v>108.047808</v>
          </cell>
          <cell r="Q916" t="str">
            <v>76.38</v>
          </cell>
          <cell r="R916" t="str">
            <v>12.711752</v>
          </cell>
          <cell r="S916" t="str">
            <v>108.069326</v>
          </cell>
          <cell r="T916" t="str">
            <v>full_h04/Đắk Lắk/Mạng cấp IV Đắk Lắk.kmz/Mạng cấp IV Đắk Lắk/Đắk Lắk Ring 23.kmz/Đắk Lắk Ring 23/CAT Đắk Lắk - Buôn Ma Thuột/trung Thế</v>
          </cell>
          <cell r="U916">
            <v>137.86000000000001</v>
          </cell>
        </row>
        <row r="917">
          <cell r="L917" t="str">
            <v>TT1 Đăk Lăk - ILA Ea Kar</v>
          </cell>
          <cell r="M917" t="str">
            <v>1899.34</v>
          </cell>
          <cell r="N917" t="str">
            <v>1750.11</v>
          </cell>
          <cell r="O917" t="str">
            <v>12.690893</v>
          </cell>
          <cell r="P917" t="str">
            <v>108.067450</v>
          </cell>
          <cell r="Q917" t="str">
            <v>149.24</v>
          </cell>
          <cell r="R917" t="str">
            <v>12.721553</v>
          </cell>
          <cell r="S917" t="str">
            <v>108.093073</v>
          </cell>
          <cell r="T917" t="str">
            <v>full_h04/Đắk Lắk/Mạng cấp II Đắk Lắk.kmz/Link 1/TT1 Đăk Lăk - ILA Ea Kar/Trung thế</v>
          </cell>
          <cell r="U917">
            <v>1899.34</v>
          </cell>
        </row>
        <row r="918">
          <cell r="L918" t="str">
            <v>Cư M'ga - Buôn Hồ</v>
          </cell>
          <cell r="M918" t="str">
            <v>7353.97</v>
          </cell>
          <cell r="N918" t="str">
            <v>7309.52</v>
          </cell>
          <cell r="O918" t="str">
            <v>12.899435</v>
          </cell>
          <cell r="P918" t="str">
            <v>108.116934</v>
          </cell>
          <cell r="Q918" t="str">
            <v>44.45</v>
          </cell>
          <cell r="R918" t="str">
            <v>12.910539</v>
          </cell>
          <cell r="S918" t="str">
            <v>108.190575</v>
          </cell>
          <cell r="T918" t="str">
            <v>full_h04/Đắk Lắk/Mạng cấp III Đắk Lắk.kmz/Mạng cấp III Đắk Lắk/Ring 1/Cư M'ga - Buôn Hồ/Trung thế</v>
          </cell>
          <cell r="U918">
            <v>7353.97</v>
          </cell>
        </row>
        <row r="919">
          <cell r="L919" t="str">
            <v>Trung thế 170</v>
          </cell>
          <cell r="M919" t="str">
            <v>8547.33</v>
          </cell>
          <cell r="N919" t="str">
            <v>112.17</v>
          </cell>
          <cell r="O919" t="str">
            <v>13.008883</v>
          </cell>
          <cell r="P919" t="str">
            <v>108.150448</v>
          </cell>
          <cell r="Q919" t="str">
            <v>8435.16</v>
          </cell>
          <cell r="R919" t="str">
            <v>13.010324</v>
          </cell>
          <cell r="S919" t="str">
            <v>108.147325</v>
          </cell>
          <cell r="T919" t="str">
            <v>full_h04/Đắk Lắk/Mạng cấp IV Đắk Lắk.kmz/Mạng cấp IV Đắk Lắk/Đắk Lắk Ring 17.kmz/Cư Pơng - Krông Búk/Trung thế 170/17(476T2KBU)</v>
          </cell>
          <cell r="U919">
            <v>8547.33</v>
          </cell>
        </row>
        <row r="920">
          <cell r="L920" t="str">
            <v>Ea Tul - Buôn Hồ</v>
          </cell>
          <cell r="M920" t="str">
            <v>259.18</v>
          </cell>
          <cell r="N920" t="str">
            <v>55.16</v>
          </cell>
          <cell r="O920" t="str">
            <v>12.916409</v>
          </cell>
          <cell r="P920" t="str">
            <v>108.266055</v>
          </cell>
          <cell r="Q920" t="str">
            <v>204.02</v>
          </cell>
          <cell r="R920" t="str">
            <v>12.930183</v>
          </cell>
          <cell r="S920" t="str">
            <v>108.262786</v>
          </cell>
          <cell r="T920" t="str">
            <v>full_h04/Đắk Lắk/Mạng cấp IV Đắk Lắk.kmz/Mạng cấp IV Đắk Lắk/Đắk Lắk Ring 16.kmz/Đắk Lắk ring 16/Ea Tul - Buôn Hồ/Trung Thế</v>
          </cell>
          <cell r="U920">
            <v>259.18</v>
          </cell>
        </row>
        <row r="921">
          <cell r="L921" t="str">
            <v>Cư M'ga - Buôn Hồ</v>
          </cell>
          <cell r="M921" t="str">
            <v>1172.31</v>
          </cell>
          <cell r="N921" t="str">
            <v>117.56</v>
          </cell>
          <cell r="O921" t="str">
            <v>12.853426</v>
          </cell>
          <cell r="P921" t="str">
            <v>108.104358</v>
          </cell>
          <cell r="Q921" t="str">
            <v>1054.75</v>
          </cell>
          <cell r="R921" t="str">
            <v>12.823486</v>
          </cell>
          <cell r="S921" t="str">
            <v>108.077691</v>
          </cell>
          <cell r="T921" t="str">
            <v>full_h04/Đắk Lắk/Mạng cấp III Đắk Lắk.kmz/Mạng cấp III Đắk Lắk/Ring 1/Cư M'ga - Buôn Hồ/Trung Thế</v>
          </cell>
          <cell r="U921">
            <v>1172.31</v>
          </cell>
        </row>
        <row r="922">
          <cell r="L922" t="str">
            <v>Cư M'ga - Buôn Hồ</v>
          </cell>
          <cell r="M922" t="str">
            <v>235.06</v>
          </cell>
          <cell r="N922" t="str">
            <v>118.05</v>
          </cell>
          <cell r="O922" t="str">
            <v>12.892032</v>
          </cell>
          <cell r="P922" t="str">
            <v>108.181015</v>
          </cell>
          <cell r="Q922" t="str">
            <v>117.01</v>
          </cell>
          <cell r="R922" t="str">
            <v>12.853419</v>
          </cell>
          <cell r="S922" t="str">
            <v>108.104357</v>
          </cell>
          <cell r="T922" t="str">
            <v>full_h04/Đắk Lắk/Mạng cấp III Đắk Lắk.kmz/Mạng cấp III Đắk Lắk/Ring 1/Cư M'ga - Buôn Hồ/Trung thế</v>
          </cell>
          <cell r="U922">
            <v>235.06</v>
          </cell>
        </row>
        <row r="923">
          <cell r="L923" t="str">
            <v>Quảng Phú - Ea M’Droh</v>
          </cell>
          <cell r="M923" t="str">
            <v>141.74</v>
          </cell>
          <cell r="N923" t="str">
            <v>77.55</v>
          </cell>
          <cell r="O923" t="str">
            <v>12.860792</v>
          </cell>
          <cell r="P923" t="str">
            <v>107.964518</v>
          </cell>
          <cell r="Q923" t="str">
            <v>64.19</v>
          </cell>
          <cell r="R923" t="str">
            <v>12.831251</v>
          </cell>
          <cell r="S923" t="str">
            <v>108.033561</v>
          </cell>
          <cell r="T923" t="str">
            <v>full_h04/Đắk Lắk/Mạng cấp IV Đắk Lắk.kmz/Mạng cấp IV Đắk Lắk/Đắk Lắk Ring 15.kmz/Ring Đắk Lắk 15/Quảng Phú - Ea M’Droh/Trung Thế 474</v>
          </cell>
          <cell r="U923">
            <v>141.74</v>
          </cell>
        </row>
        <row r="924">
          <cell r="L924" t="str">
            <v>Quảng Phú - Ea M’Droh</v>
          </cell>
          <cell r="M924" t="str">
            <v>7409.13</v>
          </cell>
          <cell r="N924" t="str">
            <v>7331.58</v>
          </cell>
          <cell r="O924" t="str">
            <v>12.831722</v>
          </cell>
          <cell r="P924" t="str">
            <v>108.050026</v>
          </cell>
          <cell r="Q924" t="str">
            <v>77.55</v>
          </cell>
          <cell r="R924" t="str">
            <v>12.860792</v>
          </cell>
          <cell r="S924" t="str">
            <v>107.964518</v>
          </cell>
          <cell r="T924" t="str">
            <v>full_h04/Đắk Lắk/Mạng cấp IV Đắk Lắk.kmz/Mạng cấp IV Đắk Lắk/Đắk Lắk Ring 15.kmz/Ring Đắk Lắk 15/Quảng Phú - Ea M’Droh/Trung Thế 474</v>
          </cell>
          <cell r="U924">
            <v>7409.13</v>
          </cell>
        </row>
        <row r="925">
          <cell r="L925" t="str">
            <v>Cư M'ga - Buôn Hồ</v>
          </cell>
          <cell r="M925" t="str">
            <v>4978.63</v>
          </cell>
          <cell r="N925" t="str">
            <v>44.45</v>
          </cell>
          <cell r="O925" t="str">
            <v>12.910539</v>
          </cell>
          <cell r="P925" t="str">
            <v>108.190575</v>
          </cell>
          <cell r="Q925" t="str">
            <v>4934.18</v>
          </cell>
          <cell r="R925" t="str">
            <v>12.887229</v>
          </cell>
          <cell r="S925" t="str">
            <v>108.110760</v>
          </cell>
          <cell r="T925" t="str">
            <v>full_h04/Đắk Lắk/Mạng cấp III Đắk Lắk.kmz/Mạng cấp III Đắk Lắk/Ring 1/Cư M'ga - Buôn Hồ/Trung thế</v>
          </cell>
          <cell r="U925">
            <v>4978.63</v>
          </cell>
        </row>
        <row r="926">
          <cell r="L926" t="str">
            <v>Ea Tul - Buôn Hồ</v>
          </cell>
          <cell r="M926" t="str">
            <v>6231.31</v>
          </cell>
          <cell r="N926" t="str">
            <v>6175.76</v>
          </cell>
          <cell r="O926" t="str">
            <v>12.916409</v>
          </cell>
          <cell r="P926" t="str">
            <v>108.266055</v>
          </cell>
          <cell r="Q926" t="str">
            <v>55.55</v>
          </cell>
          <cell r="R926" t="str">
            <v>12.910633</v>
          </cell>
          <cell r="S926" t="str">
            <v>108.190708</v>
          </cell>
          <cell r="T926" t="str">
            <v>full_h04/Đắk Lắk/Mạng cấp IV Đắk Lắk.kmz/Mạng cấp IV Đắk Lắk/Đắk Lắk Ring 16.kmz/Đắk Lắk ring 16/Ea Tul - Buôn Hồ/Trung Thế</v>
          </cell>
          <cell r="U926">
            <v>6231.31</v>
          </cell>
        </row>
        <row r="927">
          <cell r="L927" t="str">
            <v>TT2 Đăk Lăk (Tuy Hòa) - Cơ quan điều tra
 Tuy Hòa</v>
          </cell>
          <cell r="M927" t="str">
            <v>108.78</v>
          </cell>
          <cell r="N927" t="str">
            <v>102.57</v>
          </cell>
          <cell r="O927" t="str">
            <v>13.091844</v>
          </cell>
          <cell r="P927" t="str">
            <v>109.294985</v>
          </cell>
          <cell r="Q927" t="str">
            <v>6.20</v>
          </cell>
          <cell r="R927" t="str">
            <v>13.094789</v>
          </cell>
          <cell r="S927" t="str">
            <v>109.292973</v>
          </cell>
          <cell r="T927" t="str">
            <v>full_h04/Đắk Lắk/Mạng cấp III Đắk Lắk.kmz/Mạng cấp III Phú Yên/Phú Yên_Ring phòng 2/TT2 Đăk Lăk (Tuy Hòa) - Cơ quan điều tra
 Tuy Hòa/Hạ thế</v>
          </cell>
          <cell r="U927">
            <v>108.78</v>
          </cell>
        </row>
        <row r="928">
          <cell r="L928" t="str">
            <v>Phú Hòa 2 - Phú Yên</v>
          </cell>
          <cell r="M928" t="str">
            <v>2358.93</v>
          </cell>
          <cell r="N928" t="str">
            <v>1.67</v>
          </cell>
          <cell r="O928" t="str">
            <v>13.052982</v>
          </cell>
          <cell r="P928" t="str">
            <v>109.310524</v>
          </cell>
          <cell r="Q928" t="str">
            <v>2357.26</v>
          </cell>
          <cell r="R928" t="str">
            <v>13.045337</v>
          </cell>
          <cell r="S928" t="str">
            <v>109.301774</v>
          </cell>
          <cell r="T928" t="str">
            <v>full_h04/Đắk Lắk/Mạng cấp IV Đắk Lắk.kmz/Mạng cấp IV Phú Yên/Phú Yên_Ring 10/Phú Hòa 2 - Phú Yên/Hạ thế</v>
          </cell>
          <cell r="U928">
            <v>2358.9299999999998</v>
          </cell>
        </row>
        <row r="929">
          <cell r="L929" t="str">
            <v>Cư Bao - Ea Drông</v>
          </cell>
          <cell r="M929" t="str">
            <v>7373.48</v>
          </cell>
          <cell r="N929" t="str">
            <v>6845.67</v>
          </cell>
          <cell r="O929" t="str">
            <v>12.841982</v>
          </cell>
          <cell r="P929" t="str">
            <v>108.249215</v>
          </cell>
          <cell r="Q929" t="str">
            <v>527.81</v>
          </cell>
          <cell r="R929" t="str">
            <v>12.911440</v>
          </cell>
          <cell r="S929" t="str">
            <v>108.266550</v>
          </cell>
          <cell r="T929" t="str">
            <v>full_h04/Đắk Lắk/Mạng cấp IV Đắk Lắk.kmz/Mạng cấp IV Đắk Lắk/Đắk Lắk Ring 13.kmz/ring 13/Cư Bao - Ea Drông/Trung thế</v>
          </cell>
          <cell r="U929">
            <v>7373.48</v>
          </cell>
        </row>
        <row r="930">
          <cell r="L930" t="str">
            <v>TT1 Đăk Lăk - ILA Ea Kar</v>
          </cell>
          <cell r="M930" t="str">
            <v>1807.41</v>
          </cell>
          <cell r="N930" t="str">
            <v>1750.11</v>
          </cell>
          <cell r="O930" t="str">
            <v>12.690893</v>
          </cell>
          <cell r="P930" t="str">
            <v>108.067450</v>
          </cell>
          <cell r="Q930" t="str">
            <v>57.30</v>
          </cell>
          <cell r="R930" t="str">
            <v>12.789365</v>
          </cell>
          <cell r="S930" t="str">
            <v>108.217463</v>
          </cell>
          <cell r="T930" t="str">
            <v>full_h04/Đắk Lắk/Mạng cấp II Đắk Lắk.kmz/Link 1/TT1 Đăk Lăk - ILA Ea Kar/Trung thế</v>
          </cell>
          <cell r="U930">
            <v>1807.41</v>
          </cell>
        </row>
        <row r="931">
          <cell r="L931" t="str">
            <v>Ea Tul - Buôn Hồ</v>
          </cell>
          <cell r="M931" t="str">
            <v>110.70</v>
          </cell>
          <cell r="N931" t="str">
            <v>55.16</v>
          </cell>
          <cell r="O931" t="str">
            <v>12.916409</v>
          </cell>
          <cell r="P931" t="str">
            <v>108.266055</v>
          </cell>
          <cell r="Q931" t="str">
            <v>55.55</v>
          </cell>
          <cell r="R931" t="str">
            <v>12.910633</v>
          </cell>
          <cell r="S931" t="str">
            <v>108.190708</v>
          </cell>
          <cell r="T931" t="str">
            <v>full_h04/Đắk Lắk/Mạng cấp IV Đắk Lắk.kmz/Mạng cấp IV Đắk Lắk/Đắk Lắk Ring 16.kmz/Đắk Lắk ring 16/Ea Tul - Buôn Hồ/Trung Thế</v>
          </cell>
          <cell r="U931">
            <v>110.7</v>
          </cell>
        </row>
        <row r="932">
          <cell r="L932" t="str">
            <v>Cư Bao - Ea Drông</v>
          </cell>
          <cell r="M932" t="str">
            <v>7373.48</v>
          </cell>
          <cell r="N932" t="str">
            <v>6845.67</v>
          </cell>
          <cell r="O932" t="str">
            <v>12.841982</v>
          </cell>
          <cell r="P932" t="str">
            <v>108.249215</v>
          </cell>
          <cell r="Q932" t="str">
            <v>527.81</v>
          </cell>
          <cell r="R932" t="str">
            <v>12.911440</v>
          </cell>
          <cell r="S932" t="str">
            <v>108.266550</v>
          </cell>
          <cell r="T932" t="str">
            <v>full_h04/Đắk Lắk/Mạng cấp IV Đắk Lắk.kmz/Mạng cấp IV Đắk Lắk/Đắk Lắk Ring 13.kmz/ring 13/Cư Bao - Ea Drông/Trung thế</v>
          </cell>
          <cell r="U932">
            <v>7373.48</v>
          </cell>
        </row>
        <row r="933">
          <cell r="L933" t="str">
            <v>Ea Tul - Buôn Hồ</v>
          </cell>
          <cell r="M933" t="str">
            <v>110.70</v>
          </cell>
          <cell r="N933" t="str">
            <v>55.16</v>
          </cell>
          <cell r="O933" t="str">
            <v>12.916409</v>
          </cell>
          <cell r="P933" t="str">
            <v>108.266055</v>
          </cell>
          <cell r="Q933" t="str">
            <v>55.55</v>
          </cell>
          <cell r="R933" t="str">
            <v>12.910633</v>
          </cell>
          <cell r="S933" t="str">
            <v>108.190708</v>
          </cell>
          <cell r="T933" t="str">
            <v>full_h04/Đắk Lắk/Mạng cấp IV Đắk Lắk.kmz/Mạng cấp IV Đắk Lắk/Đắk Lắk Ring 16.kmz/Đắk Lắk ring 16/Ea Tul - Buôn Hồ/Trung Thế</v>
          </cell>
          <cell r="U933">
            <v>110.7</v>
          </cell>
        </row>
        <row r="934">
          <cell r="L934" t="str">
            <v>Trung thế 474T2KBU__126__R56</v>
          </cell>
          <cell r="M934" t="str">
            <v>3821.65</v>
          </cell>
          <cell r="N934" t="str">
            <v>30.87</v>
          </cell>
          <cell r="O934" t="str">
            <v>12.951996</v>
          </cell>
          <cell r="P934" t="str">
            <v>108.344803</v>
          </cell>
          <cell r="Q934" t="str">
            <v>3790.77</v>
          </cell>
          <cell r="R934" t="str">
            <v>12.941436</v>
          </cell>
          <cell r="S934" t="str">
            <v>108.290012</v>
          </cell>
          <cell r="T934" t="str">
            <v>full_h04/Đắk Lắk/Mạng cấp III Đắk Lắk.kmz/Mạng cấp III Đắk Lắk/Ring 2/KRông Năng - TT1 Đăk Lăk/Trung thế 474T2KBU__126__R56/13__477T2KBU</v>
          </cell>
          <cell r="U934">
            <v>3821.65</v>
          </cell>
        </row>
        <row r="935">
          <cell r="L935" t="str">
            <v>Hòa Phú - Ea Na</v>
          </cell>
          <cell r="M935" t="str">
            <v>557.95</v>
          </cell>
          <cell r="N935" t="str">
            <v>527.65</v>
          </cell>
          <cell r="O935" t="str">
            <v>12.618945</v>
          </cell>
          <cell r="P935" t="str">
            <v>107.946550</v>
          </cell>
          <cell r="Q935" t="str">
            <v>30.30</v>
          </cell>
          <cell r="R935" t="str">
            <v>12.617361</v>
          </cell>
          <cell r="S935" t="str">
            <v>107.940058</v>
          </cell>
          <cell r="T935" t="str">
            <v>full_h04/Đắk Lắk/Mạng cấp IV Đắk Lắk.kmz/Mạng cấp IV Đắk Lắk/Đắk Lắk Ring 11.kmz/Đắk Lắk Ring 11/Hòa Phú - Ea Na/hạ thế</v>
          </cell>
          <cell r="U935">
            <v>557.95000000000005</v>
          </cell>
        </row>
        <row r="936">
          <cell r="L936" t="str">
            <v>TT1 Đak Lak - Krong Pak</v>
          </cell>
          <cell r="M936" t="str">
            <v>355.97</v>
          </cell>
          <cell r="N936" t="str">
            <v>72.49</v>
          </cell>
          <cell r="O936" t="str">
            <v>12.684662</v>
          </cell>
          <cell r="P936" t="str">
            <v>108.052244</v>
          </cell>
          <cell r="Q936" t="str">
            <v>283.47</v>
          </cell>
          <cell r="R936" t="str">
            <v>12.689913</v>
          </cell>
          <cell r="S936" t="str">
            <v>108.059804</v>
          </cell>
          <cell r="T936" t="str">
            <v>full_h04/Đắk Lắk/Mạng cấp III Đắk Lắk.kmz/Mạng cấp III Đắk Lắk/Ring 2/TT1 Đak Lak - Krong Pak/CAT</v>
          </cell>
          <cell r="U936">
            <v>355.97</v>
          </cell>
        </row>
        <row r="937">
          <cell r="L937" t="str">
            <v>TT1 Đăk Lăk - ILA Ea Kar</v>
          </cell>
          <cell r="M937" t="str">
            <v>125.55</v>
          </cell>
          <cell r="N937" t="str">
            <v>91.96</v>
          </cell>
          <cell r="O937" t="str">
            <v>12.690893</v>
          </cell>
          <cell r="P937" t="str">
            <v>108.067450</v>
          </cell>
          <cell r="Q937" t="str">
            <v>33.59</v>
          </cell>
          <cell r="R937" t="str">
            <v>12.697137</v>
          </cell>
          <cell r="S937" t="str">
            <v>108.072342</v>
          </cell>
          <cell r="T937" t="str">
            <v>full_h04/Đắk Lắk/Mạng cấp II Đắk Lắk.kmz/Link 1/TT1 Đăk Lăk - ILA Ea Kar/Trung thế</v>
          </cell>
          <cell r="U937">
            <v>125.55</v>
          </cell>
        </row>
        <row r="938">
          <cell r="L938" t="str">
            <v>Sông Cầu - TT2 Tuy Hòa</v>
          </cell>
          <cell r="M938" t="str">
            <v>3136.08</v>
          </cell>
          <cell r="N938" t="str">
            <v>2642.09</v>
          </cell>
          <cell r="O938" t="str">
            <v>13.091364</v>
          </cell>
          <cell r="P938" t="str">
            <v>109.289206</v>
          </cell>
          <cell r="Q938" t="str">
            <v>493.99</v>
          </cell>
          <cell r="R938" t="str">
            <v>13.147905</v>
          </cell>
          <cell r="S938" t="str">
            <v>109.280089</v>
          </cell>
          <cell r="T938" t="str">
            <v>full_h04/Đắk Lắk/Mạng cấp III Đắk Lắk.kmz/Mạng cấp III Phú Yên/Ring 5/Sông Cầu - TT2 Tuy Hòa/Trung thế</v>
          </cell>
          <cell r="U938">
            <v>3136.08</v>
          </cell>
        </row>
        <row r="939">
          <cell r="L939" t="str">
            <v>TT1 Đăk Lăk - ILA Ea Kar</v>
          </cell>
          <cell r="M939" t="str">
            <v>100845.75</v>
          </cell>
          <cell r="N939" t="str">
            <v>7844.66</v>
          </cell>
          <cell r="O939" t="str">
            <v>12.690893</v>
          </cell>
          <cell r="P939" t="str">
            <v>108.067450</v>
          </cell>
          <cell r="Q939" t="str">
            <v>93001.10</v>
          </cell>
          <cell r="R939" t="str">
            <v>12.811566</v>
          </cell>
          <cell r="S939" t="str">
            <v>108.483311</v>
          </cell>
          <cell r="T939" t="str">
            <v>full_h04/Đắk Lắk/Mạng cấp II Đắk Lắk.kmz/Link 1/TT1 Đăk Lăk - ILA Ea Kar/Trung thế</v>
          </cell>
          <cell r="U939">
            <v>100845.75</v>
          </cell>
        </row>
        <row r="940">
          <cell r="L940" t="str">
            <v>Trung tâm huấn luyện PX01 - TT1 Đăk Lăk</v>
          </cell>
          <cell r="M940" t="str">
            <v>870.47</v>
          </cell>
          <cell r="N940" t="str">
            <v>867.07</v>
          </cell>
          <cell r="O940" t="str">
            <v>12.673182</v>
          </cell>
          <cell r="P940" t="str">
            <v>108.033775</v>
          </cell>
          <cell r="Q940" t="str">
            <v>3.41</v>
          </cell>
          <cell r="R940" t="str">
            <v>12.673265</v>
          </cell>
          <cell r="S940" t="str">
            <v>108.033628</v>
          </cell>
          <cell r="T940" t="str">
            <v>full_h04/Đắk Lắk/Mạng cấp III Đắk Lắk.kmz/Mạng cấp III Đắk Lắk/Trung tâm huấn luyện PX01 - TT1 Đăk Lăk/Nhập trạm</v>
          </cell>
          <cell r="U940">
            <v>870.47</v>
          </cell>
        </row>
        <row r="941">
          <cell r="L941" t="str">
            <v>TT1 Đăk Lăk - ILA Ea Pal</v>
          </cell>
          <cell r="M941" t="str">
            <v>278.42</v>
          </cell>
          <cell r="N941" t="str">
            <v>225.88</v>
          </cell>
          <cell r="O941" t="str">
            <v>12.683053</v>
          </cell>
          <cell r="P941" t="str">
            <v>108.051156</v>
          </cell>
          <cell r="Q941" t="str">
            <v>52.55</v>
          </cell>
          <cell r="R941" t="str">
            <v>12.683981</v>
          </cell>
          <cell r="S941" t="str">
            <v>108.059354</v>
          </cell>
          <cell r="T941" t="str">
            <v>full_h04/Đắk Lắk/Mạng cấp II Đắk Lắk.kmz/Link 2/TT1 Đăk Lăk - ILA Ea Pal/Trung thế</v>
          </cell>
          <cell r="U941">
            <v>278.42</v>
          </cell>
        </row>
        <row r="942">
          <cell r="L942" t="str">
            <v>CAT Đắk Lắk - Ea Kao</v>
          </cell>
          <cell r="M942" t="str">
            <v>560.96</v>
          </cell>
          <cell r="N942" t="str">
            <v>471.01</v>
          </cell>
          <cell r="O942" t="str">
            <v>12.662886</v>
          </cell>
          <cell r="P942" t="str">
            <v>108.034390</v>
          </cell>
          <cell r="Q942" t="str">
            <v>89.95</v>
          </cell>
          <cell r="R942" t="str">
            <v>12.660361</v>
          </cell>
          <cell r="S942" t="str">
            <v>108.031069</v>
          </cell>
          <cell r="T942" t="str">
            <v>full_h04/Đắk Lắk/Mạng cấp IV Đắk Lắk.kmz/Mạng cấp IV Đắk Lắk/Đắk Lắk Ring 2.kmz/Đắk Lắk Ring 2/CAT Đắk Lắk - Ea Kao/Trung thế -477BMT</v>
          </cell>
          <cell r="U942">
            <v>560.96</v>
          </cell>
        </row>
        <row r="943">
          <cell r="L943" t="str">
            <v>Tân Lập - Ea Knuec</v>
          </cell>
          <cell r="M943" t="str">
            <v>1300.24</v>
          </cell>
          <cell r="N943" t="str">
            <v>1181.25</v>
          </cell>
          <cell r="O943" t="str">
            <v>12.679326</v>
          </cell>
          <cell r="P943" t="str">
            <v>108.087198</v>
          </cell>
          <cell r="Q943" t="str">
            <v>118.99</v>
          </cell>
          <cell r="R943" t="str">
            <v>12.655568</v>
          </cell>
          <cell r="S943" t="str">
            <v>108.107465</v>
          </cell>
          <cell r="T943" t="str">
            <v>full_h04/Đắk Lắk/Mạng cấp IV Đắk Lắk.kmz/Mạng cấp IV Đắk Lắk/Đắk Lắk Ring 1.kmz/Đắk Lắk Ring 1/Tân Lập - Ea Knuec/Trung thế 472BMT</v>
          </cell>
          <cell r="U943">
            <v>1300.24</v>
          </cell>
        </row>
        <row r="944">
          <cell r="L944" t="str">
            <v>Thành Nhất - Ea Nuôl</v>
          </cell>
          <cell r="M944" t="str">
            <v>434.70</v>
          </cell>
          <cell r="N944" t="str">
            <v>22.72</v>
          </cell>
          <cell r="O944" t="str">
            <v>12.676813</v>
          </cell>
          <cell r="P944" t="str">
            <v>107.993981</v>
          </cell>
          <cell r="Q944" t="str">
            <v>411.98</v>
          </cell>
          <cell r="R944" t="str">
            <v>12.682619</v>
          </cell>
          <cell r="S944" t="str">
            <v>108.012011</v>
          </cell>
          <cell r="T944" t="str">
            <v>full_h04/Đắk Lắk/Mạng cấp IV Đắk Lắk.kmz/Mạng cấp IV Đắk Lắk/Đắk Lắk Ring 12.kmz/Đắk Lắk Ring 12/Thành Nhất - Ea Nuôl/Trung thế Buôn Đôn Ea Nuôil</v>
          </cell>
          <cell r="U944">
            <v>434.7</v>
          </cell>
        </row>
        <row r="945">
          <cell r="L945" t="str">
            <v>Trại tạm giam Buôn Mê Thuột  - TT1 Đăk Lăk</v>
          </cell>
          <cell r="M945" t="str">
            <v>2288.04</v>
          </cell>
          <cell r="N945" t="str">
            <v>37.88</v>
          </cell>
          <cell r="O945" t="str">
            <v>12.711841</v>
          </cell>
          <cell r="P945" t="str">
            <v>108.066391</v>
          </cell>
          <cell r="Q945" t="str">
            <v>2250.16</v>
          </cell>
          <cell r="R945" t="str">
            <v>12.712285</v>
          </cell>
          <cell r="S945" t="str">
            <v>108.066721</v>
          </cell>
          <cell r="T945" t="str">
            <v>full_h04/Đắk Lắk/Mạng cấp III Đắk Lắk.kmz/Mạng cấp III Đắk Lắk/Trại tạm giam Buôn Mê Thuột  - TT1 Đăk Lăk/Trụ nhập trạm</v>
          </cell>
          <cell r="U945">
            <v>2288.04</v>
          </cell>
        </row>
        <row r="946">
          <cell r="L946" t="str">
            <v>TT1 Đăk Lăk - ILA Ea Kar</v>
          </cell>
          <cell r="M946" t="str">
            <v>190.27</v>
          </cell>
          <cell r="N946" t="str">
            <v>88.89</v>
          </cell>
          <cell r="O946" t="str">
            <v>12.736509</v>
          </cell>
          <cell r="P946" t="str">
            <v>108.142250</v>
          </cell>
          <cell r="Q946" t="str">
            <v>101.38</v>
          </cell>
          <cell r="R946" t="str">
            <v>12.753319</v>
          </cell>
          <cell r="S946" t="str">
            <v>108.169235</v>
          </cell>
          <cell r="T946" t="str">
            <v>full_h04/Đắk Lắk/Mạng cấp II Đắk Lắk.kmz/Link 1/TT1 Đăk Lăk - ILA Ea Kar/Trung thế</v>
          </cell>
          <cell r="U946">
            <v>190.27</v>
          </cell>
        </row>
        <row r="947">
          <cell r="L947" t="str">
            <v>Trung thế 477T2KBU__R56</v>
          </cell>
          <cell r="M947" t="str">
            <v>547.86</v>
          </cell>
          <cell r="N947" t="str">
            <v>57.95</v>
          </cell>
          <cell r="O947" t="str">
            <v>12.916483</v>
          </cell>
          <cell r="P947" t="str">
            <v>108.266070</v>
          </cell>
          <cell r="Q947" t="str">
            <v>489.91</v>
          </cell>
          <cell r="R947" t="str">
            <v>12.911094</v>
          </cell>
          <cell r="S947" t="str">
            <v>108.266525</v>
          </cell>
          <cell r="T947" t="str">
            <v>full_h04/Đắk Lắk/Mạng cấp III Đắk Lắk.kmz/Mạng cấp III Đắk Lắk/Ring 2/KRông Năng - TT1 Đăk Lăk/Trung thế 477T2KBU__R56/13__164__475BHO</v>
          </cell>
          <cell r="U947">
            <v>547.86</v>
          </cell>
        </row>
        <row r="948">
          <cell r="L948" t="str">
            <v>Phú Hòa 2 - Phú Yên</v>
          </cell>
          <cell r="M948" t="str">
            <v>602.63</v>
          </cell>
          <cell r="N948" t="str">
            <v>600.95</v>
          </cell>
          <cell r="O948" t="str">
            <v>13.044897</v>
          </cell>
          <cell r="P948" t="str">
            <v>109.304889</v>
          </cell>
          <cell r="Q948" t="str">
            <v>1.67</v>
          </cell>
          <cell r="R948" t="str">
            <v>13.052982</v>
          </cell>
          <cell r="S948" t="str">
            <v>109.310524</v>
          </cell>
          <cell r="T948" t="str">
            <v>full_h04/Đắk Lắk/Mạng cấp IV Đắk Lắk.kmz/Mạng cấp IV Phú Yên/Phú Yên_Ring 10/Phú Hòa 2 - Phú Yên/Hạ thế</v>
          </cell>
          <cell r="U948">
            <v>602.63</v>
          </cell>
        </row>
        <row r="949">
          <cell r="L949" t="str">
            <v>Phú Hòa 2 - Phú Yên</v>
          </cell>
          <cell r="M949" t="str">
            <v>1303.29</v>
          </cell>
          <cell r="N949" t="str">
            <v>1301.62</v>
          </cell>
          <cell r="O949" t="str">
            <v>13.045337</v>
          </cell>
          <cell r="P949" t="str">
            <v>109.301774</v>
          </cell>
          <cell r="Q949" t="str">
            <v>1.67</v>
          </cell>
          <cell r="R949" t="str">
            <v>13.052982</v>
          </cell>
          <cell r="S949" t="str">
            <v>109.310524</v>
          </cell>
          <cell r="T949" t="str">
            <v>full_h04/Đắk Lắk/Mạng cấp IV Đắk Lắk.kmz/Mạng cấp IV Phú Yên/Phú Yên_Ring 10/Phú Hòa 2 - Phú Yên/Hạ thế</v>
          </cell>
          <cell r="U949">
            <v>1303.29</v>
          </cell>
        </row>
        <row r="950">
          <cell r="L950" t="str">
            <v>CAT PHÚ YÊN - Cảng hàng không Tuy Hòa</v>
          </cell>
          <cell r="M950" t="str">
            <v>3368.71</v>
          </cell>
          <cell r="N950" t="str">
            <v>1421.45</v>
          </cell>
          <cell r="O950" t="str">
            <v>13.052278</v>
          </cell>
          <cell r="P950" t="str">
            <v>109.323625</v>
          </cell>
          <cell r="Q950" t="str">
            <v>1947.25</v>
          </cell>
          <cell r="R950" t="str">
            <v>13.033217</v>
          </cell>
          <cell r="S950" t="str">
            <v>109.323196</v>
          </cell>
          <cell r="T950" t="str">
            <v>full_h04/Đắk Lắk/Mạng cấp III Đắk Lắk.kmz/Mạng cấp III Phú Yên/Phú Yên_Ring phòng 4/CAT PHÚ YÊN - Cảng hàng không Tuy Hòa/Trung thế</v>
          </cell>
          <cell r="U950">
            <v>3368.71</v>
          </cell>
        </row>
        <row r="951">
          <cell r="L951" t="str">
            <v>Đông Hòa - Hòa Xuân</v>
          </cell>
          <cell r="M951" t="str">
            <v>3778.71</v>
          </cell>
          <cell r="N951" t="str">
            <v>3773.93</v>
          </cell>
          <cell r="O951" t="str">
            <v>12.953796</v>
          </cell>
          <cell r="P951" t="str">
            <v>109.353542</v>
          </cell>
          <cell r="Q951" t="str">
            <v>4.77</v>
          </cell>
          <cell r="R951" t="str">
            <v>12.908752</v>
          </cell>
          <cell r="S951" t="str">
            <v>109.369775</v>
          </cell>
          <cell r="T951" t="str">
            <v>full_h04/Đắk Lắk/Mạng cấp IV Đắk Lắk.kmz/Mạng cấp IV Phú Yên/Phú Yên_Ring 11/Đông Hòa - Hòa Xuân/Trung thế</v>
          </cell>
          <cell r="U951">
            <v>3778.71</v>
          </cell>
        </row>
        <row r="952">
          <cell r="L952" t="str">
            <v>Đông Hòa - Hòa Xuân</v>
          </cell>
          <cell r="M952" t="str">
            <v>4854.89</v>
          </cell>
          <cell r="N952" t="str">
            <v>4.77</v>
          </cell>
          <cell r="O952" t="str">
            <v>12.908752</v>
          </cell>
          <cell r="P952" t="str">
            <v>109.369775</v>
          </cell>
          <cell r="Q952" t="str">
            <v>4850.12</v>
          </cell>
          <cell r="R952" t="str">
            <v>12.948195</v>
          </cell>
          <cell r="S952" t="str">
            <v>109.359108</v>
          </cell>
          <cell r="T952" t="str">
            <v>full_h04/Đắk Lắk/Mạng cấp IV Đắk Lắk.kmz/Mạng cấp IV Phú Yên/Phú Yên_Ring 11/Đông Hòa - Hòa Xuân/Trung thế</v>
          </cell>
          <cell r="U952">
            <v>4854.8900000000003</v>
          </cell>
        </row>
        <row r="953">
          <cell r="L953" t="str">
            <v>TTCMKV Tây Hòa - Đông Hòa</v>
          </cell>
          <cell r="M953" t="str">
            <v>4456.05</v>
          </cell>
          <cell r="N953" t="str">
            <v>4090.97</v>
          </cell>
          <cell r="O953" t="str">
            <v>12.998060</v>
          </cell>
          <cell r="P953" t="str">
            <v>109.303864</v>
          </cell>
          <cell r="Q953" t="str">
            <v>365.07</v>
          </cell>
          <cell r="R953" t="str">
            <v>12.993864</v>
          </cell>
          <cell r="S953" t="str">
            <v>109.330805</v>
          </cell>
          <cell r="T953" t="str">
            <v>full_h04/Đắk Lắk/Mạng cấp IV Đắk Lắk.kmz/Mạng cấp IV Phú Yên/Phú Yên_Ring 11/TTCMKV Tây Hòa - Đông Hòa/Trung thế</v>
          </cell>
          <cell r="U953">
            <v>4456.05</v>
          </cell>
        </row>
        <row r="954">
          <cell r="L954" t="str">
            <v>Đông Hòa - Hòa Xuân</v>
          </cell>
          <cell r="M954" t="str">
            <v>3130.16</v>
          </cell>
          <cell r="N954" t="str">
            <v>34.04</v>
          </cell>
          <cell r="O954" t="str">
            <v>12.990998</v>
          </cell>
          <cell r="P954" t="str">
            <v>109.331638</v>
          </cell>
          <cell r="Q954" t="str">
            <v>3096.11</v>
          </cell>
          <cell r="R954" t="str">
            <v>12.973879</v>
          </cell>
          <cell r="S954" t="str">
            <v>109.337135</v>
          </cell>
          <cell r="T954" t="str">
            <v>full_h04/Đắk Lắk/Mạng cấp IV Đắk Lắk.kmz/Mạng cấp IV Phú Yên/Phú Yên_Ring 11/Đông Hòa - Hòa Xuân/Trung thế</v>
          </cell>
          <cell r="U954">
            <v>3130.16</v>
          </cell>
        </row>
        <row r="955">
          <cell r="L955" t="str">
            <v>Hòa Hiệp - Hòa Hiệp CS2</v>
          </cell>
          <cell r="M955" t="str">
            <v>172.82</v>
          </cell>
          <cell r="N955" t="str">
            <v>142.46</v>
          </cell>
          <cell r="O955" t="str">
            <v>12.997872</v>
          </cell>
          <cell r="P955" t="str">
            <v>109.363138</v>
          </cell>
          <cell r="Q955" t="str">
            <v>30.35</v>
          </cell>
          <cell r="R955" t="str">
            <v>12.997567</v>
          </cell>
          <cell r="S955" t="str">
            <v>109.370097</v>
          </cell>
          <cell r="T955" t="str">
            <v>full_h04/Đắk Lắk/Mạng cấp IV Đắk Lắk.kmz/Mạng cấp IV Phú Yên/Phú Yên_Ring 11/Hòa Hiệp - Hòa Hiệp CS2/Trung thế</v>
          </cell>
          <cell r="U955">
            <v>172.82</v>
          </cell>
        </row>
        <row r="956">
          <cell r="L956" t="str">
            <v>Cảng hàng không Tuy Hòa - TTCMKV Đông
 Hòa</v>
          </cell>
          <cell r="M956" t="str">
            <v>3338.19</v>
          </cell>
          <cell r="N956" t="str">
            <v>769.43</v>
          </cell>
          <cell r="O956" t="str">
            <v>12.998116</v>
          </cell>
          <cell r="P956" t="str">
            <v>109.363004</v>
          </cell>
          <cell r="Q956" t="str">
            <v>2568.76</v>
          </cell>
          <cell r="R956" t="str">
            <v>13.050817</v>
          </cell>
          <cell r="S956" t="str">
            <v>109.347016</v>
          </cell>
          <cell r="T956" t="str">
            <v>full_h04/Đắk Lắk/Mạng cấp III Đắk Lắk.kmz/Mạng cấp III Phú Yên/Phú Yên_Ring phòng 4/Cảng hàng không Tuy Hòa - TTCMKV Đông
 Hòa/Trung thế</v>
          </cell>
          <cell r="U956">
            <v>3338.19</v>
          </cell>
        </row>
        <row r="957">
          <cell r="L957" t="str">
            <v>CAT PHÚ YÊN - Cảng hàng không Tuy Hòa</v>
          </cell>
          <cell r="M957" t="str">
            <v>2396.39</v>
          </cell>
          <cell r="N957" t="str">
            <v>475.78</v>
          </cell>
          <cell r="O957" t="str">
            <v>13.065352</v>
          </cell>
          <cell r="P957" t="str">
            <v>109.331435</v>
          </cell>
          <cell r="Q957" t="str">
            <v>1920.62</v>
          </cell>
          <cell r="R957" t="str">
            <v>13.087067</v>
          </cell>
          <cell r="S957" t="str">
            <v>109.308887</v>
          </cell>
          <cell r="T957" t="str">
            <v>full_h04/Đắk Lắk/Mạng cấp III Đắk Lắk.kmz/Mạng cấp III Phú Yên/Phú Yên_Ring phòng 4/CAT PHÚ YÊN - Cảng hàng không Tuy Hòa/CAT PHÚ YÊN - Cảng hàng không Tuy Hòa-Ngầm vnpt</v>
          </cell>
          <cell r="U957">
            <v>2396.39</v>
          </cell>
        </row>
        <row r="958">
          <cell r="L958" t="str">
            <v>Sơn Thành - Hòa Mỹ</v>
          </cell>
          <cell r="M958" t="str">
            <v>387.99</v>
          </cell>
          <cell r="N958" t="str">
            <v>235.18</v>
          </cell>
          <cell r="O958" t="str">
            <v>12.990932</v>
          </cell>
          <cell r="P958" t="str">
            <v>109.129245</v>
          </cell>
          <cell r="Q958" t="str">
            <v>152.82</v>
          </cell>
          <cell r="R958" t="str">
            <v>12.983090</v>
          </cell>
          <cell r="S958" t="str">
            <v>109.095788</v>
          </cell>
          <cell r="T958" t="str">
            <v>full_h04/Đắk Lắk/Mạng cấp IV Đắk Lắk.kmz/Mạng cấp IV Phú Yên/Phú Yên_Ring 8/Sơn Thành - Hòa Mỹ/Trung thế</v>
          </cell>
          <cell r="U958">
            <v>387.99</v>
          </cell>
        </row>
        <row r="959">
          <cell r="L959" t="str">
            <v>Hòa Thịnh - TTCMKV Tây Hòa</v>
          </cell>
          <cell r="M959" t="str">
            <v>5803.89</v>
          </cell>
          <cell r="N959" t="str">
            <v>2824.82</v>
          </cell>
          <cell r="O959" t="str">
            <v>12.997174</v>
          </cell>
          <cell r="P959" t="str">
            <v>109.252074</v>
          </cell>
          <cell r="Q959" t="str">
            <v>2979.08</v>
          </cell>
          <cell r="R959" t="str">
            <v>12.957408</v>
          </cell>
          <cell r="S959" t="str">
            <v>109.228356</v>
          </cell>
          <cell r="T959" t="str">
            <v>full_h04/Đắk Lắk/Mạng cấp IV Đắk Lắk.kmz/Mạng cấp IV Phú Yên/Phú Yên_Ring 8/Hòa Thịnh - TTCMKV Tây Hòa/Trung thế</v>
          </cell>
          <cell r="U959">
            <v>5803.89</v>
          </cell>
        </row>
        <row r="960">
          <cell r="L960" t="str">
            <v>Hòa Mỹ - Hòa Thịnh</v>
          </cell>
          <cell r="M960" t="str">
            <v>1229.79</v>
          </cell>
          <cell r="N960" t="str">
            <v>1217.93</v>
          </cell>
          <cell r="O960" t="str">
            <v>12.936411</v>
          </cell>
          <cell r="P960" t="str">
            <v>109.228541</v>
          </cell>
          <cell r="Q960" t="str">
            <v>11.86</v>
          </cell>
          <cell r="R960" t="str">
            <v>12.964506</v>
          </cell>
          <cell r="S960" t="str">
            <v>109.183935</v>
          </cell>
          <cell r="T960" t="str">
            <v>full_h04/Đắk Lắk/Mạng cấp IV Đắk Lắk.kmz/Mạng cấp IV Phú Yên/Phú Yên_Ring 8/Hòa Mỹ - Hòa Thịnh/Trung thế</v>
          </cell>
          <cell r="U960">
            <v>1229.79</v>
          </cell>
        </row>
        <row r="961">
          <cell r="L961" t="str">
            <v>ILA Sơn Thành - TT2 Đăk Lăk (Tuy Hòa)</v>
          </cell>
          <cell r="M961" t="str">
            <v>2614.81</v>
          </cell>
          <cell r="N961" t="str">
            <v>2463.61</v>
          </cell>
          <cell r="O961" t="str">
            <v>12.979671</v>
          </cell>
          <cell r="P961" t="str">
            <v>109.167378</v>
          </cell>
          <cell r="Q961" t="str">
            <v>151.21</v>
          </cell>
          <cell r="R961" t="str">
            <v>12.983107</v>
          </cell>
          <cell r="S961" t="str">
            <v>109.095792</v>
          </cell>
          <cell r="T961" t="str">
            <v>full_h04/Đắk Lắk/Mạng cấp II Đắk Lắk.kmz/Link 2/ILA Sơn Thành - TT2 Đăk Lăk (Tuy Hòa)/trung thế</v>
          </cell>
          <cell r="U961">
            <v>2614.81</v>
          </cell>
        </row>
        <row r="962">
          <cell r="L962" t="str">
            <v>ILA Sơn Thành - TT2 Đăk Lăk (Tuy Hòa)</v>
          </cell>
          <cell r="M962" t="str">
            <v>4957.51</v>
          </cell>
          <cell r="N962" t="str">
            <v>4806.30</v>
          </cell>
          <cell r="O962" t="str">
            <v>12.975726</v>
          </cell>
          <cell r="P962" t="str">
            <v>109.157507</v>
          </cell>
          <cell r="Q962" t="str">
            <v>151.21</v>
          </cell>
          <cell r="R962" t="str">
            <v>12.983107</v>
          </cell>
          <cell r="S962" t="str">
            <v>109.095792</v>
          </cell>
          <cell r="T962" t="str">
            <v>full_h04/Đắk Lắk/Mạng cấp II Đắk Lắk.kmz/Link 2/ILA Sơn Thành - TT2 Đăk Lăk (Tuy Hòa)/trung thế</v>
          </cell>
          <cell r="U962">
            <v>4957.51</v>
          </cell>
        </row>
        <row r="963">
          <cell r="L963" t="str">
            <v>Đức Bình - Sơn Thành</v>
          </cell>
          <cell r="M963" t="str">
            <v>155.02</v>
          </cell>
          <cell r="N963" t="str">
            <v>109.65</v>
          </cell>
          <cell r="O963" t="str">
            <v>12.984125</v>
          </cell>
          <cell r="P963" t="str">
            <v>109.094340</v>
          </cell>
          <cell r="Q963" t="str">
            <v>45.37</v>
          </cell>
          <cell r="R963" t="str">
            <v>12.963513</v>
          </cell>
          <cell r="S963" t="str">
            <v>109.054197</v>
          </cell>
          <cell r="T963" t="str">
            <v>full_h04/Đắk Lắk/Mạng cấp IV Đắk Lắk.kmz/Mạng cấp IV Phú Yên/Phú Yên_Ring 8/Đức Bình - Sơn Thành/Trung thế</v>
          </cell>
          <cell r="U963">
            <v>155.02000000000001</v>
          </cell>
        </row>
        <row r="964">
          <cell r="L964" t="str">
            <v>Đức Bình - Sơn Thành</v>
          </cell>
          <cell r="M964" t="str">
            <v>155.02</v>
          </cell>
          <cell r="N964" t="str">
            <v>45.37</v>
          </cell>
          <cell r="O964" t="str">
            <v>12.963513</v>
          </cell>
          <cell r="P964" t="str">
            <v>109.054197</v>
          </cell>
          <cell r="Q964" t="str">
            <v>109.65</v>
          </cell>
          <cell r="R964" t="str">
            <v>12.984125</v>
          </cell>
          <cell r="S964" t="str">
            <v>109.094340</v>
          </cell>
          <cell r="T964" t="str">
            <v>full_h04/Đắk Lắk/Mạng cấp IV Đắk Lắk.kmz/Mạng cấp IV Phú Yên/Phú Yên_Ring 8/Đức Bình - Sơn Thành/Trung thế</v>
          </cell>
          <cell r="U964">
            <v>155.02000000000001</v>
          </cell>
        </row>
        <row r="965">
          <cell r="L965" t="str">
            <v>Suối Trai - Sơn Hòa</v>
          </cell>
          <cell r="M965" t="str">
            <v>131.52</v>
          </cell>
          <cell r="N965" t="str">
            <v>104.16</v>
          </cell>
          <cell r="O965" t="str">
            <v>13.085635</v>
          </cell>
          <cell r="P965" t="str">
            <v>108.955135</v>
          </cell>
          <cell r="Q965" t="str">
            <v>27.36</v>
          </cell>
          <cell r="R965" t="str">
            <v>13.049846</v>
          </cell>
          <cell r="S965" t="str">
            <v>108.978668</v>
          </cell>
          <cell r="T965" t="str">
            <v>full_h04/Đắk Lắk/Mạng cấp IV Đắk Lắk.kmz/Mạng cấp IV Phú Yên/Phú Yên_Ring 6/Suối Trai - Sơn Hòa/Trung thế</v>
          </cell>
          <cell r="U965">
            <v>131.52000000000001</v>
          </cell>
        </row>
        <row r="966">
          <cell r="L966" t="str">
            <v>Sơn Hòa - CAX Sơn Định (Sơn Hòa)</v>
          </cell>
          <cell r="M966" t="str">
            <v>244.22</v>
          </cell>
          <cell r="N966" t="str">
            <v>26.55</v>
          </cell>
          <cell r="O966" t="str">
            <v>13.049869</v>
          </cell>
          <cell r="P966" t="str">
            <v>108.978688</v>
          </cell>
          <cell r="Q966" t="str">
            <v>217.67</v>
          </cell>
          <cell r="R966" t="str">
            <v>13.065547</v>
          </cell>
          <cell r="S966" t="str">
            <v>109.024782</v>
          </cell>
          <cell r="T966" t="str">
            <v>full_h04/Đắk Lắk/Mạng cấp III Đắk Lắk.kmz/Mạng cấp III Phú Yên/Ring 5/Sơn Hòa - CAX Sơn Định (Sơn Hòa)/Sơn Hòa - CAX Sơn Định (Sơn Hòa)-TT-01</v>
          </cell>
          <cell r="U966">
            <v>244.22</v>
          </cell>
        </row>
        <row r="967">
          <cell r="L967" t="str">
            <v>Tuy Hòa - Sơn Hòa</v>
          </cell>
          <cell r="M967" t="str">
            <v>677.65</v>
          </cell>
          <cell r="N967" t="str">
            <v>144.37</v>
          </cell>
          <cell r="O967" t="str">
            <v>13.011045</v>
          </cell>
          <cell r="P967" t="str">
            <v>109.162729</v>
          </cell>
          <cell r="Q967" t="str">
            <v>533.28</v>
          </cell>
          <cell r="R967" t="str">
            <v>13.018408</v>
          </cell>
          <cell r="S967" t="str">
            <v>109.208019</v>
          </cell>
          <cell r="T967" t="str">
            <v>full_h04/Đắk Lắk/Mạng cấp III Đắk Lắk.kmz/Mạng cấp III Phú Yên/Ring 5/Tuy Hòa - Sơn Hòa/Tuy Hòa - Sơn Hòa-TT02</v>
          </cell>
          <cell r="U967">
            <v>677.65</v>
          </cell>
        </row>
        <row r="968">
          <cell r="L968" t="str">
            <v>TTCMKV Phú Hòa - Phú Hòa 2</v>
          </cell>
          <cell r="M968" t="str">
            <v>3389.35</v>
          </cell>
          <cell r="N968" t="str">
            <v>147.21</v>
          </cell>
          <cell r="O968" t="str">
            <v>13.023841</v>
          </cell>
          <cell r="P968" t="str">
            <v>109.205874</v>
          </cell>
          <cell r="Q968" t="str">
            <v>3242.14</v>
          </cell>
          <cell r="R968" t="str">
            <v>13.028377</v>
          </cell>
          <cell r="S968" t="str">
            <v>109.204170</v>
          </cell>
          <cell r="T968" t="str">
            <v>full_h04/Đắk Lắk/Mạng cấp IV Đắk Lắk.kmz/Mạng cấp IV Phú Yên/Phú Yên_Ring 10/TTCMKV Phú Hòa - Phú Hòa 2/Hạ thế</v>
          </cell>
          <cell r="U968">
            <v>3389.35</v>
          </cell>
        </row>
        <row r="969">
          <cell r="L969" t="str">
            <v>ILA Sông Hinh - TT2 Đăk Lăk (Tuy Hòa)</v>
          </cell>
          <cell r="M969" t="str">
            <v>862.52</v>
          </cell>
          <cell r="N969" t="str">
            <v>857.20</v>
          </cell>
          <cell r="O969" t="str">
            <v>13.081012</v>
          </cell>
          <cell r="P969" t="str">
            <v>109.282470</v>
          </cell>
          <cell r="Q969" t="str">
            <v>5.32</v>
          </cell>
          <cell r="R969" t="str">
            <v>13.094755</v>
          </cell>
          <cell r="S969" t="str">
            <v>109.292953</v>
          </cell>
          <cell r="T969" t="str">
            <v>full_h04/Đắk Lắk/Mạng cấp II Đắk Lắk.kmz/Link 1/ILA Sông Hinh - TT2 Đăk Lăk (Tuy Hòa)/Trung thế</v>
          </cell>
          <cell r="U969">
            <v>862.52</v>
          </cell>
        </row>
        <row r="970">
          <cell r="L970" t="str">
            <v>Tuy Hòa - Sơn Hòa</v>
          </cell>
          <cell r="M970" t="str">
            <v>584.06</v>
          </cell>
          <cell r="N970" t="str">
            <v>50.78</v>
          </cell>
          <cell r="O970" t="str">
            <v>13.014644</v>
          </cell>
          <cell r="P970" t="str">
            <v>109.194960</v>
          </cell>
          <cell r="Q970" t="str">
            <v>533.28</v>
          </cell>
          <cell r="R970" t="str">
            <v>13.018408</v>
          </cell>
          <cell r="S970" t="str">
            <v>109.208019</v>
          </cell>
          <cell r="T970" t="str">
            <v>full_h04/Đắk Lắk/Mạng cấp III Đắk Lắk.kmz/Mạng cấp III Phú Yên/Ring 5/Tuy Hòa - Sơn Hòa/Tuy Hòa - Sơn Hòa-TT02</v>
          </cell>
          <cell r="U970">
            <v>584.05999999999995</v>
          </cell>
        </row>
        <row r="971">
          <cell r="L971" t="str">
            <v>Phú Hòa 2 - Phú Yên</v>
          </cell>
          <cell r="M971" t="str">
            <v>3413.53</v>
          </cell>
          <cell r="N971" t="str">
            <v>2620.96</v>
          </cell>
          <cell r="O971" t="str">
            <v>13.078117</v>
          </cell>
          <cell r="P971" t="str">
            <v>109.240162</v>
          </cell>
          <cell r="Q971" t="str">
            <v>792.57</v>
          </cell>
          <cell r="R971" t="str">
            <v>13.075572</v>
          </cell>
          <cell r="S971" t="str">
            <v>109.253478</v>
          </cell>
          <cell r="T971" t="str">
            <v>full_h04/Đắk Lắk/Mạng cấp IV Đắk Lắk.kmz/Mạng cấp IV Phú Yên/Phú Yên_Ring 10/Phú Hòa 2 - Phú Yên/Trung thế</v>
          </cell>
          <cell r="U971">
            <v>3413.53</v>
          </cell>
        </row>
        <row r="972">
          <cell r="L972" t="str">
            <v>Tây Hòa - TT2 Tuy Hòa</v>
          </cell>
          <cell r="M972" t="str">
            <v>379.27</v>
          </cell>
          <cell r="N972" t="str">
            <v>373.33</v>
          </cell>
          <cell r="O972" t="str">
            <v>13.081463</v>
          </cell>
          <cell r="P972" t="str">
            <v>109.292321</v>
          </cell>
          <cell r="Q972" t="str">
            <v>5.94</v>
          </cell>
          <cell r="R972" t="str">
            <v>13.094739</v>
          </cell>
          <cell r="S972" t="str">
            <v>109.292945</v>
          </cell>
          <cell r="T972" t="str">
            <v>full_h04/Đắk Lắk/Mạng cấp III Đắk Lắk.kmz/Mạng cấp III Phú Yên/Ring 4/Tây Hòa - TT2 Tuy Hòa/Trung thế</v>
          </cell>
          <cell r="U972">
            <v>379.27</v>
          </cell>
        </row>
        <row r="973">
          <cell r="L973" t="str">
            <v>TT2 Tuy Hòa - Phú Hòa</v>
          </cell>
          <cell r="M973" t="str">
            <v>5360.61</v>
          </cell>
          <cell r="N973" t="str">
            <v>11.26</v>
          </cell>
          <cell r="O973" t="str">
            <v>13.023193</v>
          </cell>
          <cell r="P973" t="str">
            <v>109.206958</v>
          </cell>
          <cell r="Q973" t="str">
            <v>5349.35</v>
          </cell>
          <cell r="R973" t="str">
            <v>13.045888</v>
          </cell>
          <cell r="S973" t="str">
            <v>109.248909</v>
          </cell>
          <cell r="T973" t="str">
            <v>full_h04/Đắk Lắk/Mạng cấp III Đắk Lắk.kmz/Mạng cấp III Phú Yên/Ring 4/TT2 Tuy Hòa - Phú Hòa/Trung thế</v>
          </cell>
          <cell r="U973">
            <v>5360.61</v>
          </cell>
        </row>
        <row r="974">
          <cell r="L974" t="str">
            <v>TT2 Tuy Hòa - Phú Hòa</v>
          </cell>
          <cell r="M974" t="str">
            <v>1203.59</v>
          </cell>
          <cell r="N974" t="str">
            <v>11.26</v>
          </cell>
          <cell r="O974" t="str">
            <v>13.023193</v>
          </cell>
          <cell r="P974" t="str">
            <v>109.206958</v>
          </cell>
          <cell r="Q974" t="str">
            <v>1192.33</v>
          </cell>
          <cell r="R974" t="str">
            <v>13.046706</v>
          </cell>
          <cell r="S974" t="str">
            <v>109.250027</v>
          </cell>
          <cell r="T974" t="str">
            <v>full_h04/Đắk Lắk/Mạng cấp III Đắk Lắk.kmz/Mạng cấp III Phú Yên/Ring 4/TT2 Tuy Hòa - Phú Hòa/Trung thế</v>
          </cell>
          <cell r="U974">
            <v>1203.5899999999999</v>
          </cell>
        </row>
        <row r="975">
          <cell r="L975" t="str">
            <v>TT2 Tuy Hòa - Phú Hòa</v>
          </cell>
          <cell r="M975" t="str">
            <v>568.55</v>
          </cell>
          <cell r="N975" t="str">
            <v>556.29</v>
          </cell>
          <cell r="O975" t="str">
            <v>13.055089</v>
          </cell>
          <cell r="P975" t="str">
            <v>109.268252</v>
          </cell>
          <cell r="Q975" t="str">
            <v>12.26</v>
          </cell>
          <cell r="R975" t="str">
            <v>13.094693</v>
          </cell>
          <cell r="S975" t="str">
            <v>109.292897</v>
          </cell>
          <cell r="T975" t="str">
            <v>full_h04/Đắk Lắk/Mạng cấp III Đắk Lắk.kmz/Mạng cấp III Phú Yên/Ring 4/TT2 Tuy Hòa - Phú Hòa/Trung thế</v>
          </cell>
          <cell r="U975">
            <v>568.54999999999995</v>
          </cell>
        </row>
        <row r="976">
          <cell r="L976" t="str">
            <v>TT2 Tuy Hòa - Phú Hòa</v>
          </cell>
          <cell r="M976" t="str">
            <v>98.77</v>
          </cell>
          <cell r="N976" t="str">
            <v>11.26</v>
          </cell>
          <cell r="O976" t="str">
            <v>13.023193</v>
          </cell>
          <cell r="P976" t="str">
            <v>109.206958</v>
          </cell>
          <cell r="Q976" t="str">
            <v>87.51</v>
          </cell>
          <cell r="R976" t="str">
            <v>13.024115</v>
          </cell>
          <cell r="S976" t="str">
            <v>109.219852</v>
          </cell>
          <cell r="T976" t="str">
            <v>full_h04/Đắk Lắk/Mạng cấp III Đắk Lắk.kmz/Mạng cấp III Phú Yên/Ring 4/TT2 Tuy Hòa - Phú Hòa/Trung thế</v>
          </cell>
          <cell r="U976">
            <v>98.77</v>
          </cell>
        </row>
        <row r="977">
          <cell r="L977" t="str">
            <v>PC08-PK02</v>
          </cell>
          <cell r="M977" t="str">
            <v>1531.80</v>
          </cell>
          <cell r="N977" t="str">
            <v>1526.00</v>
          </cell>
          <cell r="O977" t="str">
            <v>13.051769</v>
          </cell>
          <cell r="P977" t="str">
            <v>109.257884</v>
          </cell>
          <cell r="Q977" t="str">
            <v>5.80</v>
          </cell>
          <cell r="R977" t="str">
            <v>13.071420</v>
          </cell>
          <cell r="S977" t="str">
            <v>109.275852</v>
          </cell>
          <cell r="T977" t="str">
            <v>full_h04/Đắk Lắk/Mạng cấp III Đắk Lắk.kmz/Mạng cấp III Phú Yên/Phú Yên_Ring phòng 1/PC08-PK02/Trung thế</v>
          </cell>
          <cell r="U977">
            <v>1531.8</v>
          </cell>
        </row>
        <row r="978">
          <cell r="L978" t="str">
            <v>PC11 - PC08</v>
          </cell>
          <cell r="M978" t="str">
            <v>97.72</v>
          </cell>
          <cell r="N978" t="str">
            <v>15.88</v>
          </cell>
          <cell r="O978" t="str">
            <v>13.071588</v>
          </cell>
          <cell r="P978" t="str">
            <v>109.275789</v>
          </cell>
          <cell r="Q978" t="str">
            <v>81.84</v>
          </cell>
          <cell r="R978" t="str">
            <v>13.094095</v>
          </cell>
          <cell r="S978" t="str">
            <v>109.292637</v>
          </cell>
          <cell r="T978" t="str">
            <v>full_h04/Đắk Lắk/Mạng cấp III Đắk Lắk.kmz/Mạng cấp III Phú Yên/Phú Yên_Ring phòng 1/PC11 - PC08/Trung thế</v>
          </cell>
          <cell r="U978">
            <v>97.72</v>
          </cell>
        </row>
        <row r="979">
          <cell r="L979" t="str">
            <v>CAT Phú Yên - Tuy An Nam</v>
          </cell>
          <cell r="M979" t="str">
            <v>413.21</v>
          </cell>
          <cell r="N979" t="str">
            <v>412.87</v>
          </cell>
          <cell r="O979" t="str">
            <v>13.164842</v>
          </cell>
          <cell r="P979" t="str">
            <v>109.288510</v>
          </cell>
          <cell r="Q979" t="str">
            <v>0.34</v>
          </cell>
          <cell r="R979" t="str">
            <v>13.181704</v>
          </cell>
          <cell r="S979" t="str">
            <v>109.287283</v>
          </cell>
          <cell r="T979" t="str">
            <v>full_h04/Đắk Lắk/Mạng cấp IV Đắk Lắk.kmz/Mạng cấp IV Phú Yên/Phú Yên_Ring 4/CAT Phú Yên - Tuy An Nam/Trung thế</v>
          </cell>
          <cell r="U979">
            <v>413.21</v>
          </cell>
        </row>
        <row r="980">
          <cell r="L980" t="str">
            <v>Tuy An Nam - Ô Loan</v>
          </cell>
          <cell r="M980" t="str">
            <v>222.54</v>
          </cell>
          <cell r="N980" t="str">
            <v>175.83</v>
          </cell>
          <cell r="O980" t="str">
            <v>13.183259</v>
          </cell>
          <cell r="P980" t="str">
            <v>109.286983</v>
          </cell>
          <cell r="Q980" t="str">
            <v>46.71</v>
          </cell>
          <cell r="R980" t="str">
            <v>13.201929</v>
          </cell>
          <cell r="S980" t="str">
            <v>109.276332</v>
          </cell>
          <cell r="T980" t="str">
            <v>full_h04/Đắk Lắk/Mạng cấp IV Đắk Lắk.kmz/Mạng cấp IV Phú Yên/Phú Yên_Ring 4/Tuy An Nam - Ô Loan/Trung thế</v>
          </cell>
          <cell r="U980">
            <v>222.54</v>
          </cell>
        </row>
        <row r="981">
          <cell r="L981" t="str">
            <v>Tuy An Đông - TTCMKV TX Sông Cầu</v>
          </cell>
          <cell r="M981" t="str">
            <v>1135.25</v>
          </cell>
          <cell r="N981" t="str">
            <v>1102.79</v>
          </cell>
          <cell r="O981" t="str">
            <v>13.342204</v>
          </cell>
          <cell r="P981" t="str">
            <v>109.247726</v>
          </cell>
          <cell r="Q981" t="str">
            <v>32.46</v>
          </cell>
          <cell r="R981" t="str">
            <v>13.340761</v>
          </cell>
          <cell r="S981" t="str">
            <v>109.254114</v>
          </cell>
          <cell r="T981" t="str">
            <v>full_h04/Đắk Lắk/Mạng cấp IV Đắk Lắk.kmz/Mạng cấp IV Phú Yên/Phú Yên_Ring 4/Tuy An Đông - TTCMKV TX Sông Cầu/Trung thế</v>
          </cell>
          <cell r="U981">
            <v>1135.25</v>
          </cell>
        </row>
        <row r="982">
          <cell r="L982" t="str">
            <v>Tuy An Đông - TTCMKV TX Sông Cầu</v>
          </cell>
          <cell r="M982" t="str">
            <v>2601.32</v>
          </cell>
          <cell r="N982" t="str">
            <v>32.46</v>
          </cell>
          <cell r="O982" t="str">
            <v>13.340761</v>
          </cell>
          <cell r="P982" t="str">
            <v>109.254114</v>
          </cell>
          <cell r="Q982" t="str">
            <v>2568.86</v>
          </cell>
          <cell r="R982" t="str">
            <v>13.331121</v>
          </cell>
          <cell r="S982" t="str">
            <v>109.219181</v>
          </cell>
          <cell r="T982" t="str">
            <v>full_h04/Đắk Lắk/Mạng cấp IV Đắk Lắk.kmz/Mạng cấp IV Phú Yên/Phú Yên_Ring 4/Tuy An Đông - TTCMKV TX Sông Cầu/Trung thế</v>
          </cell>
          <cell r="U982">
            <v>2601.3200000000002</v>
          </cell>
        </row>
        <row r="983">
          <cell r="L983" t="str">
            <v>Sông Cầu - TT2 Tuy Hòa</v>
          </cell>
          <cell r="M983" t="str">
            <v>491.83</v>
          </cell>
          <cell r="N983" t="str">
            <v>234.35</v>
          </cell>
          <cell r="O983" t="str">
            <v>13.203866</v>
          </cell>
          <cell r="P983" t="str">
            <v>109.269097</v>
          </cell>
          <cell r="Q983" t="str">
            <v>257.48</v>
          </cell>
          <cell r="R983" t="str">
            <v>13.240807</v>
          </cell>
          <cell r="S983" t="str">
            <v>109.255388</v>
          </cell>
          <cell r="T983" t="str">
            <v>full_h04/Đắk Lắk/Mạng cấp III Đắk Lắk.kmz/Mạng cấp III Phú Yên/Ring 5/Sông Cầu - TT2 Tuy Hòa/Trung thế</v>
          </cell>
          <cell r="U983">
            <v>491.83</v>
          </cell>
        </row>
        <row r="984">
          <cell r="L984" t="str">
            <v>Sông Cầu - TT2 Tuy Hòa</v>
          </cell>
          <cell r="M984" t="str">
            <v>472.31</v>
          </cell>
          <cell r="N984" t="str">
            <v>257.48</v>
          </cell>
          <cell r="O984" t="str">
            <v>13.240807</v>
          </cell>
          <cell r="P984" t="str">
            <v>109.255388</v>
          </cell>
          <cell r="Q984" t="str">
            <v>214.83</v>
          </cell>
          <cell r="R984" t="str">
            <v>13.262246</v>
          </cell>
          <cell r="S984" t="str">
            <v>109.250433</v>
          </cell>
          <cell r="T984" t="str">
            <v>full_h04/Đắk Lắk/Mạng cấp III Đắk Lắk.kmz/Mạng cấp III Phú Yên/Ring 5/Sông Cầu - TT2 Tuy Hòa/Trung thế</v>
          </cell>
          <cell r="U984">
            <v>472.31</v>
          </cell>
        </row>
        <row r="985">
          <cell r="L985" t="str">
            <v>Sông Cầu - TT2 Tuy Hòa</v>
          </cell>
          <cell r="M985" t="str">
            <v>248.97</v>
          </cell>
          <cell r="N985" t="str">
            <v>115.37</v>
          </cell>
          <cell r="O985" t="str">
            <v>13.295128</v>
          </cell>
          <cell r="P985" t="str">
            <v>109.234527</v>
          </cell>
          <cell r="Q985" t="str">
            <v>133.60</v>
          </cell>
          <cell r="R985" t="str">
            <v>13.308895</v>
          </cell>
          <cell r="S985" t="str">
            <v>109.214591</v>
          </cell>
          <cell r="T985" t="str">
            <v>full_h04/Đắk Lắk/Mạng cấp III Đắk Lắk.kmz/Mạng cấp III Phú Yên/Ring 5/Sông Cầu - TT2 Tuy Hòa/Trung thế</v>
          </cell>
          <cell r="U985">
            <v>248.97</v>
          </cell>
        </row>
        <row r="986">
          <cell r="L986" t="str">
            <v>Sông Cầu - TT2 Tuy Hòa</v>
          </cell>
          <cell r="M986" t="str">
            <v>376.04</v>
          </cell>
          <cell r="N986" t="str">
            <v>242.45</v>
          </cell>
          <cell r="O986" t="str">
            <v>13.322130</v>
          </cell>
          <cell r="P986" t="str">
            <v>109.212871</v>
          </cell>
          <cell r="Q986" t="str">
            <v>133.60</v>
          </cell>
          <cell r="R986" t="str">
            <v>13.308895</v>
          </cell>
          <cell r="S986" t="str">
            <v>109.214591</v>
          </cell>
          <cell r="T986" t="str">
            <v>full_h04/Đắk Lắk/Mạng cấp III Đắk Lắk.kmz/Mạng cấp III Phú Yên/Ring 5/Sông Cầu - TT2 Tuy Hòa/Trung thế</v>
          </cell>
          <cell r="U986">
            <v>376.04</v>
          </cell>
        </row>
        <row r="987">
          <cell r="L987" t="str">
            <v>Xuân Đài - Tuy An Bắc</v>
          </cell>
          <cell r="M987" t="str">
            <v>776.74</v>
          </cell>
          <cell r="N987" t="str">
            <v>61.31</v>
          </cell>
          <cell r="O987" t="str">
            <v>13.307845</v>
          </cell>
          <cell r="P987" t="str">
            <v>109.215296</v>
          </cell>
          <cell r="Q987" t="str">
            <v>715.43</v>
          </cell>
          <cell r="R987" t="str">
            <v>13.335480</v>
          </cell>
          <cell r="S987" t="str">
            <v>109.165701</v>
          </cell>
          <cell r="T987" t="str">
            <v>full_h04/Đắk Lắk/Mạng cấp IV Đắk Lắk.kmz/Mạng cấp IV Phú Yên/Phú Yên_Ring 5/Xuân Đài - Tuy An Bắc/Trung thế</v>
          </cell>
          <cell r="U987">
            <v>776.74</v>
          </cell>
        </row>
        <row r="988">
          <cell r="L988" t="str">
            <v>Xuân Lãnh - Đồng Xuân</v>
          </cell>
          <cell r="M988" t="str">
            <v>120.95</v>
          </cell>
          <cell r="N988" t="str">
            <v>106.03</v>
          </cell>
          <cell r="O988" t="str">
            <v>13.398467</v>
          </cell>
          <cell r="P988" t="str">
            <v>109.104494</v>
          </cell>
          <cell r="Q988" t="str">
            <v>14.92</v>
          </cell>
          <cell r="R988" t="str">
            <v>13.377415</v>
          </cell>
          <cell r="S988" t="str">
            <v>109.108029</v>
          </cell>
          <cell r="T988" t="str">
            <v>full_h04/Đắk Lắk/Mạng cấp IV Đắk Lắk.kmz/Mạng cấp IV Phú Yên/Phú Yên_Ring 3/Xuân Lãnh - Đồng Xuân/Hạ thế</v>
          </cell>
          <cell r="U988">
            <v>120.95</v>
          </cell>
        </row>
        <row r="989">
          <cell r="L989" t="str">
            <v>Xuân Đài - Tuy An Bắc</v>
          </cell>
          <cell r="M989" t="str">
            <v>227.93</v>
          </cell>
          <cell r="N989" t="str">
            <v>61.31</v>
          </cell>
          <cell r="O989" t="str">
            <v>13.307845</v>
          </cell>
          <cell r="P989" t="str">
            <v>109.215296</v>
          </cell>
          <cell r="Q989" t="str">
            <v>166.62</v>
          </cell>
          <cell r="R989" t="str">
            <v>13.318313</v>
          </cell>
          <cell r="S989" t="str">
            <v>109.184711</v>
          </cell>
          <cell r="T989" t="str">
            <v>full_h04/Đắk Lắk/Mạng cấp IV Đắk Lắk.kmz/Mạng cấp IV Phú Yên/Phú Yên_Ring 5/Xuân Đài - Tuy An Bắc/Trung thế</v>
          </cell>
          <cell r="U989">
            <v>227.93</v>
          </cell>
        </row>
        <row r="990">
          <cell r="L990" t="str">
            <v>Tuy An Tây - TTCMKV Đồng
 Xuân</v>
          </cell>
          <cell r="M990" t="str">
            <v>1147.72</v>
          </cell>
          <cell r="N990" t="str">
            <v>57.21</v>
          </cell>
          <cell r="O990" t="str">
            <v>13.364935</v>
          </cell>
          <cell r="P990" t="str">
            <v>109.125821</v>
          </cell>
          <cell r="Q990" t="str">
            <v>1090.51</v>
          </cell>
          <cell r="R990" t="str">
            <v>13.369785</v>
          </cell>
          <cell r="S990" t="str">
            <v>109.114576</v>
          </cell>
          <cell r="T990" t="str">
            <v>full_h04/Đắk Lắk/Mạng cấp IV Đắk Lắk.kmz/Mạng cấp IV Phú Yên/Phú Yên_Ring 5/Tuy An Tây - TTCMKV Đồng
 Xuân/Trung thế</v>
          </cell>
          <cell r="U990">
            <v>1147.72</v>
          </cell>
        </row>
        <row r="991">
          <cell r="L991" t="str">
            <v>Xuân Đài - Tuy An Bắc</v>
          </cell>
          <cell r="M991" t="str">
            <v>4426.98</v>
          </cell>
          <cell r="N991" t="str">
            <v>61.31</v>
          </cell>
          <cell r="O991" t="str">
            <v>13.307845</v>
          </cell>
          <cell r="P991" t="str">
            <v>109.215296</v>
          </cell>
          <cell r="Q991" t="str">
            <v>4365.67</v>
          </cell>
          <cell r="R991" t="str">
            <v>13.322787</v>
          </cell>
          <cell r="S991" t="str">
            <v>109.175021</v>
          </cell>
          <cell r="T991" t="str">
            <v>full_h04/Đắk Lắk/Mạng cấp IV Đắk Lắk.kmz/Mạng cấp IV Phú Yên/Phú Yên_Ring 5/Xuân Đài - Tuy An Bắc/Trung thế</v>
          </cell>
          <cell r="U991">
            <v>4426.9799999999996</v>
          </cell>
        </row>
        <row r="992">
          <cell r="L992" t="str">
            <v>Tuy An Tây - TTCMKV Đồng
 Xuân</v>
          </cell>
          <cell r="M992" t="str">
            <v>6852.70</v>
          </cell>
          <cell r="N992" t="str">
            <v>5762.19</v>
          </cell>
          <cell r="O992" t="str">
            <v>13.256083</v>
          </cell>
          <cell r="P992" t="str">
            <v>109.171540</v>
          </cell>
          <cell r="Q992" t="str">
            <v>1090.51</v>
          </cell>
          <cell r="R992" t="str">
            <v>13.369785</v>
          </cell>
          <cell r="S992" t="str">
            <v>109.114576</v>
          </cell>
          <cell r="T992" t="str">
            <v>full_h04/Đắk Lắk/Mạng cấp IV Đắk Lắk.kmz/Mạng cấp IV Phú Yên/Phú Yên_Ring 5/Tuy An Tây - TTCMKV Đồng
 Xuân/Trung thế</v>
          </cell>
          <cell r="U992">
            <v>6852.7</v>
          </cell>
        </row>
        <row r="993">
          <cell r="L993" t="str">
            <v>Trại giam Xuân Phước (C10) - TTCMKV Đồng Xuân</v>
          </cell>
          <cell r="M993" t="str">
            <v>1483.39</v>
          </cell>
          <cell r="N993" t="str">
            <v>276.61</v>
          </cell>
          <cell r="O993" t="str">
            <v>13.378349</v>
          </cell>
          <cell r="P993" t="str">
            <v>109.110418</v>
          </cell>
          <cell r="Q993" t="str">
            <v>1206.78</v>
          </cell>
          <cell r="R993" t="str">
            <v>13.363510</v>
          </cell>
          <cell r="S993" t="str">
            <v>109.092275</v>
          </cell>
          <cell r="T993" t="str">
            <v>full_h04/Đắk Lắk/Mạng cấp III Đắk Lắk.kmz/Mạng cấp III Phú Yên/Trại giam Xuân Phước (C10) - TTCMKV Đồng Xuân/Trung thế</v>
          </cell>
          <cell r="U993">
            <v>1483.39</v>
          </cell>
        </row>
        <row r="994">
          <cell r="L994" t="str">
            <v>CAX Sơn Định (Sơn Hòa) - Đồng Xuân</v>
          </cell>
          <cell r="M994" t="str">
            <v>944.40</v>
          </cell>
          <cell r="N994" t="str">
            <v>98.12</v>
          </cell>
          <cell r="O994" t="str">
            <v>13.322913</v>
          </cell>
          <cell r="P994" t="str">
            <v>109.079144</v>
          </cell>
          <cell r="Q994" t="str">
            <v>846.29</v>
          </cell>
          <cell r="R994" t="str">
            <v>13.301697</v>
          </cell>
          <cell r="S994" t="str">
            <v>109.073067</v>
          </cell>
          <cell r="T994" t="str">
            <v>full_h04/Đắk Lắk/Mạng cấp III Đắk Lắk.kmz/Mạng cấp III Phú Yên/Ring 5/CAX Sơn Định (Sơn Hòa) - Đồng Xuân/Trung thế</v>
          </cell>
          <cell r="U994">
            <v>944.4</v>
          </cell>
        </row>
        <row r="995">
          <cell r="L995" t="str">
            <v>Xuân Phước - Vân Hòa</v>
          </cell>
          <cell r="M995" t="str">
            <v>7155.68</v>
          </cell>
          <cell r="N995" t="str">
            <v>125.14</v>
          </cell>
          <cell r="O995" t="str">
            <v>13.298520</v>
          </cell>
          <cell r="P995" t="str">
            <v>109.064847</v>
          </cell>
          <cell r="Q995" t="str">
            <v>7030.55</v>
          </cell>
          <cell r="R995" t="str">
            <v>13.266185</v>
          </cell>
          <cell r="S995" t="str">
            <v>109.047833</v>
          </cell>
          <cell r="T995" t="str">
            <v>full_h04/Đắk Lắk/Mạng cấp IV Đắk Lắk.kmz/Mạng cấp IV Phú Yên/Phú Yên_Ring 6/Xuân Phước - Vân Hòa/Trung thế</v>
          </cell>
          <cell r="U995">
            <v>7155.68</v>
          </cell>
        </row>
        <row r="996">
          <cell r="L996" t="str">
            <v>Hòa Xuân - Hòa Hiệp</v>
          </cell>
          <cell r="M996" t="str">
            <v>2829.47</v>
          </cell>
          <cell r="N996" t="str">
            <v>2821.78</v>
          </cell>
          <cell r="O996" t="str">
            <v>12.908676</v>
          </cell>
          <cell r="P996" t="str">
            <v>109.369789</v>
          </cell>
          <cell r="Q996" t="str">
            <v>7.69</v>
          </cell>
          <cell r="R996" t="str">
            <v>12.908676</v>
          </cell>
          <cell r="S996" t="str">
            <v>109.369789</v>
          </cell>
          <cell r="T996" t="str">
            <v>full_h04/Đắk Lắk/Mạng cấp IV Đắk Lắk.kmz/Mạng cấp IV Phú Yên/Phú Yên_Ring 11/Hòa Xuân - Hòa Hiệp/Trung thế</v>
          </cell>
          <cell r="U996">
            <v>2829.47</v>
          </cell>
        </row>
        <row r="997">
          <cell r="L997" t="str">
            <v>Đông Hòa - Hòa Xuân</v>
          </cell>
          <cell r="M997" t="str">
            <v>469.73</v>
          </cell>
          <cell r="N997" t="str">
            <v>464.96</v>
          </cell>
          <cell r="O997" t="str">
            <v>12.946677</v>
          </cell>
          <cell r="P997" t="str">
            <v>109.359479</v>
          </cell>
          <cell r="Q997" t="str">
            <v>4.77</v>
          </cell>
          <cell r="R997" t="str">
            <v>12.908752</v>
          </cell>
          <cell r="S997" t="str">
            <v>109.369775</v>
          </cell>
          <cell r="T997" t="str">
            <v>full_h04/Đắk Lắk/Mạng cấp IV Đắk Lắk.kmz/Mạng cấp IV Phú Yên/Phú Yên_Ring 11/Đông Hòa - Hòa Xuân/Trung thế</v>
          </cell>
          <cell r="U997">
            <v>469.73</v>
          </cell>
        </row>
        <row r="998">
          <cell r="L998" t="str">
            <v>Hòa Hiệp CS2 - CAT Phú Yên</v>
          </cell>
          <cell r="M998" t="str">
            <v>1461.24</v>
          </cell>
          <cell r="N998" t="str">
            <v>1431.52</v>
          </cell>
          <cell r="O998" t="str">
            <v>12.999019</v>
          </cell>
          <cell r="P998" t="str">
            <v>109.374774</v>
          </cell>
          <cell r="Q998" t="str">
            <v>29.72</v>
          </cell>
          <cell r="R998" t="str">
            <v>12.997832</v>
          </cell>
          <cell r="S998" t="str">
            <v>109.370374</v>
          </cell>
          <cell r="T998" t="str">
            <v>full_h04/Đắk Lắk/Mạng cấp IV Đắk Lắk.kmz/Mạng cấp IV Phú Yên/Phú Yên_Ring 11/Hòa Hiệp CS2 - CAT Phú Yên/Trung thế</v>
          </cell>
          <cell r="U998">
            <v>1461.24</v>
          </cell>
        </row>
        <row r="999">
          <cell r="L999" t="str">
            <v>PA06-TT2 Đắk Lắk (Tuy Hòa)</v>
          </cell>
          <cell r="M999" t="str">
            <v>263.62</v>
          </cell>
          <cell r="N999" t="str">
            <v>215.09</v>
          </cell>
          <cell r="O999" t="str">
            <v>13.099017</v>
          </cell>
          <cell r="P999" t="str">
            <v>109.289473</v>
          </cell>
          <cell r="Q999" t="str">
            <v>48.53</v>
          </cell>
          <cell r="R999" t="str">
            <v>13.095419</v>
          </cell>
          <cell r="S999" t="str">
            <v>109.291755</v>
          </cell>
          <cell r="T999" t="str">
            <v>full_h04/Đắk Lắk/Mạng cấp III Đắk Lắk.kmz/Mạng cấp III Phú Yên/Phú Yên_Ring phòng 2/PA06-TT2 Đắk Lắk (Tuy Hòa)/Hạ thế</v>
          </cell>
          <cell r="U999">
            <v>263.62</v>
          </cell>
        </row>
        <row r="1000">
          <cell r="L1000" t="str">
            <v>Ô Loan - Tuy An Đông</v>
          </cell>
          <cell r="M1000" t="str">
            <v>248.59</v>
          </cell>
          <cell r="N1000" t="str">
            <v>212.95</v>
          </cell>
          <cell r="O1000" t="str">
            <v>13.341809</v>
          </cell>
          <cell r="P1000" t="str">
            <v>109.254057</v>
          </cell>
          <cell r="Q1000" t="str">
            <v>35.63</v>
          </cell>
          <cell r="R1000" t="str">
            <v>13.340781</v>
          </cell>
          <cell r="S1000" t="str">
            <v>109.254279</v>
          </cell>
          <cell r="T1000" t="str">
            <v>full_h04/Đắk Lắk/Mạng cấp IV Đắk Lắk.kmz/Mạng cấp IV Phú Yên/Phú Yên_Ring 4/Ô Loan - Tuy An Đông/trung thế</v>
          </cell>
          <cell r="U1000">
            <v>248.59</v>
          </cell>
        </row>
        <row r="1001">
          <cell r="L1001" t="str">
            <v>Sông Cầu - TT2 Tuy Hòa</v>
          </cell>
          <cell r="M1001" t="str">
            <v>1451.42</v>
          </cell>
          <cell r="N1001" t="str">
            <v>1193.94</v>
          </cell>
          <cell r="O1001" t="str">
            <v>13.251925</v>
          </cell>
          <cell r="P1001" t="str">
            <v>109.251918</v>
          </cell>
          <cell r="Q1001" t="str">
            <v>257.48</v>
          </cell>
          <cell r="R1001" t="str">
            <v>13.240807</v>
          </cell>
          <cell r="S1001" t="str">
            <v>109.255388</v>
          </cell>
          <cell r="T1001" t="str">
            <v>full_h04/Đắk Lắk/Mạng cấp III Đắk Lắk.kmz/Mạng cấp III Phú Yên/Ring 5/Sông Cầu - TT2 Tuy Hòa/Trung thế</v>
          </cell>
          <cell r="U1001">
            <v>1451.42</v>
          </cell>
        </row>
        <row r="1002">
          <cell r="L1002" t="str">
            <v>Sông Cầu - TT2 Tuy Hòa</v>
          </cell>
          <cell r="M1002" t="str">
            <v>2584.96</v>
          </cell>
          <cell r="N1002" t="str">
            <v>2327.48</v>
          </cell>
          <cell r="O1002" t="str">
            <v>13.246875</v>
          </cell>
          <cell r="P1002" t="str">
            <v>109.253504</v>
          </cell>
          <cell r="Q1002" t="str">
            <v>257.48</v>
          </cell>
          <cell r="R1002" t="str">
            <v>13.240807</v>
          </cell>
          <cell r="S1002" t="str">
            <v>109.255388</v>
          </cell>
          <cell r="T1002" t="str">
            <v>full_h04/Đắk Lắk/Mạng cấp III Đắk Lắk.kmz/Mạng cấp III Phú Yên/Ring 5/Sông Cầu - TT2 Tuy Hòa/Trung thế</v>
          </cell>
          <cell r="U1002">
            <v>2584.96</v>
          </cell>
        </row>
        <row r="1003">
          <cell r="L1003" t="str">
            <v>Trại giam Xuân Phước (C10) - TTCMKV Đồng Xuân</v>
          </cell>
          <cell r="M1003" t="str">
            <v>692.49</v>
          </cell>
          <cell r="N1003" t="str">
            <v>415.89</v>
          </cell>
          <cell r="O1003" t="str">
            <v>13.364878</v>
          </cell>
          <cell r="P1003" t="str">
            <v>109.098874</v>
          </cell>
          <cell r="Q1003" t="str">
            <v>276.61</v>
          </cell>
          <cell r="R1003" t="str">
            <v>13.378349</v>
          </cell>
          <cell r="S1003" t="str">
            <v>109.110418</v>
          </cell>
          <cell r="T1003" t="str">
            <v>full_h04/Đắk Lắk/Mạng cấp III Đắk Lắk.kmz/Mạng cấp III Phú Yên/Trại giam Xuân Phước (C10) - TTCMKV Đồng Xuân/Trung thế</v>
          </cell>
          <cell r="U1003">
            <v>692.49</v>
          </cell>
        </row>
        <row r="1004">
          <cell r="L1004" t="str">
            <v>Sơn Thành - Hòa Mỹ</v>
          </cell>
          <cell r="M1004" t="str">
            <v>151.40</v>
          </cell>
          <cell r="N1004" t="str">
            <v>130.26</v>
          </cell>
          <cell r="O1004" t="str">
            <v>12.964807</v>
          </cell>
          <cell r="P1004" t="str">
            <v>109.181684</v>
          </cell>
          <cell r="Q1004" t="str">
            <v>21.14</v>
          </cell>
          <cell r="R1004" t="str">
            <v>12.964557</v>
          </cell>
          <cell r="S1004" t="str">
            <v>109.183734</v>
          </cell>
          <cell r="T1004" t="str">
            <v>full_h04/Đắk Lắk/Mạng cấp IV Đắk Lắk.kmz/Mạng cấp IV Phú Yên/Phú Yên_Ring 8/Sơn Thành - Hòa Mỹ/Trung thế</v>
          </cell>
          <cell r="U1004">
            <v>151.4</v>
          </cell>
        </row>
        <row r="1005">
          <cell r="L1005" t="str">
            <v>Hòa Mỹ - Hòa Thịnh</v>
          </cell>
          <cell r="M1005" t="str">
            <v>677.37</v>
          </cell>
          <cell r="N1005" t="str">
            <v>665.51</v>
          </cell>
          <cell r="O1005" t="str">
            <v>12.943085</v>
          </cell>
          <cell r="P1005" t="str">
            <v>109.207543</v>
          </cell>
          <cell r="Q1005" t="str">
            <v>11.86</v>
          </cell>
          <cell r="R1005" t="str">
            <v>12.964506</v>
          </cell>
          <cell r="S1005" t="str">
            <v>109.183935</v>
          </cell>
          <cell r="T1005" t="str">
            <v>full_h04/Đắk Lắk/Mạng cấp IV Đắk Lắk.kmz/Mạng cấp IV Phú Yên/Phú Yên_Ring 8/Hòa Mỹ - Hòa Thịnh/Trung thế</v>
          </cell>
          <cell r="U1005">
            <v>677.37</v>
          </cell>
        </row>
        <row r="1006">
          <cell r="L1006" t="str">
            <v>Hòa Thịnh - TTCMKV Tây Hòa</v>
          </cell>
          <cell r="M1006" t="str">
            <v>2798.35</v>
          </cell>
          <cell r="N1006" t="str">
            <v>3.63</v>
          </cell>
          <cell r="O1006" t="str">
            <v>12.932778</v>
          </cell>
          <cell r="P1006" t="str">
            <v>109.239168</v>
          </cell>
          <cell r="Q1006" t="str">
            <v>2794.71</v>
          </cell>
          <cell r="R1006" t="str">
            <v>12.939657</v>
          </cell>
          <cell r="S1006" t="str">
            <v>109.238243</v>
          </cell>
          <cell r="T1006" t="str">
            <v>full_h04/Đắk Lắk/Mạng cấp IV Đắk Lắk.kmz/Mạng cấp IV Phú Yên/Phú Yên_Ring 8/Hòa Thịnh - TTCMKV Tây Hòa/Trung thế</v>
          </cell>
          <cell r="U1006">
            <v>2798.35</v>
          </cell>
        </row>
        <row r="1007">
          <cell r="L1007" t="str">
            <v>Sơn Hòa - CAX Sơn Định (Sơn Hòa)</v>
          </cell>
          <cell r="M1007" t="str">
            <v>54.42</v>
          </cell>
          <cell r="N1007" t="str">
            <v>27.87</v>
          </cell>
          <cell r="O1007" t="str">
            <v>13.049759</v>
          </cell>
          <cell r="P1007" t="str">
            <v>108.974624</v>
          </cell>
          <cell r="Q1007" t="str">
            <v>26.55</v>
          </cell>
          <cell r="R1007" t="str">
            <v>13.049869</v>
          </cell>
          <cell r="S1007" t="str">
            <v>108.978688</v>
          </cell>
          <cell r="T1007" t="str">
            <v>full_h04/Đắk Lắk/Mạng cấp III Đắk Lắk.kmz/Mạng cấp III Phú Yên/Ring 5/Sơn Hòa - CAX Sơn Định (Sơn Hòa)/Sơn Hòa - CAX Sơn Định (Sơn Hòa)-TT-01</v>
          </cell>
          <cell r="U1007">
            <v>54.42</v>
          </cell>
        </row>
        <row r="1008">
          <cell r="L1008" t="str">
            <v>TTCMKV Phú Hòa - Phú Hòa 2</v>
          </cell>
          <cell r="M1008" t="str">
            <v>796.65</v>
          </cell>
          <cell r="N1008" t="str">
            <v>785.41</v>
          </cell>
          <cell r="O1008" t="str">
            <v>13.078198</v>
          </cell>
          <cell r="P1008" t="str">
            <v>109.219561</v>
          </cell>
          <cell r="Q1008" t="str">
            <v>11.24</v>
          </cell>
          <cell r="R1008" t="str">
            <v>13.081939</v>
          </cell>
          <cell r="S1008" t="str">
            <v>109.216229</v>
          </cell>
          <cell r="T1008" t="str">
            <v>full_h04/Đắk Lắk/Mạng cấp IV Đắk Lắk.kmz/Mạng cấp IV Phú Yên/Phú Yên_Ring 10/TTCMKV Phú Hòa - Phú Hòa 2/Hạ thế</v>
          </cell>
          <cell r="U1008">
            <v>796.65</v>
          </cell>
        </row>
        <row r="1009">
          <cell r="L1009" t="str">
            <v>Tuy An Đông - TTCMKV TX Sông Cầu</v>
          </cell>
          <cell r="M1009" t="str">
            <v>1135.25</v>
          </cell>
          <cell r="N1009" t="str">
            <v>1102.79</v>
          </cell>
          <cell r="O1009" t="str">
            <v>13.342204</v>
          </cell>
          <cell r="P1009" t="str">
            <v>109.247726</v>
          </cell>
          <cell r="Q1009" t="str">
            <v>32.46</v>
          </cell>
          <cell r="R1009" t="str">
            <v>13.340761</v>
          </cell>
          <cell r="S1009" t="str">
            <v>109.254114</v>
          </cell>
          <cell r="T1009" t="str">
            <v>full_h04/Đắk Lắk/Mạng cấp IV Đắk Lắk.kmz/Mạng cấp IV Phú Yên/Phú Yên_Ring 4/Tuy An Đông - TTCMKV TX Sông Cầu/Trung thế</v>
          </cell>
          <cell r="U1009">
            <v>1135.25</v>
          </cell>
        </row>
        <row r="1010">
          <cell r="L1010" t="str">
            <v>Tuy An Đông - TTCMKV TX Sông Cầu</v>
          </cell>
          <cell r="M1010" t="str">
            <v>80.45</v>
          </cell>
          <cell r="N1010" t="str">
            <v>47.99</v>
          </cell>
          <cell r="O1010" t="str">
            <v>13.333803</v>
          </cell>
          <cell r="P1010" t="str">
            <v>109.227303</v>
          </cell>
          <cell r="Q1010" t="str">
            <v>32.46</v>
          </cell>
          <cell r="R1010" t="str">
            <v>13.340761</v>
          </cell>
          <cell r="S1010" t="str">
            <v>109.254114</v>
          </cell>
          <cell r="T1010" t="str">
            <v>full_h04/Đắk Lắk/Mạng cấp IV Đắk Lắk.kmz/Mạng cấp IV Phú Yên/Phú Yên_Ring 4/Tuy An Đông - TTCMKV TX Sông Cầu/Trung thế</v>
          </cell>
          <cell r="U1010">
            <v>80.45</v>
          </cell>
        </row>
        <row r="1011">
          <cell r="L1011" t="str">
            <v>Ô Loan - Tuy An Đông</v>
          </cell>
          <cell r="M1011" t="str">
            <v>365.18</v>
          </cell>
          <cell r="N1011" t="str">
            <v>363.62</v>
          </cell>
          <cell r="O1011" t="str">
            <v>13.226704</v>
          </cell>
          <cell r="P1011" t="str">
            <v>109.263869</v>
          </cell>
          <cell r="Q1011" t="str">
            <v>1.57</v>
          </cell>
          <cell r="R1011" t="str">
            <v>13.240077</v>
          </cell>
          <cell r="S1011" t="str">
            <v>109.257630</v>
          </cell>
          <cell r="T1011" t="str">
            <v>full_h04/Đắk Lắk/Mạng cấp IV Đắk Lắk.kmz/Mạng cấp IV Phú Yên/Phú Yên_Ring 4/Ô Loan - Tuy An Đông/Trung thế</v>
          </cell>
          <cell r="U1011">
            <v>365.18</v>
          </cell>
        </row>
        <row r="1012">
          <cell r="L1012" t="str">
            <v>CAT Phú Yên - Tuy An Nam</v>
          </cell>
          <cell r="M1012" t="str">
            <v>78.67</v>
          </cell>
          <cell r="N1012" t="str">
            <v>78.33</v>
          </cell>
          <cell r="O1012" t="str">
            <v>13.174819</v>
          </cell>
          <cell r="P1012" t="str">
            <v>109.291356</v>
          </cell>
          <cell r="Q1012" t="str">
            <v>0.34</v>
          </cell>
          <cell r="R1012" t="str">
            <v>13.181704</v>
          </cell>
          <cell r="S1012" t="str">
            <v>109.287283</v>
          </cell>
          <cell r="T1012" t="str">
            <v>full_h04/Đắk Lắk/Mạng cấp IV Đắk Lắk.kmz/Mạng cấp IV Phú Yên/Phú Yên_Ring 4/CAT Phú Yên - Tuy An Nam/Trung thế</v>
          </cell>
          <cell r="U1012">
            <v>78.67</v>
          </cell>
        </row>
        <row r="1013">
          <cell r="L1013" t="str">
            <v>Phú Mỡ - Xuân Phước</v>
          </cell>
          <cell r="M1013" t="str">
            <v>172.66</v>
          </cell>
          <cell r="N1013" t="str">
            <v>118.95</v>
          </cell>
          <cell r="O1013" t="str">
            <v>13.311693</v>
          </cell>
          <cell r="P1013" t="str">
            <v>109.046639</v>
          </cell>
          <cell r="Q1013" t="str">
            <v>53.71</v>
          </cell>
          <cell r="R1013" t="str">
            <v>13.298667</v>
          </cell>
          <cell r="S1013" t="str">
            <v>109.065563</v>
          </cell>
          <cell r="T1013" t="str">
            <v>full_h04/Đắk Lắk/Mạng cấp IV Đắk Lắk.kmz/Mạng cấp IV Phú Yên/Phú Yên_Ring 6/Phú Mỡ - Xuân Phước/Trung thế</v>
          </cell>
          <cell r="U1013">
            <v>172.66</v>
          </cell>
        </row>
        <row r="1014">
          <cell r="L1014" t="str">
            <v>Xuân Phước - Vân Hòa</v>
          </cell>
          <cell r="M1014" t="str">
            <v>727.92</v>
          </cell>
          <cell r="N1014" t="str">
            <v>602.78</v>
          </cell>
          <cell r="O1014" t="str">
            <v>13.275760</v>
          </cell>
          <cell r="P1014" t="str">
            <v>109.062424</v>
          </cell>
          <cell r="Q1014" t="str">
            <v>125.14</v>
          </cell>
          <cell r="R1014" t="str">
            <v>13.298520</v>
          </cell>
          <cell r="S1014" t="str">
            <v>109.064847</v>
          </cell>
          <cell r="T1014" t="str">
            <v>full_h04/Đắk Lắk/Mạng cấp IV Đắk Lắk.kmz/Mạng cấp IV Phú Yên/Phú Yên_Ring 6/Xuân Phước - Vân Hòa/Trung thế</v>
          </cell>
          <cell r="U1014">
            <v>727.92</v>
          </cell>
        </row>
        <row r="1015">
          <cell r="L1015" t="str">
            <v>11(472KRN)__127</v>
          </cell>
          <cell r="M1015" t="str">
            <v>2927.54</v>
          </cell>
          <cell r="N1015" t="str">
            <v>2654.73</v>
          </cell>
          <cell r="O1015" t="str">
            <v>13.128857</v>
          </cell>
          <cell r="P1015" t="str">
            <v>108.324110</v>
          </cell>
          <cell r="Q1015" t="str">
            <v>272.81</v>
          </cell>
          <cell r="R1015" t="str">
            <v>13.118877</v>
          </cell>
          <cell r="S1015" t="str">
            <v>108.329477</v>
          </cell>
          <cell r="T1015" t="str">
            <v>full_h04/Đắk Lắk/Mạng cấp IV Đắk Lắk.kmz/Mạng cấp IV Đắk Lắk/Đắk Lắk Ring 19.kmz/Dliê Ya - Ea Hiao/Trung thế 172/10/11(472KRN)__127/41(472KRN)</v>
          </cell>
          <cell r="U1015">
            <v>2927.54</v>
          </cell>
        </row>
        <row r="1016">
          <cell r="L1016" t="str">
            <v>TT1 Đăk Lăk - ILA Ea Kar</v>
          </cell>
          <cell r="M1016" t="str">
            <v>193.16</v>
          </cell>
          <cell r="N1016" t="str">
            <v>91.78</v>
          </cell>
          <cell r="O1016" t="str">
            <v>12.750474</v>
          </cell>
          <cell r="P1016" t="str">
            <v>108.165804</v>
          </cell>
          <cell r="Q1016" t="str">
            <v>101.38</v>
          </cell>
          <cell r="R1016" t="str">
            <v>12.753319</v>
          </cell>
          <cell r="S1016" t="str">
            <v>108.169235</v>
          </cell>
          <cell r="T1016" t="str">
            <v>full_h04/Đắk Lắk/Mạng cấp II Đắk Lắk.kmz/Link 1/TT1 Đăk Lăk - ILA Ea Kar/Trung thế</v>
          </cell>
          <cell r="U1016">
            <v>193.16</v>
          </cell>
        </row>
        <row r="1017">
          <cell r="L1017" t="str">
            <v>Ea Drông - TTCMKV Thị xã Buôn
Hồ"</v>
          </cell>
          <cell r="M1017" t="str">
            <v>64.79</v>
          </cell>
          <cell r="N1017" t="str">
            <v>53.24</v>
          </cell>
          <cell r="O1017" t="str">
            <v>12.916411</v>
          </cell>
          <cell r="P1017" t="str">
            <v>108.266050</v>
          </cell>
          <cell r="Q1017" t="str">
            <v>11.55</v>
          </cell>
          <cell r="R1017" t="str">
            <v>12.916282</v>
          </cell>
          <cell r="S1017" t="str">
            <v>108.266552</v>
          </cell>
          <cell r="T1017" t="str">
            <v>full_h04/Đắk Lắk/Mạng cấp IV Đắk Lắk.kmz/Mạng cấp IV Đắk Lắk/Đắk Lắk Ring 13.kmz/ring 13/Ea Drông - TTCMKV Thị xã Buôn
Hồ"/Bể ngầm nhập trạm</v>
          </cell>
          <cell r="U1017">
            <v>64.790000000000006</v>
          </cell>
        </row>
        <row r="1018">
          <cell r="L1018" t="str">
            <v>Trại tạm giam Buôn Mê Thuột  - TT1 Đăk Lăk</v>
          </cell>
          <cell r="M1018" t="str">
            <v>433.61</v>
          </cell>
          <cell r="N1018" t="str">
            <v>360.14</v>
          </cell>
          <cell r="O1018" t="str">
            <v>12.703111</v>
          </cell>
          <cell r="P1018" t="str">
            <v>108.074478</v>
          </cell>
          <cell r="Q1018" t="str">
            <v>73.47</v>
          </cell>
          <cell r="R1018" t="str">
            <v>12.712295</v>
          </cell>
          <cell r="S1018" t="str">
            <v>108.066720</v>
          </cell>
          <cell r="T1018" t="str">
            <v>full_h04/Đắk Lắk/Mạng cấp III Đắk Lắk.kmz/Mạng cấp III Đắk Lắk/Trại tạm giam Buôn Mê Thuột  - TT1 Đăk Lăk/Trung thế 474HT</v>
          </cell>
          <cell r="U1018">
            <v>433.61</v>
          </cell>
        </row>
        <row r="1019">
          <cell r="L1019" t="str">
            <v>Sông Cầu - TT2 Tuy Hòa</v>
          </cell>
          <cell r="M1019" t="str">
            <v>392.55</v>
          </cell>
          <cell r="N1019" t="str">
            <v>192.47</v>
          </cell>
          <cell r="O1019" t="str">
            <v>13.130394</v>
          </cell>
          <cell r="P1019" t="str">
            <v>109.274858</v>
          </cell>
          <cell r="Q1019" t="str">
            <v>200.08</v>
          </cell>
          <cell r="R1019" t="str">
            <v>13.111753</v>
          </cell>
          <cell r="S1019" t="str">
            <v>109.282740</v>
          </cell>
          <cell r="T1019" t="str">
            <v>full_h04/Đắk Lắk/Mạng cấp III Đắk Lắk.kmz/Mạng cấp III Phú Yên/Ring 5/Sông Cầu - TT2 Tuy Hòa/Trung thế</v>
          </cell>
          <cell r="U1019">
            <v>392.55</v>
          </cell>
        </row>
        <row r="1020">
          <cell r="L1020" t="str">
            <v>Sông Cầu - TT2 Tuy Hòa</v>
          </cell>
          <cell r="M1020" t="str">
            <v>347.65</v>
          </cell>
          <cell r="N1020" t="str">
            <v>200.08</v>
          </cell>
          <cell r="O1020" t="str">
            <v>13.111753</v>
          </cell>
          <cell r="P1020" t="str">
            <v>109.282740</v>
          </cell>
          <cell r="Q1020" t="str">
            <v>147.58</v>
          </cell>
          <cell r="R1020" t="str">
            <v>13.094139</v>
          </cell>
          <cell r="S1020" t="str">
            <v>109.292628</v>
          </cell>
          <cell r="T1020" t="str">
            <v>full_h04/Đắk Lắk/Mạng cấp III Đắk Lắk.kmz/Mạng cấp III Phú Yên/Ring 5/Sông Cầu - TT2 Tuy Hòa/Trung thế</v>
          </cell>
          <cell r="U1020">
            <v>347.65</v>
          </cell>
        </row>
        <row r="1021">
          <cell r="L1021" t="str">
            <v>PC07 - PC11</v>
          </cell>
          <cell r="M1021" t="str">
            <v>18.81</v>
          </cell>
          <cell r="N1021" t="str">
            <v>6.02</v>
          </cell>
          <cell r="O1021" t="str">
            <v>13.094963</v>
          </cell>
          <cell r="P1021" t="str">
            <v>109.291572</v>
          </cell>
          <cell r="Q1021" t="str">
            <v>12.79</v>
          </cell>
          <cell r="R1021" t="str">
            <v>13.093813</v>
          </cell>
          <cell r="S1021" t="str">
            <v>109.291091</v>
          </cell>
          <cell r="T1021" t="str">
            <v>full_h04/Đắk Lắk/Mạng cấp III Đắk Lắk.kmz/Mạng cấp III Phú Yên/Phú Yên_Ring phòng 1/PC07 - PC11/Trung thế</v>
          </cell>
          <cell r="U1021">
            <v>18.809999999999999</v>
          </cell>
        </row>
        <row r="1022">
          <cell r="L1022" t="str">
            <v>TT2 Đăk Lăk (Tuy Hòa) - PC06</v>
          </cell>
          <cell r="M1022" t="str">
            <v>165.06</v>
          </cell>
          <cell r="N1022" t="str">
            <v>161.49</v>
          </cell>
          <cell r="O1022" t="str">
            <v>13.094086</v>
          </cell>
          <cell r="P1022" t="str">
            <v>109.292655</v>
          </cell>
          <cell r="Q1022" t="str">
            <v>3.57</v>
          </cell>
          <cell r="R1022" t="str">
            <v>13.088816</v>
          </cell>
          <cell r="S1022" t="str">
            <v>109.299329</v>
          </cell>
          <cell r="T1022" t="str">
            <v>full_h04/Đắk Lắk/Mạng cấp III Đắk Lắk.kmz/Mạng cấp III Phú Yên/Phú Yên_Ring phòng 3/TT2 Đăk Lăk (Tuy Hòa) - PC06/Trung thế</v>
          </cell>
          <cell r="U1022">
            <v>165.06</v>
          </cell>
        </row>
        <row r="1023">
          <cell r="L1023" t="str">
            <v>TT2 Đăk Lăk (Tuy Hòa) - Cơ quan điều tra
 Tuy Hòa</v>
          </cell>
          <cell r="M1023" t="str">
            <v>196.33</v>
          </cell>
          <cell r="N1023" t="str">
            <v>43.30</v>
          </cell>
          <cell r="O1023" t="str">
            <v>13.089169</v>
          </cell>
          <cell r="P1023" t="str">
            <v>109.299428</v>
          </cell>
          <cell r="Q1023" t="str">
            <v>153.02</v>
          </cell>
          <cell r="R1023" t="str">
            <v>13.086256</v>
          </cell>
          <cell r="S1023" t="str">
            <v>109.301363</v>
          </cell>
          <cell r="T1023" t="str">
            <v>full_h04/Đắk Lắk/Mạng cấp III Đắk Lắk.kmz/Mạng cấp III Phú Yên/Phú Yên_Ring phòng 2/TT2 Đăk Lăk (Tuy Hòa) - Cơ quan điều tra
 Tuy Hòa/Hạ thế</v>
          </cell>
          <cell r="U1023">
            <v>196.33</v>
          </cell>
        </row>
        <row r="1024">
          <cell r="L1024" t="str">
            <v>Phú Yên - CAT Phú Yên</v>
          </cell>
          <cell r="M1024" t="str">
            <v>305.94</v>
          </cell>
          <cell r="N1024" t="str">
            <v>289.02</v>
          </cell>
          <cell r="O1024" t="str">
            <v>13.094658</v>
          </cell>
          <cell r="P1024" t="str">
            <v>109.314221</v>
          </cell>
          <cell r="Q1024" t="str">
            <v>16.92</v>
          </cell>
          <cell r="R1024" t="str">
            <v>13.089726</v>
          </cell>
          <cell r="S1024" t="str">
            <v>109.309629</v>
          </cell>
          <cell r="T1024" t="str">
            <v>full_h04/Đắk Lắk/Mạng cấp IV Đắk Lắk.kmz/Mạng cấp IV Phú Yên/Phú Yên_Ring 10/Phú Yên - CAT Phú Yên/Trung thế</v>
          </cell>
          <cell r="U1024">
            <v>305.94</v>
          </cell>
        </row>
        <row r="1025">
          <cell r="L1025" t="str">
            <v>Phú Yên - CAT Phú Yên</v>
          </cell>
          <cell r="M1025" t="str">
            <v>225.82</v>
          </cell>
          <cell r="N1025" t="str">
            <v>16.92</v>
          </cell>
          <cell r="O1025" t="str">
            <v>13.089726</v>
          </cell>
          <cell r="P1025" t="str">
            <v>109.309629</v>
          </cell>
          <cell r="Q1025" t="str">
            <v>208.90</v>
          </cell>
          <cell r="R1025" t="str">
            <v>13.088728</v>
          </cell>
          <cell r="S1025" t="str">
            <v>109.306239</v>
          </cell>
          <cell r="T1025" t="str">
            <v>full_h04/Đắk Lắk/Mạng cấp IV Đắk Lắk.kmz/Mạng cấp IV Phú Yên/Phú Yên_Ring 10/Phú Yên - CAT Phú Yên/Trung thế</v>
          </cell>
          <cell r="U1025">
            <v>225.82</v>
          </cell>
        </row>
        <row r="1026">
          <cell r="L1026" t="str">
            <v>CAT Phú Yên - Tuy An Nam</v>
          </cell>
          <cell r="M1026" t="str">
            <v>1502.01</v>
          </cell>
          <cell r="N1026" t="str">
            <v>656.90</v>
          </cell>
          <cell r="O1026" t="str">
            <v>13.141820</v>
          </cell>
          <cell r="P1026" t="str">
            <v>109.287163</v>
          </cell>
          <cell r="Q1026" t="str">
            <v>845.11</v>
          </cell>
          <cell r="R1026" t="str">
            <v>13.117717</v>
          </cell>
          <cell r="S1026" t="str">
            <v>109.302817</v>
          </cell>
          <cell r="T1026" t="str">
            <v>full_h04/Đắk Lắk/Mạng cấp IV Đắk Lắk.kmz/Mạng cấp IV Phú Yên/Phú Yên_Ring 4/CAT Phú Yên - Tuy An Nam/CAT Phú Yên - Tuy An Nam-Ngầm MBF</v>
          </cell>
          <cell r="U1026">
            <v>1502.01</v>
          </cell>
        </row>
        <row r="1027">
          <cell r="L1027" t="str">
            <v>CAT PHÚ YÊN - Cảng hàng không Tuy Hòa</v>
          </cell>
          <cell r="M1027" t="str">
            <v>1033.82</v>
          </cell>
          <cell r="N1027" t="str">
            <v>745.28</v>
          </cell>
          <cell r="O1027" t="str">
            <v>13.116629</v>
          </cell>
          <cell r="P1027" t="str">
            <v>109.303654</v>
          </cell>
          <cell r="Q1027" t="str">
            <v>288.54</v>
          </cell>
          <cell r="R1027" t="str">
            <v>13.108523</v>
          </cell>
          <cell r="S1027" t="str">
            <v>109.304092</v>
          </cell>
          <cell r="T1027" t="str">
            <v>full_h04/Đắk Lắk/Mạng cấp III Đắk Lắk.kmz/Mạng cấp III Phú Yên/Phú Yên_Ring phòng 4/CAT PHÚ YÊN - Cảng hàng không Tuy Hòa/Trung thế</v>
          </cell>
          <cell r="U1027">
            <v>1033.82</v>
          </cell>
        </row>
        <row r="1028">
          <cell r="L1028" t="str">
            <v>Sông Cầu - TT2 Tuy Hòa</v>
          </cell>
          <cell r="M1028" t="str">
            <v>3290.52</v>
          </cell>
          <cell r="N1028" t="str">
            <v>342.96</v>
          </cell>
          <cell r="O1028" t="str">
            <v>13.143237</v>
          </cell>
          <cell r="P1028" t="str">
            <v>109.278045</v>
          </cell>
          <cell r="Q1028" t="str">
            <v>2947.56</v>
          </cell>
          <cell r="R1028" t="str">
            <v>13.093350</v>
          </cell>
          <cell r="S1028" t="str">
            <v>109.293044</v>
          </cell>
          <cell r="T1028" t="str">
            <v>full_h04/Đắk Lắk/Mạng cấp III Đắk Lắk.kmz/Mạng cấp III Phú Yên/Ring 5/Sông Cầu - TT2 Tuy Hòa/Trung thế</v>
          </cell>
          <cell r="U1028">
            <v>3290.52</v>
          </cell>
        </row>
        <row r="1029">
          <cell r="L1029" t="str">
            <v>TT2 Đăk Lăk (Tuy Hòa) - Cơ quan điều tra
 Tuy Hòa</v>
          </cell>
          <cell r="M1029" t="str">
            <v>74.53</v>
          </cell>
          <cell r="N1029" t="str">
            <v>20.20</v>
          </cell>
          <cell r="O1029" t="str">
            <v>13.094966</v>
          </cell>
          <cell r="P1029" t="str">
            <v>109.320326</v>
          </cell>
          <cell r="Q1029" t="str">
            <v>54.33</v>
          </cell>
          <cell r="R1029" t="str">
            <v>13.087905</v>
          </cell>
          <cell r="S1029" t="str">
            <v>109.311836</v>
          </cell>
          <cell r="T1029" t="str">
            <v>full_h04/Đắk Lắk/Mạng cấp III Đắk Lắk.kmz/Mạng cấp III Phú Yên/Phú Yên_Ring phòng 2/TT2 Đăk Lăk (Tuy Hòa) - Cơ quan điều tra
 Tuy Hòa/Trung thế</v>
          </cell>
          <cell r="U1029">
            <v>74.53</v>
          </cell>
        </row>
        <row r="1030">
          <cell r="L1030" t="str">
            <v>Cơ quan điều tra Tuy Hòa - PA08</v>
          </cell>
          <cell r="M1030" t="str">
            <v>8.68</v>
          </cell>
          <cell r="N1030" t="str">
            <v>4.34</v>
          </cell>
          <cell r="O1030" t="str">
            <v>13.088093</v>
          </cell>
          <cell r="P1030" t="str">
            <v>109.312260</v>
          </cell>
          <cell r="Q1030" t="str">
            <v>4.34</v>
          </cell>
          <cell r="R1030" t="str">
            <v>13.088093</v>
          </cell>
          <cell r="S1030" t="str">
            <v>109.312260</v>
          </cell>
          <cell r="T1030" t="str">
            <v>full_h04/Đắk Lắk/Mạng cấp III Đắk Lắk.kmz/Mạng cấp III Phú Yên/Phú Yên_Ring phòng 2/Cơ quan điều tra Tuy Hòa - PA08/Trung thế</v>
          </cell>
          <cell r="U1030">
            <v>8.68</v>
          </cell>
        </row>
        <row r="1031">
          <cell r="L1031" t="str">
            <v>CAT PHÚ YÊN - Cảng hàng không Tuy Hòa</v>
          </cell>
          <cell r="M1031" t="str">
            <v>306.38</v>
          </cell>
          <cell r="N1031" t="str">
            <v>104.02</v>
          </cell>
          <cell r="O1031" t="str">
            <v>13.088291</v>
          </cell>
          <cell r="P1031" t="str">
            <v>109.313238</v>
          </cell>
          <cell r="Q1031" t="str">
            <v>202.36</v>
          </cell>
          <cell r="R1031" t="str">
            <v>13.087067</v>
          </cell>
          <cell r="S1031" t="str">
            <v>109.308887</v>
          </cell>
          <cell r="T1031" t="str">
            <v>full_h04/Đắk Lắk/Mạng cấp III Đắk Lắk.kmz/Mạng cấp III Phú Yên/Phú Yên_Ring phòng 4/CAT PHÚ YÊN - Cảng hàng không Tuy Hòa/CAT PHÚ YÊN - Cảng hàng không Tuy Hòa-Ngầm vnpt</v>
          </cell>
          <cell r="U1031">
            <v>306.38</v>
          </cell>
        </row>
        <row r="1032">
          <cell r="L1032" t="str">
            <v>PC11 - PC08</v>
          </cell>
          <cell r="M1032" t="str">
            <v>738.12</v>
          </cell>
          <cell r="N1032" t="str">
            <v>722.25</v>
          </cell>
          <cell r="O1032" t="str">
            <v>13.074518</v>
          </cell>
          <cell r="P1032" t="str">
            <v>109.279869</v>
          </cell>
          <cell r="Q1032" t="str">
            <v>15.88</v>
          </cell>
          <cell r="R1032" t="str">
            <v>13.071588</v>
          </cell>
          <cell r="S1032" t="str">
            <v>109.275789</v>
          </cell>
          <cell r="T1032" t="str">
            <v>full_h04/Đắk Lắk/Mạng cấp III Đắk Lắk.kmz/Mạng cấp III Phú Yên/Phú Yên_Ring phòng 1/PC11 - PC08/Trung thế</v>
          </cell>
          <cell r="U1032">
            <v>738.12</v>
          </cell>
        </row>
        <row r="1033">
          <cell r="L1033" t="str">
            <v>Phú Hòa 2 - Phú Yên</v>
          </cell>
          <cell r="M1033" t="str">
            <v>83.30</v>
          </cell>
          <cell r="N1033" t="str">
            <v>81.63</v>
          </cell>
          <cell r="O1033" t="str">
            <v>13.049013</v>
          </cell>
          <cell r="P1033" t="str">
            <v>109.310469</v>
          </cell>
          <cell r="Q1033" t="str">
            <v>1.67</v>
          </cell>
          <cell r="R1033" t="str">
            <v>13.052982</v>
          </cell>
          <cell r="S1033" t="str">
            <v>109.310524</v>
          </cell>
          <cell r="T1033" t="str">
            <v>full_h04/Đắk Lắk/Mạng cấp IV Đắk Lắk.kmz/Mạng cấp IV Phú Yên/Phú Yên_Ring 10/Phú Hòa 2 - Phú Yên/Hạ thế</v>
          </cell>
          <cell r="U1033">
            <v>83.3</v>
          </cell>
        </row>
        <row r="1034">
          <cell r="L1034" t="str">
            <v>TT2 Đăk Lăk (Tuy Hòa) - PC06</v>
          </cell>
          <cell r="M1034" t="str">
            <v>482.86</v>
          </cell>
          <cell r="N1034" t="str">
            <v>481.90</v>
          </cell>
          <cell r="O1034" t="str">
            <v>13.088972</v>
          </cell>
          <cell r="P1034" t="str">
            <v>109.299416</v>
          </cell>
          <cell r="Q1034" t="str">
            <v>0.95</v>
          </cell>
          <cell r="R1034" t="str">
            <v>13.094738</v>
          </cell>
          <cell r="S1034" t="str">
            <v>109.293009</v>
          </cell>
          <cell r="T1034" t="str">
            <v>full_h04/Đắk Lắk/Mạng cấp III Đắk Lắk.kmz/Mạng cấp III Phú Yên/Phú Yên_Ring phòng 3/TT2 Đăk Lăk (Tuy Hòa) - PC06/Trung thế</v>
          </cell>
          <cell r="U1034">
            <v>482.86</v>
          </cell>
        </row>
        <row r="1035">
          <cell r="L1035" t="str">
            <v>Điểm đăng ký sát hạch lái xe (PC08) - TT2
 Đăk Lăk (Tuy Hòa)</v>
          </cell>
          <cell r="M1035" t="str">
            <v>89.32</v>
          </cell>
          <cell r="N1035" t="str">
            <v>83.47</v>
          </cell>
          <cell r="O1035" t="str">
            <v>13.110292</v>
          </cell>
          <cell r="P1035" t="str">
            <v>109.285296</v>
          </cell>
          <cell r="Q1035" t="str">
            <v>5.85</v>
          </cell>
          <cell r="R1035" t="str">
            <v>13.112349</v>
          </cell>
          <cell r="S1035" t="str">
            <v>109.284520</v>
          </cell>
          <cell r="T1035" t="str">
            <v>full_h04/Đắk Lắk/Mạng cấp III Đắk Lắk.kmz/Mạng cấp III Phú Yên/Điểm đăng ký sát hạch lái xe (PC08) - TT2
 Đăk Lăk (Tuy Hòa)/Hạ thế</v>
          </cell>
          <cell r="U1035">
            <v>89.32</v>
          </cell>
        </row>
        <row r="1036">
          <cell r="L1036" t="str">
            <v>Hòa Mỹ - Hòa Thịnh</v>
          </cell>
          <cell r="M1036" t="str">
            <v>857.89</v>
          </cell>
          <cell r="N1036" t="str">
            <v>853.99</v>
          </cell>
          <cell r="O1036" t="str">
            <v>12.929770</v>
          </cell>
          <cell r="P1036" t="str">
            <v>109.239602</v>
          </cell>
          <cell r="Q1036" t="str">
            <v>3.90</v>
          </cell>
          <cell r="R1036" t="str">
            <v>12.932771</v>
          </cell>
          <cell r="S1036" t="str">
            <v>109.239173</v>
          </cell>
          <cell r="T1036" t="str">
            <v>full_h04/Đắk Lắk/Mạng cấp IV Đắk Lắk.kmz/Mạng cấp IV Phú Yên/Phú Yên_Ring 8/Hòa Mỹ - Hòa Thịnh/Trung thế</v>
          </cell>
          <cell r="U1036">
            <v>857.89</v>
          </cell>
        </row>
        <row r="1037">
          <cell r="L1037" t="str">
            <v>PC07 - PC11</v>
          </cell>
          <cell r="M1037" t="str">
            <v>84.83</v>
          </cell>
          <cell r="N1037" t="str">
            <v>6.02</v>
          </cell>
          <cell r="O1037" t="str">
            <v>13.094963</v>
          </cell>
          <cell r="P1037" t="str">
            <v>109.291572</v>
          </cell>
          <cell r="Q1037" t="str">
            <v>78.81</v>
          </cell>
          <cell r="R1037" t="str">
            <v>13.093843</v>
          </cell>
          <cell r="S1037" t="str">
            <v>109.291611</v>
          </cell>
          <cell r="T1037" t="str">
            <v>full_h04/Đắk Lắk/Mạng cấp III Đắk Lắk.kmz/Mạng cấp III Phú Yên/Phú Yên_Ring phòng 1/PC07 - PC11/Trung thế</v>
          </cell>
          <cell r="U1037">
            <v>84.83</v>
          </cell>
        </row>
        <row r="1038">
          <cell r="L1038" t="str">
            <v>CAT PHÚ YÊN - Cảng hàng không Tuy Hòa</v>
          </cell>
          <cell r="M1038" t="str">
            <v>1319.10</v>
          </cell>
          <cell r="N1038" t="str">
            <v>745.28</v>
          </cell>
          <cell r="O1038" t="str">
            <v>13.116629</v>
          </cell>
          <cell r="P1038" t="str">
            <v>109.303654</v>
          </cell>
          <cell r="Q1038" t="str">
            <v>573.82</v>
          </cell>
          <cell r="R1038" t="str">
            <v>13.115219</v>
          </cell>
          <cell r="S1038" t="str">
            <v>109.299276</v>
          </cell>
          <cell r="T1038" t="str">
            <v>full_h04/Đắk Lắk/Mạng cấp III Đắk Lắk.kmz/Mạng cấp III Phú Yên/Phú Yên_Ring phòng 4/CAT PHÚ YÊN - Cảng hàng không Tuy Hòa/Trung thế</v>
          </cell>
          <cell r="U1038">
            <v>1319.1</v>
          </cell>
        </row>
        <row r="1039">
          <cell r="L1039" t="str">
            <v>CAT PHÚ YÊN - Cảng hàng không Tuy Hòa</v>
          </cell>
          <cell r="M1039" t="str">
            <v>977.79</v>
          </cell>
          <cell r="N1039" t="str">
            <v>745.28</v>
          </cell>
          <cell r="O1039" t="str">
            <v>13.116629</v>
          </cell>
          <cell r="P1039" t="str">
            <v>109.303654</v>
          </cell>
          <cell r="Q1039" t="str">
            <v>232.51</v>
          </cell>
          <cell r="R1039" t="str">
            <v>13.115219</v>
          </cell>
          <cell r="S1039" t="str">
            <v>109.299276</v>
          </cell>
          <cell r="T1039" t="str">
            <v>full_h04/Đắk Lắk/Mạng cấp III Đắk Lắk.kmz/Mạng cấp III Phú Yên/Phú Yên_Ring phòng 4/CAT PHÚ YÊN - Cảng hàng không Tuy Hòa/Trung thế</v>
          </cell>
          <cell r="U1039">
            <v>977.79</v>
          </cell>
        </row>
        <row r="1040">
          <cell r="L1040" t="str">
            <v>PK02 - TT2 Đăk Lăk (Tuy Hòa)</v>
          </cell>
          <cell r="M1040" t="str">
            <v>89.51</v>
          </cell>
          <cell r="N1040" t="str">
            <v>44.00</v>
          </cell>
          <cell r="O1040" t="str">
            <v>13.094901</v>
          </cell>
          <cell r="P1040" t="str">
            <v>109.291991</v>
          </cell>
          <cell r="Q1040" t="str">
            <v>45.51</v>
          </cell>
          <cell r="R1040" t="str">
            <v>13.105965</v>
          </cell>
          <cell r="S1040" t="str">
            <v>109.287906</v>
          </cell>
          <cell r="T1040" t="str">
            <v>full_h04/Đắk Lắk/Mạng cấp III Đắk Lắk.kmz/Mạng cấp III Phú Yên/Phú Yên_Ring phòng 1/PK02 - TT2 Đăk Lăk (Tuy Hòa)/Trung thế</v>
          </cell>
          <cell r="U1040">
            <v>89.51</v>
          </cell>
        </row>
        <row r="1041">
          <cell r="L1041" t="str">
            <v>Tuy An Bắc - Tuy An Tây</v>
          </cell>
          <cell r="M1041" t="str">
            <v>342.65</v>
          </cell>
          <cell r="N1041" t="str">
            <v>128.98</v>
          </cell>
          <cell r="O1041" t="str">
            <v>13.263899</v>
          </cell>
          <cell r="P1041" t="str">
            <v>109.203452</v>
          </cell>
          <cell r="Q1041" t="str">
            <v>213.67</v>
          </cell>
          <cell r="R1041" t="str">
            <v>13.306805</v>
          </cell>
          <cell r="S1041" t="str">
            <v>109.214379</v>
          </cell>
          <cell r="T1041" t="str">
            <v>full_h04/Đắk Lắk/Mạng cấp IV Đắk Lắk.kmz/Mạng cấp IV Phú Yên/Phú Yên_Ring 5/Tuy An Bắc - Tuy An Tây/Trung thế</v>
          </cell>
          <cell r="U1041">
            <v>342.65</v>
          </cell>
        </row>
        <row r="1042">
          <cell r="L1042" t="str">
            <v>Cơ quan điều tra Tuy Hòa - PA08</v>
          </cell>
          <cell r="M1042" t="str">
            <v>197.97</v>
          </cell>
          <cell r="N1042" t="str">
            <v>181.29</v>
          </cell>
          <cell r="O1042" t="str">
            <v>13.090186</v>
          </cell>
          <cell r="P1042" t="str">
            <v>109.311300</v>
          </cell>
          <cell r="Q1042" t="str">
            <v>16.68</v>
          </cell>
          <cell r="R1042" t="str">
            <v>13.089724</v>
          </cell>
          <cell r="S1042" t="str">
            <v>109.309628</v>
          </cell>
          <cell r="T1042" t="str">
            <v>full_h04/Đắk Lắk/Mạng cấp III Đắk Lắk.kmz/Mạng cấp III Phú Yên/Phú Yên_Ring phòng 2/Cơ quan điều tra Tuy Hòa - PA08/Hạ thế</v>
          </cell>
          <cell r="U1042">
            <v>197.97</v>
          </cell>
        </row>
        <row r="1043">
          <cell r="L1043" t="str">
            <v>ILA Sơn Thành - TT2 Đăk Lăk (Tuy Hòa)</v>
          </cell>
          <cell r="M1043" t="str">
            <v>2472.34</v>
          </cell>
          <cell r="N1043" t="str">
            <v>151.21</v>
          </cell>
          <cell r="O1043" t="str">
            <v>12.983107</v>
          </cell>
          <cell r="P1043" t="str">
            <v>109.095792</v>
          </cell>
          <cell r="Q1043" t="str">
            <v>2321.14</v>
          </cell>
          <cell r="R1043" t="str">
            <v>13.021641</v>
          </cell>
          <cell r="S1043" t="str">
            <v>109.280637</v>
          </cell>
          <cell r="T1043" t="str">
            <v>full_h04/Đắk Lắk/Mạng cấp II Đắk Lắk.kmz/Link 2/ILA Sơn Thành - TT2 Đăk Lăk (Tuy Hòa)/trung thế</v>
          </cell>
          <cell r="U1043">
            <v>2472.34</v>
          </cell>
        </row>
        <row r="1044">
          <cell r="L1044" t="str">
            <v>CAT Đắk Lắk - Thành Nhất</v>
          </cell>
          <cell r="M1044" t="str">
            <v>1284.02</v>
          </cell>
          <cell r="N1044" t="str">
            <v>581.76</v>
          </cell>
          <cell r="O1044" t="str">
            <v>12.682363</v>
          </cell>
          <cell r="P1044" t="str">
            <v>108.040537</v>
          </cell>
          <cell r="Q1044" t="str">
            <v>702.27</v>
          </cell>
          <cell r="R1044" t="str">
            <v>12.681629</v>
          </cell>
          <cell r="S1044" t="str">
            <v>108.046934</v>
          </cell>
          <cell r="T1044" t="str">
            <v>full_h04/Đắk Lắk/Mạng cấp IV Đắk Lắk.kmz/Mạng cấp IV Đắk Lắk/Đắk Lắk Ring 12.kmz/Đắk Lắk Ring 12/CAT Đắk Lắk - Thành Nhất/Trung Thế Phan Bội Châu</v>
          </cell>
          <cell r="U1044">
            <v>1284.02</v>
          </cell>
        </row>
        <row r="1045">
          <cell r="L1045" t="str">
            <v>CAT Đắk Lắk - Thành Nhất</v>
          </cell>
          <cell r="M1045" t="str">
            <v>1284.02</v>
          </cell>
          <cell r="N1045" t="str">
            <v>581.76</v>
          </cell>
          <cell r="O1045" t="str">
            <v>12.682363</v>
          </cell>
          <cell r="P1045" t="str">
            <v>108.040537</v>
          </cell>
          <cell r="Q1045" t="str">
            <v>702.27</v>
          </cell>
          <cell r="R1045" t="str">
            <v>12.681629</v>
          </cell>
          <cell r="S1045" t="str">
            <v>108.046934</v>
          </cell>
          <cell r="T1045" t="str">
            <v>full_h04/Đắk Lắk/Mạng cấp IV Đắk Lắk.kmz/Mạng cấp IV Đắk Lắk/Đắk Lắk Ring 12.kmz/Đắk Lắk Ring 12/CAT Đắk Lắk - Thành Nhất/Trung Thế Phan Bội Châu</v>
          </cell>
          <cell r="U1045">
            <v>1284.02</v>
          </cell>
        </row>
        <row r="1046">
          <cell r="L1046" t="str">
            <v>CAT Đắk Lắk - Thành Nhất</v>
          </cell>
          <cell r="M1046" t="str">
            <v>1284.02</v>
          </cell>
          <cell r="N1046" t="str">
            <v>702.27</v>
          </cell>
          <cell r="O1046" t="str">
            <v>12.681629</v>
          </cell>
          <cell r="P1046" t="str">
            <v>108.046934</v>
          </cell>
          <cell r="Q1046" t="str">
            <v>581.76</v>
          </cell>
          <cell r="R1046" t="str">
            <v>12.682363</v>
          </cell>
          <cell r="S1046" t="str">
            <v>108.040537</v>
          </cell>
          <cell r="T1046" t="str">
            <v>full_h04/Đắk Lắk/Mạng cấp IV Đắk Lắk.kmz/Mạng cấp IV Đắk Lắk/Đắk Lắk Ring 12.kmz/Đắk Lắk Ring 12/CAT Đắk Lắk - Thành Nhất/Trung Thế Phan Bội Châu</v>
          </cell>
          <cell r="U1046">
            <v>1284.02</v>
          </cell>
        </row>
        <row r="1047">
          <cell r="L1047" t="str">
            <v>Cư M'ga - Buôn Hồ</v>
          </cell>
          <cell r="M1047" t="str">
            <v>8912.47</v>
          </cell>
          <cell r="N1047" t="str">
            <v>8868.01</v>
          </cell>
          <cell r="O1047" t="str">
            <v>12.853419</v>
          </cell>
          <cell r="P1047" t="str">
            <v>108.104357</v>
          </cell>
          <cell r="Q1047" t="str">
            <v>44.45</v>
          </cell>
          <cell r="R1047" t="str">
            <v>12.910539</v>
          </cell>
          <cell r="S1047" t="str">
            <v>108.190575</v>
          </cell>
          <cell r="T1047" t="str">
            <v>full_h04/Đắk Lắk/Mạng cấp III Đắk Lắk.kmz/Mạng cấp III Đắk Lắk/Ring 1/Cư M'ga - Buôn Hồ/Trung thế</v>
          </cell>
          <cell r="U1047">
            <v>8912.4699999999993</v>
          </cell>
        </row>
        <row r="1048">
          <cell r="L1048" t="str">
            <v>Cuôr Đăng - Cư Bao</v>
          </cell>
          <cell r="M1048" t="str">
            <v>10015.73</v>
          </cell>
          <cell r="N1048" t="str">
            <v>73.57</v>
          </cell>
          <cell r="O1048" t="str">
            <v>12.788780</v>
          </cell>
          <cell r="P1048" t="str">
            <v>108.217255</v>
          </cell>
          <cell r="Q1048" t="str">
            <v>9942.16</v>
          </cell>
          <cell r="R1048" t="str">
            <v>12.840891</v>
          </cell>
          <cell r="S1048" t="str">
            <v>108.247509</v>
          </cell>
          <cell r="T1048" t="str">
            <v>full_h04/Đắk Lắk/Mạng cấp IV Đắk Lắk.kmz/Mạng cấp IV Đắk Lắk/Đắk Lắk Ring 13.kmz/ring 13/Cuôr Đăng - Cư Bao/Trung Thế Cư Mgar - Buôn Hồ</v>
          </cell>
          <cell r="U1048">
            <v>10015.73</v>
          </cell>
        </row>
        <row r="1049">
          <cell r="L1049" t="str">
            <v>TT1 Đăk Lăk - ILA Ea Kar</v>
          </cell>
          <cell r="M1049" t="str">
            <v>1861.86</v>
          </cell>
          <cell r="N1049" t="str">
            <v>1750.11</v>
          </cell>
          <cell r="O1049" t="str">
            <v>12.690893</v>
          </cell>
          <cell r="P1049" t="str">
            <v>108.067450</v>
          </cell>
          <cell r="Q1049" t="str">
            <v>111.75</v>
          </cell>
          <cell r="R1049" t="str">
            <v>12.789365</v>
          </cell>
          <cell r="S1049" t="str">
            <v>108.217463</v>
          </cell>
          <cell r="T1049" t="str">
            <v>full_h04/Đắk Lắk/Mạng cấp II Đắk Lắk.kmz/Link 1/TT1 Đăk Lăk - ILA Ea Kar/Trung thế</v>
          </cell>
          <cell r="U1049">
            <v>1861.86</v>
          </cell>
        </row>
        <row r="1050">
          <cell r="L1050" t="str">
            <v>TT1 Đăk Lăk - ILA Ea Kar</v>
          </cell>
          <cell r="M1050" t="str">
            <v>15390.47</v>
          </cell>
          <cell r="N1050" t="str">
            <v>3610.38</v>
          </cell>
          <cell r="O1050" t="str">
            <v>12.690893</v>
          </cell>
          <cell r="P1050" t="str">
            <v>108.067450</v>
          </cell>
          <cell r="Q1050" t="str">
            <v>11780.09</v>
          </cell>
          <cell r="R1050" t="str">
            <v>12.813562</v>
          </cell>
          <cell r="S1050" t="str">
            <v>108.233570</v>
          </cell>
          <cell r="T1050" t="str">
            <v>full_h04/Đắk Lắk/Mạng cấp II Đắk Lắk.kmz/Link 1/TT1 Đăk Lăk - ILA Ea Kar/Trung thế</v>
          </cell>
          <cell r="U1050">
            <v>15390.47</v>
          </cell>
        </row>
        <row r="1051">
          <cell r="L1051" t="str">
            <v>Ea Tul - Buôn Hồ</v>
          </cell>
          <cell r="M1051" t="str">
            <v>9248.62</v>
          </cell>
          <cell r="N1051" t="str">
            <v>55.55</v>
          </cell>
          <cell r="O1051" t="str">
            <v>12.910633</v>
          </cell>
          <cell r="P1051" t="str">
            <v>108.190708</v>
          </cell>
          <cell r="Q1051" t="str">
            <v>9193.08</v>
          </cell>
          <cell r="R1051" t="str">
            <v>12.930183</v>
          </cell>
          <cell r="S1051" t="str">
            <v>108.262786</v>
          </cell>
          <cell r="T1051" t="str">
            <v>full_h04/Đắk Lắk/Mạng cấp IV Đắk Lắk.kmz/Mạng cấp IV Đắk Lắk/Đắk Lắk Ring 16.kmz/Đắk Lắk ring 16/Ea Tul - Buôn Hồ/Trung Thế</v>
          </cell>
          <cell r="U1051">
            <v>9248.6200000000008</v>
          </cell>
        </row>
        <row r="1052">
          <cell r="L1052" t="str">
            <v>Ea Kar - KRông Năng</v>
          </cell>
          <cell r="M1052" t="str">
            <v>3248.76</v>
          </cell>
          <cell r="N1052" t="str">
            <v>3113.58</v>
          </cell>
          <cell r="O1052" t="str">
            <v>12.924610</v>
          </cell>
          <cell r="P1052" t="str">
            <v>108.351768</v>
          </cell>
          <cell r="Q1052" t="str">
            <v>135.18</v>
          </cell>
          <cell r="R1052" t="str">
            <v>12.880810</v>
          </cell>
          <cell r="S1052" t="str">
            <v>108.386491</v>
          </cell>
          <cell r="T1052" t="str">
            <v>full_h04/Đắk Lắk/Mạng cấp III Đắk Lắk.kmz/Mạng cấp III Đắk Lắk/Ring 2/Ea Kar - KRông Năng/Trung thế 475EKA__103__386__475EKA</v>
          </cell>
          <cell r="U1052">
            <v>3248.76</v>
          </cell>
        </row>
        <row r="1053">
          <cell r="L1053" t="str">
            <v>Ea Kar - KRông Năng</v>
          </cell>
          <cell r="M1053" t="str">
            <v>9422.79</v>
          </cell>
          <cell r="N1053" t="str">
            <v>135.18</v>
          </cell>
          <cell r="O1053" t="str">
            <v>12.880810</v>
          </cell>
          <cell r="P1053" t="str">
            <v>108.386491</v>
          </cell>
          <cell r="Q1053" t="str">
            <v>9287.61</v>
          </cell>
          <cell r="R1053" t="str">
            <v>12.924610</v>
          </cell>
          <cell r="S1053" t="str">
            <v>108.351768</v>
          </cell>
          <cell r="T1053" t="str">
            <v>full_h04/Đắk Lắk/Mạng cấp III Đắk Lắk.kmz/Mạng cấp III Đắk Lắk/Ring 2/Ea Kar - KRông Năng/Trung thế 475EKA__103__386__475EKA</v>
          </cell>
          <cell r="U1053">
            <v>9422.7900000000009</v>
          </cell>
        </row>
        <row r="1054">
          <cell r="L1054" t="str">
            <v>TT1 Đăk Lăk - ILA Ea Kar</v>
          </cell>
          <cell r="M1054" t="str">
            <v>13265.44</v>
          </cell>
          <cell r="N1054" t="str">
            <v>11515.33</v>
          </cell>
          <cell r="O1054" t="str">
            <v>12.815362</v>
          </cell>
          <cell r="P1054" t="str">
            <v>108.242258</v>
          </cell>
          <cell r="Q1054" t="str">
            <v>1750.11</v>
          </cell>
          <cell r="R1054" t="str">
            <v>12.690893</v>
          </cell>
          <cell r="S1054" t="str">
            <v>108.067450</v>
          </cell>
          <cell r="T1054" t="str">
            <v>full_h04/Đắk Lắk/Mạng cấp II Đắk Lắk.kmz/Link 1/TT1 Đăk Lăk - ILA Ea Kar/Trung thế</v>
          </cell>
          <cell r="U1054">
            <v>13265.44</v>
          </cell>
        </row>
        <row r="1055">
          <cell r="L1055" t="str">
            <v>Trung thế 14(373(EKA)__418</v>
          </cell>
          <cell r="M1055" t="str">
            <v>5249.55</v>
          </cell>
          <cell r="N1055" t="str">
            <v>70.81</v>
          </cell>
          <cell r="O1055" t="str">
            <v>12.811550</v>
          </cell>
          <cell r="P1055" t="str">
            <v>108.483309</v>
          </cell>
          <cell r="Q1055" t="str">
            <v>5178.75</v>
          </cell>
          <cell r="R1055" t="str">
            <v>12.852958</v>
          </cell>
          <cell r="S1055" t="str">
            <v>108.423523</v>
          </cell>
          <cell r="T1055" t="str">
            <v>full_h04/Đắk Lắk/Mạng cấp IV Đắk Lắk.kmz/Mạng cấp IV Đắk Lắk/Đắk Lắk Ring 18.kmz/TTCMKV Ea Kar - Phú Xuân/Trung thế 14(373(EKA)__418/35(</v>
          </cell>
          <cell r="U1055">
            <v>5249.55</v>
          </cell>
        </row>
        <row r="1056">
          <cell r="L1056" t="str">
            <v>TT1 Đăk Lăk - ILA Ea Kar</v>
          </cell>
          <cell r="M1056" t="str">
            <v>8086.60</v>
          </cell>
          <cell r="N1056" t="str">
            <v>8017.36</v>
          </cell>
          <cell r="O1056" t="str">
            <v>12.778797</v>
          </cell>
          <cell r="P1056" t="str">
            <v>108.205924</v>
          </cell>
          <cell r="Q1056" t="str">
            <v>69.25</v>
          </cell>
          <cell r="R1056" t="str">
            <v>12.811566</v>
          </cell>
          <cell r="S1056" t="str">
            <v>108.483311</v>
          </cell>
          <cell r="T1056" t="str">
            <v>full_h04/Đắk Lắk/Mạng cấp II Đắk Lắk.kmz/Link 1/TT1 Đăk Lăk - ILA Ea Kar/Trung thế</v>
          </cell>
          <cell r="U1056">
            <v>8086.6</v>
          </cell>
        </row>
        <row r="1057">
          <cell r="L1057" t="str">
            <v>TT1 Đăk Lăk - ILA Ea Pal</v>
          </cell>
          <cell r="M1057" t="str">
            <v>2711.82</v>
          </cell>
          <cell r="N1057" t="str">
            <v>2489.64</v>
          </cell>
          <cell r="O1057" t="str">
            <v>12.684058</v>
          </cell>
          <cell r="P1057" t="str">
            <v>108.075749</v>
          </cell>
          <cell r="Q1057" t="str">
            <v>222.19</v>
          </cell>
          <cell r="R1057" t="str">
            <v>12.716179</v>
          </cell>
          <cell r="S1057" t="str">
            <v>108.239562</v>
          </cell>
          <cell r="T1057" t="str">
            <v>full_h04/Đắk Lắk/Mạng cấp II Đắk Lắk.kmz/Link 2/TT1 Đăk Lăk - ILA Ea Pal/Trung thế</v>
          </cell>
          <cell r="U1057">
            <v>2711.82</v>
          </cell>
        </row>
        <row r="1058">
          <cell r="L1058" t="str">
            <v>KRông Ana - Cư Kuin</v>
          </cell>
          <cell r="M1058" t="str">
            <v>7948.64</v>
          </cell>
          <cell r="N1058" t="str">
            <v>7831.89</v>
          </cell>
          <cell r="O1058" t="str">
            <v>12.567697</v>
          </cell>
          <cell r="P1058" t="str">
            <v>108.120884</v>
          </cell>
          <cell r="Q1058" t="str">
            <v>116.75</v>
          </cell>
          <cell r="R1058" t="str">
            <v>12.559718</v>
          </cell>
          <cell r="S1058" t="str">
            <v>108.162858</v>
          </cell>
          <cell r="T1058" t="str">
            <v>full_h04/Đắk Lắk/Mạng cấp III Đắk Lắk.kmz/Mạng cấp III Đắk Lắk/Ring 3/KRông Ana - Cư Kuin/Trung thế 478KNA</v>
          </cell>
          <cell r="U1058">
            <v>7948.64</v>
          </cell>
        </row>
        <row r="1059">
          <cell r="L1059" t="str">
            <v>TT1 Đăk Lăk - ILA Ea Pal</v>
          </cell>
          <cell r="M1059" t="str">
            <v>16251.38</v>
          </cell>
          <cell r="N1059" t="str">
            <v>15501.01</v>
          </cell>
          <cell r="O1059" t="str">
            <v>12.699287</v>
          </cell>
          <cell r="P1059" t="str">
            <v>108.169227</v>
          </cell>
          <cell r="Q1059" t="str">
            <v>750.37</v>
          </cell>
          <cell r="R1059" t="str">
            <v>12.661210</v>
          </cell>
          <cell r="S1059" t="str">
            <v>108.347521</v>
          </cell>
          <cell r="T1059" t="str">
            <v>full_h04/Đắk Lắk/Mạng cấp II Đắk Lắk.kmz/Link 2/TT1 Đăk Lăk - ILA Ea Pal/Trung thế</v>
          </cell>
          <cell r="U1059">
            <v>16251.38</v>
          </cell>
        </row>
        <row r="1060">
          <cell r="L1060" t="str">
            <v>TT1 Đăk Lăk - ILA Ea Pal</v>
          </cell>
          <cell r="M1060" t="str">
            <v>972.56</v>
          </cell>
          <cell r="N1060" t="str">
            <v>750.37</v>
          </cell>
          <cell r="O1060" t="str">
            <v>12.661210</v>
          </cell>
          <cell r="P1060" t="str">
            <v>108.347521</v>
          </cell>
          <cell r="Q1060" t="str">
            <v>222.19</v>
          </cell>
          <cell r="R1060" t="str">
            <v>12.716179</v>
          </cell>
          <cell r="S1060" t="str">
            <v>108.239562</v>
          </cell>
          <cell r="T1060" t="str">
            <v>full_h04/Đắk Lắk/Mạng cấp II Đắk Lắk.kmz/Link 2/TT1 Đăk Lăk - ILA Ea Pal/Trung thế</v>
          </cell>
          <cell r="U1060">
            <v>972.56</v>
          </cell>
        </row>
        <row r="1061">
          <cell r="L1061" t="str">
            <v>TT1 Đăk Lăk - ILA Ea Pal</v>
          </cell>
          <cell r="M1061" t="str">
            <v>2711.82</v>
          </cell>
          <cell r="N1061" t="str">
            <v>2489.64</v>
          </cell>
          <cell r="O1061" t="str">
            <v>12.684058</v>
          </cell>
          <cell r="P1061" t="str">
            <v>108.075749</v>
          </cell>
          <cell r="Q1061" t="str">
            <v>222.19</v>
          </cell>
          <cell r="R1061" t="str">
            <v>12.716179</v>
          </cell>
          <cell r="S1061" t="str">
            <v>108.239562</v>
          </cell>
          <cell r="T1061" t="str">
            <v>full_h04/Đắk Lắk/Mạng cấp II Đắk Lắk.kmz/Link 2/TT1 Đăk Lăk - ILA Ea Pal/Trung thế</v>
          </cell>
          <cell r="U1061">
            <v>2711.82</v>
          </cell>
        </row>
        <row r="1062">
          <cell r="L1062" t="str">
            <v>Ea Knốp - TTCMKV Ea Kar</v>
          </cell>
          <cell r="M1062" t="str">
            <v>119.77</v>
          </cell>
          <cell r="N1062" t="str">
            <v>117.93</v>
          </cell>
          <cell r="O1062" t="str">
            <v>12.813067</v>
          </cell>
          <cell r="P1062" t="str">
            <v>108.518796</v>
          </cell>
          <cell r="Q1062" t="str">
            <v>1.84</v>
          </cell>
          <cell r="R1062" t="str">
            <v>12.803341</v>
          </cell>
          <cell r="S1062" t="str">
            <v>108.541213</v>
          </cell>
          <cell r="T1062" t="str">
            <v>full_h04/Đắk Lắk/Mạng cấp IV Đắk Lắk.kmz/Mạng cấp IV Đắk Lắk/Đắk Lắk Ring 24.kmz/Ea Knốp - TTCMKV Ea Kar/Trung thế</v>
          </cell>
          <cell r="U1062">
            <v>119.77</v>
          </cell>
        </row>
        <row r="1063">
          <cell r="L1063" t="str">
            <v>Trung thế 472EKA__1-2-3_C5__5</v>
          </cell>
          <cell r="M1063" t="str">
            <v>1343.96</v>
          </cell>
          <cell r="N1063" t="str">
            <v>226.79</v>
          </cell>
          <cell r="O1063" t="str">
            <v>12.805264</v>
          </cell>
          <cell r="P1063" t="str">
            <v>108.541863</v>
          </cell>
          <cell r="Q1063" t="str">
            <v>1117.17</v>
          </cell>
          <cell r="R1063" t="str">
            <v>12.811744</v>
          </cell>
          <cell r="S1063" t="str">
            <v>108.470349</v>
          </cell>
          <cell r="T1063" t="str">
            <v>full_h04/Đắk Lắk/Mạng cấp III Đắk Lắk.kmz/Mạng cấp III Đắk Lắk/Ring 2/KRông Păk - Trại giam Đăk Tân (C10)/Trung thế 472EKA__1-2-3_C5__5/29__471F1</v>
          </cell>
          <cell r="U1063">
            <v>1343.96</v>
          </cell>
        </row>
        <row r="1064">
          <cell r="L1064" t="str">
            <v>TT1 Đăk Lăk - ILA Ea Kar</v>
          </cell>
          <cell r="M1064" t="str">
            <v>116.89</v>
          </cell>
          <cell r="N1064" t="str">
            <v>69.25</v>
          </cell>
          <cell r="O1064" t="str">
            <v>12.811566</v>
          </cell>
          <cell r="P1064" t="str">
            <v>108.483311</v>
          </cell>
          <cell r="Q1064" t="str">
            <v>47.64</v>
          </cell>
          <cell r="R1064" t="str">
            <v>12.812188</v>
          </cell>
          <cell r="S1064" t="str">
            <v>108.459956</v>
          </cell>
          <cell r="T1064" t="str">
            <v>full_h04/Đắk Lắk/Mạng cấp II Đắk Lắk.kmz/Link 1/TT1 Đăk Lăk - ILA Ea Kar/Trung thế</v>
          </cell>
          <cell r="U1064">
            <v>116.89</v>
          </cell>
        </row>
        <row r="1065">
          <cell r="L1065" t="str">
            <v>Trung thế 14(373(EKA)__418</v>
          </cell>
          <cell r="M1065" t="str">
            <v>175.65</v>
          </cell>
          <cell r="N1065" t="str">
            <v>70.81</v>
          </cell>
          <cell r="O1065" t="str">
            <v>12.811550</v>
          </cell>
          <cell r="P1065" t="str">
            <v>108.483309</v>
          </cell>
          <cell r="Q1065" t="str">
            <v>104.85</v>
          </cell>
          <cell r="R1065" t="str">
            <v>12.841301</v>
          </cell>
          <cell r="S1065" t="str">
            <v>108.430002</v>
          </cell>
          <cell r="T1065" t="str">
            <v>full_h04/Đắk Lắk/Mạng cấp IV Đắk Lắk.kmz/Mạng cấp IV Đắk Lắk/Đắk Lắk Ring 18.kmz/TTCMKV Ea Kar - Phú Xuân/Trung thế 14(373(EKA)__418/35(</v>
          </cell>
          <cell r="U1065">
            <v>175.65</v>
          </cell>
        </row>
        <row r="1066">
          <cell r="L1066" t="str">
            <v>TT1 Đăk Lăk - ILA Ea Kar</v>
          </cell>
          <cell r="M1066" t="str">
            <v>1380.85</v>
          </cell>
          <cell r="N1066" t="str">
            <v>1311.61</v>
          </cell>
          <cell r="O1066" t="str">
            <v>12.770509</v>
          </cell>
          <cell r="P1066" t="str">
            <v>108.405835</v>
          </cell>
          <cell r="Q1066" t="str">
            <v>69.25</v>
          </cell>
          <cell r="R1066" t="str">
            <v>12.811566</v>
          </cell>
          <cell r="S1066" t="str">
            <v>108.483311</v>
          </cell>
          <cell r="T1066" t="str">
            <v>full_h04/Đắk Lắk/Mạng cấp II Đắk Lắk.kmz/Link 1/TT1 Đăk Lăk - ILA Ea Kar/Trung thế</v>
          </cell>
          <cell r="U1066">
            <v>1380.85</v>
          </cell>
        </row>
        <row r="1067">
          <cell r="L1067" t="str">
            <v>KRông Păk - Trại giam Đăk Tân (C10)</v>
          </cell>
          <cell r="M1067" t="str">
            <v>1467.87</v>
          </cell>
          <cell r="N1067" t="str">
            <v>85.40</v>
          </cell>
          <cell r="O1067" t="str">
            <v>12.727708</v>
          </cell>
          <cell r="P1067" t="str">
            <v>108.363954</v>
          </cell>
          <cell r="Q1067" t="str">
            <v>1382.47</v>
          </cell>
          <cell r="R1067" t="str">
            <v>12.769828</v>
          </cell>
          <cell r="S1067" t="str">
            <v>108.404370</v>
          </cell>
          <cell r="T1067" t="str">
            <v>full_h04/Đắk Lắk/Mạng cấp III Đắk Lắk.kmz/Mạng cấp III Đắk Lắk/Ring 2/KRông Păk - Trại giam Đăk Tân (C10)/Trung thế 40__258</v>
          </cell>
          <cell r="U1067">
            <v>1467.87</v>
          </cell>
        </row>
        <row r="1068">
          <cell r="L1068" t="str">
            <v>TT1 Đăk Lăk - ILA Ea Pal</v>
          </cell>
          <cell r="M1068" t="str">
            <v>5159.71</v>
          </cell>
          <cell r="N1068" t="str">
            <v>222.19</v>
          </cell>
          <cell r="O1068" t="str">
            <v>12.716179</v>
          </cell>
          <cell r="P1068" t="str">
            <v>108.239562</v>
          </cell>
          <cell r="Q1068" t="str">
            <v>4937.53</v>
          </cell>
          <cell r="R1068" t="str">
            <v>12.699309</v>
          </cell>
          <cell r="S1068" t="str">
            <v>108.328397</v>
          </cell>
          <cell r="T1068" t="str">
            <v>full_h04/Đắk Lắk/Mạng cấp II Đắk Lắk.kmz/Link 2/TT1 Đăk Lăk - ILA Ea Pal/Trung thế</v>
          </cell>
          <cell r="U1068">
            <v>5159.71</v>
          </cell>
        </row>
        <row r="1069">
          <cell r="L1069" t="str">
            <v>Ea Ô - TTCMKV Ea Kar</v>
          </cell>
          <cell r="M1069" t="str">
            <v>5101.38</v>
          </cell>
          <cell r="N1069" t="str">
            <v>70.50</v>
          </cell>
          <cell r="O1069" t="str">
            <v>12.811557</v>
          </cell>
          <cell r="P1069" t="str">
            <v>108.483304</v>
          </cell>
          <cell r="Q1069" t="str">
            <v>5030.89</v>
          </cell>
          <cell r="R1069" t="str">
            <v>12.721521</v>
          </cell>
          <cell r="S1069" t="str">
            <v>108.480930</v>
          </cell>
          <cell r="T1069" t="str">
            <v>full_h04/Đắk Lắk/Mạng cấp IV Đắk Lắk.kmz/Mạng cấp IV Đắk Lắk/Đắk Lắk Ring 8.kmz/Ea Ô - TTCMKV Ea Kar/Trung thế 14__473EKA</v>
          </cell>
          <cell r="U1069">
            <v>5101.38</v>
          </cell>
        </row>
        <row r="1070">
          <cell r="L1070" t="str">
            <v>77</v>
          </cell>
          <cell r="M1070" t="str">
            <v>7268.34</v>
          </cell>
          <cell r="N1070" t="str">
            <v>127.41</v>
          </cell>
          <cell r="O1070" t="str">
            <v>12.658647</v>
          </cell>
          <cell r="P1070" t="str">
            <v>108.431655</v>
          </cell>
          <cell r="Q1070" t="str">
            <v>7140.93</v>
          </cell>
          <cell r="R1070" t="str">
            <v>12.634971</v>
          </cell>
          <cell r="S1070" t="str">
            <v>108.393240</v>
          </cell>
          <cell r="T1070" t="str">
            <v>full_h04/Đắk Lắk/Mạng cấp IV Đắk Lắk.kmz/Mạng cấp IV Đắk Lắk/Đắk Lắk Ring 8.kmz/Tân Tiến - Vụ Bổn/Trung thế 474KRP__243/18/11__243/77/19__474KRP</v>
          </cell>
          <cell r="U1070">
            <v>7268.34</v>
          </cell>
        </row>
        <row r="1071">
          <cell r="L1071" t="str">
            <v>TT1 Đăk Lăk - ILA Ea Pal</v>
          </cell>
          <cell r="M1071" t="str">
            <v>4715.50</v>
          </cell>
          <cell r="N1071" t="str">
            <v>4559.54</v>
          </cell>
          <cell r="O1071" t="str">
            <v>12.654074</v>
          </cell>
          <cell r="P1071" t="str">
            <v>108.369075</v>
          </cell>
          <cell r="Q1071" t="str">
            <v>155.96</v>
          </cell>
          <cell r="R1071" t="str">
            <v>12.658018</v>
          </cell>
          <cell r="S1071" t="str">
            <v>108.431682</v>
          </cell>
          <cell r="T1071" t="str">
            <v>full_h04/Đắk Lắk/Mạng cấp II Đắk Lắk.kmz/Link 2/TT1 Đăk Lăk - ILA Ea Pal/Trung thế</v>
          </cell>
          <cell r="U1071">
            <v>4715.5</v>
          </cell>
        </row>
        <row r="1072">
          <cell r="L1072" t="str">
            <v>Trung thế 373EKA__15__331</v>
          </cell>
          <cell r="M1072" t="str">
            <v>3730.16</v>
          </cell>
          <cell r="N1072" t="str">
            <v>110.23</v>
          </cell>
          <cell r="O1072" t="str">
            <v>12.811240</v>
          </cell>
          <cell r="P1072" t="str">
            <v>108.484271</v>
          </cell>
          <cell r="Q1072" t="str">
            <v>3619.92</v>
          </cell>
          <cell r="R1072" t="str">
            <v>12.749832</v>
          </cell>
          <cell r="S1072" t="str">
            <v>108.542889</v>
          </cell>
          <cell r="T1072" t="str">
            <v>full_h04/Đắk Lắk/Mạng cấp IV Đắk Lắk.kmz/Mạng cấp IV Đắk Lắk/Đắk Lắk Ring 5.kmz/TTCMKV Ea Kar - Ea Păl/Trung thế 373EKA__15__331/2__474EKA</v>
          </cell>
          <cell r="U1072">
            <v>3730.16</v>
          </cell>
        </row>
        <row r="1073">
          <cell r="L1073" t="str">
            <v>Trung thế 373EKA__15__331</v>
          </cell>
          <cell r="M1073" t="str">
            <v>3788.40</v>
          </cell>
          <cell r="N1073" t="str">
            <v>3619.92</v>
          </cell>
          <cell r="O1073" t="str">
            <v>12.749832</v>
          </cell>
          <cell r="P1073" t="str">
            <v>108.542889</v>
          </cell>
          <cell r="Q1073" t="str">
            <v>168.48</v>
          </cell>
          <cell r="R1073" t="str">
            <v>12.726937</v>
          </cell>
          <cell r="S1073" t="str">
            <v>108.554203</v>
          </cell>
          <cell r="T1073" t="str">
            <v>full_h04/Đắk Lắk/Mạng cấp IV Đắk Lắk.kmz/Mạng cấp IV Đắk Lắk/Đắk Lắk Ring 5.kmz/TTCMKV Ea Kar - Ea Păl/Trung thế 373EKA__15__331/2__474EKA</v>
          </cell>
          <cell r="U1073">
            <v>3788.4</v>
          </cell>
        </row>
        <row r="1074">
          <cell r="L1074" t="str">
            <v>TT1 Đăk Lăk - ILA Ea Pal</v>
          </cell>
          <cell r="M1074" t="str">
            <v>6977.86</v>
          </cell>
          <cell r="N1074" t="str">
            <v>6805.83</v>
          </cell>
          <cell r="O1074" t="str">
            <v>12.700711</v>
          </cell>
          <cell r="P1074" t="str">
            <v>108.503832</v>
          </cell>
          <cell r="Q1074" t="str">
            <v>172.02</v>
          </cell>
          <cell r="R1074" t="str">
            <v>12.726613</v>
          </cell>
          <cell r="S1074" t="str">
            <v>108.553820</v>
          </cell>
          <cell r="T1074" t="str">
            <v>full_h04/Đắk Lắk/Mạng cấp II Đắk Lắk.kmz/Link 2/TT1 Đăk Lăk - ILA Ea Pal/Trung thế</v>
          </cell>
          <cell r="U1074">
            <v>6977.86</v>
          </cell>
        </row>
        <row r="1075">
          <cell r="L1075" t="str">
            <v>KRông Bông - TT1 Đăk Lăk</v>
          </cell>
          <cell r="M1075" t="str">
            <v>1847.74</v>
          </cell>
          <cell r="N1075" t="str">
            <v>1752.00</v>
          </cell>
          <cell r="O1075" t="str">
            <v>12.690887</v>
          </cell>
          <cell r="P1075" t="str">
            <v>108.067472</v>
          </cell>
          <cell r="Q1075" t="str">
            <v>95.74</v>
          </cell>
          <cell r="R1075" t="str">
            <v>12.703134</v>
          </cell>
          <cell r="S1075" t="str">
            <v>108.156822</v>
          </cell>
          <cell r="T1075" t="str">
            <v>full_h04/Đắk Lắk/Mạng cấp III Đắk Lắk.kmz/Mạng cấp III Đắk Lắk/Ring 3/KRông Bông - TT1 Đăk Lăk/Trung thế 474-476BMT</v>
          </cell>
          <cell r="U1075">
            <v>1847.74</v>
          </cell>
        </row>
        <row r="1076">
          <cell r="L1076" t="str">
            <v>2</v>
          </cell>
          <cell r="M1076" t="str">
            <v>170.58</v>
          </cell>
          <cell r="N1076" t="str">
            <v>96.45</v>
          </cell>
          <cell r="O1076" t="str">
            <v>12.703130</v>
          </cell>
          <cell r="P1076" t="str">
            <v>108.156829</v>
          </cell>
          <cell r="Q1076" t="str">
            <v>74.14</v>
          </cell>
          <cell r="R1076" t="str">
            <v>12.703072</v>
          </cell>
          <cell r="S1076" t="str">
            <v>108.197072</v>
          </cell>
          <cell r="T1076" t="str">
            <v>full_h04/Đắk Lắk/Mạng cấp III Đắk Lắk.kmz/Mạng cấp III Đắk Lắk/Ring 2/TT1 Đak Lak - Krong Pak/Trung thế 295/2/8-C17</v>
          </cell>
          <cell r="U1076">
            <v>170.58</v>
          </cell>
        </row>
        <row r="1077">
          <cell r="L1077" t="str">
            <v>Ea Ning - TTCMKV Cư Kuin</v>
          </cell>
          <cell r="M1077" t="str">
            <v>3493.74</v>
          </cell>
          <cell r="N1077" t="str">
            <v>2935.12</v>
          </cell>
          <cell r="O1077" t="str">
            <v>12.573183</v>
          </cell>
          <cell r="P1077" t="str">
            <v>108.164991</v>
          </cell>
          <cell r="Q1077" t="str">
            <v>558.62</v>
          </cell>
          <cell r="R1077" t="str">
            <v>12.561987</v>
          </cell>
          <cell r="S1077" t="str">
            <v>108.168619</v>
          </cell>
          <cell r="T1077" t="str">
            <v>full_h04/Đắk Lắk/Mạng cấp IV Đắk Lắk.kmz/Mạng cấp IV Đắk Lắk/Đắk Lắk Ring 2.kmz/Đắk Lắk Ring 2/Ea Ning - TTCMKV Cư Kuin/Trung thế 474KNA-473KNA</v>
          </cell>
          <cell r="U1077">
            <v>3493.74</v>
          </cell>
        </row>
        <row r="1078">
          <cell r="L1078" t="str">
            <v>Cơ sở cai nghiện (X. Tân Tiến, H. Kron Pắc) - TTCMKV Krong Pắc</v>
          </cell>
          <cell r="M1078" t="str">
            <v>273.46</v>
          </cell>
          <cell r="N1078" t="str">
            <v>69.15</v>
          </cell>
          <cell r="O1078" t="str">
            <v>12.655667</v>
          </cell>
          <cell r="P1078" t="str">
            <v>108.343625</v>
          </cell>
          <cell r="Q1078" t="str">
            <v>204.32</v>
          </cell>
          <cell r="R1078" t="str">
            <v>12.703611</v>
          </cell>
          <cell r="S1078" t="str">
            <v>108.321577</v>
          </cell>
          <cell r="T1078" t="str">
            <v>full_h04/Đắk Lắk/Mạng cấp III Đắk Lắk.kmz/Mạng cấp III Đắk Lắk/Cơ sở cai nghiện (X. Tân Tiến, H. Kron Pắc) - TTCMKV Krong Pắc/Trung thế</v>
          </cell>
          <cell r="U1078">
            <v>273.45999999999998</v>
          </cell>
        </row>
        <row r="1079">
          <cell r="L1079" t="str">
            <v>TT1 Đăk Lăk - ILA Ea Kar</v>
          </cell>
          <cell r="M1079" t="str">
            <v>91513.71</v>
          </cell>
          <cell r="N1079" t="str">
            <v>892.22</v>
          </cell>
          <cell r="O1079" t="str">
            <v>12.690893</v>
          </cell>
          <cell r="P1079" t="str">
            <v>108.067450</v>
          </cell>
          <cell r="Q1079" t="str">
            <v>90621.49</v>
          </cell>
          <cell r="R1079" t="str">
            <v>12.811566</v>
          </cell>
          <cell r="S1079" t="str">
            <v>108.483311</v>
          </cell>
          <cell r="T1079" t="str">
            <v>full_h04/Đắk Lắk/Mạng cấp II Đắk Lắk.kmz/Link 1/TT1 Đăk Lăk - ILA Ea Kar/Trung thế</v>
          </cell>
          <cell r="U1079">
            <v>91513.71</v>
          </cell>
        </row>
        <row r="1080">
          <cell r="L1080" t="str">
            <v>Buôn Hồ - Ea H'Leo</v>
          </cell>
          <cell r="M1080" t="str">
            <v>830.55</v>
          </cell>
          <cell r="N1080" t="str">
            <v>772.28</v>
          </cell>
          <cell r="O1080" t="str">
            <v>12.920682</v>
          </cell>
          <cell r="P1080" t="str">
            <v>108.264574</v>
          </cell>
          <cell r="Q1080" t="str">
            <v>58.27</v>
          </cell>
          <cell r="R1080" t="str">
            <v>12.916486</v>
          </cell>
          <cell r="S1080" t="str">
            <v>108.266068</v>
          </cell>
          <cell r="T1080" t="str">
            <v>full_h04/Đắk Lắk/Mạng cấp III Đắk Lắk.kmz/Mạng cấp III Đắk Lắk/Ring 1/Buôn Hồ - Ea H'Leo/Trung Thế</v>
          </cell>
          <cell r="U1080">
            <v>830.55</v>
          </cell>
        </row>
        <row r="1081">
          <cell r="L1081" t="str">
            <v>10</v>
          </cell>
          <cell r="M1081" t="str">
            <v>3378.13</v>
          </cell>
          <cell r="N1081" t="str">
            <v>3360.45</v>
          </cell>
          <cell r="O1081" t="str">
            <v>13.118842</v>
          </cell>
          <cell r="P1081" t="str">
            <v>108.329487</v>
          </cell>
          <cell r="Q1081" t="str">
            <v>17.68</v>
          </cell>
          <cell r="R1081" t="str">
            <v>13.116583</v>
          </cell>
          <cell r="S1081" t="str">
            <v>108.329257</v>
          </cell>
          <cell r="T1081" t="str">
            <v>full_h04/Đắk Lắk/Mạng cấp IV Đắk Lắk.kmz/Mạng cấp IV Đắk Lắk/Đắk Lắk Ring 19.kmz/Dliê Ya - Ea Hiao/Hạ thế Dile Ya__127/10/11(472KRN)</v>
          </cell>
          <cell r="U1081">
            <v>3378.13</v>
          </cell>
        </row>
        <row r="1082">
          <cell r="L1082" t="str">
            <v>22</v>
          </cell>
          <cell r="M1082" t="str">
            <v>2069.59</v>
          </cell>
          <cell r="N1082" t="str">
            <v>2033.59</v>
          </cell>
          <cell r="O1082" t="str">
            <v>12.989837</v>
          </cell>
          <cell r="P1082" t="str">
            <v>108.321312</v>
          </cell>
          <cell r="Q1082" t="str">
            <v>35.99</v>
          </cell>
          <cell r="R1082" t="str">
            <v>12.951675</v>
          </cell>
          <cell r="S1082" t="str">
            <v>108.344356</v>
          </cell>
          <cell r="T1082" t="str">
            <v>full_h04/Đắk Lắk/Mạng cấp IV Đắk Lắk.kmz/Mạng cấp IV Đắk Lắk/Đắk Lắk Ring 20.kmz/Tam Giang - TTCMKV Krông Năng/Trung thế 55/22/5(474KRN)__KrongNang</v>
          </cell>
          <cell r="U1082">
            <v>2069.59</v>
          </cell>
        </row>
        <row r="1083">
          <cell r="L1083" t="str">
            <v>Cư M'ga - Buôn Hồ</v>
          </cell>
          <cell r="M1083" t="str">
            <v>162.51</v>
          </cell>
          <cell r="N1083" t="str">
            <v>44.45</v>
          </cell>
          <cell r="O1083" t="str">
            <v>12.910539</v>
          </cell>
          <cell r="P1083" t="str">
            <v>108.190575</v>
          </cell>
          <cell r="Q1083" t="str">
            <v>118.05</v>
          </cell>
          <cell r="R1083" t="str">
            <v>12.892032</v>
          </cell>
          <cell r="S1083" t="str">
            <v>108.181015</v>
          </cell>
          <cell r="T1083" t="str">
            <v>full_h04/Đắk Lắk/Mạng cấp III Đắk Lắk.kmz/Mạng cấp III Đắk Lắk/Ring 1/Cư M'ga - Buôn Hồ/Trung thế</v>
          </cell>
          <cell r="U1083">
            <v>162.51</v>
          </cell>
        </row>
        <row r="1084">
          <cell r="L1084" t="str">
            <v>Cư M'ga - Buôn Hồ</v>
          </cell>
          <cell r="M1084" t="str">
            <v>1958.36</v>
          </cell>
          <cell r="N1084" t="str">
            <v>1913.91</v>
          </cell>
          <cell r="O1084" t="str">
            <v>12.906500</v>
          </cell>
          <cell r="P1084" t="str">
            <v>108.152697</v>
          </cell>
          <cell r="Q1084" t="str">
            <v>44.45</v>
          </cell>
          <cell r="R1084" t="str">
            <v>12.910539</v>
          </cell>
          <cell r="S1084" t="str">
            <v>108.190575</v>
          </cell>
          <cell r="T1084" t="str">
            <v>full_h04/Đắk Lắk/Mạng cấp III Đắk Lắk.kmz/Mạng cấp III Đắk Lắk/Ring 1/Cư M'ga - Buôn Hồ/Trung thế</v>
          </cell>
          <cell r="U1084">
            <v>1958.36</v>
          </cell>
        </row>
        <row r="1085">
          <cell r="L1085" t="str">
            <v>Hòa Phú - Ea Na</v>
          </cell>
          <cell r="M1085" t="str">
            <v>3377.85</v>
          </cell>
          <cell r="N1085" t="str">
            <v>2662.74</v>
          </cell>
          <cell r="O1085" t="str">
            <v>12.600441</v>
          </cell>
          <cell r="P1085" t="str">
            <v>107.950039</v>
          </cell>
          <cell r="Q1085" t="str">
            <v>715.11</v>
          </cell>
          <cell r="R1085" t="str">
            <v>12.618955</v>
          </cell>
          <cell r="S1085" t="str">
            <v>107.946549</v>
          </cell>
          <cell r="T1085" t="str">
            <v>full_h04/Đắk Lắk/Mạng cấp IV Đắk Lắk.kmz/Mạng cấp IV Đắk Lắk/Đắk Lắk Ring 11.kmz/Đắk Lắk Ring 11/Hòa Phú - Ea Na/Trung thế 475CJU</v>
          </cell>
          <cell r="U1085">
            <v>3377.85</v>
          </cell>
        </row>
        <row r="1086">
          <cell r="L1086" t="str">
            <v>Trung thế 5</v>
          </cell>
          <cell r="M1086" t="str">
            <v>1286.07</v>
          </cell>
          <cell r="N1086" t="str">
            <v>211.30</v>
          </cell>
          <cell r="O1086" t="str">
            <v>12.955921</v>
          </cell>
          <cell r="P1086" t="str">
            <v>108.227239</v>
          </cell>
          <cell r="Q1086" t="str">
            <v>1074.77</v>
          </cell>
          <cell r="R1086" t="str">
            <v>12.961758</v>
          </cell>
          <cell r="S1086" t="str">
            <v>108.241324</v>
          </cell>
          <cell r="T1086" t="str">
            <v>full_h04/Đắk Lắk/Mạng cấp IV Đắk Lắk.kmz/Mạng cấp IV Đắk Lắk/Đắk Lắk Ring 17.kmz/Pơng Drang - Cư Pơng/Trung thế 5/4(475T2KBU)__81(475T2KBU)</v>
          </cell>
          <cell r="U1086">
            <v>1286.07</v>
          </cell>
        </row>
        <row r="1087">
          <cell r="L1087" t="str">
            <v>1(475T2KBU)__126</v>
          </cell>
          <cell r="M1087" t="str">
            <v>2462.79</v>
          </cell>
          <cell r="N1087" t="str">
            <v>2013.20</v>
          </cell>
          <cell r="O1087" t="str">
            <v>12.994935</v>
          </cell>
          <cell r="P1087" t="str">
            <v>108.161522</v>
          </cell>
          <cell r="Q1087" t="str">
            <v>449.59</v>
          </cell>
          <cell r="R1087" t="str">
            <v>12.976003</v>
          </cell>
          <cell r="S1087" t="str">
            <v>108.167178</v>
          </cell>
          <cell r="T1087" t="str">
            <v>full_h04/Đắk Lắk/Mạng cấp IV Đắk Lắk.kmz/Mạng cấp IV Đắk Lắk/Đắk Lắk Ring 17.kmz/Pơng Drang - Cư Pơng/Trung thế 126/1(475T2KBU)__126/52(475T2KBU)</v>
          </cell>
          <cell r="U1087">
            <v>2462.79</v>
          </cell>
        </row>
        <row r="1088">
          <cell r="L1088" t="str">
            <v>TT1 Đăk Lăk - ILA Ea Kar</v>
          </cell>
          <cell r="M1088" t="str">
            <v>764.99</v>
          </cell>
          <cell r="N1088" t="str">
            <v>69.25</v>
          </cell>
          <cell r="O1088" t="str">
            <v>12.811566</v>
          </cell>
          <cell r="P1088" t="str">
            <v>108.483311</v>
          </cell>
          <cell r="Q1088" t="str">
            <v>695.74</v>
          </cell>
          <cell r="R1088" t="str">
            <v>12.809038</v>
          </cell>
          <cell r="S1088" t="str">
            <v>108.447738</v>
          </cell>
          <cell r="T1088" t="str">
            <v>full_h04/Đắk Lắk/Mạng cấp II Đắk Lắk.kmz/Link 1/TT1 Đăk Lăk - ILA Ea Kar/Trung thế</v>
          </cell>
          <cell r="U1088">
            <v>764.99</v>
          </cell>
        </row>
        <row r="1089">
          <cell r="L1089" t="str">
            <v>44</v>
          </cell>
          <cell r="M1089" t="str">
            <v>337.09</v>
          </cell>
          <cell r="N1089" t="str">
            <v>107.36</v>
          </cell>
          <cell r="O1089" t="str">
            <v>12.808430</v>
          </cell>
          <cell r="P1089" t="str">
            <v>108.563661</v>
          </cell>
          <cell r="Q1089" t="str">
            <v>229.73</v>
          </cell>
          <cell r="R1089" t="str">
            <v>12.805197</v>
          </cell>
          <cell r="S1089" t="str">
            <v>108.542107</v>
          </cell>
          <cell r="T1089" t="str">
            <v>full_h04/Đắk Lắk/Mạng cấp III Đắk Lắk.kmz/Mạng cấp III Đắk Lắk/Ring 2/KRông Păk - Trại giam Đăk Tân (C10)/Trung thế 471F1__5/29__25/44/147__472F18</v>
          </cell>
          <cell r="U1089">
            <v>337.09</v>
          </cell>
        </row>
        <row r="1090">
          <cell r="L1090" t="str">
            <v>Trung thế 373EKA__15__331</v>
          </cell>
          <cell r="M1090" t="str">
            <v>411.86</v>
          </cell>
          <cell r="N1090" t="str">
            <v>229.90</v>
          </cell>
          <cell r="O1090" t="str">
            <v>12.785001</v>
          </cell>
          <cell r="P1090" t="str">
            <v>108.543803</v>
          </cell>
          <cell r="Q1090" t="str">
            <v>181.96</v>
          </cell>
          <cell r="R1090" t="str">
            <v>12.803478</v>
          </cell>
          <cell r="S1090" t="str">
            <v>108.539529</v>
          </cell>
          <cell r="T1090" t="str">
            <v>full_h04/Đắk Lắk/Mạng cấp IV Đắk Lắk.kmz/Mạng cấp IV Đắk Lắk/Đắk Lắk Ring 5.kmz/TTCMKV Ea Kar - Ea Păl/Trung thế 373EKA__15__331/2__474EKA</v>
          </cell>
          <cell r="U1090">
            <v>411.86</v>
          </cell>
        </row>
        <row r="1091">
          <cell r="L1091" t="str">
            <v>ILA Ea Pal - ILA Sơn Thành</v>
          </cell>
          <cell r="M1091" t="str">
            <v>3543.63</v>
          </cell>
          <cell r="N1091" t="str">
            <v>3525.09</v>
          </cell>
          <cell r="O1091" t="str">
            <v>12.726099</v>
          </cell>
          <cell r="P1091" t="str">
            <v>108.555770</v>
          </cell>
          <cell r="Q1091" t="str">
            <v>18.55</v>
          </cell>
          <cell r="R1091" t="str">
            <v>12.725867</v>
          </cell>
          <cell r="S1091" t="str">
            <v>108.555091</v>
          </cell>
          <cell r="T1091" t="str">
            <v>full_h04/Đắk Lắk/Mạng cấp II Đắk Lắk.kmz/Link 2/ILA Ea Pal - ILA Sơn Thành/hạ thế</v>
          </cell>
          <cell r="U1091">
            <v>3543.63</v>
          </cell>
        </row>
        <row r="1092">
          <cell r="L1092" t="str">
            <v>ILA Ea Pal - ILA Sơn Thành</v>
          </cell>
          <cell r="M1092" t="str">
            <v>476.08</v>
          </cell>
          <cell r="N1092" t="str">
            <v>389.47</v>
          </cell>
          <cell r="O1092" t="str">
            <v>12.703554</v>
          </cell>
          <cell r="P1092" t="str">
            <v>108.583943</v>
          </cell>
          <cell r="Q1092" t="str">
            <v>86.61</v>
          </cell>
          <cell r="R1092" t="str">
            <v>12.726106</v>
          </cell>
          <cell r="S1092" t="str">
            <v>108.555781</v>
          </cell>
          <cell r="T1092" t="str">
            <v>full_h04/Đắk Lắk/Mạng cấp II Đắk Lắk.kmz/Link 2/ILA Ea Pal - ILA Sơn Thành/Trung thế</v>
          </cell>
          <cell r="U1092">
            <v>476.08</v>
          </cell>
        </row>
        <row r="1093">
          <cell r="L1093" t="str">
            <v>Ea Kly - Ea Kar</v>
          </cell>
          <cell r="M1093" t="str">
            <v>306.67</v>
          </cell>
          <cell r="N1093" t="str">
            <v>255.67</v>
          </cell>
          <cell r="O1093" t="str">
            <v>12.785982</v>
          </cell>
          <cell r="P1093" t="str">
            <v>108.410808</v>
          </cell>
          <cell r="Q1093" t="str">
            <v>51.01</v>
          </cell>
          <cell r="R1093" t="str">
            <v>12.762475</v>
          </cell>
          <cell r="S1093" t="str">
            <v>108.414926</v>
          </cell>
          <cell r="T1093" t="str">
            <v>full_h04/Đắk Lắk/Mạng cấp IV Đắk Lắk.kmz/Mạng cấp IV Đắk Lắk/Đắk Lắk Ring 7.kmz/Đắk Lắk Ring 7/Ea Kly - Ea Kar/Trung thế 471EKA</v>
          </cell>
          <cell r="U1093">
            <v>306.67</v>
          </cell>
        </row>
        <row r="1094">
          <cell r="L1094" t="str">
            <v>TT1 Đăk Lăk - ILA Ea Kar</v>
          </cell>
          <cell r="M1094" t="str">
            <v>1432.09</v>
          </cell>
          <cell r="N1094" t="str">
            <v>120.49</v>
          </cell>
          <cell r="O1094" t="str">
            <v>12.770160</v>
          </cell>
          <cell r="P1094" t="str">
            <v>108.391271</v>
          </cell>
          <cell r="Q1094" t="str">
            <v>1311.61</v>
          </cell>
          <cell r="R1094" t="str">
            <v>12.770509</v>
          </cell>
          <cell r="S1094" t="str">
            <v>108.405835</v>
          </cell>
          <cell r="T1094" t="str">
            <v>full_h04/Đắk Lắk/Mạng cấp II Đắk Lắk.kmz/Link 1/TT1 Đăk Lăk - ILA Ea Kar/Trung thế</v>
          </cell>
          <cell r="U1094">
            <v>1432.09</v>
          </cell>
        </row>
        <row r="1095">
          <cell r="L1095" t="str">
            <v>Ea Phê - Ea Kly</v>
          </cell>
          <cell r="M1095" t="str">
            <v>1811.48</v>
          </cell>
          <cell r="N1095" t="str">
            <v>1748.06</v>
          </cell>
          <cell r="O1095" t="str">
            <v>12.749114</v>
          </cell>
          <cell r="P1095" t="str">
            <v>108.421342</v>
          </cell>
          <cell r="Q1095" t="str">
            <v>63.42</v>
          </cell>
          <cell r="R1095" t="str">
            <v>12.762024</v>
          </cell>
          <cell r="S1095" t="str">
            <v>108.415022</v>
          </cell>
          <cell r="T1095" t="str">
            <v>full_h04/Đắk Lắk/Mạng cấp IV Đắk Lắk.kmz/Mạng cấp IV Đắk Lắk/Đắk Lắk Ring 7.kmz/Đắk Lắk Ring 7/Ea Phê - Ea Kly/Trung thế 471EKA</v>
          </cell>
          <cell r="U1095">
            <v>1811.48</v>
          </cell>
        </row>
        <row r="1096">
          <cell r="L1096" t="str">
            <v>Ea Phê - Ea Kly</v>
          </cell>
          <cell r="M1096" t="str">
            <v>818.05</v>
          </cell>
          <cell r="N1096" t="str">
            <v>754.63</v>
          </cell>
          <cell r="O1096" t="str">
            <v>12.748787</v>
          </cell>
          <cell r="P1096" t="str">
            <v>108.421536</v>
          </cell>
          <cell r="Q1096" t="str">
            <v>63.42</v>
          </cell>
          <cell r="R1096" t="str">
            <v>12.762024</v>
          </cell>
          <cell r="S1096" t="str">
            <v>108.415022</v>
          </cell>
          <cell r="T1096" t="str">
            <v>full_h04/Đắk Lắk/Mạng cấp IV Đắk Lắk.kmz/Mạng cấp IV Đắk Lắk/Đắk Lắk Ring 7.kmz/Đắk Lắk Ring 7/Ea Phê - Ea Kly/Trung thế 471EKA</v>
          </cell>
          <cell r="U1096">
            <v>818.05</v>
          </cell>
        </row>
        <row r="1097">
          <cell r="L1097" t="str">
            <v>Ea Phê - Ea Kly</v>
          </cell>
          <cell r="M1097" t="str">
            <v>407.09</v>
          </cell>
          <cell r="N1097" t="str">
            <v>306.63</v>
          </cell>
          <cell r="O1097" t="str">
            <v>12.766622</v>
          </cell>
          <cell r="P1097" t="str">
            <v>108.369870</v>
          </cell>
          <cell r="Q1097" t="str">
            <v>100.46</v>
          </cell>
          <cell r="R1097" t="str">
            <v>12.727857</v>
          </cell>
          <cell r="S1097" t="str">
            <v>108.364123</v>
          </cell>
          <cell r="T1097" t="str">
            <v>full_h04/Đắk Lắk/Mạng cấp IV Đắk Lắk.kmz/Mạng cấp IV Đắk Lắk/Đắk Lắk Ring 7.kmz/Đắk Lắk Ring 7/Ea Phê - Ea Kly/Trung thế 482KRP</v>
          </cell>
          <cell r="U1097">
            <v>407.09</v>
          </cell>
        </row>
        <row r="1098">
          <cell r="L1098" t="str">
            <v>KRông Păk - Trại giam Đăk Tân (C10)</v>
          </cell>
          <cell r="M1098" t="str">
            <v>2940.95</v>
          </cell>
          <cell r="N1098" t="str">
            <v>2855.55</v>
          </cell>
          <cell r="O1098" t="str">
            <v>12.760440</v>
          </cell>
          <cell r="P1098" t="str">
            <v>108.368980</v>
          </cell>
          <cell r="Q1098" t="str">
            <v>85.40</v>
          </cell>
          <cell r="R1098" t="str">
            <v>12.727708</v>
          </cell>
          <cell r="S1098" t="str">
            <v>108.363954</v>
          </cell>
          <cell r="T1098" t="str">
            <v>full_h04/Đắk Lắk/Mạng cấp III Đắk Lắk.kmz/Mạng cấp III Đắk Lắk/Ring 2/KRông Păk - Trại giam Đăk Tân (C10)/Trung thế 40__258</v>
          </cell>
          <cell r="U1098">
            <v>2940.95</v>
          </cell>
        </row>
        <row r="1099">
          <cell r="L1099" t="str">
            <v>77</v>
          </cell>
          <cell r="M1099" t="str">
            <v>957.88</v>
          </cell>
          <cell r="N1099" t="str">
            <v>830.47</v>
          </cell>
          <cell r="O1099" t="str">
            <v>12.650548</v>
          </cell>
          <cell r="P1099" t="str">
            <v>108.432001</v>
          </cell>
          <cell r="Q1099" t="str">
            <v>127.41</v>
          </cell>
          <cell r="R1099" t="str">
            <v>12.658647</v>
          </cell>
          <cell r="S1099" t="str">
            <v>108.431655</v>
          </cell>
          <cell r="T1099" t="str">
            <v>full_h04/Đắk Lắk/Mạng cấp IV Đắk Lắk.kmz/Mạng cấp IV Đắk Lắk/Đắk Lắk Ring 8.kmz/Tân Tiến - Vụ Bổn/Trung thế 474KRP__243/18/11__243/77/19__474KRP</v>
          </cell>
          <cell r="U1099">
            <v>957.88</v>
          </cell>
        </row>
        <row r="1100">
          <cell r="L1100" t="str">
            <v>TT1 Đăk Lăk - ILA Ea Pal</v>
          </cell>
          <cell r="M1100" t="str">
            <v>889.08</v>
          </cell>
          <cell r="N1100" t="str">
            <v>138.70</v>
          </cell>
          <cell r="O1100" t="str">
            <v>12.651728</v>
          </cell>
          <cell r="P1100" t="str">
            <v>108.374584</v>
          </cell>
          <cell r="Q1100" t="str">
            <v>750.37</v>
          </cell>
          <cell r="R1100" t="str">
            <v>12.661210</v>
          </cell>
          <cell r="S1100" t="str">
            <v>108.347521</v>
          </cell>
          <cell r="T1100" t="str">
            <v>full_h04/Đắk Lắk/Mạng cấp II Đắk Lắk.kmz/Link 2/TT1 Đăk Lăk - ILA Ea Pal/Trung thế</v>
          </cell>
          <cell r="U1100">
            <v>889.08</v>
          </cell>
        </row>
        <row r="1101">
          <cell r="L1101" t="str">
            <v>KRông Bông - TT1 Đăk Lăk</v>
          </cell>
          <cell r="M1101" t="str">
            <v>750.43</v>
          </cell>
          <cell r="N1101" t="str">
            <v>328.86</v>
          </cell>
          <cell r="O1101" t="str">
            <v>12.635908</v>
          </cell>
          <cell r="P1101" t="str">
            <v>108.340936</v>
          </cell>
          <cell r="Q1101" t="str">
            <v>421.57</v>
          </cell>
          <cell r="R1101" t="str">
            <v>12.652396</v>
          </cell>
          <cell r="S1101" t="str">
            <v>108.341959</v>
          </cell>
          <cell r="T1101" t="str">
            <v>full_h04/Đắk Lắk/Mạng cấp III Đắk Lắk.kmz/Mạng cấp III Đắk Lắk/Ring 3/KRông Bông - TT1 Đăk Lăk/Trung thế 472KRP</v>
          </cell>
          <cell r="U1101">
            <v>750.43</v>
          </cell>
        </row>
        <row r="1102">
          <cell r="L1102" t="str">
            <v>2</v>
          </cell>
          <cell r="M1102" t="str">
            <v>1709.26</v>
          </cell>
          <cell r="N1102" t="str">
            <v>1612.81</v>
          </cell>
          <cell r="O1102" t="str">
            <v>12.698812</v>
          </cell>
          <cell r="P1102" t="str">
            <v>108.138423</v>
          </cell>
          <cell r="Q1102" t="str">
            <v>96.45</v>
          </cell>
          <cell r="R1102" t="str">
            <v>12.703130</v>
          </cell>
          <cell r="S1102" t="str">
            <v>108.156829</v>
          </cell>
          <cell r="T1102" t="str">
            <v>full_h04/Đắk Lắk/Mạng cấp III Đắk Lắk.kmz/Mạng cấp III Đắk Lắk/Ring 2/TT1 Đak Lak - Krong Pak/Trung thế 295/2/8-C17</v>
          </cell>
          <cell r="U1102">
            <v>1709.26</v>
          </cell>
        </row>
        <row r="1103">
          <cell r="L1103" t="str">
            <v>KRông Bông - TT1 Đăk Lăk</v>
          </cell>
          <cell r="M1103" t="str">
            <v>580.85</v>
          </cell>
          <cell r="N1103" t="str">
            <v>485.10</v>
          </cell>
          <cell r="O1103" t="str">
            <v>12.699388</v>
          </cell>
          <cell r="P1103" t="str">
            <v>108.167626</v>
          </cell>
          <cell r="Q1103" t="str">
            <v>95.74</v>
          </cell>
          <cell r="R1103" t="str">
            <v>12.703134</v>
          </cell>
          <cell r="S1103" t="str">
            <v>108.156822</v>
          </cell>
          <cell r="T1103" t="str">
            <v>full_h04/Đắk Lắk/Mạng cấp III Đắk Lắk.kmz/Mạng cấp III Đắk Lắk/Ring 3/KRông Bông - TT1 Đăk Lăk/Trung thế 474-476BMT</v>
          </cell>
          <cell r="U1103">
            <v>580.85</v>
          </cell>
        </row>
        <row r="1104">
          <cell r="L1104" t="str">
            <v>2</v>
          </cell>
          <cell r="M1104" t="str">
            <v>264.11</v>
          </cell>
          <cell r="N1104" t="str">
            <v>167.66</v>
          </cell>
          <cell r="O1104" t="str">
            <v>12.701106</v>
          </cell>
          <cell r="P1104" t="str">
            <v>108.181884</v>
          </cell>
          <cell r="Q1104" t="str">
            <v>96.45</v>
          </cell>
          <cell r="R1104" t="str">
            <v>12.703130</v>
          </cell>
          <cell r="S1104" t="str">
            <v>108.156829</v>
          </cell>
          <cell r="T1104" t="str">
            <v>full_h04/Đắk Lắk/Mạng cấp III Đắk Lắk.kmz/Mạng cấp III Đắk Lắk/Ring 2/TT1 Đak Lak - Krong Pak/Trung thế 295/2/8-C17</v>
          </cell>
          <cell r="U1104">
            <v>264.11</v>
          </cell>
        </row>
        <row r="1105">
          <cell r="L1105" t="str">
            <v>TTCMKV Cư Kuin - Dang Kang</v>
          </cell>
          <cell r="M1105" t="str">
            <v>733.33</v>
          </cell>
          <cell r="N1105" t="str">
            <v>176.01</v>
          </cell>
          <cell r="O1105" t="str">
            <v>12.553972</v>
          </cell>
          <cell r="P1105" t="str">
            <v>108.203045</v>
          </cell>
          <cell r="Q1105" t="str">
            <v>557.32</v>
          </cell>
          <cell r="R1105" t="str">
            <v>12.561992</v>
          </cell>
          <cell r="S1105" t="str">
            <v>108.168603</v>
          </cell>
          <cell r="T1105" t="str">
            <v>full_h04/Đắk Lắk/Mạng cấp IV Đắk Lắk.kmz/Mạng cấp IV Đắk Lắk/Đắk Lắk Ring 4.kmz/Đắk Lắk Ring 4/TTCMKV Cư Kuin - Dang Kang/Trung thế 473KNA</v>
          </cell>
          <cell r="U1105">
            <v>733.33</v>
          </cell>
        </row>
        <row r="1106">
          <cell r="L1106" t="str">
            <v>KRông Bông - TT1 Đăk Lăk</v>
          </cell>
          <cell r="M1106" t="str">
            <v>208.69</v>
          </cell>
          <cell r="N1106" t="str">
            <v>77.94</v>
          </cell>
          <cell r="O1106" t="str">
            <v>12.572417</v>
          </cell>
          <cell r="P1106" t="str">
            <v>108.334871</v>
          </cell>
          <cell r="Q1106" t="str">
            <v>130.75</v>
          </cell>
          <cell r="R1106" t="str">
            <v>12.590354</v>
          </cell>
          <cell r="S1106" t="str">
            <v>108.327568</v>
          </cell>
          <cell r="T1106" t="str">
            <v>full_h04/Đắk Lắk/Mạng cấp III Đắk Lắk.kmz/Mạng cấp III Đắk Lắk/Ring 3/KRông Bông - TT1 Đăk Lăk/Trung thế 475KBO</v>
          </cell>
          <cell r="U1106">
            <v>208.69</v>
          </cell>
        </row>
        <row r="1107">
          <cell r="L1107" t="str">
            <v>KRông Bông - TT1 Đăk Lăk</v>
          </cell>
          <cell r="M1107" t="str">
            <v>1111.03</v>
          </cell>
          <cell r="N1107" t="str">
            <v>1033.09</v>
          </cell>
          <cell r="O1107" t="str">
            <v>12.554666</v>
          </cell>
          <cell r="P1107" t="str">
            <v>108.326068</v>
          </cell>
          <cell r="Q1107" t="str">
            <v>77.94</v>
          </cell>
          <cell r="R1107" t="str">
            <v>12.572417</v>
          </cell>
          <cell r="S1107" t="str">
            <v>108.334871</v>
          </cell>
          <cell r="T1107" t="str">
            <v>full_h04/Đắk Lắk/Mạng cấp III Đắk Lắk.kmz/Mạng cấp III Đắk Lắk/Ring 3/KRông Bông - TT1 Đăk Lăk/Trung thế 475KBO</v>
          </cell>
          <cell r="U1107">
            <v>1111.03</v>
          </cell>
        </row>
        <row r="1108">
          <cell r="L1108" t="str">
            <v>TT1 Đăk Lăk - ILA Ea Kar</v>
          </cell>
          <cell r="M1108" t="str">
            <v>95655.21</v>
          </cell>
          <cell r="N1108" t="str">
            <v>1149.39</v>
          </cell>
          <cell r="O1108" t="str">
            <v>12.697469</v>
          </cell>
          <cell r="P1108" t="str">
            <v>108.071369</v>
          </cell>
          <cell r="Q1108" t="str">
            <v>94505.82</v>
          </cell>
          <cell r="R1108" t="str">
            <v>12.811566</v>
          </cell>
          <cell r="S1108" t="str">
            <v>108.483311</v>
          </cell>
          <cell r="T1108" t="str">
            <v>full_h04/Đắk Lắk/Mạng cấp II Đắk Lắk.kmz/Link 1/TT1 Đăk Lăk - ILA Ea Kar/Trung thế</v>
          </cell>
          <cell r="U1108">
            <v>95655.21</v>
          </cell>
        </row>
        <row r="1109">
          <cell r="L1109" t="str">
            <v>Thành Nhất - Ea Nuôl</v>
          </cell>
          <cell r="M1109" t="str">
            <v>1637.45</v>
          </cell>
          <cell r="N1109" t="str">
            <v>1225.47</v>
          </cell>
          <cell r="O1109" t="str">
            <v>12.682732</v>
          </cell>
          <cell r="P1109" t="str">
            <v>108.006702</v>
          </cell>
          <cell r="Q1109" t="str">
            <v>411.98</v>
          </cell>
          <cell r="R1109" t="str">
            <v>12.682619</v>
          </cell>
          <cell r="S1109" t="str">
            <v>108.012011</v>
          </cell>
          <cell r="T1109" t="str">
            <v>full_h04/Đắk Lắk/Mạng cấp IV Đắk Lắk.kmz/Mạng cấp IV Đắk Lắk/Đắk Lắk Ring 12.kmz/Đắk Lắk Ring 12/Thành Nhất - Ea Nuôl/Trung thế Buôn Đôn Ea Nuôil</v>
          </cell>
          <cell r="U1109">
            <v>1637.45</v>
          </cell>
        </row>
        <row r="1110">
          <cell r="L1110" t="str">
            <v>Trung thế __200</v>
          </cell>
          <cell r="M1110" t="str">
            <v>1584.32</v>
          </cell>
          <cell r="N1110" t="str">
            <v>1533.33</v>
          </cell>
          <cell r="O1110" t="str">
            <v>13.267206</v>
          </cell>
          <cell r="P1110" t="str">
            <v>108.291806</v>
          </cell>
          <cell r="Q1110" t="str">
            <v>51.00</v>
          </cell>
          <cell r="R1110" t="str">
            <v>13.266173</v>
          </cell>
          <cell r="S1110" t="str">
            <v>108.287495</v>
          </cell>
          <cell r="T1110" t="str">
            <v>full_h04/Đắk Lắk/Mạng cấp IV Đắk Lắk.kmz/Mạng cấp IV Đắk Lắk/Đắk Lắk Ring 19.kmz/Dliê Ya - Ea Hiao/Trung thế __200/137(475EHL)</v>
          </cell>
          <cell r="U1110">
            <v>1584.32</v>
          </cell>
        </row>
        <row r="1111">
          <cell r="L1111" t="str">
            <v>Trung thế __200</v>
          </cell>
          <cell r="M1111" t="str">
            <v>967.46</v>
          </cell>
          <cell r="N1111" t="str">
            <v>916.47</v>
          </cell>
          <cell r="O1111" t="str">
            <v>13.259208</v>
          </cell>
          <cell r="P1111" t="str">
            <v>108.294458</v>
          </cell>
          <cell r="Q1111" t="str">
            <v>51.00</v>
          </cell>
          <cell r="R1111" t="str">
            <v>13.266173</v>
          </cell>
          <cell r="S1111" t="str">
            <v>108.287495</v>
          </cell>
          <cell r="T1111" t="str">
            <v>full_h04/Đắk Lắk/Mạng cấp IV Đắk Lắk.kmz/Mạng cấp IV Đắk Lắk/Đắk Lắk Ring 19.kmz/Dliê Ya - Ea Hiao/Trung thế __200/137(475EHL)</v>
          </cell>
          <cell r="U1111">
            <v>967.46</v>
          </cell>
        </row>
        <row r="1112">
          <cell r="L1112" t="str">
            <v>Trung tâm huấn luyện PX01 - TT1 Đăk Lăk</v>
          </cell>
          <cell r="M1112" t="str">
            <v>192.74</v>
          </cell>
          <cell r="N1112" t="str">
            <v>189.33</v>
          </cell>
          <cell r="O1112" t="str">
            <v>12.673265</v>
          </cell>
          <cell r="P1112" t="str">
            <v>108.033628</v>
          </cell>
          <cell r="Q1112" t="str">
            <v>3.41</v>
          </cell>
          <cell r="R1112" t="str">
            <v>12.673265</v>
          </cell>
          <cell r="S1112" t="str">
            <v>108.033628</v>
          </cell>
          <cell r="T1112" t="str">
            <v>full_h04/Đắk Lắk/Mạng cấp III Đắk Lắk.kmz/Mạng cấp III Đắk Lắk/Trung tâm huấn luyện PX01 - TT1 Đăk Lăk/Nhập trạm</v>
          </cell>
          <cell r="U1112">
            <v>192.74</v>
          </cell>
        </row>
        <row r="1113">
          <cell r="L1113" t="str">
            <v>CAT Đắk Lắk - Ea Kao</v>
          </cell>
          <cell r="M1113" t="str">
            <v>162.20</v>
          </cell>
          <cell r="N1113" t="str">
            <v>72.25</v>
          </cell>
          <cell r="O1113" t="str">
            <v>12.662886</v>
          </cell>
          <cell r="P1113" t="str">
            <v>108.034390</v>
          </cell>
          <cell r="Q1113" t="str">
            <v>89.95</v>
          </cell>
          <cell r="R1113" t="str">
            <v>12.660361</v>
          </cell>
          <cell r="S1113" t="str">
            <v>108.031069</v>
          </cell>
          <cell r="T1113" t="str">
            <v>full_h04/Đắk Lắk/Mạng cấp IV Đắk Lắk.kmz/Mạng cấp IV Đắk Lắk/Đắk Lắk Ring 2.kmz/Đắk Lắk Ring 2/CAT Đắk Lắk - Ea Kao/Trung thế -477BMT</v>
          </cell>
          <cell r="U1113">
            <v>162.19999999999999</v>
          </cell>
        </row>
        <row r="1114">
          <cell r="L1114" t="str">
            <v>TT1 Đăk Lăk - PA07</v>
          </cell>
          <cell r="M1114" t="str">
            <v>371.48</v>
          </cell>
          <cell r="N1114" t="str">
            <v>77.88</v>
          </cell>
          <cell r="O1114" t="str">
            <v>12.687636</v>
          </cell>
          <cell r="P1114" t="str">
            <v>108.052170</v>
          </cell>
          <cell r="Q1114" t="str">
            <v>293.60</v>
          </cell>
          <cell r="R1114" t="str">
            <v>12.686939</v>
          </cell>
          <cell r="S1114" t="str">
            <v>108.052724</v>
          </cell>
          <cell r="T1114" t="str">
            <v>full_h04/Đắk Lắk/Mạng cấp III Đắk Lắk.kmz/Mạng cấp III Đắk Lắk/Đơn vị Ring 6/TT1 Đăk Lăk - PA07/Trung thế 473BMT</v>
          </cell>
          <cell r="U1114">
            <v>371.48</v>
          </cell>
        </row>
        <row r="1115">
          <cell r="L1115" t="str">
            <v>TT1 Đăk Lăk - ILA Ea Pal</v>
          </cell>
          <cell r="M1115" t="str">
            <v>302.65</v>
          </cell>
          <cell r="N1115" t="str">
            <v>130.63</v>
          </cell>
          <cell r="O1115" t="str">
            <v>12.735425</v>
          </cell>
          <cell r="P1115" t="str">
            <v>108.537651</v>
          </cell>
          <cell r="Q1115" t="str">
            <v>172.02</v>
          </cell>
          <cell r="R1115" t="str">
            <v>12.726613</v>
          </cell>
          <cell r="S1115" t="str">
            <v>108.553820</v>
          </cell>
          <cell r="T1115" t="str">
            <v>full_h04/Đắk Lắk/Mạng cấp II Đắk Lắk.kmz/Link 2/TT1 Đăk Lăk - ILA Ea Pal/Trung thế</v>
          </cell>
          <cell r="U1115">
            <v>302.64999999999998</v>
          </cell>
        </row>
        <row r="1116">
          <cell r="L1116" t="str">
            <v>TT1 Đăk Lăk - ILA Ea Pal</v>
          </cell>
          <cell r="M1116" t="str">
            <v>1558.06</v>
          </cell>
          <cell r="N1116" t="str">
            <v>1386.04</v>
          </cell>
          <cell r="O1116" t="str">
            <v>12.709548</v>
          </cell>
          <cell r="P1116" t="str">
            <v>108.529346</v>
          </cell>
          <cell r="Q1116" t="str">
            <v>172.02</v>
          </cell>
          <cell r="R1116" t="str">
            <v>12.726613</v>
          </cell>
          <cell r="S1116" t="str">
            <v>108.553820</v>
          </cell>
          <cell r="T1116" t="str">
            <v>full_h04/Đắk Lắk/Mạng cấp II Đắk Lắk.kmz/Link 2/TT1 Đăk Lăk - ILA Ea Pal/Trung thế</v>
          </cell>
          <cell r="U1116">
            <v>1558.06</v>
          </cell>
        </row>
        <row r="1117">
          <cell r="L1117" t="str">
            <v>TTCMKV Cư Kuin - Hòa Sơn</v>
          </cell>
          <cell r="M1117" t="str">
            <v>250.35</v>
          </cell>
          <cell r="N1117" t="str">
            <v>99.57</v>
          </cell>
          <cell r="O1117" t="str">
            <v>12.504058</v>
          </cell>
          <cell r="P1117" t="str">
            <v>108.230287</v>
          </cell>
          <cell r="Q1117" t="str">
            <v>150.79</v>
          </cell>
          <cell r="R1117" t="str">
            <v>12.508934</v>
          </cell>
          <cell r="S1117" t="str">
            <v>108.218582</v>
          </cell>
          <cell r="T1117" t="str">
            <v>full_h04/Đắk Lắk/Mạng cấp IV Đắk Lắk.kmz/Mạng cấp IV Đắk Lắk/Đắk Lắk Ring 3.kmz/Đắk Lắk Ring 3/TTCMKV Cư Kuin - Hòa Sơn/Trung thế 471KBO</v>
          </cell>
          <cell r="U1117">
            <v>250.35</v>
          </cell>
        </row>
        <row r="1118">
          <cell r="L1118" t="str">
            <v>Hòa Sơn - Krông Bông</v>
          </cell>
          <cell r="M1118" t="str">
            <v>252.85</v>
          </cell>
          <cell r="N1118" t="str">
            <v>150.01</v>
          </cell>
          <cell r="O1118" t="str">
            <v>12.491547</v>
          </cell>
          <cell r="P1118" t="str">
            <v>108.263456</v>
          </cell>
          <cell r="Q1118" t="str">
            <v>102.84</v>
          </cell>
          <cell r="R1118" t="str">
            <v>12.503901</v>
          </cell>
          <cell r="S1118" t="str">
            <v>108.230475</v>
          </cell>
          <cell r="T1118" t="str">
            <v>full_h04/Đắk Lắk/Mạng cấp IV Đắk Lắk.kmz/Mạng cấp IV Đắk Lắk/Đắk Lắk Ring 3.kmz/Đắk Lắk Ring 3/Hòa Sơn - Krông Bông/Trung thế 471KBO</v>
          </cell>
          <cell r="U1118">
            <v>252.85</v>
          </cell>
        </row>
        <row r="1119">
          <cell r="L1119" t="str">
            <v>Lăk - KRông Bông</v>
          </cell>
          <cell r="M1119" t="str">
            <v>1326.43</v>
          </cell>
          <cell r="N1119" t="str">
            <v>316.24</v>
          </cell>
          <cell r="O1119" t="str">
            <v>12.486843</v>
          </cell>
          <cell r="P1119" t="str">
            <v>108.231129</v>
          </cell>
          <cell r="Q1119" t="str">
            <v>1010.20</v>
          </cell>
          <cell r="R1119" t="str">
            <v>12.494372</v>
          </cell>
          <cell r="S1119" t="str">
            <v>108.228418</v>
          </cell>
          <cell r="T1119" t="str">
            <v>full_h04/Đắk Lắk/Mạng cấp III Đắk Lắk.kmz/Mạng cấp III Đắk Lắk/Ring 3/Lăk - KRông Bông/Trung thế 371KBO</v>
          </cell>
          <cell r="U1119">
            <v>1326.43</v>
          </cell>
        </row>
        <row r="1120">
          <cell r="L1120" t="str">
            <v>KRông Bông - TT1 Đăk Lăk</v>
          </cell>
          <cell r="M1120" t="str">
            <v>1680.26</v>
          </cell>
          <cell r="N1120" t="str">
            <v>1602.32</v>
          </cell>
          <cell r="O1120" t="str">
            <v>12.547163</v>
          </cell>
          <cell r="P1120" t="str">
            <v>108.324113</v>
          </cell>
          <cell r="Q1120" t="str">
            <v>77.94</v>
          </cell>
          <cell r="R1120" t="str">
            <v>12.572417</v>
          </cell>
          <cell r="S1120" t="str">
            <v>108.334871</v>
          </cell>
          <cell r="T1120" t="str">
            <v>full_h04/Đắk Lắk/Mạng cấp III Đắk Lắk.kmz/Mạng cấp III Đắk Lắk/Ring 3/KRông Bông - TT1 Đăk Lăk/Trung thế 475KBO</v>
          </cell>
          <cell r="U1120">
            <v>1680.26</v>
          </cell>
        </row>
        <row r="1121">
          <cell r="L1121" t="str">
            <v>Tân Lập - Ea Knuec</v>
          </cell>
          <cell r="M1121" t="str">
            <v>149.16</v>
          </cell>
          <cell r="N1121" t="str">
            <v>30.17</v>
          </cell>
          <cell r="O1121" t="str">
            <v>12.662906</v>
          </cell>
          <cell r="P1121" t="str">
            <v>108.103032</v>
          </cell>
          <cell r="Q1121" t="str">
            <v>118.99</v>
          </cell>
          <cell r="R1121" t="str">
            <v>12.655568</v>
          </cell>
          <cell r="S1121" t="str">
            <v>108.107465</v>
          </cell>
          <cell r="T1121" t="str">
            <v>full_h04/Đắk Lắk/Mạng cấp IV Đắk Lắk.kmz/Mạng cấp IV Đắk Lắk/Đắk Lắk Ring 1.kmz/Đắk Lắk Ring 1/Tân Lập - Ea Knuec/Trung thế 472BMT</v>
          </cell>
          <cell r="U1121">
            <v>149.16</v>
          </cell>
        </row>
        <row r="1122">
          <cell r="L1122" t="str">
            <v>Trung thế 474T2KBU__126__R56</v>
          </cell>
          <cell r="M1122" t="str">
            <v>2466.69</v>
          </cell>
          <cell r="N1122" t="str">
            <v>2435.82</v>
          </cell>
          <cell r="O1122" t="str">
            <v>12.954212</v>
          </cell>
          <cell r="P1122" t="str">
            <v>108.343787</v>
          </cell>
          <cell r="Q1122" t="str">
            <v>30.87</v>
          </cell>
          <cell r="R1122" t="str">
            <v>12.951996</v>
          </cell>
          <cell r="S1122" t="str">
            <v>108.344803</v>
          </cell>
          <cell r="T1122" t="str">
            <v>full_h04/Đắk Lắk/Mạng cấp III Đắk Lắk.kmz/Mạng cấp III Đắk Lắk/Ring 2/KRông Năng - TT1 Đăk Lăk/Trung thế 474T2KBU__126__R56/13__477T2KBU</v>
          </cell>
          <cell r="U1122">
            <v>2466.69</v>
          </cell>
        </row>
        <row r="1123">
          <cell r="L1123" t="str">
            <v>Ea Kar - KRông Năng</v>
          </cell>
          <cell r="M1123" t="str">
            <v>213.85</v>
          </cell>
          <cell r="N1123" t="str">
            <v>172.21</v>
          </cell>
          <cell r="O1123" t="str">
            <v>12.943000</v>
          </cell>
          <cell r="P1123" t="str">
            <v>108.350148</v>
          </cell>
          <cell r="Q1123" t="str">
            <v>41.65</v>
          </cell>
          <cell r="R1123" t="str">
            <v>12.951939</v>
          </cell>
          <cell r="S1123" t="str">
            <v>108.344351</v>
          </cell>
          <cell r="T1123" t="str">
            <v>full_h04/Đắk Lắk/Mạng cấp III Đắk Lắk.kmz/Mạng cấp III Đắk Lắk/Ring 2/Ea Kar - KRông Năng/Trung thế 475EKA__386__125A__474T2KBU</v>
          </cell>
          <cell r="U1123">
            <v>213.85</v>
          </cell>
        </row>
        <row r="1124">
          <cell r="L1124" t="str">
            <v>Buôn Hồ - Ea H'Leo</v>
          </cell>
          <cell r="M1124" t="str">
            <v>430.75</v>
          </cell>
          <cell r="N1124" t="str">
            <v>328.76</v>
          </cell>
          <cell r="O1124" t="str">
            <v>12.955263</v>
          </cell>
          <cell r="P1124" t="str">
            <v>108.246701</v>
          </cell>
          <cell r="Q1124" t="str">
            <v>102.00</v>
          </cell>
          <cell r="R1124" t="str">
            <v>12.970822</v>
          </cell>
          <cell r="S1124" t="str">
            <v>108.244495</v>
          </cell>
          <cell r="T1124" t="str">
            <v>full_h04/Đắk Lắk/Mạng cấp III Đắk Lắk.kmz/Mạng cấp III Đắk Lắk/Ring 1/Buôn Hồ - Ea H'Leo/Trung Thế</v>
          </cell>
          <cell r="U1124">
            <v>430.75</v>
          </cell>
        </row>
        <row r="1125">
          <cell r="L1125" t="str">
            <v>Ea Ô - TTCMKV Ea Kar</v>
          </cell>
          <cell r="M1125" t="str">
            <v>469.53</v>
          </cell>
          <cell r="N1125" t="str">
            <v>399.03</v>
          </cell>
          <cell r="O1125" t="str">
            <v>12.790459</v>
          </cell>
          <cell r="P1125" t="str">
            <v>108.462628</v>
          </cell>
          <cell r="Q1125" t="str">
            <v>70.50</v>
          </cell>
          <cell r="R1125" t="str">
            <v>12.811557</v>
          </cell>
          <cell r="S1125" t="str">
            <v>108.483304</v>
          </cell>
          <cell r="T1125" t="str">
            <v>full_h04/Đắk Lắk/Mạng cấp IV Đắk Lắk.kmz/Mạng cấp IV Đắk Lắk/Đắk Lắk Ring 8.kmz/Ea Ô - TTCMKV Ea Kar/Trung thế 14__473EKA</v>
          </cell>
          <cell r="U1125">
            <v>469.53</v>
          </cell>
        </row>
        <row r="1126">
          <cell r="L1126" t="str">
            <v>77</v>
          </cell>
          <cell r="M1126" t="str">
            <v>572.53</v>
          </cell>
          <cell r="N1126" t="str">
            <v>445.11</v>
          </cell>
          <cell r="O1126" t="str">
            <v>12.648235</v>
          </cell>
          <cell r="P1126" t="str">
            <v>108.417293</v>
          </cell>
          <cell r="Q1126" t="str">
            <v>127.41</v>
          </cell>
          <cell r="R1126" t="str">
            <v>12.658647</v>
          </cell>
          <cell r="S1126" t="str">
            <v>108.431655</v>
          </cell>
          <cell r="T1126" t="str">
            <v>full_h04/Đắk Lắk/Mạng cấp IV Đắk Lắk.kmz/Mạng cấp IV Đắk Lắk/Đắk Lắk Ring 8.kmz/Tân Tiến - Vụ Bổn/Trung thế 474KRP__243/18/11__243/77/19__474KRP</v>
          </cell>
          <cell r="U1126">
            <v>572.53</v>
          </cell>
        </row>
        <row r="1127">
          <cell r="L1127" t="str">
            <v>KRông Ana - Cư Kuin</v>
          </cell>
          <cell r="M1127" t="str">
            <v>1685.75</v>
          </cell>
          <cell r="N1127" t="str">
            <v>1569.00</v>
          </cell>
          <cell r="O1127" t="str">
            <v>12.563748</v>
          </cell>
          <cell r="P1127" t="str">
            <v>108.149928</v>
          </cell>
          <cell r="Q1127" t="str">
            <v>116.75</v>
          </cell>
          <cell r="R1127" t="str">
            <v>12.559718</v>
          </cell>
          <cell r="S1127" t="str">
            <v>108.162858</v>
          </cell>
          <cell r="T1127" t="str">
            <v>full_h04/Đắk Lắk/Mạng cấp III Đắk Lắk.kmz/Mạng cấp III Đắk Lắk/Ring 3/KRông Ana - Cư Kuin/Trung thế 478KNA</v>
          </cell>
          <cell r="U1127">
            <v>1685.75</v>
          </cell>
        </row>
        <row r="1128">
          <cell r="L1128" t="str">
            <v>Cư Kuin - Lăk</v>
          </cell>
          <cell r="M1128" t="str">
            <v>632.69</v>
          </cell>
          <cell r="N1128" t="str">
            <v>76.46</v>
          </cell>
          <cell r="O1128" t="str">
            <v>12.542708</v>
          </cell>
          <cell r="P1128" t="str">
            <v>108.171049</v>
          </cell>
          <cell r="Q1128" t="str">
            <v>556.22</v>
          </cell>
          <cell r="R1128" t="str">
            <v>12.561978</v>
          </cell>
          <cell r="S1128" t="str">
            <v>108.168598</v>
          </cell>
          <cell r="T1128" t="str">
            <v>full_h04/Đắk Lắk/Mạng cấp III Đắk Lắk.kmz/Mạng cấp III Đắk Lắk/Ring 3/Cư Kuin - Lăk/Trung thế 473KNA</v>
          </cell>
          <cell r="U1128">
            <v>632.69000000000005</v>
          </cell>
        </row>
        <row r="1129">
          <cell r="L1129" t="str">
            <v>TT1 Đăk Lăk - ILA Ea Kar</v>
          </cell>
          <cell r="M1129" t="str">
            <v>764.99</v>
          </cell>
          <cell r="N1129" t="str">
            <v>695.74</v>
          </cell>
          <cell r="O1129" t="str">
            <v>12.809038</v>
          </cell>
          <cell r="P1129" t="str">
            <v>108.447738</v>
          </cell>
          <cell r="Q1129" t="str">
            <v>69.25</v>
          </cell>
          <cell r="R1129" t="str">
            <v>12.811566</v>
          </cell>
          <cell r="S1129" t="str">
            <v>108.483311</v>
          </cell>
          <cell r="T1129" t="str">
            <v>full_h04/Đắk Lắk/Mạng cấp II Đắk Lắk.kmz/Link 1/TT1 Đăk Lăk - ILA Ea Kar/Trung thế</v>
          </cell>
          <cell r="U1129">
            <v>764.99</v>
          </cell>
        </row>
        <row r="1130">
          <cell r="L1130" t="str">
            <v>TT1 Đăk Lăk - ILA Ea Kar</v>
          </cell>
          <cell r="M1130" t="str">
            <v>419.66</v>
          </cell>
          <cell r="N1130" t="str">
            <v>350.41</v>
          </cell>
          <cell r="O1130" t="str">
            <v>12.802802</v>
          </cell>
          <cell r="P1130" t="str">
            <v>108.425128</v>
          </cell>
          <cell r="Q1130" t="str">
            <v>69.25</v>
          </cell>
          <cell r="R1130" t="str">
            <v>12.811566</v>
          </cell>
          <cell r="S1130" t="str">
            <v>108.483311</v>
          </cell>
          <cell r="T1130" t="str">
            <v>full_h04/Đắk Lắk/Mạng cấp II Đắk Lắk.kmz/Link 1/TT1 Đăk Lăk - ILA Ea Kar/Trung thế</v>
          </cell>
          <cell r="U1130">
            <v>419.66</v>
          </cell>
        </row>
        <row r="1131">
          <cell r="L1131" t="str">
            <v>Trung thế 477T2KBU__R56</v>
          </cell>
          <cell r="M1131" t="str">
            <v>100.61</v>
          </cell>
          <cell r="N1131" t="str">
            <v>42.66</v>
          </cell>
          <cell r="O1131" t="str">
            <v>12.917756</v>
          </cell>
          <cell r="P1131" t="str">
            <v>108.267475</v>
          </cell>
          <cell r="Q1131" t="str">
            <v>57.95</v>
          </cell>
          <cell r="R1131" t="str">
            <v>12.916483</v>
          </cell>
          <cell r="S1131" t="str">
            <v>108.266070</v>
          </cell>
          <cell r="T1131" t="str">
            <v>full_h04/Đắk Lắk/Mạng cấp III Đắk Lắk.kmz/Mạng cấp III Đắk Lắk/Ring 2/KRông Năng - TT1 Đăk Lăk/Trung thế 477T2KBU__R56/13__164__475BHO</v>
          </cell>
          <cell r="U1131">
            <v>100.61</v>
          </cell>
        </row>
        <row r="1132">
          <cell r="L1132" t="str">
            <v>Hòa Sơn - Krông Bông</v>
          </cell>
          <cell r="M1132" t="str">
            <v>106.77</v>
          </cell>
          <cell r="N1132" t="str">
            <v>3.93</v>
          </cell>
          <cell r="O1132" t="str">
            <v>12.504905</v>
          </cell>
          <cell r="P1132" t="str">
            <v>108.257575</v>
          </cell>
          <cell r="Q1132" t="str">
            <v>102.84</v>
          </cell>
          <cell r="R1132" t="str">
            <v>12.503901</v>
          </cell>
          <cell r="S1132" t="str">
            <v>108.230475</v>
          </cell>
          <cell r="T1132" t="str">
            <v>full_h04/Đắk Lắk/Mạng cấp IV Đắk Lắk.kmz/Mạng cấp IV Đắk Lắk/Đắk Lắk Ring 3.kmz/Đắk Lắk Ring 3/Hòa Sơn - Krông Bông/Trung thế 471KBO</v>
          </cell>
          <cell r="U1132">
            <v>106.77</v>
          </cell>
        </row>
        <row r="1133">
          <cell r="L1133" t="str">
            <v>KRông Păk - Trại giam Đăk Tân (C10)</v>
          </cell>
          <cell r="M1133" t="str">
            <v>1443.71</v>
          </cell>
          <cell r="N1133" t="str">
            <v>1358.31</v>
          </cell>
          <cell r="O1133" t="str">
            <v>12.738009</v>
          </cell>
          <cell r="P1133" t="str">
            <v>108.370137</v>
          </cell>
          <cell r="Q1133" t="str">
            <v>85.40</v>
          </cell>
          <cell r="R1133" t="str">
            <v>12.727708</v>
          </cell>
          <cell r="S1133" t="str">
            <v>108.363954</v>
          </cell>
          <cell r="T1133" t="str">
            <v>full_h04/Đắk Lắk/Mạng cấp III Đắk Lắk.kmz/Mạng cấp III Đắk Lắk/Ring 2/KRông Păk - Trại giam Đăk Tân (C10)/Trung thế 40__258</v>
          </cell>
          <cell r="U1133">
            <v>1443.71</v>
          </cell>
        </row>
        <row r="1134">
          <cell r="L1134" t="str">
            <v>Cảng hàng không Buôn Mê Thuột - TT1 Đăk
Lăk</v>
          </cell>
          <cell r="M1134" t="str">
            <v>1183.43</v>
          </cell>
          <cell r="N1134" t="str">
            <v>229.70</v>
          </cell>
          <cell r="O1134" t="str">
            <v>12.664429</v>
          </cell>
          <cell r="P1134" t="str">
            <v>108.114558</v>
          </cell>
          <cell r="Q1134" t="str">
            <v>953.73</v>
          </cell>
          <cell r="R1134" t="str">
            <v>12.662739</v>
          </cell>
          <cell r="S1134" t="str">
            <v>108.104819</v>
          </cell>
          <cell r="T1134" t="str">
            <v>full_h04/Đắk Lắk/Mạng cấp III Đắk Lắk.kmz/Mạng cấp III Đắk Lắk/Cảng hàng không Buôn Mê Thuột - TT1 Đăk
Lăk/Trung thế 476-472BMT</v>
          </cell>
          <cell r="U1134">
            <v>1183.43</v>
          </cell>
        </row>
        <row r="1135">
          <cell r="L1135" t="str">
            <v>CAT Đắk Lắk - Ea Kao</v>
          </cell>
          <cell r="M1135" t="str">
            <v>680.65</v>
          </cell>
          <cell r="N1135" t="str">
            <v>654.73</v>
          </cell>
          <cell r="O1135" t="str">
            <v>12.660381</v>
          </cell>
          <cell r="P1135" t="str">
            <v>108.031060</v>
          </cell>
          <cell r="Q1135" t="str">
            <v>25.93</v>
          </cell>
          <cell r="R1135" t="str">
            <v>12.659843</v>
          </cell>
          <cell r="S1135" t="str">
            <v>108.030387</v>
          </cell>
          <cell r="T1135" t="str">
            <v>full_h04/Đắk Lắk/Mạng cấp IV Đắk Lắk.kmz/Mạng cấp IV Đắk Lắk/Đắk Lắk Ring 2.kmz/Đắk Lắk Ring 2/CAT Đắk Lắk - Ea Kao/Cống bể MBF</v>
          </cell>
          <cell r="U1135">
            <v>680.65</v>
          </cell>
        </row>
        <row r="1136">
          <cell r="L1136" t="str">
            <v>TT1 Đăk Lăk - ILA Ea Kar</v>
          </cell>
          <cell r="M1136" t="str">
            <v>97054.24</v>
          </cell>
          <cell r="N1136" t="str">
            <v>94505.82</v>
          </cell>
          <cell r="O1136" t="str">
            <v>12.811566</v>
          </cell>
          <cell r="P1136" t="str">
            <v>108.483311</v>
          </cell>
          <cell r="Q1136" t="str">
            <v>2548.42</v>
          </cell>
          <cell r="R1136" t="str">
            <v>12.697469</v>
          </cell>
          <cell r="S1136" t="str">
            <v>108.071369</v>
          </cell>
          <cell r="T1136" t="str">
            <v>full_h04/Đắk Lắk/Mạng cấp II Đắk Lắk.kmz/Link 1/TT1 Đăk Lăk - ILA Ea Kar/Trung thế</v>
          </cell>
          <cell r="U1136">
            <v>97054.24</v>
          </cell>
        </row>
        <row r="1137">
          <cell r="L1137" t="str">
            <v>CAT Đắk Lắk - Thành Nhất</v>
          </cell>
          <cell r="M1137" t="str">
            <v>154.06</v>
          </cell>
          <cell r="N1137" t="str">
            <v>121.17</v>
          </cell>
          <cell r="O1137" t="str">
            <v>12.684739</v>
          </cell>
          <cell r="P1137" t="str">
            <v>108.052206</v>
          </cell>
          <cell r="Q1137" t="str">
            <v>32.89</v>
          </cell>
          <cell r="R1137" t="str">
            <v>12.684351</v>
          </cell>
          <cell r="S1137" t="str">
            <v>108.052501</v>
          </cell>
          <cell r="T1137" t="str">
            <v>full_h04/Đắk Lắk/Mạng cấp IV Đắk Lắk.kmz/Mạng cấp IV Đắk Lắk/Đắk Lắk Ring 12.kmz/Đắk Lắk Ring 12/CAT Đắk Lắk - Thành Nhất/Bể nội CAT</v>
          </cell>
          <cell r="U1137">
            <v>154.06</v>
          </cell>
        </row>
        <row r="1138">
          <cell r="L1138" t="str">
            <v>TT1 Đăk Lăk - ILA Ea Pal</v>
          </cell>
          <cell r="M1138" t="str">
            <v>520.25</v>
          </cell>
          <cell r="N1138" t="str">
            <v>294.37</v>
          </cell>
          <cell r="O1138" t="str">
            <v>12.682585</v>
          </cell>
          <cell r="P1138" t="str">
            <v>108.054059</v>
          </cell>
          <cell r="Q1138" t="str">
            <v>225.88</v>
          </cell>
          <cell r="R1138" t="str">
            <v>12.683053</v>
          </cell>
          <cell r="S1138" t="str">
            <v>108.051156</v>
          </cell>
          <cell r="T1138" t="str">
            <v>full_h04/Đắk Lắk/Mạng cấp II Đắk Lắk.kmz/Link 2/TT1 Đăk Lăk - ILA Ea Pal/Trung thế</v>
          </cell>
          <cell r="U1138">
            <v>520.25</v>
          </cell>
        </row>
        <row r="1139">
          <cell r="L1139" t="str">
            <v>Trung tâm huấn luyện PX01 - TT1 Đăk Lăk</v>
          </cell>
          <cell r="M1139" t="str">
            <v>819.03</v>
          </cell>
          <cell r="N1139" t="str">
            <v>3.41</v>
          </cell>
          <cell r="O1139" t="str">
            <v>12.673265</v>
          </cell>
          <cell r="P1139" t="str">
            <v>108.033628</v>
          </cell>
          <cell r="Q1139" t="str">
            <v>815.63</v>
          </cell>
          <cell r="R1139" t="str">
            <v>12.673265</v>
          </cell>
          <cell r="S1139" t="str">
            <v>108.033628</v>
          </cell>
          <cell r="T1139" t="str">
            <v>full_h04/Đắk Lắk/Mạng cấp III Đắk Lắk.kmz/Mạng cấp III Đắk Lắk/Trung tâm huấn luyện PX01 - TT1 Đăk Lăk/Nhập trạm</v>
          </cell>
          <cell r="U1139">
            <v>819.03</v>
          </cell>
        </row>
        <row r="1140">
          <cell r="L1140" t="str">
            <v>TT1 Đăk Lăk - KRông Ana</v>
          </cell>
          <cell r="M1140" t="str">
            <v>458.86</v>
          </cell>
          <cell r="N1140" t="str">
            <v>425.30</v>
          </cell>
          <cell r="O1140" t="str">
            <v>12.654410</v>
          </cell>
          <cell r="P1140" t="str">
            <v>108.025854</v>
          </cell>
          <cell r="Q1140" t="str">
            <v>33.56</v>
          </cell>
          <cell r="R1140" t="str">
            <v>12.659758</v>
          </cell>
          <cell r="S1140" t="str">
            <v>108.030310</v>
          </cell>
          <cell r="T1140" t="str">
            <v>full_h04/Đắk Lắk/Mạng cấp III Đắk Lắk.kmz/Mạng cấp III Đắk Lắk/Ring 3/TT1 Đăk Lăk - KRông Ana/Cống bể MBF</v>
          </cell>
          <cell r="U1140">
            <v>458.86</v>
          </cell>
        </row>
        <row r="1141">
          <cell r="L1141" t="str">
            <v>CAT Đắk Lắk - Thành Nhất</v>
          </cell>
          <cell r="M1141" t="str">
            <v>678.26</v>
          </cell>
          <cell r="N1141" t="str">
            <v>645.36</v>
          </cell>
          <cell r="O1141" t="str">
            <v>12.684739</v>
          </cell>
          <cell r="P1141" t="str">
            <v>108.052206</v>
          </cell>
          <cell r="Q1141" t="str">
            <v>32.89</v>
          </cell>
          <cell r="R1141" t="str">
            <v>12.684351</v>
          </cell>
          <cell r="S1141" t="str">
            <v>108.052501</v>
          </cell>
          <cell r="T1141" t="str">
            <v>full_h04/Đắk Lắk/Mạng cấp IV Đắk Lắk.kmz/Mạng cấp IV Đắk Lắk/Đắk Lắk Ring 12.kmz/Đắk Lắk Ring 12/CAT Đắk Lắk - Thành Nhất/Bể nội CAT</v>
          </cell>
          <cell r="U1141">
            <v>678.26</v>
          </cell>
        </row>
        <row r="1142">
          <cell r="L1142" t="str">
            <v>CAT Đắk Lắk - Buôn Ma Thuột</v>
          </cell>
          <cell r="M1142" t="str">
            <v>337.19</v>
          </cell>
          <cell r="N1142" t="str">
            <v>275.71</v>
          </cell>
          <cell r="O1142" t="str">
            <v>12.685477</v>
          </cell>
          <cell r="P1142" t="str">
            <v>108.046100</v>
          </cell>
          <cell r="Q1142" t="str">
            <v>61.48</v>
          </cell>
          <cell r="R1142" t="str">
            <v>12.688961</v>
          </cell>
          <cell r="S1142" t="str">
            <v>108.047808</v>
          </cell>
          <cell r="T1142" t="str">
            <v>full_h04/Đắk Lắk/Mạng cấp IV Đắk Lắk.kmz/Mạng cấp IV Đắk Lắk/Đắk Lắk Ring 23.kmz/Đắk Lắk Ring 23/CAT Đắk Lắk - Buôn Ma Thuột/trung Thế</v>
          </cell>
          <cell r="U1142">
            <v>337.19</v>
          </cell>
        </row>
        <row r="1143">
          <cell r="L1143" t="str">
            <v>CAT Đắk Lắk - Thành Nhất</v>
          </cell>
          <cell r="M1143" t="str">
            <v>494.22</v>
          </cell>
          <cell r="N1143" t="str">
            <v>44.83</v>
          </cell>
          <cell r="O1143" t="str">
            <v>12.682617</v>
          </cell>
          <cell r="P1143" t="str">
            <v>108.034878</v>
          </cell>
          <cell r="Q1143" t="str">
            <v>449.38</v>
          </cell>
          <cell r="R1143" t="str">
            <v>12.682357</v>
          </cell>
          <cell r="S1143" t="str">
            <v>108.040542</v>
          </cell>
          <cell r="T1143" t="str">
            <v>full_h04/Đắk Lắk/Mạng cấp IV Đắk Lắk.kmz/Mạng cấp IV Đắk Lắk/Đắk Lắk Ring 12.kmz/Đắk Lắk Ring 12/CAT Đắk Lắk - Thành Nhất/Cống bể MBF</v>
          </cell>
          <cell r="U1143">
            <v>494.22</v>
          </cell>
        </row>
        <row r="1144">
          <cell r="L1144" t="str">
            <v>A06 (CS1) - H03</v>
          </cell>
          <cell r="M1144" t="str">
            <v>659.88</v>
          </cell>
          <cell r="N1144" t="str">
            <v>44.67</v>
          </cell>
          <cell r="O1144" t="str">
            <v>16.016590</v>
          </cell>
          <cell r="P1144" t="str">
            <v>108.203738</v>
          </cell>
          <cell r="Q1144" t="str">
            <v>615.21</v>
          </cell>
          <cell r="R1144" t="str">
            <v>16.018669</v>
          </cell>
          <cell r="S1144" t="str">
            <v>108.197982</v>
          </cell>
          <cell r="T1144" t="str">
            <v>full_h04/TP Đà Nẵng/TP Đà Nẵng/Mạng cấp 2/Cấp 2 - Ring 2/Ring 2 - hiệu chỉnh - ok/A06 (CS1) - H03/Trung thế</v>
          </cell>
          <cell r="U1144">
            <v>659.88</v>
          </cell>
        </row>
        <row r="1145">
          <cell r="L1145" t="str">
            <v>TT1 Đà Nẵng - Cẩm Lệ</v>
          </cell>
          <cell r="M1145" t="str">
            <v>1023.05</v>
          </cell>
          <cell r="N1145" t="str">
            <v>959.24</v>
          </cell>
          <cell r="O1145" t="str">
            <v>16.020675</v>
          </cell>
          <cell r="P1145" t="str">
            <v>108.211580</v>
          </cell>
          <cell r="Q1145" t="str">
            <v>63.82</v>
          </cell>
          <cell r="R1145" t="str">
            <v>16.036673</v>
          </cell>
          <cell r="S1145" t="str">
            <v>108.209804</v>
          </cell>
          <cell r="T1145" t="str">
            <v>full_h04/TP Đà Nẵng/TP Đà Nẵng/Mạng cấp 3_ DN và Quảng Nam/Cấp 3 - Ring 1 - Đà Nẵng cũ/TT1 Đà Nẵng - Cẩm Lệ/Trung thế</v>
          </cell>
          <cell r="U1145">
            <v>1023.05</v>
          </cell>
        </row>
        <row r="1146">
          <cell r="L1146" t="str">
            <v>Hòa Xuân - TTKV Cẩm Lệ</v>
          </cell>
          <cell r="M1146" t="str">
            <v>404.42</v>
          </cell>
          <cell r="N1146" t="str">
            <v>2.15</v>
          </cell>
          <cell r="O1146" t="str">
            <v>16.016921</v>
          </cell>
          <cell r="P1146" t="str">
            <v>108.203480</v>
          </cell>
          <cell r="Q1146" t="str">
            <v>402.26</v>
          </cell>
          <cell r="R1146" t="str">
            <v>16.010182</v>
          </cell>
          <cell r="S1146" t="str">
            <v>108.193436</v>
          </cell>
          <cell r="T1146" t="str">
            <v>full_h04/TP Đà Nẵng/TP Đà Nẵng/Mạng cấp 4 - ĐN cũ/Ring 3 - DN/Hòa Xuân - TTKV Cẩm Lệ/Trung thế</v>
          </cell>
          <cell r="U1146">
            <v>404.42</v>
          </cell>
        </row>
        <row r="1147">
          <cell r="L1147" t="str">
            <v>A06 (CS1) - H03</v>
          </cell>
          <cell r="M1147" t="str">
            <v>318.84</v>
          </cell>
          <cell r="N1147" t="str">
            <v>44.67</v>
          </cell>
          <cell r="O1147" t="str">
            <v>16.016590</v>
          </cell>
          <cell r="P1147" t="str">
            <v>108.203738</v>
          </cell>
          <cell r="Q1147" t="str">
            <v>274.17</v>
          </cell>
          <cell r="R1147" t="str">
            <v>16.018421</v>
          </cell>
          <cell r="S1147" t="str">
            <v>108.198085</v>
          </cell>
          <cell r="T1147" t="str">
            <v>full_h04/TP Đà Nẵng/TP Đà Nẵng/Mạng cấp 2/Cấp 2 - Ring 2/Ring 2 - hiệu chỉnh - ok/A06 (CS1) - H03/Trung thế</v>
          </cell>
          <cell r="U1147">
            <v>318.83999999999997</v>
          </cell>
        </row>
        <row r="1148">
          <cell r="L1148" t="str">
            <v>Nhánh 1</v>
          </cell>
          <cell r="M1148" t="str">
            <v>43.62</v>
          </cell>
          <cell r="N1148" t="str">
            <v>27.45</v>
          </cell>
          <cell r="O1148" t="str">
            <v>16.077317</v>
          </cell>
          <cell r="P1148" t="str">
            <v>108.219248</v>
          </cell>
          <cell r="Q1148" t="str">
            <v>16.17</v>
          </cell>
          <cell r="R1148" t="str">
            <v>16.067586</v>
          </cell>
          <cell r="S1148" t="str">
            <v>108.215838</v>
          </cell>
          <cell r="T1148" t="str">
            <v>full_h04/TP Đà Nẵng/TP Đà Nẵng/Mạng cấp 3_ DN và Quảng Nam/Ring Nhánh/Đồn Công an cảng hàng không (Sân bay Đà
Nẵng) - TT1 Đà Nẵng"/Nhánh 1/Trung thế 1</v>
          </cell>
          <cell r="U1148">
            <v>43.62</v>
          </cell>
        </row>
        <row r="1149">
          <cell r="L1149" t="str">
            <v>Sơn Trà - TT1 Đà Nẵng</v>
          </cell>
          <cell r="M1149" t="str">
            <v>144.82</v>
          </cell>
          <cell r="N1149" t="str">
            <v>23.59</v>
          </cell>
          <cell r="O1149" t="str">
            <v>16.077626</v>
          </cell>
          <cell r="P1149" t="str">
            <v>108.219410</v>
          </cell>
          <cell r="Q1149" t="str">
            <v>121.23</v>
          </cell>
          <cell r="R1149" t="str">
            <v>16.081697</v>
          </cell>
          <cell r="S1149" t="str">
            <v>108.219495</v>
          </cell>
          <cell r="T1149" t="str">
            <v>full_h04/TP Đà Nẵng/TP Đà Nẵng/Mạng cấp 3_ DN và Quảng Nam/Cấp 3 - Ring 1 - Đà Nẵng cũ/Sơn Trà - TT1 Đà Nẵng/Cống bể VNPT 4</v>
          </cell>
          <cell r="U1149">
            <v>144.82</v>
          </cell>
        </row>
        <row r="1150">
          <cell r="L1150" t="str">
            <v>TT1 Đà Nẵng - Hải Châu</v>
          </cell>
          <cell r="M1150" t="str">
            <v>241.02</v>
          </cell>
          <cell r="N1150" t="str">
            <v>7.02</v>
          </cell>
          <cell r="O1150" t="str">
            <v>16.077608</v>
          </cell>
          <cell r="P1150" t="str">
            <v>108.219243</v>
          </cell>
          <cell r="Q1150" t="str">
            <v>233.99</v>
          </cell>
          <cell r="R1150" t="str">
            <v>16.077649</v>
          </cell>
          <cell r="S1150" t="str">
            <v>108.221680</v>
          </cell>
          <cell r="T1150" t="str">
            <v>full_h04/TP Đà Nẵng/TP Đà Nẵng/Mạng cấp 4 - ĐN cũ/Ring 7 - DN/TT1 Đà Nẵng - Hải Châu/Trung thế</v>
          </cell>
          <cell r="U1150">
            <v>241.02</v>
          </cell>
        </row>
        <row r="1151">
          <cell r="L1151" t="str">
            <v>"Cơ sở cai nghiện (X. Hòa Bắc, Hòa Vang) -
TTCMKV Hòa Vang"</v>
          </cell>
          <cell r="M1151" t="str">
            <v>15.25</v>
          </cell>
          <cell r="N1151" t="str">
            <v>3.35</v>
          </cell>
          <cell r="O1151" t="str">
            <v>15.988075</v>
          </cell>
          <cell r="P1151" t="str">
            <v>108.140218</v>
          </cell>
          <cell r="Q1151" t="str">
            <v>11.90</v>
          </cell>
          <cell r="R1151" t="str">
            <v>15.997970</v>
          </cell>
          <cell r="S1151" t="str">
            <v>108.138018</v>
          </cell>
          <cell r="T1151" t="str">
            <v>full_h04/TP Đà Nẵng/TP Đà Nẵng/Mạng cấp 3_ DN và Quảng Nam/Ring Nhánh/"Cơ sở cai nghiện (X. Hòa Bắc, Hòa Vang) -
TTCMKV Hòa Vang"/Hạ thế 5</v>
          </cell>
          <cell r="U1151">
            <v>15.25</v>
          </cell>
        </row>
        <row r="1152">
          <cell r="L1152" t="str">
            <v>Hòa Vang - TT1 Đà Nẵng</v>
          </cell>
          <cell r="M1152" t="str">
            <v>1343.33</v>
          </cell>
          <cell r="N1152" t="str">
            <v>1240.61</v>
          </cell>
          <cell r="O1152" t="str">
            <v>15.997909</v>
          </cell>
          <cell r="P1152" t="str">
            <v>108.145731</v>
          </cell>
          <cell r="Q1152" t="str">
            <v>102.73</v>
          </cell>
          <cell r="R1152" t="str">
            <v>16.009000</v>
          </cell>
          <cell r="S1152" t="str">
            <v>108.154405</v>
          </cell>
          <cell r="T1152" t="str">
            <v>full_h04/TP Đà Nẵng/TP Đà Nẵng/Mạng cấp 3_ DN và Quảng Nam/Cấp 3 - Ring 2 - Đà Nẵng cũ/Hòa Vang - TT1 Đà Nẵng/Trung Thế Hòa Vang - TT1 Đà Nẵng  8</v>
          </cell>
          <cell r="U1152">
            <v>1343.33</v>
          </cell>
        </row>
        <row r="1153">
          <cell r="L1153" t="str">
            <v>Sông Vàng - TTCMKV Đại Lộc</v>
          </cell>
          <cell r="M1153" t="str">
            <v>968.06</v>
          </cell>
          <cell r="N1153" t="str">
            <v>588.26</v>
          </cell>
          <cell r="O1153" t="str">
            <v>15.983065</v>
          </cell>
          <cell r="P1153" t="str">
            <v>108.138511</v>
          </cell>
          <cell r="Q1153" t="str">
            <v>379.79</v>
          </cell>
          <cell r="R1153" t="str">
            <v>15.980283</v>
          </cell>
          <cell r="S1153" t="str">
            <v>108.127217</v>
          </cell>
          <cell r="T1153" t="str">
            <v>full_h04/TP Đà Nẵng/TP Đà Nẵng/Mạng cấp 4 - Quảng Nam/Quảng Nam - Ring 16/Sông Vàng - TTCMKV Đại Lộc/Trung thế 2</v>
          </cell>
          <cell r="U1153">
            <v>968.06</v>
          </cell>
        </row>
        <row r="1154">
          <cell r="L1154" t="str">
            <v>Hòa Vang - TT1 Đà Nẵng</v>
          </cell>
          <cell r="M1154" t="str">
            <v>76.80</v>
          </cell>
          <cell r="N1154" t="str">
            <v>10.30</v>
          </cell>
          <cell r="O1154" t="str">
            <v>15.988042</v>
          </cell>
          <cell r="P1154" t="str">
            <v>108.140275</v>
          </cell>
          <cell r="Q1154" t="str">
            <v>66.50</v>
          </cell>
          <cell r="R1154" t="str">
            <v>15.989824</v>
          </cell>
          <cell r="S1154" t="str">
            <v>108.142754</v>
          </cell>
          <cell r="T1154" t="str">
            <v>full_h04/TP Đà Nẵng/TP Đà Nẵng/Mạng cấp 3_ DN và Quảng Nam/Cấp 3 - Ring 2 - Đà Nẵng cũ/Hòa Vang - TT1 Đà Nẵng/Cống bể xd mới Hòa Vang - TT1 Đà Nẵng  9</v>
          </cell>
          <cell r="U1154">
            <v>76.8</v>
          </cell>
        </row>
        <row r="1155">
          <cell r="L1155" t="str">
            <v>Hòa Vang - TT1 Đà Nẵng</v>
          </cell>
          <cell r="M1155" t="str">
            <v>493.67</v>
          </cell>
          <cell r="N1155" t="str">
            <v>10.30</v>
          </cell>
          <cell r="O1155" t="str">
            <v>15.988042</v>
          </cell>
          <cell r="P1155" t="str">
            <v>108.140275</v>
          </cell>
          <cell r="Q1155" t="str">
            <v>483.38</v>
          </cell>
          <cell r="R1155" t="str">
            <v>15.992659</v>
          </cell>
          <cell r="S1155" t="str">
            <v>108.143713</v>
          </cell>
          <cell r="T1155" t="str">
            <v>full_h04/TP Đà Nẵng/TP Đà Nẵng/Mạng cấp 3_ DN và Quảng Nam/Cấp 3 - Ring 2 - Đà Nẵng cũ/Hòa Vang - TT1 Đà Nẵng/Cống bể xd mới Hòa Vang - TT1 Đà Nẵng  9</v>
          </cell>
          <cell r="U1155">
            <v>493.67</v>
          </cell>
        </row>
        <row r="1156">
          <cell r="L1156" t="str">
            <v>TT1 Đà Nẵng - Liên Chiểu</v>
          </cell>
          <cell r="M1156" t="str">
            <v>438.56</v>
          </cell>
          <cell r="N1156" t="str">
            <v>317.12</v>
          </cell>
          <cell r="O1156" t="str">
            <v>16.076901</v>
          </cell>
          <cell r="P1156" t="str">
            <v>108.159444</v>
          </cell>
          <cell r="Q1156" t="str">
            <v>121.44</v>
          </cell>
          <cell r="R1156" t="str">
            <v>16.081569</v>
          </cell>
          <cell r="S1156" t="str">
            <v>108.160889</v>
          </cell>
          <cell r="T1156" t="str">
            <v>full_h04/TP Đà Nẵng/TP Đà Nẵng/Mạng cấp 3_ DN và Quảng Nam/Cấp 3 - Ring 2 - Đà Nẵng cũ/TT1 Đà Nẵng - Liên Chiểu/Trung thế TT1 Đà nẵng - Liên chiểu 1</v>
          </cell>
          <cell r="U1156">
            <v>438.56</v>
          </cell>
        </row>
        <row r="1157">
          <cell r="L1157" t="str">
            <v>TT1 Đà Nẵng - Liên Chiểu</v>
          </cell>
          <cell r="M1157" t="str">
            <v>463.93</v>
          </cell>
          <cell r="N1157" t="str">
            <v>317.12</v>
          </cell>
          <cell r="O1157" t="str">
            <v>16.076901</v>
          </cell>
          <cell r="P1157" t="str">
            <v>108.159444</v>
          </cell>
          <cell r="Q1157" t="str">
            <v>146.80</v>
          </cell>
          <cell r="R1157" t="str">
            <v>16.080865</v>
          </cell>
          <cell r="S1157" t="str">
            <v>108.162509</v>
          </cell>
          <cell r="T1157" t="str">
            <v>full_h04/TP Đà Nẵng/TP Đà Nẵng/Mạng cấp 3_ DN và Quảng Nam/Cấp 3 - Ring 2 - Đà Nẵng cũ/TT1 Đà Nẵng - Liên Chiểu/Trung thế TT1 Đà nẵng - Liên chiểu 1</v>
          </cell>
          <cell r="U1157">
            <v>463.93</v>
          </cell>
        </row>
        <row r="1158">
          <cell r="L1158" t="str">
            <v>TT1 Đà Nẵng-Hải Vân</v>
          </cell>
          <cell r="M1158" t="str">
            <v>823.71</v>
          </cell>
          <cell r="N1158" t="str">
            <v>792.46</v>
          </cell>
          <cell r="O1158" t="str">
            <v>16.077791</v>
          </cell>
          <cell r="P1158" t="str">
            <v>108.164749</v>
          </cell>
          <cell r="Q1158" t="str">
            <v>31.26</v>
          </cell>
          <cell r="R1158" t="str">
            <v>16.073207</v>
          </cell>
          <cell r="S1158" t="str">
            <v>108.177558</v>
          </cell>
          <cell r="T1158" t="str">
            <v>full_h04/TP Đà Nẵng/TP Đà Nẵng/Mạng cấp 4 - ĐN cũ/Ring 5 - DN/TT1 Đà Nẵng-Hải Vân/Trung thế 1</v>
          </cell>
          <cell r="U1158">
            <v>823.71</v>
          </cell>
        </row>
        <row r="1159">
          <cell r="L1159" t="str">
            <v>TTCMKV Liên Chiểu - Trạm CSGT Hòa Hiệp</v>
          </cell>
          <cell r="M1159" t="str">
            <v>490.42</v>
          </cell>
          <cell r="N1159" t="str">
            <v>27.31</v>
          </cell>
          <cell r="O1159" t="str">
            <v>16.074274</v>
          </cell>
          <cell r="P1159" t="str">
            <v>108.158044</v>
          </cell>
          <cell r="Q1159" t="str">
            <v>463.11</v>
          </cell>
          <cell r="R1159" t="str">
            <v>16.074614</v>
          </cell>
          <cell r="S1159" t="str">
            <v>108.149481</v>
          </cell>
          <cell r="T1159" t="str">
            <v>full_h04/TP Đà Nẵng/TP Đà Nẵng/Mạng cấp 3_ DN và Quảng Nam/Phòng - Ring 3 (ĐN ).kmz/Phòng - Ring 3 (ĐN )/TTCMKV Liên Chiểu - Trạm CSGT Hòa Hiệp/TTCMKV Liên Chiểu - Trạm CSGT Hòa Hiệp-Trung thế 1</v>
          </cell>
          <cell r="U1159">
            <v>490.42</v>
          </cell>
        </row>
        <row r="1160">
          <cell r="L1160" t="str">
            <v>TTCMKV Liên Chiểu - Trạm CSGT Hòa Hiệp</v>
          </cell>
          <cell r="M1160" t="str">
            <v>98.86</v>
          </cell>
          <cell r="N1160" t="str">
            <v>27.31</v>
          </cell>
          <cell r="O1160" t="str">
            <v>16.074274</v>
          </cell>
          <cell r="P1160" t="str">
            <v>108.158044</v>
          </cell>
          <cell r="Q1160" t="str">
            <v>71.55</v>
          </cell>
          <cell r="R1160" t="str">
            <v>16.090608</v>
          </cell>
          <cell r="S1160" t="str">
            <v>108.142908</v>
          </cell>
          <cell r="T1160" t="str">
            <v>full_h04/TP Đà Nẵng/TP Đà Nẵng/Mạng cấp 3_ DN và Quảng Nam/Phòng - Ring 3 (ĐN ).kmz/Phòng - Ring 3 (ĐN )/TTCMKV Liên Chiểu - Trạm CSGT Hòa Hiệp/TTCMKV Liên Chiểu - Trạm CSGT Hòa Hiệp-Trung thế 1</v>
          </cell>
          <cell r="U1160">
            <v>98.86</v>
          </cell>
        </row>
        <row r="1161">
          <cell r="L1161" t="str">
            <v>Hội An - Ngũ Hành Sơn</v>
          </cell>
          <cell r="M1161" t="str">
            <v>824.18</v>
          </cell>
          <cell r="N1161" t="str">
            <v>14.34</v>
          </cell>
          <cell r="O1161" t="str">
            <v>16.015280</v>
          </cell>
          <cell r="P1161" t="str">
            <v>108.254448</v>
          </cell>
          <cell r="Q1161" t="str">
            <v>809.84</v>
          </cell>
          <cell r="R1161" t="str">
            <v>15.998049</v>
          </cell>
          <cell r="S1161" t="str">
            <v>108.261855</v>
          </cell>
          <cell r="T1161" t="str">
            <v>full_h04/TP Đà Nẵng/TP Đà Nẵng/Mạng cấp 3_ DN và Quảng Nam/Cấp 3 - Ring 1 - Đà Nẵng cũ/Hội An - Ngũ Hành Sơn/Tuyến cột trung thế 2</v>
          </cell>
          <cell r="U1161">
            <v>824.18</v>
          </cell>
        </row>
        <row r="1162">
          <cell r="L1162" t="str">
            <v>Hội An - Ngũ Hành Sơn</v>
          </cell>
          <cell r="M1162" t="str">
            <v>714.37</v>
          </cell>
          <cell r="N1162" t="str">
            <v>14.34</v>
          </cell>
          <cell r="O1162" t="str">
            <v>16.015280</v>
          </cell>
          <cell r="P1162" t="str">
            <v>108.254448</v>
          </cell>
          <cell r="Q1162" t="str">
            <v>700.04</v>
          </cell>
          <cell r="R1162" t="str">
            <v>16.012158</v>
          </cell>
          <cell r="S1162" t="str">
            <v>108.256363</v>
          </cell>
          <cell r="T1162" t="str">
            <v>full_h04/TP Đà Nẵng/TP Đà Nẵng/Mạng cấp 3_ DN và Quảng Nam/Cấp 3 - Ring 1 - Đà Nẵng cũ/Hội An - Ngũ Hành Sơn/Tuyến cột trung thế 2</v>
          </cell>
          <cell r="U1162">
            <v>714.37</v>
          </cell>
        </row>
        <row r="1163">
          <cell r="L1163" t="str">
            <v>An Hải - Sơn Trà</v>
          </cell>
          <cell r="M1163" t="str">
            <v>674.89</v>
          </cell>
          <cell r="N1163" t="str">
            <v>208.25</v>
          </cell>
          <cell r="O1163" t="str">
            <v>16.071846</v>
          </cell>
          <cell r="P1163" t="str">
            <v>108.234304</v>
          </cell>
          <cell r="Q1163" t="str">
            <v>466.64</v>
          </cell>
          <cell r="R1163" t="str">
            <v>16.069942</v>
          </cell>
          <cell r="S1163" t="str">
            <v>108.241132</v>
          </cell>
          <cell r="T1163" t="str">
            <v>full_h04/TP Đà Nẵng/TP Đà Nẵng/Mạng cấp 4 - ĐN cũ/Ring 1 -DN/An Hải - Sơn Trà/Ngầm VNPT</v>
          </cell>
          <cell r="U1163">
            <v>674.89</v>
          </cell>
        </row>
        <row r="1164">
          <cell r="L1164" t="str">
            <v>An Hải - Sơn Trà</v>
          </cell>
          <cell r="M1164" t="str">
            <v>638.32</v>
          </cell>
          <cell r="N1164" t="str">
            <v>208.25</v>
          </cell>
          <cell r="O1164" t="str">
            <v>16.071846</v>
          </cell>
          <cell r="P1164" t="str">
            <v>108.234304</v>
          </cell>
          <cell r="Q1164" t="str">
            <v>430.07</v>
          </cell>
          <cell r="R1164" t="str">
            <v>16.069942</v>
          </cell>
          <cell r="S1164" t="str">
            <v>108.241132</v>
          </cell>
          <cell r="T1164" t="str">
            <v>full_h04/TP Đà Nẵng/TP Đà Nẵng/Mạng cấp 4 - ĐN cũ/Ring 1 -DN/An Hải - Sơn Trà/Ngầm VNPT</v>
          </cell>
          <cell r="U1164">
            <v>638.32000000000005</v>
          </cell>
        </row>
        <row r="1165">
          <cell r="L1165" t="str">
            <v>Ngũ Hành Sơn - Sơn Trà</v>
          </cell>
          <cell r="M1165" t="str">
            <v>330.30</v>
          </cell>
          <cell r="N1165" t="str">
            <v>231.85</v>
          </cell>
          <cell r="O1165" t="str">
            <v>16.068319</v>
          </cell>
          <cell r="P1165" t="str">
            <v>108.232472</v>
          </cell>
          <cell r="Q1165" t="str">
            <v>98.45</v>
          </cell>
          <cell r="R1165" t="str">
            <v>16.059259</v>
          </cell>
          <cell r="S1165" t="str">
            <v>108.234865</v>
          </cell>
          <cell r="T1165" t="str">
            <v>full_h04/TP Đà Nẵng/TP Đà Nẵng/Mạng cấp 3_ DN và Quảng Nam/Cấp 3 - Ring 1 - Đà Nẵng cũ/Ngũ Hành Sơn - Sơn Trà/cống bể VNPT</v>
          </cell>
          <cell r="U1165">
            <v>330.3</v>
          </cell>
        </row>
        <row r="1166">
          <cell r="L1166" t="str">
            <v>An Hải - Sơn Trà</v>
          </cell>
          <cell r="M1166" t="str">
            <v>580.01</v>
          </cell>
          <cell r="N1166" t="str">
            <v>208.25</v>
          </cell>
          <cell r="O1166" t="str">
            <v>16.071846</v>
          </cell>
          <cell r="P1166" t="str">
            <v>108.234304</v>
          </cell>
          <cell r="Q1166" t="str">
            <v>371.75</v>
          </cell>
          <cell r="R1166" t="str">
            <v>16.069942</v>
          </cell>
          <cell r="S1166" t="str">
            <v>108.241132</v>
          </cell>
          <cell r="T1166" t="str">
            <v>full_h04/TP Đà Nẵng/TP Đà Nẵng/Mạng cấp 4 - ĐN cũ/Ring 1 -DN/An Hải - Sơn Trà/Ngầm VNPT</v>
          </cell>
          <cell r="U1166">
            <v>580.01</v>
          </cell>
        </row>
        <row r="1167">
          <cell r="L1167" t="str">
            <v>Ngũ Hành Sơn - Sơn Trà</v>
          </cell>
          <cell r="M1167" t="str">
            <v>358.42</v>
          </cell>
          <cell r="N1167" t="str">
            <v>231.85</v>
          </cell>
          <cell r="O1167" t="str">
            <v>16.068319</v>
          </cell>
          <cell r="P1167" t="str">
            <v>108.232472</v>
          </cell>
          <cell r="Q1167" t="str">
            <v>126.58</v>
          </cell>
          <cell r="R1167" t="str">
            <v>16.061031</v>
          </cell>
          <cell r="S1167" t="str">
            <v>108.234295</v>
          </cell>
          <cell r="T1167" t="str">
            <v>full_h04/TP Đà Nẵng/TP Đà Nẵng/Mạng cấp 3_ DN và Quảng Nam/Cấp 3 - Ring 1 - Đà Nẵng cũ/Ngũ Hành Sơn - Sơn Trà/cống bể VNPT</v>
          </cell>
          <cell r="U1167">
            <v>358.42</v>
          </cell>
        </row>
        <row r="1168">
          <cell r="L1168" t="str">
            <v>TTCMKV Sơn Trà-An Hải</v>
          </cell>
          <cell r="M1168" t="str">
            <v>730.15</v>
          </cell>
          <cell r="N1168" t="str">
            <v>340.44</v>
          </cell>
          <cell r="O1168" t="str">
            <v>16.067178</v>
          </cell>
          <cell r="P1168" t="str">
            <v>108.234552</v>
          </cell>
          <cell r="Q1168" t="str">
            <v>389.71</v>
          </cell>
          <cell r="R1168" t="str">
            <v>16.066327</v>
          </cell>
          <cell r="S1168" t="str">
            <v>108.241332</v>
          </cell>
          <cell r="T1168" t="str">
            <v>full_h04/TP Đà Nẵng/TP Đà Nẵng/Mạng cấp 4 - ĐN cũ/Ring 1 -DN/TTCMKV Sơn Trà-An Hải/Trung thế</v>
          </cell>
          <cell r="U1168">
            <v>730.15</v>
          </cell>
        </row>
        <row r="1169">
          <cell r="L1169" t="str">
            <v>Ngũ Hành Sơn - Sơn Trà</v>
          </cell>
          <cell r="M1169" t="str">
            <v>806.13</v>
          </cell>
          <cell r="N1169" t="str">
            <v>231.85</v>
          </cell>
          <cell r="O1169" t="str">
            <v>16.068319</v>
          </cell>
          <cell r="P1169" t="str">
            <v>108.232472</v>
          </cell>
          <cell r="Q1169" t="str">
            <v>574.28</v>
          </cell>
          <cell r="R1169" t="str">
            <v>16.056984</v>
          </cell>
          <cell r="S1169" t="str">
            <v>108.235525</v>
          </cell>
          <cell r="T1169" t="str">
            <v>full_h04/TP Đà Nẵng/TP Đà Nẵng/Mạng cấp 3_ DN và Quảng Nam/Cấp 3 - Ring 1 - Đà Nẵng cũ/Ngũ Hành Sơn - Sơn Trà/cống bể VNPT</v>
          </cell>
          <cell r="U1169">
            <v>806.13</v>
          </cell>
        </row>
        <row r="1170">
          <cell r="L1170" t="str">
            <v>Hội An - Ngũ Hành Sơn</v>
          </cell>
          <cell r="M1170" t="str">
            <v>1028.99</v>
          </cell>
          <cell r="N1170" t="str">
            <v>32.13</v>
          </cell>
          <cell r="O1170" t="str">
            <v>15.880691</v>
          </cell>
          <cell r="P1170" t="str">
            <v>108.332196</v>
          </cell>
          <cell r="Q1170" t="str">
            <v>996.86</v>
          </cell>
          <cell r="R1170" t="str">
            <v>15.881037</v>
          </cell>
          <cell r="S1170" t="str">
            <v>108.336680</v>
          </cell>
          <cell r="T1170" t="str">
            <v>full_h04/TP Đà Nẵng/TP Đà Nẵng/Mạng cấp 3_ DN và Quảng Nam/Cấp 3 - Ring 1 - Đà Nẵng cũ/Hội An - Ngũ Hành Sơn/Tuyến trung thế 1</v>
          </cell>
          <cell r="U1170">
            <v>1028.99</v>
          </cell>
        </row>
        <row r="1171">
          <cell r="L1171" t="str">
            <v>điện bàn-Hội An</v>
          </cell>
          <cell r="M1171" t="str">
            <v>859.69</v>
          </cell>
          <cell r="N1171" t="str">
            <v>30.36</v>
          </cell>
          <cell r="O1171" t="str">
            <v>15.880702</v>
          </cell>
          <cell r="P1171" t="str">
            <v>108.332181</v>
          </cell>
          <cell r="Q1171" t="str">
            <v>829.33</v>
          </cell>
          <cell r="R1171" t="str">
            <v>15.896825</v>
          </cell>
          <cell r="S1171" t="str">
            <v>108.305206</v>
          </cell>
          <cell r="T1171" t="str">
            <v>full_h04/TP Đà Nẵng/TP Đà Nẵng/Mạng cấp 3_ DN và Quảng Nam/Cấp 3 - Ring 1 - Đà Nẵng cũ/điện bàn-Hội An/tuyến trung thế</v>
          </cell>
          <cell r="U1171">
            <v>859.69</v>
          </cell>
        </row>
        <row r="1172">
          <cell r="L1172" t="str">
            <v>điện bàn-Hội An</v>
          </cell>
          <cell r="M1172" t="str">
            <v>218.75</v>
          </cell>
          <cell r="N1172" t="str">
            <v>30.36</v>
          </cell>
          <cell r="O1172" t="str">
            <v>15.880702</v>
          </cell>
          <cell r="P1172" t="str">
            <v>108.332181</v>
          </cell>
          <cell r="Q1172" t="str">
            <v>188.38</v>
          </cell>
          <cell r="R1172" t="str">
            <v>15.883503</v>
          </cell>
          <cell r="S1172" t="str">
            <v>108.327519</v>
          </cell>
          <cell r="T1172" t="str">
            <v>full_h04/TP Đà Nẵng/TP Đà Nẵng/Mạng cấp 3_ DN và Quảng Nam/Cấp 3 - Ring 1 - Đà Nẵng cũ/điện bàn-Hội An/tuyến trung thế</v>
          </cell>
          <cell r="U1172">
            <v>218.75</v>
          </cell>
        </row>
        <row r="1173">
          <cell r="L1173" t="str">
            <v>Hội An - Ngũ Hành Sơn</v>
          </cell>
          <cell r="M1173" t="str">
            <v>221.47</v>
          </cell>
          <cell r="N1173" t="str">
            <v>32.13</v>
          </cell>
          <cell r="O1173" t="str">
            <v>15.880691</v>
          </cell>
          <cell r="P1173" t="str">
            <v>108.332196</v>
          </cell>
          <cell r="Q1173" t="str">
            <v>189.34</v>
          </cell>
          <cell r="R1173" t="str">
            <v>15.891702</v>
          </cell>
          <cell r="S1173" t="str">
            <v>108.330015</v>
          </cell>
          <cell r="T1173" t="str">
            <v>full_h04/TP Đà Nẵng/TP Đà Nẵng/Mạng cấp 3_ DN và Quảng Nam/Cấp 3 - Ring 1 - Đà Nẵng cũ/Hội An - Ngũ Hành Sơn/Tuyến trung thế 1</v>
          </cell>
          <cell r="U1173">
            <v>221.47</v>
          </cell>
        </row>
        <row r="1174">
          <cell r="L1174" t="str">
            <v>điện bàn-Hội An</v>
          </cell>
          <cell r="M1174" t="str">
            <v>512.65</v>
          </cell>
          <cell r="N1174" t="str">
            <v>30.36</v>
          </cell>
          <cell r="O1174" t="str">
            <v>15.880702</v>
          </cell>
          <cell r="P1174" t="str">
            <v>108.332181</v>
          </cell>
          <cell r="Q1174" t="str">
            <v>482.29</v>
          </cell>
          <cell r="R1174" t="str">
            <v>15.885270</v>
          </cell>
          <cell r="S1174" t="str">
            <v>108.323506</v>
          </cell>
          <cell r="T1174" t="str">
            <v>full_h04/TP Đà Nẵng/TP Đà Nẵng/Mạng cấp 3_ DN và Quảng Nam/Cấp 3 - Ring 1 - Đà Nẵng cũ/điện bàn-Hội An/tuyến trung thế</v>
          </cell>
          <cell r="U1174">
            <v>512.65</v>
          </cell>
        </row>
        <row r="1175">
          <cell r="L1175" t="str">
            <v>Tam Anh - Núi Thành</v>
          </cell>
          <cell r="M1175" t="str">
            <v>1384.24</v>
          </cell>
          <cell r="N1175" t="str">
            <v>3.91</v>
          </cell>
          <cell r="O1175" t="str">
            <v>15.433142</v>
          </cell>
          <cell r="P1175" t="str">
            <v>108.660472</v>
          </cell>
          <cell r="Q1175" t="str">
            <v>1380.33</v>
          </cell>
          <cell r="R1175" t="str">
            <v>15.432864</v>
          </cell>
          <cell r="S1175" t="str">
            <v>108.660290</v>
          </cell>
          <cell r="T1175" t="str">
            <v>full_h04/TP Đà Nẵng/TP Đà Nẵng/Mạng cấp 4 - Quảng Nam/Quảng Nam - Ring 15/Tam Anh - Núi Thành/Cột trồng mới</v>
          </cell>
          <cell r="U1175">
            <v>1384.24</v>
          </cell>
        </row>
        <row r="1176">
          <cell r="L1176" t="str">
            <v>Thăng Bình - Quế Sơn</v>
          </cell>
          <cell r="M1176" t="str">
            <v>96.86</v>
          </cell>
          <cell r="N1176" t="str">
            <v>70.69</v>
          </cell>
          <cell r="O1176" t="str">
            <v>15.736033</v>
          </cell>
          <cell r="P1176" t="str">
            <v>108.352322</v>
          </cell>
          <cell r="Q1176" t="str">
            <v>26.17</v>
          </cell>
          <cell r="R1176" t="str">
            <v>15.734149</v>
          </cell>
          <cell r="S1176" t="str">
            <v>108.348348</v>
          </cell>
          <cell r="T1176" t="str">
            <v>full_h04/TP Đà Nẵng/TP Đà Nẵng/Mạng cấp 3_ DN và Quảng Nam/Cấp 3 - Ring 4 - Quảng Nam cũ/Thăng Bình - Quế Sơn/Đoạn trung thế 1</v>
          </cell>
          <cell r="U1176">
            <v>96.86</v>
          </cell>
        </row>
        <row r="1177">
          <cell r="L1177" t="str">
            <v>Duy Xuyên - TT2 Tam Kỳ</v>
          </cell>
          <cell r="M1177" t="str">
            <v>1254.67</v>
          </cell>
          <cell r="N1177" t="str">
            <v>813.22</v>
          </cell>
          <cell r="O1177" t="str">
            <v>15.741393</v>
          </cell>
          <cell r="P1177" t="str">
            <v>108.356620</v>
          </cell>
          <cell r="Q1177" t="str">
            <v>441.44</v>
          </cell>
          <cell r="R1177" t="str">
            <v>15.754938</v>
          </cell>
          <cell r="S1177" t="str">
            <v>108.349200</v>
          </cell>
          <cell r="T1177" t="str">
            <v>full_h04/TP Đà Nẵng/TP Đà Nẵng/Mạng cấp 3_ DN và Quảng Nam/Cấp 3 - Ring 3 - Quảng Nam cũ/Duy Xuyên - TT2 Tam Kỳ/Trung thế 2</v>
          </cell>
          <cell r="U1177">
            <v>1254.67</v>
          </cell>
        </row>
        <row r="1178">
          <cell r="L1178" t="str">
            <v>Trạm CSGT Thăng Bình (X. Bình Phục, Thăng
Bình) - TTCMKV Thăng Bình</v>
          </cell>
          <cell r="M1178" t="str">
            <v>2191.16</v>
          </cell>
          <cell r="N1178" t="str">
            <v>69.42</v>
          </cell>
          <cell r="O1178" t="str">
            <v>15.736057</v>
          </cell>
          <cell r="P1178" t="str">
            <v>108.352300</v>
          </cell>
          <cell r="Q1178" t="str">
            <v>2121.74</v>
          </cell>
          <cell r="R1178" t="str">
            <v>15.720257</v>
          </cell>
          <cell r="S1178" t="str">
            <v>108.375578</v>
          </cell>
          <cell r="T1178" t="str">
            <v>full_h04/TP Đà Nẵng/TP Đà Nẵng/Mạng cấp 3_ DN và Quảng Nam/Ring Nhánh/Trạm CSGT Thăng Bình (X. Bình Phục, Thăng
Bình) - TTCMKV Thăng Bình/Trung thế</v>
          </cell>
          <cell r="U1178">
            <v>2191.16</v>
          </cell>
        </row>
        <row r="1179">
          <cell r="L1179" t="str">
            <v>Thăng Bình - Quế Sơn</v>
          </cell>
          <cell r="M1179" t="str">
            <v>3862.47</v>
          </cell>
          <cell r="N1179" t="str">
            <v>70.69</v>
          </cell>
          <cell r="O1179" t="str">
            <v>15.736033</v>
          </cell>
          <cell r="P1179" t="str">
            <v>108.352322</v>
          </cell>
          <cell r="Q1179" t="str">
            <v>3791.78</v>
          </cell>
          <cell r="R1179" t="str">
            <v>15.702866</v>
          </cell>
          <cell r="S1179" t="str">
            <v>108.285609</v>
          </cell>
          <cell r="T1179" t="str">
            <v>full_h04/TP Đà Nẵng/TP Đà Nẵng/Mạng cấp 3_ DN và Quảng Nam/Cấp 3 - Ring 4 - Quảng Nam cũ/Thăng Bình - Quế Sơn/Đoạn trung thế 1</v>
          </cell>
          <cell r="U1179">
            <v>3862.47</v>
          </cell>
        </row>
        <row r="1180">
          <cell r="L1180" t="str">
            <v>Thăng Bình - Quế Sơn</v>
          </cell>
          <cell r="M1180" t="str">
            <v>2243.00</v>
          </cell>
          <cell r="N1180" t="str">
            <v>70.69</v>
          </cell>
          <cell r="O1180" t="str">
            <v>15.736033</v>
          </cell>
          <cell r="P1180" t="str">
            <v>108.352322</v>
          </cell>
          <cell r="Q1180" t="str">
            <v>2172.31</v>
          </cell>
          <cell r="R1180" t="str">
            <v>15.702866</v>
          </cell>
          <cell r="S1180" t="str">
            <v>108.285609</v>
          </cell>
          <cell r="T1180" t="str">
            <v>full_h04/TP Đà Nẵng/TP Đà Nẵng/Mạng cấp 3_ DN và Quảng Nam/Cấp 3 - Ring 4 - Quảng Nam cũ/Thăng Bình - Quế Sơn/Đoạn trung thế 1</v>
          </cell>
          <cell r="U1180">
            <v>2243</v>
          </cell>
        </row>
        <row r="1181">
          <cell r="L1181" t="str">
            <v>Duy Xuyên - TT2 Tam Kỳ</v>
          </cell>
          <cell r="M1181" t="str">
            <v>1524.45</v>
          </cell>
          <cell r="N1181" t="str">
            <v>813.22</v>
          </cell>
          <cell r="O1181" t="str">
            <v>15.741393</v>
          </cell>
          <cell r="P1181" t="str">
            <v>108.356620</v>
          </cell>
          <cell r="Q1181" t="str">
            <v>711.23</v>
          </cell>
          <cell r="R1181" t="str">
            <v>15.772945</v>
          </cell>
          <cell r="S1181" t="str">
            <v>108.335080</v>
          </cell>
          <cell r="T1181" t="str">
            <v>full_h04/TP Đà Nẵng/TP Đà Nẵng/Mạng cấp 3_ DN và Quảng Nam/Cấp 3 - Ring 3 - Quảng Nam cũ/Duy Xuyên - TT2 Tam Kỳ/Trung thế 2</v>
          </cell>
          <cell r="U1181">
            <v>1524.45</v>
          </cell>
        </row>
        <row r="1182">
          <cell r="L1182" t="str">
            <v>Duy Xuyên - TT2 Tam Kỳ</v>
          </cell>
          <cell r="M1182" t="str">
            <v>868.63</v>
          </cell>
          <cell r="N1182" t="str">
            <v>813.22</v>
          </cell>
          <cell r="O1182" t="str">
            <v>15.741393</v>
          </cell>
          <cell r="P1182" t="str">
            <v>108.356620</v>
          </cell>
          <cell r="Q1182" t="str">
            <v>55.40</v>
          </cell>
          <cell r="R1182" t="str">
            <v>15.742511</v>
          </cell>
          <cell r="S1182" t="str">
            <v>108.358967</v>
          </cell>
          <cell r="T1182" t="str">
            <v>full_h04/TP Đà Nẵng/TP Đà Nẵng/Mạng cấp 3_ DN và Quảng Nam/Cấp 3 - Ring 3 - Quảng Nam cũ/Duy Xuyên - TT2 Tam Kỳ/Trung thế 2</v>
          </cell>
          <cell r="U1182">
            <v>868.63</v>
          </cell>
        </row>
        <row r="1183">
          <cell r="L1183" t="str">
            <v>E28 - Thăng An</v>
          </cell>
          <cell r="M1183" t="str">
            <v>1289.89</v>
          </cell>
          <cell r="N1183" t="str">
            <v>1063.79</v>
          </cell>
          <cell r="O1183" t="str">
            <v>15.742058</v>
          </cell>
          <cell r="P1183" t="str">
            <v>108.359236</v>
          </cell>
          <cell r="Q1183" t="str">
            <v>226.10</v>
          </cell>
          <cell r="R1183" t="str">
            <v>15.747146</v>
          </cell>
          <cell r="S1183" t="str">
            <v>108.376503</v>
          </cell>
          <cell r="T1183" t="str">
            <v>full_h04/TP Đà Nẵng/TP Đà Nẵng/Mạng cấp 4 - Quảng Nam/Quảng Nam - Ring 7_them E28/Quảng Nam - Ring 7 - ok/E28 - Thăng An/Trung thế</v>
          </cell>
          <cell r="U1183">
            <v>1289.8900000000001</v>
          </cell>
        </row>
        <row r="1184">
          <cell r="L1184" t="str">
            <v>Thăng Trường - Quảng Phú</v>
          </cell>
          <cell r="M1184" t="str">
            <v>5860.24</v>
          </cell>
          <cell r="N1184" t="str">
            <v>2867.84</v>
          </cell>
          <cell r="O1184" t="str">
            <v>15.643529</v>
          </cell>
          <cell r="P1184" t="str">
            <v>108.511248</v>
          </cell>
          <cell r="Q1184" t="str">
            <v>2992.40</v>
          </cell>
          <cell r="R1184" t="str">
            <v>15.606150</v>
          </cell>
          <cell r="S1184" t="str">
            <v>108.536916</v>
          </cell>
          <cell r="T1184" t="str">
            <v>full_h04/TP Đà Nẵng/TP Đà Nẵng/Mạng cấp 4 - Quảng Nam/Quảng Nam - Ring 12/Quảng Nam - Ring 12_fix.kmz/Quảng Nam - Ring 12 - ok/Thăng Trường - Quảng Phú/hạ thế 4</v>
          </cell>
          <cell r="U1184">
            <v>5860.24</v>
          </cell>
        </row>
        <row r="1185">
          <cell r="L1185" t="str">
            <v>TTCMKV Thăng Bình - Thăng
Trường</v>
          </cell>
          <cell r="M1185" t="str">
            <v>7674.26</v>
          </cell>
          <cell r="N1185" t="str">
            <v>9.80</v>
          </cell>
          <cell r="O1185" t="str">
            <v>15.650872</v>
          </cell>
          <cell r="P1185" t="str">
            <v>108.485605</v>
          </cell>
          <cell r="Q1185" t="str">
            <v>7664.46</v>
          </cell>
          <cell r="R1185" t="str">
            <v>15.649153</v>
          </cell>
          <cell r="S1185" t="str">
            <v>108.467534</v>
          </cell>
          <cell r="T1185" t="str">
            <v>full_h04/TP Đà Nẵng/TP Đà Nẵng/Mạng cấp 4 - Quảng Nam/Quảng Nam - Ring 12/Quảng Nam - Ring 12_fix.kmz/Quảng Nam - Ring 12 - ok/TTCMKV Thăng Bình - Thăng
Trường/hạ thế 1</v>
          </cell>
          <cell r="U1185">
            <v>7674.26</v>
          </cell>
        </row>
        <row r="1186">
          <cell r="L1186" t="str">
            <v>TT2 Tam Kỳ - Thăng Bình</v>
          </cell>
          <cell r="M1186" t="str">
            <v>5601.75</v>
          </cell>
          <cell r="N1186" t="str">
            <v>5524.52</v>
          </cell>
          <cell r="O1186" t="str">
            <v>15.621184</v>
          </cell>
          <cell r="P1186" t="str">
            <v>108.444299</v>
          </cell>
          <cell r="Q1186" t="str">
            <v>77.23</v>
          </cell>
          <cell r="R1186" t="str">
            <v>15.574672</v>
          </cell>
          <cell r="S1186" t="str">
            <v>108.473910</v>
          </cell>
          <cell r="T1186" t="str">
            <v>full_h04/TP Đà Nẵng/TP Đà Nẵng/Mạng cấp 3_ DN và Quảng Nam/Cấp 3 - Ring 4 - Quảng Nam cũ/TT2 Tam Kỳ - Thăng Bình/Đoạn trung thế</v>
          </cell>
          <cell r="U1186">
            <v>5601.75</v>
          </cell>
        </row>
        <row r="1187">
          <cell r="L1187" t="str">
            <v>TTCMKV Thăng Bình - Thăng
Trường</v>
          </cell>
          <cell r="M1187" t="str">
            <v>13367.54</v>
          </cell>
          <cell r="N1187" t="str">
            <v>2543.98</v>
          </cell>
          <cell r="O1187" t="str">
            <v>15.646301</v>
          </cell>
          <cell r="P1187" t="str">
            <v>108.462339</v>
          </cell>
          <cell r="Q1187" t="str">
            <v>10823.56</v>
          </cell>
          <cell r="R1187" t="str">
            <v>15.736029</v>
          </cell>
          <cell r="S1187" t="str">
            <v>108.352341</v>
          </cell>
          <cell r="T1187" t="str">
            <v>full_h04/TP Đà Nẵng/TP Đà Nẵng/Mạng cấp 4 - Quảng Nam/Quảng Nam - Ring 12/Quảng Nam - Ring 12_fix.kmz/Quảng Nam - Ring 12 - ok/TTCMKV Thăng Bình - Thăng
Trường/trung thế 1</v>
          </cell>
          <cell r="U1187">
            <v>13367.54</v>
          </cell>
        </row>
        <row r="1188">
          <cell r="L1188" t="str">
            <v>TT2 Tam Kỳ - Thăng Bình</v>
          </cell>
          <cell r="M1188" t="str">
            <v>5601.75</v>
          </cell>
          <cell r="N1188" t="str">
            <v>5524.52</v>
          </cell>
          <cell r="O1188" t="str">
            <v>15.621184</v>
          </cell>
          <cell r="P1188" t="str">
            <v>108.444299</v>
          </cell>
          <cell r="Q1188" t="str">
            <v>77.23</v>
          </cell>
          <cell r="R1188" t="str">
            <v>15.574672</v>
          </cell>
          <cell r="S1188" t="str">
            <v>108.473910</v>
          </cell>
          <cell r="T1188" t="str">
            <v>full_h04/TP Đà Nẵng/TP Đà Nẵng/Mạng cấp 3_ DN và Quảng Nam/Cấp 3 - Ring 4 - Quảng Nam cũ/TT2 Tam Kỳ - Thăng Bình/Đoạn trung thế</v>
          </cell>
          <cell r="U1188">
            <v>5601.75</v>
          </cell>
        </row>
        <row r="1189">
          <cell r="L1189" t="str">
            <v>TTCMKV Thăng Bình - Thăng
Trường</v>
          </cell>
          <cell r="M1189" t="str">
            <v>11307.44</v>
          </cell>
          <cell r="N1189" t="str">
            <v>2543.98</v>
          </cell>
          <cell r="O1189" t="str">
            <v>15.646301</v>
          </cell>
          <cell r="P1189" t="str">
            <v>108.462339</v>
          </cell>
          <cell r="Q1189" t="str">
            <v>8763.46</v>
          </cell>
          <cell r="R1189" t="str">
            <v>15.706669</v>
          </cell>
          <cell r="S1189" t="str">
            <v>108.386088</v>
          </cell>
          <cell r="T1189" t="str">
            <v>full_h04/TP Đà Nẵng/TP Đà Nẵng/Mạng cấp 4 - Quảng Nam/Quảng Nam - Ring 12/Quảng Nam - Ring 12_fix.kmz/Quảng Nam - Ring 12 - ok/TTCMKV Thăng Bình - Thăng
Trường/trung thế 1</v>
          </cell>
          <cell r="U1189">
            <v>11307.44</v>
          </cell>
        </row>
        <row r="1190">
          <cell r="L1190" t="str">
            <v>TT2 Tam Kỳ - Thăng Bình</v>
          </cell>
          <cell r="M1190" t="str">
            <v>1806.64</v>
          </cell>
          <cell r="N1190" t="str">
            <v>569.96</v>
          </cell>
          <cell r="O1190" t="str">
            <v>15.646900</v>
          </cell>
          <cell r="P1190" t="str">
            <v>108.430170</v>
          </cell>
          <cell r="Q1190" t="str">
            <v>1236.69</v>
          </cell>
          <cell r="R1190" t="str">
            <v>15.666873</v>
          </cell>
          <cell r="S1190" t="str">
            <v>108.412204</v>
          </cell>
          <cell r="T1190" t="str">
            <v>full_h04/TP Đà Nẵng/TP Đà Nẵng/Mạng cấp 3_ DN và Quảng Nam/Cấp 3 - Ring 4 - Quảng Nam cũ/TT2 Tam Kỳ - Thăng Bình/Đoạn trung thế</v>
          </cell>
          <cell r="U1190">
            <v>1806.64</v>
          </cell>
        </row>
        <row r="1191">
          <cell r="L1191" t="str">
            <v>TTCMKV Thăng Bình - Thăng
Trường</v>
          </cell>
          <cell r="M1191" t="str">
            <v>1333.52</v>
          </cell>
          <cell r="N1191" t="str">
            <v>709.57</v>
          </cell>
          <cell r="O1191" t="str">
            <v>15.650188</v>
          </cell>
          <cell r="P1191" t="str">
            <v>108.428378</v>
          </cell>
          <cell r="Q1191" t="str">
            <v>623.95</v>
          </cell>
          <cell r="R1191" t="str">
            <v>15.647589</v>
          </cell>
          <cell r="S1191" t="str">
            <v>108.438421</v>
          </cell>
          <cell r="T1191" t="str">
            <v>full_h04/TP Đà Nẵng/TP Đà Nẵng/Mạng cấp 4 - Quảng Nam/Quảng Nam - Ring 12/Quảng Nam - Ring 12_fix.kmz/Quảng Nam - Ring 12 - ok/TTCMKV Thăng Bình - Thăng
Trường/trung thế 1</v>
          </cell>
          <cell r="U1191">
            <v>1333.52</v>
          </cell>
        </row>
        <row r="1192">
          <cell r="L1192" t="str">
            <v>Duy Xuyên - TT2 Tam Kỳ</v>
          </cell>
          <cell r="M1192" t="str">
            <v>875.94</v>
          </cell>
          <cell r="N1192" t="str">
            <v>574.59</v>
          </cell>
          <cell r="O1192" t="str">
            <v>15.646918</v>
          </cell>
          <cell r="P1192" t="str">
            <v>108.430209</v>
          </cell>
          <cell r="Q1192" t="str">
            <v>301.35</v>
          </cell>
          <cell r="R1192" t="str">
            <v>15.717450</v>
          </cell>
          <cell r="S1192" t="str">
            <v>108.375263</v>
          </cell>
          <cell r="T1192" t="str">
            <v>full_h04/TP Đà Nẵng/TP Đà Nẵng/Mạng cấp 3_ DN và Quảng Nam/Cấp 3 - Ring 3 - Quảng Nam cũ/Duy Xuyên - TT2 Tam Kỳ/Trung thế 4</v>
          </cell>
          <cell r="U1192">
            <v>875.94</v>
          </cell>
        </row>
        <row r="1193">
          <cell r="L1193" t="str">
            <v>TT2 Tam Kỳ - Thăng Bình</v>
          </cell>
          <cell r="M1193" t="str">
            <v>1039.18</v>
          </cell>
          <cell r="N1193" t="str">
            <v>569.96</v>
          </cell>
          <cell r="O1193" t="str">
            <v>15.646900</v>
          </cell>
          <cell r="P1193" t="str">
            <v>108.430170</v>
          </cell>
          <cell r="Q1193" t="str">
            <v>469.22</v>
          </cell>
          <cell r="R1193" t="str">
            <v>15.584040</v>
          </cell>
          <cell r="S1193" t="str">
            <v>108.468689</v>
          </cell>
          <cell r="T1193" t="str">
            <v>full_h04/TP Đà Nẵng/TP Đà Nẵng/Mạng cấp 3_ DN và Quảng Nam/Cấp 3 - Ring 4 - Quảng Nam cũ/TT2 Tam Kỳ - Thăng Bình/Đoạn trung thế</v>
          </cell>
          <cell r="U1193">
            <v>1039.18</v>
          </cell>
        </row>
        <row r="1194">
          <cell r="L1194" t="str">
            <v>TT2 Tam Kỳ - Thăng Bình</v>
          </cell>
          <cell r="M1194" t="str">
            <v>630.56</v>
          </cell>
          <cell r="N1194" t="str">
            <v>569.96</v>
          </cell>
          <cell r="O1194" t="str">
            <v>15.646900</v>
          </cell>
          <cell r="P1194" t="str">
            <v>108.430170</v>
          </cell>
          <cell r="Q1194" t="str">
            <v>60.61</v>
          </cell>
          <cell r="R1194" t="str">
            <v>15.661580</v>
          </cell>
          <cell r="S1194" t="str">
            <v>108.414679</v>
          </cell>
          <cell r="T1194" t="str">
            <v>full_h04/TP Đà Nẵng/TP Đà Nẵng/Mạng cấp 3_ DN và Quảng Nam/Cấp 3 - Ring 4 - Quảng Nam cũ/TT2 Tam Kỳ - Thăng Bình/Đoạn trung thế</v>
          </cell>
          <cell r="U1194">
            <v>630.55999999999995</v>
          </cell>
        </row>
        <row r="1195">
          <cell r="L1195" t="str">
            <v>TT2 Tam Kỳ - Thăng Bình</v>
          </cell>
          <cell r="M1195" t="str">
            <v>7272.64</v>
          </cell>
          <cell r="N1195" t="str">
            <v>569.96</v>
          </cell>
          <cell r="O1195" t="str">
            <v>15.646900</v>
          </cell>
          <cell r="P1195" t="str">
            <v>108.430170</v>
          </cell>
          <cell r="Q1195" t="str">
            <v>6702.69</v>
          </cell>
          <cell r="R1195" t="str">
            <v>15.736011</v>
          </cell>
          <cell r="S1195" t="str">
            <v>108.352346</v>
          </cell>
          <cell r="T1195" t="str">
            <v>full_h04/TP Đà Nẵng/TP Đà Nẵng/Mạng cấp 3_ DN và Quảng Nam/Cấp 3 - Ring 4 - Quảng Nam cũ/TT2 Tam Kỳ - Thăng Bình/Đoạn trung thế</v>
          </cell>
          <cell r="U1195">
            <v>7272.64</v>
          </cell>
        </row>
        <row r="1196">
          <cell r="L1196" t="str">
            <v>TT2 Tam Kỳ - Thăng Bình</v>
          </cell>
          <cell r="M1196" t="str">
            <v>605.12</v>
          </cell>
          <cell r="N1196" t="str">
            <v>569.96</v>
          </cell>
          <cell r="O1196" t="str">
            <v>15.646900</v>
          </cell>
          <cell r="P1196" t="str">
            <v>108.430170</v>
          </cell>
          <cell r="Q1196" t="str">
            <v>35.17</v>
          </cell>
          <cell r="R1196" t="str">
            <v>15.579652</v>
          </cell>
          <cell r="S1196" t="str">
            <v>108.473956</v>
          </cell>
          <cell r="T1196" t="str">
            <v>full_h04/TP Đà Nẵng/TP Đà Nẵng/Mạng cấp 3_ DN và Quảng Nam/Cấp 3 - Ring 4 - Quảng Nam cũ/TT2 Tam Kỳ - Thăng Bình/Đoạn trung thế</v>
          </cell>
          <cell r="U1196">
            <v>605.12</v>
          </cell>
        </row>
        <row r="1197">
          <cell r="L1197" t="str">
            <v>TT2 Tam Kỳ - Tam Xuân</v>
          </cell>
          <cell r="M1197" t="str">
            <v>1749.52</v>
          </cell>
          <cell r="N1197" t="str">
            <v>1431.84</v>
          </cell>
          <cell r="O1197" t="str">
            <v>15.570172</v>
          </cell>
          <cell r="P1197" t="str">
            <v>108.487201</v>
          </cell>
          <cell r="Q1197" t="str">
            <v>317.68</v>
          </cell>
          <cell r="R1197" t="str">
            <v>15.553040</v>
          </cell>
          <cell r="S1197" t="str">
            <v>108.506078</v>
          </cell>
          <cell r="T1197" t="str">
            <v>full_h04/TP Đà Nẵng/TP Đà Nẵng/Mạng cấp 4 - Quảng Nam/Quảng Nam - Ring 15/TT2 Tam Kỳ - Tam Xuân/Trung thế</v>
          </cell>
          <cell r="U1197">
            <v>1749.52</v>
          </cell>
        </row>
        <row r="1198">
          <cell r="L1198" t="str">
            <v>TT2 Tam Kỳ - Tam Xuân</v>
          </cell>
          <cell r="M1198" t="str">
            <v>621.57</v>
          </cell>
          <cell r="N1198" t="str">
            <v>67.82</v>
          </cell>
          <cell r="O1198" t="str">
            <v>15.574916</v>
          </cell>
          <cell r="P1198" t="str">
            <v>108.475032</v>
          </cell>
          <cell r="Q1198" t="str">
            <v>553.75</v>
          </cell>
          <cell r="R1198" t="str">
            <v>15.570620</v>
          </cell>
          <cell r="S1198" t="str">
            <v>108.486687</v>
          </cell>
          <cell r="T1198" t="str">
            <v>full_h04/TP Đà Nẵng/TP Đà Nẵng/Mạng cấp 4 - Quảng Nam/Quảng Nam - Ring 15/TT2 Tam Kỳ - Tam Xuân/Trung thế</v>
          </cell>
          <cell r="U1198">
            <v>621.57000000000005</v>
          </cell>
        </row>
        <row r="1199">
          <cell r="L1199" t="str">
            <v>TT2 Tam Kỳ - Tam Xuân</v>
          </cell>
          <cell r="M1199" t="str">
            <v>1761.77</v>
          </cell>
          <cell r="N1199" t="str">
            <v>67.82</v>
          </cell>
          <cell r="O1199" t="str">
            <v>15.574916</v>
          </cell>
          <cell r="P1199" t="str">
            <v>108.475032</v>
          </cell>
          <cell r="Q1199" t="str">
            <v>1693.95</v>
          </cell>
          <cell r="R1199" t="str">
            <v>15.570620</v>
          </cell>
          <cell r="S1199" t="str">
            <v>108.486687</v>
          </cell>
          <cell r="T1199" t="str">
            <v>full_h04/TP Đà Nẵng/TP Đà Nẵng/Mạng cấp 4 - Quảng Nam/Quảng Nam - Ring 15/TT2 Tam Kỳ - Tam Xuân/Trung thế</v>
          </cell>
          <cell r="U1199">
            <v>1761.77</v>
          </cell>
        </row>
        <row r="1200">
          <cell r="L1200" t="str">
            <v>TT2 Tam Kỳ - CAX Tiên Sơn (Tiên Phước)</v>
          </cell>
          <cell r="M1200" t="str">
            <v>3418.04</v>
          </cell>
          <cell r="N1200" t="str">
            <v>3259.01</v>
          </cell>
          <cell r="O1200" t="str">
            <v>15.575377</v>
          </cell>
          <cell r="P1200" t="str">
            <v>108.444188</v>
          </cell>
          <cell r="Q1200" t="str">
            <v>159.03</v>
          </cell>
          <cell r="R1200" t="str">
            <v>15.563253</v>
          </cell>
          <cell r="S1200" t="str">
            <v>108.371691</v>
          </cell>
          <cell r="T1200" t="str">
            <v>full_h04/TP Đà Nẵng/TP Đà Nẵng/Mạng cấp 3_ DN và Quảng Nam/Cấp 3 - Ring 3 - Quảng Nam cũ/TT2 Tam Kỳ - CAX Tiên Sơn (Tiên Phước)/Đoạn trung thế 2</v>
          </cell>
          <cell r="U1200">
            <v>3418.04</v>
          </cell>
        </row>
        <row r="1201">
          <cell r="L1201" t="str">
            <v>TT2 Tam Kỳ - Tam Xuân</v>
          </cell>
          <cell r="M1201" t="str">
            <v>1121.08</v>
          </cell>
          <cell r="N1201" t="str">
            <v>67.82</v>
          </cell>
          <cell r="O1201" t="str">
            <v>15.574916</v>
          </cell>
          <cell r="P1201" t="str">
            <v>108.475032</v>
          </cell>
          <cell r="Q1201" t="str">
            <v>1053.25</v>
          </cell>
          <cell r="R1201" t="str">
            <v>15.570620</v>
          </cell>
          <cell r="S1201" t="str">
            <v>108.486687</v>
          </cell>
          <cell r="T1201" t="str">
            <v>full_h04/TP Đà Nẵng/TP Đà Nẵng/Mạng cấp 4 - Quảng Nam/Quảng Nam - Ring 15/TT2 Tam Kỳ - Tam Xuân/Trung thế</v>
          </cell>
          <cell r="U1201">
            <v>1121.08</v>
          </cell>
        </row>
        <row r="1202">
          <cell r="L1202" t="str">
            <v>Tam Kỳ - TT2 Đà Nẵng (Tam Kỳ)</v>
          </cell>
          <cell r="M1202" t="str">
            <v>1163.38</v>
          </cell>
          <cell r="N1202" t="str">
            <v>114.00</v>
          </cell>
          <cell r="O1202" t="str">
            <v>15.574221</v>
          </cell>
          <cell r="P1202" t="str">
            <v>108.473568</v>
          </cell>
          <cell r="Q1202" t="str">
            <v>1049.39</v>
          </cell>
          <cell r="R1202" t="str">
            <v>15.565076</v>
          </cell>
          <cell r="S1202" t="str">
            <v>108.481030</v>
          </cell>
          <cell r="T1202" t="str">
            <v>full_h04/TP Đà Nẵng/TP Đà Nẵng/Mạng cấp 4 - Quảng Nam/Quảng Nam - Ring 14/Tam Kỳ - TT2 Đà Nẵng (Tam Kỳ)/trung thế 1</v>
          </cell>
          <cell r="U1202">
            <v>1163.3800000000001</v>
          </cell>
        </row>
        <row r="1203">
          <cell r="L1203" t="str">
            <v>Hương Trà - Tam Kỳ</v>
          </cell>
          <cell r="M1203" t="str">
            <v>1902.84</v>
          </cell>
          <cell r="N1203" t="str">
            <v>1446.78</v>
          </cell>
          <cell r="O1203" t="str">
            <v>15.563969</v>
          </cell>
          <cell r="P1203" t="str">
            <v>108.482575</v>
          </cell>
          <cell r="Q1203" t="str">
            <v>456.06</v>
          </cell>
          <cell r="R1203" t="str">
            <v>15.546304</v>
          </cell>
          <cell r="S1203" t="str">
            <v>108.490387</v>
          </cell>
          <cell r="T1203" t="str">
            <v>full_h04/TP Đà Nẵng/TP Đà Nẵng/Mạng cấp 4 - Quảng Nam/Quảng Nam - Ring 14/Hương Trà - Tam Kỳ/trung thế 1</v>
          </cell>
          <cell r="U1203">
            <v>1902.84</v>
          </cell>
        </row>
        <row r="1204">
          <cell r="L1204" t="str">
            <v>Hương Trà - Tam Kỳ</v>
          </cell>
          <cell r="M1204" t="str">
            <v>1876.33</v>
          </cell>
          <cell r="N1204" t="str">
            <v>1446.78</v>
          </cell>
          <cell r="O1204" t="str">
            <v>15.563969</v>
          </cell>
          <cell r="P1204" t="str">
            <v>108.482575</v>
          </cell>
          <cell r="Q1204" t="str">
            <v>429.55</v>
          </cell>
          <cell r="R1204" t="str">
            <v>15.544557</v>
          </cell>
          <cell r="S1204" t="str">
            <v>108.488028</v>
          </cell>
          <cell r="T1204" t="str">
            <v>full_h04/TP Đà Nẵng/TP Đà Nẵng/Mạng cấp 4 - Quảng Nam/Quảng Nam - Ring 14/Hương Trà - Tam Kỳ/trung thế 1</v>
          </cell>
          <cell r="U1204">
            <v>1876.33</v>
          </cell>
        </row>
        <row r="1205">
          <cell r="L1205" t="str">
            <v>TT2 Tam Kỳ - Thăng Bình</v>
          </cell>
          <cell r="M1205" t="str">
            <v>5601.75</v>
          </cell>
          <cell r="N1205" t="str">
            <v>77.23</v>
          </cell>
          <cell r="O1205" t="str">
            <v>15.574672</v>
          </cell>
          <cell r="P1205" t="str">
            <v>108.473910</v>
          </cell>
          <cell r="Q1205" t="str">
            <v>5524.52</v>
          </cell>
          <cell r="R1205" t="str">
            <v>15.621184</v>
          </cell>
          <cell r="S1205" t="str">
            <v>108.444299</v>
          </cell>
          <cell r="T1205" t="str">
            <v>full_h04/TP Đà Nẵng/TP Đà Nẵng/Mạng cấp 3_ DN và Quảng Nam/Cấp 3 - Ring 4 - Quảng Nam cũ/TT2 Tam Kỳ - Thăng Bình/Đoạn trung thế</v>
          </cell>
          <cell r="U1205">
            <v>5601.75</v>
          </cell>
        </row>
        <row r="1206">
          <cell r="L1206" t="str">
            <v>TT2 Tam Kỳ - Thăng Bình</v>
          </cell>
          <cell r="M1206" t="str">
            <v>5601.75</v>
          </cell>
          <cell r="N1206" t="str">
            <v>77.23</v>
          </cell>
          <cell r="O1206" t="str">
            <v>15.574672</v>
          </cell>
          <cell r="P1206" t="str">
            <v>108.473910</v>
          </cell>
          <cell r="Q1206" t="str">
            <v>5524.52</v>
          </cell>
          <cell r="R1206" t="str">
            <v>15.621184</v>
          </cell>
          <cell r="S1206" t="str">
            <v>108.444299</v>
          </cell>
          <cell r="T1206" t="str">
            <v>full_h04/TP Đà Nẵng/TP Đà Nẵng/Mạng cấp 3_ DN và Quảng Nam/Cấp 3 - Ring 4 - Quảng Nam cũ/TT2 Tam Kỳ - Thăng Bình/Đoạn trung thế</v>
          </cell>
          <cell r="U1206">
            <v>5601.75</v>
          </cell>
        </row>
        <row r="1207">
          <cell r="L1207" t="str">
            <v>PC08-PC07</v>
          </cell>
          <cell r="M1207" t="str">
            <v>251.51</v>
          </cell>
          <cell r="N1207" t="str">
            <v>37.74</v>
          </cell>
          <cell r="O1207" t="str">
            <v>16.035793</v>
          </cell>
          <cell r="P1207" t="str">
            <v>108.212664</v>
          </cell>
          <cell r="Q1207" t="str">
            <v>213.77</v>
          </cell>
          <cell r="R1207" t="str">
            <v>16.035793</v>
          </cell>
          <cell r="S1207" t="str">
            <v>108.212664</v>
          </cell>
          <cell r="T1207" t="str">
            <v>full_h04/TP Đà Nẵng/TP Đà Nẵng/Mạng cấp 3_ DN và Quảng Nam/Phòng - Ring 1 ( ĐN )4.kmz/Phòng - Ring 1 ( ĐN )/PC08-PC07/hạ thế 2</v>
          </cell>
          <cell r="U1207">
            <v>251.51</v>
          </cell>
        </row>
        <row r="1208">
          <cell r="L1208" t="str">
            <v>Ngũ Hành Sơn - Cẩm Lệ</v>
          </cell>
          <cell r="M1208" t="str">
            <v>512.45</v>
          </cell>
          <cell r="N1208" t="str">
            <v>2.19</v>
          </cell>
          <cell r="O1208" t="str">
            <v>16.011855</v>
          </cell>
          <cell r="P1208" t="str">
            <v>108.197387</v>
          </cell>
          <cell r="Q1208" t="str">
            <v>510.27</v>
          </cell>
          <cell r="R1208" t="str">
            <v>16.011552</v>
          </cell>
          <cell r="S1208" t="str">
            <v>108.197460</v>
          </cell>
          <cell r="T1208" t="str">
            <v>full_h04/TP Đà Nẵng/TP Đà Nẵng/Mạng cấp 4 - ĐN cũ/Ring 2 -DN/Ngũ Hành Sơn - Cẩm Lệ/Cột trồng mới</v>
          </cell>
          <cell r="U1208">
            <v>512.45000000000005</v>
          </cell>
        </row>
        <row r="1209">
          <cell r="L1209" t="str">
            <v>Hòa Xuân - TTKV Cẩm Lệ</v>
          </cell>
          <cell r="M1209" t="str">
            <v>188.49</v>
          </cell>
          <cell r="N1209" t="str">
            <v>33.95</v>
          </cell>
          <cell r="O1209" t="str">
            <v>16.011571</v>
          </cell>
          <cell r="P1209" t="str">
            <v>108.197464</v>
          </cell>
          <cell r="Q1209" t="str">
            <v>154.54</v>
          </cell>
          <cell r="R1209" t="str">
            <v>16.010859</v>
          </cell>
          <cell r="S1209" t="str">
            <v>108.195474</v>
          </cell>
          <cell r="T1209" t="str">
            <v>full_h04/TP Đà Nẵng/TP Đà Nẵng/Mạng cấp 4 - ĐN cũ/Ring 3 - DN/Hòa Xuân - TTKV Cẩm Lệ/Trung thế</v>
          </cell>
          <cell r="U1209">
            <v>188.49</v>
          </cell>
        </row>
        <row r="1210">
          <cell r="L1210" t="str">
            <v>Hòa Xuân - TTKV Cẩm Lệ</v>
          </cell>
          <cell r="M1210" t="str">
            <v>570.08</v>
          </cell>
          <cell r="N1210" t="str">
            <v>33.95</v>
          </cell>
          <cell r="O1210" t="str">
            <v>16.011571</v>
          </cell>
          <cell r="P1210" t="str">
            <v>108.197464</v>
          </cell>
          <cell r="Q1210" t="str">
            <v>536.13</v>
          </cell>
          <cell r="R1210" t="str">
            <v>16.012028</v>
          </cell>
          <cell r="S1210" t="str">
            <v>108.198609</v>
          </cell>
          <cell r="T1210" t="str">
            <v>full_h04/TP Đà Nẵng/TP Đà Nẵng/Mạng cấp 4 - ĐN cũ/Ring 3 - DN/Hòa Xuân - TTKV Cẩm Lệ/Trung thế</v>
          </cell>
          <cell r="U1210">
            <v>570.08000000000004</v>
          </cell>
        </row>
        <row r="1211">
          <cell r="L1211" t="str">
            <v>PC08-PC07</v>
          </cell>
          <cell r="M1211" t="str">
            <v>1975.84</v>
          </cell>
          <cell r="N1211" t="str">
            <v>18.12</v>
          </cell>
          <cell r="O1211" t="str">
            <v>16.007725</v>
          </cell>
          <cell r="P1211" t="str">
            <v>108.217546</v>
          </cell>
          <cell r="Q1211" t="str">
            <v>1957.72</v>
          </cell>
          <cell r="R1211" t="str">
            <v>16.010805</v>
          </cell>
          <cell r="S1211" t="str">
            <v>108.217115</v>
          </cell>
          <cell r="T1211" t="str">
            <v>full_h04/TP Đà Nẵng/TP Đà Nẵng/Mạng cấp 3_ DN và Quảng Nam/Phòng - Ring 1 ( ĐN )4.kmz/Phòng - Ring 1 ( ĐN )/PC08-PC07/Hạ thế 1</v>
          </cell>
          <cell r="U1211">
            <v>1975.84</v>
          </cell>
        </row>
        <row r="1212">
          <cell r="L1212" t="str">
            <v>PC08-PC07</v>
          </cell>
          <cell r="M1212" t="str">
            <v>710.52</v>
          </cell>
          <cell r="N1212" t="str">
            <v>18.12</v>
          </cell>
          <cell r="O1212" t="str">
            <v>16.007725</v>
          </cell>
          <cell r="P1212" t="str">
            <v>108.217546</v>
          </cell>
          <cell r="Q1212" t="str">
            <v>692.39</v>
          </cell>
          <cell r="R1212" t="str">
            <v>16.010805</v>
          </cell>
          <cell r="S1212" t="str">
            <v>108.217115</v>
          </cell>
          <cell r="T1212" t="str">
            <v>full_h04/TP Đà Nẵng/TP Đà Nẵng/Mạng cấp 3_ DN và Quảng Nam/Phòng - Ring 1 ( ĐN )4.kmz/Phòng - Ring 1 ( ĐN )/PC08-PC07/Hạ thế 1</v>
          </cell>
          <cell r="U1212">
            <v>710.52</v>
          </cell>
        </row>
        <row r="1213">
          <cell r="L1213" t="str">
            <v>PC08-PC07</v>
          </cell>
          <cell r="M1213" t="str">
            <v>1232.94</v>
          </cell>
          <cell r="N1213" t="str">
            <v>18.12</v>
          </cell>
          <cell r="O1213" t="str">
            <v>16.007725</v>
          </cell>
          <cell r="P1213" t="str">
            <v>108.217546</v>
          </cell>
          <cell r="Q1213" t="str">
            <v>1214.82</v>
          </cell>
          <cell r="R1213" t="str">
            <v>16.008358</v>
          </cell>
          <cell r="S1213" t="str">
            <v>108.218391</v>
          </cell>
          <cell r="T1213" t="str">
            <v>full_h04/TP Đà Nẵng/TP Đà Nẵng/Mạng cấp 3_ DN và Quảng Nam/Phòng - Ring 1 ( ĐN )4.kmz/Phòng - Ring 1 ( ĐN )/PC08-PC07/Hạ thế 1</v>
          </cell>
          <cell r="U1213">
            <v>1232.94</v>
          </cell>
        </row>
        <row r="1214">
          <cell r="L1214" t="str">
            <v>PC08-PC07</v>
          </cell>
          <cell r="M1214" t="str">
            <v>1411.01</v>
          </cell>
          <cell r="N1214" t="str">
            <v>18.12</v>
          </cell>
          <cell r="O1214" t="str">
            <v>16.007725</v>
          </cell>
          <cell r="P1214" t="str">
            <v>108.217546</v>
          </cell>
          <cell r="Q1214" t="str">
            <v>1392.89</v>
          </cell>
          <cell r="R1214" t="str">
            <v>16.010805</v>
          </cell>
          <cell r="S1214" t="str">
            <v>108.217115</v>
          </cell>
          <cell r="T1214" t="str">
            <v>full_h04/TP Đà Nẵng/TP Đà Nẵng/Mạng cấp 3_ DN và Quảng Nam/Phòng - Ring 1 ( ĐN )4.kmz/Phòng - Ring 1 ( ĐN )/PC08-PC07/Hạ thế 1</v>
          </cell>
          <cell r="U1214">
            <v>1411.01</v>
          </cell>
        </row>
        <row r="1215">
          <cell r="L1215" t="str">
            <v>PA07 - PA06</v>
          </cell>
          <cell r="M1215" t="str">
            <v>86.32</v>
          </cell>
          <cell r="N1215" t="str">
            <v>16.70</v>
          </cell>
          <cell r="O1215" t="str">
            <v>16.066120</v>
          </cell>
          <cell r="P1215" t="str">
            <v>108.221645</v>
          </cell>
          <cell r="Q1215" t="str">
            <v>69.62</v>
          </cell>
          <cell r="R1215" t="str">
            <v>16.066290</v>
          </cell>
          <cell r="S1215" t="str">
            <v>108.221667</v>
          </cell>
          <cell r="T1215" t="str">
            <v>full_h04/TP Đà Nẵng/TP Đà Nẵng/Mạng cấp 3_ DN và Quảng Nam/Phòng - Ring 2 ( ĐN ).kmz/Phòng - Ring 2 ( ĐN )/PA07 - PA06/PA07 - PA06_hạ thế_3</v>
          </cell>
          <cell r="U1215">
            <v>86.32</v>
          </cell>
        </row>
        <row r="1216">
          <cell r="L1216" t="str">
            <v>PA07 - PA06</v>
          </cell>
          <cell r="M1216" t="str">
            <v>174.97</v>
          </cell>
          <cell r="N1216" t="str">
            <v>16.70</v>
          </cell>
          <cell r="O1216" t="str">
            <v>16.066120</v>
          </cell>
          <cell r="P1216" t="str">
            <v>108.221645</v>
          </cell>
          <cell r="Q1216" t="str">
            <v>158.27</v>
          </cell>
          <cell r="R1216" t="str">
            <v>16.066134</v>
          </cell>
          <cell r="S1216" t="str">
            <v>108.223629</v>
          </cell>
          <cell r="T1216" t="str">
            <v>full_h04/TP Đà Nẵng/TP Đà Nẵng/Mạng cấp 3_ DN và Quảng Nam/Phòng - Ring 2 ( ĐN ).kmz/Phòng - Ring 2 ( ĐN )/PA07 - PA06/PA07 - PA06_hạ thế_3</v>
          </cell>
          <cell r="U1216">
            <v>174.97</v>
          </cell>
        </row>
        <row r="1217">
          <cell r="L1217" t="str">
            <v>PA07 - PA06</v>
          </cell>
          <cell r="M1217" t="str">
            <v>130.54</v>
          </cell>
          <cell r="N1217" t="str">
            <v>16.70</v>
          </cell>
          <cell r="O1217" t="str">
            <v>16.066120</v>
          </cell>
          <cell r="P1217" t="str">
            <v>108.221645</v>
          </cell>
          <cell r="Q1217" t="str">
            <v>113.84</v>
          </cell>
          <cell r="R1217" t="str">
            <v>16.066134</v>
          </cell>
          <cell r="S1217" t="str">
            <v>108.223629</v>
          </cell>
          <cell r="T1217" t="str">
            <v>full_h04/TP Đà Nẵng/TP Đà Nẵng/Mạng cấp 3_ DN và Quảng Nam/Phòng - Ring 2 ( ĐN ).kmz/Phòng - Ring 2 ( ĐN )/PA07 - PA06/PA07 - PA06_hạ thế_3</v>
          </cell>
          <cell r="U1217">
            <v>130.54</v>
          </cell>
        </row>
        <row r="1218">
          <cell r="L1218" t="str">
            <v>Hải Châu - Hòa Cường</v>
          </cell>
          <cell r="M1218" t="str">
            <v>273.16</v>
          </cell>
          <cell r="N1218" t="str">
            <v>70.85</v>
          </cell>
          <cell r="O1218" t="str">
            <v>16.065806</v>
          </cell>
          <cell r="P1218" t="str">
            <v>108.222388</v>
          </cell>
          <cell r="Q1218" t="str">
            <v>202.32</v>
          </cell>
          <cell r="R1218" t="str">
            <v>16.062224</v>
          </cell>
          <cell r="S1218" t="str">
            <v>108.219660</v>
          </cell>
          <cell r="T1218" t="str">
            <v>full_h04/TP Đà Nẵng/TP Đà Nẵng/Mạng cấp 4 - ĐN cũ/Ring 7 - DN/Hải Châu - Hòa Cường/Trung thế</v>
          </cell>
          <cell r="U1218">
            <v>273.16000000000003</v>
          </cell>
        </row>
        <row r="1219">
          <cell r="L1219" t="str">
            <v>Hải Châu - Hòa Cường</v>
          </cell>
          <cell r="M1219" t="str">
            <v>90.31</v>
          </cell>
          <cell r="N1219" t="str">
            <v>70.85</v>
          </cell>
          <cell r="O1219" t="str">
            <v>16.065806</v>
          </cell>
          <cell r="P1219" t="str">
            <v>108.222388</v>
          </cell>
          <cell r="Q1219" t="str">
            <v>19.47</v>
          </cell>
          <cell r="R1219" t="str">
            <v>16.071146</v>
          </cell>
          <cell r="S1219" t="str">
            <v>108.221061</v>
          </cell>
          <cell r="T1219" t="str">
            <v>full_h04/TP Đà Nẵng/TP Đà Nẵng/Mạng cấp 4 - ĐN cũ/Ring 7 - DN/Hải Châu - Hòa Cường/Trung thế</v>
          </cell>
          <cell r="U1219">
            <v>90.31</v>
          </cell>
        </row>
        <row r="1220">
          <cell r="L1220" t="str">
            <v>Hải Châu - Hòa Cường</v>
          </cell>
          <cell r="M1220" t="str">
            <v>276.48</v>
          </cell>
          <cell r="N1220" t="str">
            <v>68.41</v>
          </cell>
          <cell r="O1220" t="str">
            <v>16.078868</v>
          </cell>
          <cell r="P1220" t="str">
            <v>108.221567</v>
          </cell>
          <cell r="Q1220" t="str">
            <v>208.08</v>
          </cell>
          <cell r="R1220" t="str">
            <v>16.073931</v>
          </cell>
          <cell r="S1220" t="str">
            <v>108.220707</v>
          </cell>
          <cell r="T1220" t="str">
            <v>full_h04/TP Đà Nẵng/TP Đà Nẵng/Mạng cấp 4 - ĐN cũ/Ring 7 - DN/Hải Châu - Hòa Cường/Trung thế</v>
          </cell>
          <cell r="U1220">
            <v>276.48</v>
          </cell>
        </row>
        <row r="1221">
          <cell r="L1221" t="str">
            <v>Hòa CƯờng - TTKV Cẩm Lệ</v>
          </cell>
          <cell r="M1221" t="str">
            <v>172.38</v>
          </cell>
          <cell r="N1221" t="str">
            <v>11.45</v>
          </cell>
          <cell r="O1221" t="str">
            <v>16.037827</v>
          </cell>
          <cell r="P1221" t="str">
            <v>108.215503</v>
          </cell>
          <cell r="Q1221" t="str">
            <v>160.93</v>
          </cell>
          <cell r="R1221" t="str">
            <v>16.036907</v>
          </cell>
          <cell r="S1221" t="str">
            <v>108.216774</v>
          </cell>
          <cell r="T1221" t="str">
            <v>full_h04/TP Đà Nẵng/TP Đà Nẵng/Mạng cấp 4 - ĐN cũ/Ring 7 - DN/Hòa CƯờng - TTKV Cẩm Lệ/Hạ thế</v>
          </cell>
          <cell r="U1221">
            <v>172.38</v>
          </cell>
        </row>
        <row r="1222">
          <cell r="L1222" t="str">
            <v>Hải Châu - Hòa Cường</v>
          </cell>
          <cell r="M1222" t="str">
            <v>45.27</v>
          </cell>
          <cell r="N1222" t="str">
            <v>7.13</v>
          </cell>
          <cell r="O1222" t="str">
            <v>16.037737</v>
          </cell>
          <cell r="P1222" t="str">
            <v>108.215386</v>
          </cell>
          <cell r="Q1222" t="str">
            <v>38.14</v>
          </cell>
          <cell r="R1222" t="str">
            <v>16.039169</v>
          </cell>
          <cell r="S1222" t="str">
            <v>108.215182</v>
          </cell>
          <cell r="T1222" t="str">
            <v>full_h04/TP Đà Nẵng/TP Đà Nẵng/Mạng cấp 4 - ĐN cũ/Ring 7 - DN/Hải Châu - Hòa Cường/Trung thế</v>
          </cell>
          <cell r="U1222">
            <v>45.27</v>
          </cell>
        </row>
        <row r="1223">
          <cell r="L1223" t="str">
            <v>Hải Châu - Hòa Cường</v>
          </cell>
          <cell r="M1223" t="str">
            <v>276.48</v>
          </cell>
          <cell r="N1223" t="str">
            <v>208.08</v>
          </cell>
          <cell r="O1223" t="str">
            <v>16.073931</v>
          </cell>
          <cell r="P1223" t="str">
            <v>108.220707</v>
          </cell>
          <cell r="Q1223" t="str">
            <v>68.41</v>
          </cell>
          <cell r="R1223" t="str">
            <v>16.078868</v>
          </cell>
          <cell r="S1223" t="str">
            <v>108.221567</v>
          </cell>
          <cell r="T1223" t="str">
            <v>full_h04/TP Đà Nẵng/TP Đà Nẵng/Mạng cấp 4 - ĐN cũ/Ring 7 - DN/Hải Châu - Hòa Cường/Trung thế</v>
          </cell>
          <cell r="U1223">
            <v>276.48</v>
          </cell>
        </row>
        <row r="1224">
          <cell r="L1224" t="str">
            <v>Nhánh 1</v>
          </cell>
          <cell r="M1224" t="str">
            <v>50.42</v>
          </cell>
          <cell r="N1224" t="str">
            <v>7.22</v>
          </cell>
          <cell r="O1224" t="str">
            <v>16.052781</v>
          </cell>
          <cell r="P1224" t="str">
            <v>108.203267</v>
          </cell>
          <cell r="Q1224" t="str">
            <v>43.20</v>
          </cell>
          <cell r="R1224" t="str">
            <v>16.051763</v>
          </cell>
          <cell r="S1224" t="str">
            <v>108.209971</v>
          </cell>
          <cell r="T1224" t="str">
            <v>full_h04/TP Đà Nẵng/TP Đà Nẵng/Mạng cấp 3_ DN và Quảng Nam/Ring Nhánh/Đồn Công an cảng hàng không (Sân bay Đà
Nẵng) - TT1 Đà Nẵng"/Nhánh 1/Ngầm mới</v>
          </cell>
          <cell r="U1224">
            <v>50.42</v>
          </cell>
        </row>
        <row r="1225">
          <cell r="L1225" t="str">
            <v>Nhánh 1</v>
          </cell>
          <cell r="M1225" t="str">
            <v>434.20</v>
          </cell>
          <cell r="N1225" t="str">
            <v>7.22</v>
          </cell>
          <cell r="O1225" t="str">
            <v>16.052781</v>
          </cell>
          <cell r="P1225" t="str">
            <v>108.203267</v>
          </cell>
          <cell r="Q1225" t="str">
            <v>426.99</v>
          </cell>
          <cell r="R1225" t="str">
            <v>16.050820</v>
          </cell>
          <cell r="S1225" t="str">
            <v>108.206950</v>
          </cell>
          <cell r="T1225" t="str">
            <v>full_h04/TP Đà Nẵng/TP Đà Nẵng/Mạng cấp 3_ DN và Quảng Nam/Ring Nhánh/Đồn Công an cảng hàng không (Sân bay Đà
Nẵng) - TT1 Đà Nẵng"/Nhánh 1/Ngầm mới</v>
          </cell>
          <cell r="U1225">
            <v>434.2</v>
          </cell>
        </row>
        <row r="1226">
          <cell r="L1226" t="str">
            <v>C09 - A06</v>
          </cell>
          <cell r="M1226" t="str">
            <v>1313.57</v>
          </cell>
          <cell r="N1226" t="str">
            <v>878.82</v>
          </cell>
          <cell r="O1226" t="str">
            <v>15.981011</v>
          </cell>
          <cell r="P1226" t="str">
            <v>108.208241</v>
          </cell>
          <cell r="Q1226" t="str">
            <v>434.75</v>
          </cell>
          <cell r="R1226" t="str">
            <v>15.981518</v>
          </cell>
          <cell r="S1226" t="str">
            <v>108.211040</v>
          </cell>
          <cell r="T1226" t="str">
            <v>full_h04/TP Đà Nẵng/TP Đà Nẵng/Mạng cấp 2/Cấp 2 - Ring 3/C09 - A06 (CS3).kmz/C09 - A06/C09 - A06_Hạ thế</v>
          </cell>
          <cell r="U1226">
            <v>1313.57</v>
          </cell>
        </row>
        <row r="1227">
          <cell r="L1227" t="str">
            <v>Cẩm Lệ - Điện Bàn</v>
          </cell>
          <cell r="M1227" t="str">
            <v>1383.89</v>
          </cell>
          <cell r="N1227" t="str">
            <v>764.05</v>
          </cell>
          <cell r="O1227" t="str">
            <v>15.982776</v>
          </cell>
          <cell r="P1227" t="str">
            <v>108.208083</v>
          </cell>
          <cell r="Q1227" t="str">
            <v>619.83</v>
          </cell>
          <cell r="R1227" t="str">
            <v>15.972878</v>
          </cell>
          <cell r="S1227" t="str">
            <v>108.208688</v>
          </cell>
          <cell r="T1227" t="str">
            <v>full_h04/TP Đà Nẵng/TP Đà Nẵng/Mạng cấp 3_ DN và Quảng Nam/Cấp 3 - Ring 1 - Đà Nẵng cũ/Cẩm Lệ - Điện Bàn/Tuyến cột trung thế</v>
          </cell>
          <cell r="U1227">
            <v>1383.89</v>
          </cell>
        </row>
        <row r="1228">
          <cell r="L1228" t="str">
            <v>C09 - A06</v>
          </cell>
          <cell r="M1228" t="str">
            <v>970.19</v>
          </cell>
          <cell r="N1228" t="str">
            <v>878.82</v>
          </cell>
          <cell r="O1228" t="str">
            <v>15.981011</v>
          </cell>
          <cell r="P1228" t="str">
            <v>108.208241</v>
          </cell>
          <cell r="Q1228" t="str">
            <v>91.37</v>
          </cell>
          <cell r="R1228" t="str">
            <v>15.982246</v>
          </cell>
          <cell r="S1228" t="str">
            <v>108.211079</v>
          </cell>
          <cell r="T1228" t="str">
            <v>full_h04/TP Đà Nẵng/TP Đà Nẵng/Mạng cấp 2/Cấp 2 - Ring 3/C09 - A06 (CS3).kmz/C09 - A06/C09 - A06_Hạ thế</v>
          </cell>
          <cell r="U1228">
            <v>970.19</v>
          </cell>
        </row>
        <row r="1229">
          <cell r="L1229" t="str">
            <v>TTKV Ngũ Hành Sơn - Hòa Xuân</v>
          </cell>
          <cell r="M1229" t="str">
            <v>71.22</v>
          </cell>
          <cell r="N1229" t="str">
            <v>3.69</v>
          </cell>
          <cell r="O1229" t="str">
            <v>15.985679</v>
          </cell>
          <cell r="P1229" t="str">
            <v>108.201567</v>
          </cell>
          <cell r="Q1229" t="str">
            <v>67.53</v>
          </cell>
          <cell r="R1229" t="str">
            <v>15.985679</v>
          </cell>
          <cell r="S1229" t="str">
            <v>108.201567</v>
          </cell>
          <cell r="T1229" t="str">
            <v>full_h04/TP Đà Nẵng/TP Đà Nẵng/Mạng cấp 4 - ĐN cũ/Ring 3 - DN/TTKV Ngũ Hành Sơn - Hòa Xuân/Trung thế</v>
          </cell>
          <cell r="U1229">
            <v>71.22</v>
          </cell>
        </row>
        <row r="1230">
          <cell r="L1230" t="str">
            <v>C09 - A06</v>
          </cell>
          <cell r="M1230" t="str">
            <v>1039.66</v>
          </cell>
          <cell r="N1230" t="str">
            <v>878.82</v>
          </cell>
          <cell r="O1230" t="str">
            <v>15.981011</v>
          </cell>
          <cell r="P1230" t="str">
            <v>108.208241</v>
          </cell>
          <cell r="Q1230" t="str">
            <v>160.84</v>
          </cell>
          <cell r="R1230" t="str">
            <v>15.981518</v>
          </cell>
          <cell r="S1230" t="str">
            <v>108.211040</v>
          </cell>
          <cell r="T1230" t="str">
            <v>full_h04/TP Đà Nẵng/TP Đà Nẵng/Mạng cấp 2/Cấp 2 - Ring 3/C09 - A06 (CS3).kmz/C09 - A06/C09 - A06_Hạ thế</v>
          </cell>
          <cell r="U1230">
            <v>1039.6600000000001</v>
          </cell>
        </row>
        <row r="1233">
          <cell r="L1233" t="str">
            <v>Trạm CSGT Hòa Hiệp - Trại giam CATP</v>
          </cell>
          <cell r="M1233" t="str">
            <v>56.27</v>
          </cell>
          <cell r="N1233" t="str">
            <v>12.02</v>
          </cell>
          <cell r="O1233" t="str">
            <v>16.078044</v>
          </cell>
          <cell r="P1233" t="str">
            <v>108.115018</v>
          </cell>
          <cell r="Q1233" t="str">
            <v>44.25</v>
          </cell>
          <cell r="R1233" t="str">
            <v>16.077950</v>
          </cell>
          <cell r="S1233" t="str">
            <v>108.114972</v>
          </cell>
          <cell r="T1233" t="str">
            <v>full_h04/TP Đà Nẵng/TP Đà Nẵng/Mạng cấp 3_ DN và Quảng Nam/Phòng - Ring 3 (ĐN ).kmz/Phòng - Ring 3 (ĐN )/Trạm CSGT Hòa Hiệp - Trại giam CATP/Trạm CSGT Hòa Hiệp - Trại giam CATP - Trung thế 3</v>
          </cell>
          <cell r="U1233">
            <v>56.27</v>
          </cell>
        </row>
        <row r="1234">
          <cell r="L1234" t="str">
            <v>TT1 Đà Nẵng - PK02</v>
          </cell>
          <cell r="M1234" t="str">
            <v>1791.00</v>
          </cell>
          <cell r="N1234" t="str">
            <v>41.12</v>
          </cell>
          <cell r="O1234" t="str">
            <v>16.046609</v>
          </cell>
          <cell r="P1234" t="str">
            <v>108.157463</v>
          </cell>
          <cell r="Q1234" t="str">
            <v>1749.89</v>
          </cell>
          <cell r="R1234" t="str">
            <v>16.049126</v>
          </cell>
          <cell r="S1234" t="str">
            <v>108.160696</v>
          </cell>
          <cell r="T1234" t="str">
            <v>full_h04/TP Đà Nẵng/TP Đà Nẵng/Mạng cấp 3_ DN và Quảng Nam/Phòng - Ring 1 ( ĐN )4.kmz/Phòng - Ring 1 ( ĐN )/TT1 Đà Nẵng - PK02/TT1 Đà Nẵng - PK02_hạ thế ( trụ chiếu sáng) _1</v>
          </cell>
          <cell r="U1234">
            <v>1791</v>
          </cell>
        </row>
        <row r="1235">
          <cell r="L1235" t="str">
            <v>PK02 - TTCMKV Liên Chiểu</v>
          </cell>
          <cell r="M1235" t="str">
            <v>121.93</v>
          </cell>
          <cell r="N1235" t="str">
            <v>33.35</v>
          </cell>
          <cell r="O1235" t="str">
            <v>16.046617</v>
          </cell>
          <cell r="P1235" t="str">
            <v>108.157389</v>
          </cell>
          <cell r="Q1235" t="str">
            <v>88.58</v>
          </cell>
          <cell r="R1235" t="str">
            <v>16.053638</v>
          </cell>
          <cell r="S1235" t="str">
            <v>108.157757</v>
          </cell>
          <cell r="T1235" t="str">
            <v>full_h04/TP Đà Nẵng/TP Đà Nẵng/Mạng cấp 3_ DN và Quảng Nam/Phòng - Ring 3 (ĐN ).kmz/Phòng - Ring 3 (ĐN )/PK02 - TTCMKV Liên Chiểu/PK02 - TTCMKV Liên Chiểu_hạ thế 1</v>
          </cell>
          <cell r="U1235">
            <v>121.93</v>
          </cell>
        </row>
        <row r="1236">
          <cell r="L1236" t="str">
            <v>Trạm CSGT Hòa Hiệp - Trại giam CATP</v>
          </cell>
          <cell r="M1236" t="str">
            <v>1713.56</v>
          </cell>
          <cell r="N1236" t="str">
            <v>20.38</v>
          </cell>
          <cell r="O1236" t="str">
            <v>16.140616</v>
          </cell>
          <cell r="P1236" t="str">
            <v>108.119791</v>
          </cell>
          <cell r="Q1236" t="str">
            <v>1693.18</v>
          </cell>
          <cell r="R1236" t="str">
            <v>16.128189</v>
          </cell>
          <cell r="S1236" t="str">
            <v>108.114917</v>
          </cell>
          <cell r="T1236" t="str">
            <v>full_h04/TP Đà Nẵng/TP Đà Nẵng/Mạng cấp 3_ DN và Quảng Nam/Phòng - Ring 3 (ĐN ).kmz/Phòng - Ring 3 (ĐN )/Trạm CSGT Hòa Hiệp - Trại giam CATP/Trạm CSGT Hòa Hiệp - Trại giam CATP - Trung thế 1</v>
          </cell>
          <cell r="U1236">
            <v>1713.56</v>
          </cell>
        </row>
        <row r="1237">
          <cell r="L1237" t="str">
            <v>Trạm CSGT Hòa Hiệp - Trại giam CATP</v>
          </cell>
          <cell r="M1237" t="str">
            <v>129.50</v>
          </cell>
          <cell r="N1237" t="str">
            <v>20.38</v>
          </cell>
          <cell r="O1237" t="str">
            <v>16.140616</v>
          </cell>
          <cell r="P1237" t="str">
            <v>108.119791</v>
          </cell>
          <cell r="Q1237" t="str">
            <v>109.11</v>
          </cell>
          <cell r="R1237" t="str">
            <v>16.125029</v>
          </cell>
          <cell r="S1237" t="str">
            <v>108.120106</v>
          </cell>
          <cell r="T1237" t="str">
            <v>full_h04/TP Đà Nẵng/TP Đà Nẵng/Mạng cấp 3_ DN và Quảng Nam/Phòng - Ring 3 (ĐN ).kmz/Phòng - Ring 3 (ĐN )/Trạm CSGT Hòa Hiệp - Trại giam CATP/Trạm CSGT Hòa Hiệp - Trại giam CATP - Trung thế 1</v>
          </cell>
          <cell r="U1237">
            <v>129.5</v>
          </cell>
        </row>
        <row r="1238">
          <cell r="L1238" t="str">
            <v>Trạm CSGT Hòa Hiệp - Trại giam CATP</v>
          </cell>
          <cell r="M1238" t="str">
            <v>448.73</v>
          </cell>
          <cell r="N1238" t="str">
            <v>20.38</v>
          </cell>
          <cell r="O1238" t="str">
            <v>16.140616</v>
          </cell>
          <cell r="P1238" t="str">
            <v>108.119791</v>
          </cell>
          <cell r="Q1238" t="str">
            <v>428.35</v>
          </cell>
          <cell r="R1238" t="str">
            <v>16.128189</v>
          </cell>
          <cell r="S1238" t="str">
            <v>108.114917</v>
          </cell>
          <cell r="T1238" t="str">
            <v>full_h04/TP Đà Nẵng/TP Đà Nẵng/Mạng cấp 3_ DN và Quảng Nam/Phòng - Ring 3 (ĐN ).kmz/Phòng - Ring 3 (ĐN )/Trạm CSGT Hòa Hiệp - Trại giam CATP/Trạm CSGT Hòa Hiệp - Trại giam CATP - Trung thế 1</v>
          </cell>
          <cell r="U1238">
            <v>448.73</v>
          </cell>
        </row>
        <row r="1239">
          <cell r="L1239" t="str">
            <v>TTCMKV Liên Chiểu - Trạm CSGT Hòa Hiệp</v>
          </cell>
          <cell r="M1239" t="str">
            <v>329.95</v>
          </cell>
          <cell r="N1239" t="str">
            <v>16.23</v>
          </cell>
          <cell r="O1239" t="str">
            <v>16.140616</v>
          </cell>
          <cell r="P1239" t="str">
            <v>108.119752</v>
          </cell>
          <cell r="Q1239" t="str">
            <v>313.73</v>
          </cell>
          <cell r="R1239" t="str">
            <v>16.127396</v>
          </cell>
          <cell r="S1239" t="str">
            <v>108.119369</v>
          </cell>
          <cell r="T1239" t="str">
            <v>full_h04/TP Đà Nẵng/TP Đà Nẵng/Mạng cấp 3_ DN và Quảng Nam/Phòng - Ring 3 (ĐN ).kmz/Phòng - Ring 3 (ĐN )/TTCMKV Liên Chiểu - Trạm CSGT Hòa Hiệp/TTCMKV Liên Chiểu - Trạm CSGT Hòa Hiệp-Trung thế 1</v>
          </cell>
          <cell r="U1239">
            <v>329.95</v>
          </cell>
        </row>
        <row r="1240">
          <cell r="L1240" t="str">
            <v>Trạm CSGT Hòa Hiệp - Trại giam CATP</v>
          </cell>
          <cell r="M1240" t="str">
            <v>3483.25</v>
          </cell>
          <cell r="N1240" t="str">
            <v>20.38</v>
          </cell>
          <cell r="O1240" t="str">
            <v>16.140616</v>
          </cell>
          <cell r="P1240" t="str">
            <v>108.119791</v>
          </cell>
          <cell r="Q1240" t="str">
            <v>3462.87</v>
          </cell>
          <cell r="R1240" t="str">
            <v>16.128189</v>
          </cell>
          <cell r="S1240" t="str">
            <v>108.114917</v>
          </cell>
          <cell r="T1240" t="str">
            <v>full_h04/TP Đà Nẵng/TP Đà Nẵng/Mạng cấp 3_ DN và Quảng Nam/Phòng - Ring 3 (ĐN ).kmz/Phòng - Ring 3 (ĐN )/Trạm CSGT Hòa Hiệp - Trại giam CATP/Trạm CSGT Hòa Hiệp - Trại giam CATP - Trung thế 1</v>
          </cell>
          <cell r="U1240">
            <v>3483.25</v>
          </cell>
        </row>
        <row r="1241">
          <cell r="L1241" t="str">
            <v>Trạm CSGT Hòa Hiệp - Trại giam CATP</v>
          </cell>
          <cell r="M1241" t="str">
            <v>270.03</v>
          </cell>
          <cell r="N1241" t="str">
            <v>20.38</v>
          </cell>
          <cell r="O1241" t="str">
            <v>16.140616</v>
          </cell>
          <cell r="P1241" t="str">
            <v>108.119791</v>
          </cell>
          <cell r="Q1241" t="str">
            <v>249.65</v>
          </cell>
          <cell r="R1241" t="str">
            <v>16.107706</v>
          </cell>
          <cell r="S1241" t="str">
            <v>108.128424</v>
          </cell>
          <cell r="T1241" t="str">
            <v>full_h04/TP Đà Nẵng/TP Đà Nẵng/Mạng cấp 3_ DN và Quảng Nam/Phòng - Ring 3 (ĐN ).kmz/Phòng - Ring 3 (ĐN )/Trạm CSGT Hòa Hiệp - Trại giam CATP/Trạm CSGT Hòa Hiệp - Trại giam CATP - Trung thế 1</v>
          </cell>
          <cell r="U1241">
            <v>270.02999999999997</v>
          </cell>
        </row>
        <row r="1242">
          <cell r="L1242" t="str">
            <v>PK02 - Trại giam CATP</v>
          </cell>
          <cell r="M1242" t="str">
            <v>734.04</v>
          </cell>
          <cell r="N1242" t="str">
            <v>674.86</v>
          </cell>
          <cell r="O1242" t="str">
            <v>16.071720</v>
          </cell>
          <cell r="P1242" t="str">
            <v>108.142016</v>
          </cell>
          <cell r="Q1242" t="str">
            <v>59.18</v>
          </cell>
          <cell r="R1242" t="str">
            <v>16.074544</v>
          </cell>
          <cell r="S1242" t="str">
            <v>108.134364</v>
          </cell>
          <cell r="T1242" t="str">
            <v>full_h04/TP Đà Nẵng/TP Đà Nẵng/Mạng cấp 3_ DN và Quảng Nam/Phòng - Ring 1 ( ĐN )4.kmz/Phòng - Ring 1 ( ĐN )/PK02 - Trại giam CATP/hạ thế 1</v>
          </cell>
          <cell r="U1242">
            <v>734.04</v>
          </cell>
        </row>
        <row r="1243">
          <cell r="L1243" t="str">
            <v>TTCMKV Liên Chiểu - Trạm CSGT Hòa Hiệp</v>
          </cell>
          <cell r="M1243" t="str">
            <v>490.42</v>
          </cell>
          <cell r="N1243" t="str">
            <v>463.11</v>
          </cell>
          <cell r="O1243" t="str">
            <v>16.074614</v>
          </cell>
          <cell r="P1243" t="str">
            <v>108.149481</v>
          </cell>
          <cell r="Q1243" t="str">
            <v>27.31</v>
          </cell>
          <cell r="R1243" t="str">
            <v>16.074274</v>
          </cell>
          <cell r="S1243" t="str">
            <v>108.158044</v>
          </cell>
          <cell r="T1243" t="str">
            <v>full_h04/TP Đà Nẵng/TP Đà Nẵng/Mạng cấp 3_ DN và Quảng Nam/Phòng - Ring 3 (ĐN ).kmz/Phòng - Ring 3 (ĐN )/TTCMKV Liên Chiểu - Trạm CSGT Hòa Hiệp/TTCMKV Liên Chiểu - Trạm CSGT Hòa Hiệp-Trung thế 1</v>
          </cell>
          <cell r="U1243">
            <v>490.42</v>
          </cell>
        </row>
        <row r="1244">
          <cell r="L1244" t="str">
            <v>Trạm CSGT Hòa Hiệp - Trại giam CATP</v>
          </cell>
          <cell r="M1244" t="str">
            <v>365.21</v>
          </cell>
          <cell r="N1244" t="str">
            <v>249.65</v>
          </cell>
          <cell r="O1244" t="str">
            <v>16.107706</v>
          </cell>
          <cell r="P1244" t="str">
            <v>108.128424</v>
          </cell>
          <cell r="Q1244" t="str">
            <v>115.56</v>
          </cell>
          <cell r="R1244" t="str">
            <v>16.114078</v>
          </cell>
          <cell r="S1244" t="str">
            <v>108.127355</v>
          </cell>
          <cell r="T1244" t="str">
            <v>full_h04/TP Đà Nẵng/TP Đà Nẵng/Mạng cấp 3_ DN và Quảng Nam/Phòng - Ring 3 (ĐN ).kmz/Phòng - Ring 3 (ĐN )/Trạm CSGT Hòa Hiệp - Trại giam CATP/Trạm CSGT Hòa Hiệp - Trại giam CATP - Trung thế 1</v>
          </cell>
          <cell r="U1244">
            <v>365.21</v>
          </cell>
        </row>
        <row r="1245">
          <cell r="L1245" t="str">
            <v>Trạm CSGT Hòa Hiệp - Trại giam CATP</v>
          </cell>
          <cell r="M1245" t="str">
            <v>263.79</v>
          </cell>
          <cell r="N1245" t="str">
            <v>249.65</v>
          </cell>
          <cell r="O1245" t="str">
            <v>16.107706</v>
          </cell>
          <cell r="P1245" t="str">
            <v>108.128424</v>
          </cell>
          <cell r="Q1245" t="str">
            <v>14.14</v>
          </cell>
          <cell r="R1245" t="str">
            <v>16.112758</v>
          </cell>
          <cell r="S1245" t="str">
            <v>108.128508</v>
          </cell>
          <cell r="T1245" t="str">
            <v>full_h04/TP Đà Nẵng/TP Đà Nẵng/Mạng cấp 3_ DN và Quảng Nam/Phòng - Ring 3 (ĐN ).kmz/Phòng - Ring 3 (ĐN )/Trạm CSGT Hòa Hiệp - Trại giam CATP/Trạm CSGT Hòa Hiệp - Trại giam CATP - Trung thế 1</v>
          </cell>
          <cell r="U1245">
            <v>263.79000000000002</v>
          </cell>
        </row>
        <row r="1246">
          <cell r="L1246" t="str">
            <v>Trạm CSGT Hòa Hiệp - Trại giam CATP</v>
          </cell>
          <cell r="M1246" t="str">
            <v>323.51</v>
          </cell>
          <cell r="N1246" t="str">
            <v>249.65</v>
          </cell>
          <cell r="O1246" t="str">
            <v>16.107706</v>
          </cell>
          <cell r="P1246" t="str">
            <v>108.128424</v>
          </cell>
          <cell r="Q1246" t="str">
            <v>73.85</v>
          </cell>
          <cell r="R1246" t="str">
            <v>16.128005</v>
          </cell>
          <cell r="S1246" t="str">
            <v>108.116878</v>
          </cell>
          <cell r="T1246" t="str">
            <v>full_h04/TP Đà Nẵng/TP Đà Nẵng/Mạng cấp 3_ DN và Quảng Nam/Phòng - Ring 3 (ĐN ).kmz/Phòng - Ring 3 (ĐN )/Trạm CSGT Hòa Hiệp - Trại giam CATP/Trạm CSGT Hòa Hiệp - Trại giam CATP - Trung thế 1</v>
          </cell>
          <cell r="U1246">
            <v>323.51</v>
          </cell>
        </row>
        <row r="1247">
          <cell r="L1247" t="str">
            <v>Hải Vân - Liên Chiểu</v>
          </cell>
          <cell r="M1247" t="str">
            <v>212.85</v>
          </cell>
          <cell r="N1247" t="str">
            <v>60.02</v>
          </cell>
          <cell r="O1247" t="str">
            <v>16.107116</v>
          </cell>
          <cell r="P1247" t="str">
            <v>108.125676</v>
          </cell>
          <cell r="Q1247" t="str">
            <v>152.83</v>
          </cell>
          <cell r="R1247" t="str">
            <v>16.106024</v>
          </cell>
          <cell r="S1247" t="str">
            <v>108.126414</v>
          </cell>
          <cell r="T1247" t="str">
            <v>full_h04/TP Đà Nẵng/TP Đà Nẵng/Mạng cấp 4 - ĐN cũ/Ring 5 - DN/Hải Vân - Liên Chiểu/Cống bể mới</v>
          </cell>
          <cell r="U1247">
            <v>212.85</v>
          </cell>
        </row>
        <row r="1248">
          <cell r="L1248" t="str">
            <v>Trạm CSGT Hòa Hiệp - Trại giam CATP</v>
          </cell>
          <cell r="M1248" t="str">
            <v>270.03</v>
          </cell>
          <cell r="N1248" t="str">
            <v>249.65</v>
          </cell>
          <cell r="O1248" t="str">
            <v>16.107706</v>
          </cell>
          <cell r="P1248" t="str">
            <v>108.128424</v>
          </cell>
          <cell r="Q1248" t="str">
            <v>20.38</v>
          </cell>
          <cell r="R1248" t="str">
            <v>16.140616</v>
          </cell>
          <cell r="S1248" t="str">
            <v>108.119791</v>
          </cell>
          <cell r="T1248" t="str">
            <v>full_h04/TP Đà Nẵng/TP Đà Nẵng/Mạng cấp 3_ DN và Quảng Nam/Phòng - Ring 3 (ĐN ).kmz/Phòng - Ring 3 (ĐN )/Trạm CSGT Hòa Hiệp - Trại giam CATP/Trạm CSGT Hòa Hiệp - Trại giam CATP - Trung thế 1</v>
          </cell>
          <cell r="U1248">
            <v>270.02999999999997</v>
          </cell>
        </row>
        <row r="1249">
          <cell r="L1249" t="str">
            <v>TT1 Đà Nẵng-Hải Vân</v>
          </cell>
          <cell r="M1249" t="str">
            <v>194.31</v>
          </cell>
          <cell r="N1249" t="str">
            <v>14.62</v>
          </cell>
          <cell r="O1249" t="str">
            <v>16.107544</v>
          </cell>
          <cell r="P1249" t="str">
            <v>108.125987</v>
          </cell>
          <cell r="Q1249" t="str">
            <v>179.69</v>
          </cell>
          <cell r="R1249" t="str">
            <v>16.100844</v>
          </cell>
          <cell r="S1249" t="str">
            <v>108.135134</v>
          </cell>
          <cell r="T1249" t="str">
            <v>full_h04/TP Đà Nẵng/TP Đà Nẵng/Mạng cấp 4 - ĐN cũ/Ring 5 - DN/TT1 Đà Nẵng-Hải Vân/Trung thế</v>
          </cell>
          <cell r="U1249">
            <v>194.31</v>
          </cell>
        </row>
        <row r="1250">
          <cell r="L1250" t="str">
            <v>A01 - A06 (CS1) -new</v>
          </cell>
          <cell r="M1250" t="str">
            <v>577.95</v>
          </cell>
          <cell r="N1250" t="str">
            <v>142.46</v>
          </cell>
          <cell r="O1250" t="str">
            <v>16.040160</v>
          </cell>
          <cell r="P1250" t="str">
            <v>108.242241</v>
          </cell>
          <cell r="Q1250" t="str">
            <v>435.49</v>
          </cell>
          <cell r="R1250" t="str">
            <v>16.042145</v>
          </cell>
          <cell r="S1250" t="str">
            <v>108.246294</v>
          </cell>
          <cell r="T1250" t="str">
            <v>full_h04/TP Đà Nẵng/TP Đà Nẵng/Mạng cấp 2/Cấp 2 - Ring 1 - Hiệu chỉnh/Ring 1/A01 - A06 (CS1) -new/Trung Thế</v>
          </cell>
          <cell r="U1250">
            <v>577.95000000000005</v>
          </cell>
        </row>
        <row r="1251">
          <cell r="L1251" t="str">
            <v>K01 - A01</v>
          </cell>
          <cell r="M1251" t="str">
            <v>363.23</v>
          </cell>
          <cell r="N1251" t="str">
            <v>50.98</v>
          </cell>
          <cell r="O1251" t="str">
            <v>16.038462</v>
          </cell>
          <cell r="P1251" t="str">
            <v>108.242496</v>
          </cell>
          <cell r="Q1251" t="str">
            <v>312.25</v>
          </cell>
          <cell r="R1251" t="str">
            <v>16.042570</v>
          </cell>
          <cell r="S1251" t="str">
            <v>108.245257</v>
          </cell>
          <cell r="T1251" t="str">
            <v>full_h04/TP Đà Nẵng/TP Đà Nẵng/Mạng cấp 2/Cấp 2 - Ring 3/K01 - A01/Ngầm hiện hữu</v>
          </cell>
          <cell r="U1251">
            <v>363.23</v>
          </cell>
        </row>
        <row r="1252">
          <cell r="L1252" t="str">
            <v>Bệnh viện 199 - A01 - ok</v>
          </cell>
          <cell r="M1252" t="str">
            <v>676.28</v>
          </cell>
          <cell r="N1252" t="str">
            <v>560.01</v>
          </cell>
          <cell r="O1252" t="str">
            <v>16.042152</v>
          </cell>
          <cell r="P1252" t="str">
            <v>108.246284</v>
          </cell>
          <cell r="Q1252" t="str">
            <v>116.27</v>
          </cell>
          <cell r="R1252" t="str">
            <v>16.049909</v>
          </cell>
          <cell r="S1252" t="str">
            <v>108.247678</v>
          </cell>
          <cell r="T1252" t="str">
            <v>full_h04/TP Đà Nẵng/TP Đà Nẵng/Mạng cấp 2/Cấp 2 - Ring 1 - Hiệu chỉnh/Ring 1/Bệnh viện 199 - A01 - ok/Trung thế</v>
          </cell>
          <cell r="U1252">
            <v>676.28</v>
          </cell>
        </row>
        <row r="1254">
          <cell r="L1254" t="str">
            <v>K01 - A01</v>
          </cell>
          <cell r="M1254" t="str">
            <v>142.65</v>
          </cell>
          <cell r="N1254" t="str">
            <v>50.98</v>
          </cell>
          <cell r="O1254" t="str">
            <v>16.038462</v>
          </cell>
          <cell r="P1254" t="str">
            <v>108.242496</v>
          </cell>
          <cell r="Q1254" t="str">
            <v>91.67</v>
          </cell>
          <cell r="R1254" t="str">
            <v>16.043058</v>
          </cell>
          <cell r="S1254" t="str">
            <v>108.243117</v>
          </cell>
          <cell r="T1254" t="str">
            <v>full_h04/TP Đà Nẵng/TP Đà Nẵng/Mạng cấp 2/Cấp 2 - Ring 3/K01 - A01/Ngầm hiện hữu</v>
          </cell>
          <cell r="U1254">
            <v>142.65</v>
          </cell>
        </row>
        <row r="1255">
          <cell r="L1255" t="str">
            <v>Bệnh viện 199 - A01 - ok</v>
          </cell>
          <cell r="M1255" t="str">
            <v>631.40</v>
          </cell>
          <cell r="N1255" t="str">
            <v>560.01</v>
          </cell>
          <cell r="O1255" t="str">
            <v>16.042152</v>
          </cell>
          <cell r="P1255" t="str">
            <v>108.246284</v>
          </cell>
          <cell r="Q1255" t="str">
            <v>71.39</v>
          </cell>
          <cell r="R1255" t="str">
            <v>16.048372</v>
          </cell>
          <cell r="S1255" t="str">
            <v>108.248048</v>
          </cell>
          <cell r="T1255" t="str">
            <v>full_h04/TP Đà Nẵng/TP Đà Nẵng/Mạng cấp 2/Cấp 2 - Ring 1 - Hiệu chỉnh/Ring 1/Bệnh viện 199 - A01 - ok/Trung thế</v>
          </cell>
          <cell r="U1255">
            <v>631.4</v>
          </cell>
        </row>
        <row r="1256">
          <cell r="L1256" t="str">
            <v>A01 - A06 (CS1) -new</v>
          </cell>
          <cell r="M1256" t="str">
            <v>367.76</v>
          </cell>
          <cell r="N1256" t="str">
            <v>142.46</v>
          </cell>
          <cell r="O1256" t="str">
            <v>16.040160</v>
          </cell>
          <cell r="P1256" t="str">
            <v>108.242241</v>
          </cell>
          <cell r="Q1256" t="str">
            <v>225.31</v>
          </cell>
          <cell r="R1256" t="str">
            <v>16.042145</v>
          </cell>
          <cell r="S1256" t="str">
            <v>108.246294</v>
          </cell>
          <cell r="T1256" t="str">
            <v>full_h04/TP Đà Nẵng/TP Đà Nẵng/Mạng cấp 2/Cấp 2 - Ring 1 - Hiệu chỉnh/Ring 1/A01 - A06 (CS1) -new/Trung Thế</v>
          </cell>
          <cell r="U1256">
            <v>367.76</v>
          </cell>
        </row>
        <row r="1257">
          <cell r="L1257" t="str">
            <v>Hòa Khánh - An Khê</v>
          </cell>
          <cell r="M1257" t="str">
            <v>56.62</v>
          </cell>
          <cell r="N1257" t="str">
            <v>6.41</v>
          </cell>
          <cell r="O1257" t="str">
            <v>16.057247</v>
          </cell>
          <cell r="P1257" t="str">
            <v>108.181504</v>
          </cell>
          <cell r="Q1257" t="str">
            <v>50.21</v>
          </cell>
          <cell r="R1257" t="str">
            <v>16.056949</v>
          </cell>
          <cell r="S1257" t="str">
            <v>108.180661</v>
          </cell>
          <cell r="T1257" t="str">
            <v>full_h04/TP Đà Nẵng/TP Đà Nẵng/Mạng cấp 4 - ĐN cũ/Ring 6 - DN/Hòa Khánh - An Khê/Trung thế</v>
          </cell>
          <cell r="U1257">
            <v>56.62</v>
          </cell>
        </row>
        <row r="1258">
          <cell r="L1258" t="str">
            <v>TT1 Đà Nẵng-Hải Vân</v>
          </cell>
          <cell r="M1258" t="str">
            <v>75.76</v>
          </cell>
          <cell r="N1258" t="str">
            <v>52.73</v>
          </cell>
          <cell r="O1258" t="str">
            <v>16.071179</v>
          </cell>
          <cell r="P1258" t="str">
            <v>108.192150</v>
          </cell>
          <cell r="Q1258" t="str">
            <v>23.03</v>
          </cell>
          <cell r="R1258" t="str">
            <v>16.069703</v>
          </cell>
          <cell r="S1258" t="str">
            <v>108.184551</v>
          </cell>
          <cell r="T1258" t="str">
            <v>full_h04/TP Đà Nẵng/TP Đà Nẵng/Mạng cấp 4 - ĐN cũ/Ring 5 - DN/TT1 Đà Nẵng-Hải Vân/Trung thế 1</v>
          </cell>
          <cell r="U1258">
            <v>75.760000000000005</v>
          </cell>
        </row>
        <row r="1259">
          <cell r="L1259" t="str">
            <v>An Khê - Thanh Khê</v>
          </cell>
          <cell r="M1259" t="str">
            <v>32.79</v>
          </cell>
          <cell r="N1259" t="str">
            <v>10.87</v>
          </cell>
          <cell r="O1259" t="str">
            <v>16.070730</v>
          </cell>
          <cell r="P1259" t="str">
            <v>108.192493</v>
          </cell>
          <cell r="Q1259" t="str">
            <v>21.92</v>
          </cell>
          <cell r="R1259" t="str">
            <v>16.070101</v>
          </cell>
          <cell r="S1259" t="str">
            <v>108.191766</v>
          </cell>
          <cell r="T1259" t="str">
            <v>full_h04/TP Đà Nẵng/TP Đà Nẵng/Mạng cấp 4 - ĐN cũ/Ring 6 - DN/An Khê - Thanh Khê/Trung thế</v>
          </cell>
          <cell r="U1259">
            <v>32.79</v>
          </cell>
        </row>
        <row r="1260">
          <cell r="L1260" t="str">
            <v>TT1 Đà Nẵng - Liên Chiểu</v>
          </cell>
          <cell r="M1260" t="str">
            <v>284.45</v>
          </cell>
          <cell r="N1260" t="str">
            <v>195.19</v>
          </cell>
          <cell r="O1260" t="str">
            <v>16.072437</v>
          </cell>
          <cell r="P1260" t="str">
            <v>108.191826</v>
          </cell>
          <cell r="Q1260" t="str">
            <v>89.26</v>
          </cell>
          <cell r="R1260" t="str">
            <v>16.073190</v>
          </cell>
          <cell r="S1260" t="str">
            <v>108.180293</v>
          </cell>
          <cell r="T1260" t="str">
            <v>full_h04/TP Đà Nẵng/TP Đà Nẵng/Mạng cấp 3_ DN và Quảng Nam/Cấp 3 - Ring 2 - Đà Nẵng cũ/TT1 Đà Nẵng - Liên Chiểu/Trung thế TT1 Đà nẵng - Liên chiểu 2</v>
          </cell>
          <cell r="U1260">
            <v>284.45</v>
          </cell>
        </row>
        <row r="1261">
          <cell r="L1261" t="str">
            <v>Thanh Khê - TT1 Đà Nẵng</v>
          </cell>
          <cell r="M1261" t="str">
            <v>69.67</v>
          </cell>
          <cell r="N1261" t="str">
            <v>11.25</v>
          </cell>
          <cell r="O1261" t="str">
            <v>16.070743</v>
          </cell>
          <cell r="P1261" t="str">
            <v>108.192502</v>
          </cell>
          <cell r="Q1261" t="str">
            <v>58.42</v>
          </cell>
          <cell r="R1261" t="str">
            <v>16.071004</v>
          </cell>
          <cell r="S1261" t="str">
            <v>108.200844</v>
          </cell>
          <cell r="T1261" t="str">
            <v>full_h04/TP Đà Nẵng/TP Đà Nẵng/Mạng cấp 4 - ĐN cũ/Ring 6 - DN/Thanh Khê - TT1 Đà Nẵng/Trung thế</v>
          </cell>
          <cell r="U1261">
            <v>69.67</v>
          </cell>
        </row>
        <row r="1262">
          <cell r="L1262" t="str">
            <v>Thanh Khê - TT1 Đà Nẵng</v>
          </cell>
          <cell r="M1262" t="str">
            <v>644.80</v>
          </cell>
          <cell r="N1262" t="str">
            <v>11.25</v>
          </cell>
          <cell r="O1262" t="str">
            <v>16.070743</v>
          </cell>
          <cell r="P1262" t="str">
            <v>108.192502</v>
          </cell>
          <cell r="Q1262" t="str">
            <v>633.54</v>
          </cell>
          <cell r="R1262" t="str">
            <v>16.071004</v>
          </cell>
          <cell r="S1262" t="str">
            <v>108.200844</v>
          </cell>
          <cell r="T1262" t="str">
            <v>full_h04/TP Đà Nẵng/TP Đà Nẵng/Mạng cấp 4 - ĐN cũ/Ring 6 - DN/Thanh Khê - TT1 Đà Nẵng/Trung thế</v>
          </cell>
          <cell r="U1262">
            <v>644.79999999999995</v>
          </cell>
        </row>
        <row r="1263">
          <cell r="L1263" t="str">
            <v>An Thắng - Điện Bàn Đông</v>
          </cell>
          <cell r="M1263" t="str">
            <v>50.99</v>
          </cell>
          <cell r="N1263" t="str">
            <v>18.81</v>
          </cell>
          <cell r="O1263" t="str">
            <v>15.948992</v>
          </cell>
          <cell r="P1263" t="str">
            <v>108.254724</v>
          </cell>
          <cell r="Q1263" t="str">
            <v>32.19</v>
          </cell>
          <cell r="R1263" t="str">
            <v>15.935429</v>
          </cell>
          <cell r="S1263" t="str">
            <v>108.255054</v>
          </cell>
          <cell r="T1263" t="str">
            <v>full_h04/TP Đà Nẵng/TP Đà Nẵng/Mạng cấp 4 - Quảng Nam/Quảng Nam - Ring 1/An Thắng - Điện Bàn Đông/trung thế</v>
          </cell>
          <cell r="U1263">
            <v>50.99</v>
          </cell>
        </row>
        <row r="1264">
          <cell r="L1264" t="str">
            <v>Điện Bàn Đông - Hội An Tây</v>
          </cell>
          <cell r="M1264" t="str">
            <v>2934.09</v>
          </cell>
          <cell r="N1264" t="str">
            <v>18.85</v>
          </cell>
          <cell r="O1264" t="str">
            <v>15.948995</v>
          </cell>
          <cell r="P1264" t="str">
            <v>108.254724</v>
          </cell>
          <cell r="Q1264" t="str">
            <v>2915.24</v>
          </cell>
          <cell r="R1264" t="str">
            <v>15.929613</v>
          </cell>
          <cell r="S1264" t="str">
            <v>108.255984</v>
          </cell>
          <cell r="T1264" t="str">
            <v>full_h04/TP Đà Nẵng/TP Đà Nẵng/Mạng cấp 4 - Quảng Nam/Quảng Nam - Ring 1/Điện Bàn Đông - Hội An Tây/hạ thế</v>
          </cell>
          <cell r="U1264">
            <v>2934.09</v>
          </cell>
        </row>
        <row r="1265">
          <cell r="L1265" t="str">
            <v>An Thắng - Điện Bàn Đông</v>
          </cell>
          <cell r="M1265" t="str">
            <v>1353.26</v>
          </cell>
          <cell r="N1265" t="str">
            <v>18.81</v>
          </cell>
          <cell r="O1265" t="str">
            <v>15.948992</v>
          </cell>
          <cell r="P1265" t="str">
            <v>108.254724</v>
          </cell>
          <cell r="Q1265" t="str">
            <v>1334.46</v>
          </cell>
          <cell r="R1265" t="str">
            <v>15.942147</v>
          </cell>
          <cell r="S1265" t="str">
            <v>108.254727</v>
          </cell>
          <cell r="T1265" t="str">
            <v>full_h04/TP Đà Nẵng/TP Đà Nẵng/Mạng cấp 4 - Quảng Nam/Quảng Nam - Ring 1/An Thắng - Điện Bàn Đông/trung thế</v>
          </cell>
          <cell r="U1265">
            <v>1353.26</v>
          </cell>
        </row>
        <row r="1266">
          <cell r="L1266" t="str">
            <v>Điện Bàn Đông - Hội An Tây</v>
          </cell>
          <cell r="M1266" t="str">
            <v>1475.32</v>
          </cell>
          <cell r="N1266" t="str">
            <v>1.42</v>
          </cell>
          <cell r="O1266" t="str">
            <v>15.949006</v>
          </cell>
          <cell r="P1266" t="str">
            <v>108.254912</v>
          </cell>
          <cell r="Q1266" t="str">
            <v>1473.90</v>
          </cell>
          <cell r="R1266" t="str">
            <v>15.949006</v>
          </cell>
          <cell r="S1266" t="str">
            <v>108.254912</v>
          </cell>
          <cell r="T1266" t="str">
            <v>full_h04/TP Đà Nẵng/TP Đà Nẵng/Mạng cấp 4 - Quảng Nam/Quảng Nam - Ring 1/Điện Bàn Đông - Hội An Tây/trồng mới 1</v>
          </cell>
          <cell r="U1266">
            <v>1475.32</v>
          </cell>
        </row>
        <row r="1267">
          <cell r="L1267" t="str">
            <v>Điện Bàn Đông - Hội An Tây</v>
          </cell>
          <cell r="M1267" t="str">
            <v>524.31</v>
          </cell>
          <cell r="N1267" t="str">
            <v>18.85</v>
          </cell>
          <cell r="O1267" t="str">
            <v>15.948995</v>
          </cell>
          <cell r="P1267" t="str">
            <v>108.254724</v>
          </cell>
          <cell r="Q1267" t="str">
            <v>505.47</v>
          </cell>
          <cell r="R1267" t="str">
            <v>15.929613</v>
          </cell>
          <cell r="S1267" t="str">
            <v>108.255984</v>
          </cell>
          <cell r="T1267" t="str">
            <v>full_h04/TP Đà Nẵng/TP Đà Nẵng/Mạng cấp 4 - Quảng Nam/Quảng Nam - Ring 1/Điện Bàn Đông - Hội An Tây/hạ thế</v>
          </cell>
          <cell r="U1267">
            <v>524.30999999999995</v>
          </cell>
        </row>
        <row r="1268">
          <cell r="L1268" t="str">
            <v>An Thắng - Điện Bàn Đông</v>
          </cell>
          <cell r="M1268" t="str">
            <v>345.33</v>
          </cell>
          <cell r="N1268" t="str">
            <v>18.81</v>
          </cell>
          <cell r="O1268" t="str">
            <v>15.948992</v>
          </cell>
          <cell r="P1268" t="str">
            <v>108.254724</v>
          </cell>
          <cell r="Q1268" t="str">
            <v>326.53</v>
          </cell>
          <cell r="R1268" t="str">
            <v>15.935865</v>
          </cell>
          <cell r="S1268" t="str">
            <v>108.229145</v>
          </cell>
          <cell r="T1268" t="str">
            <v>full_h04/TP Đà Nẵng/TP Đà Nẵng/Mạng cấp 4 - Quảng Nam/Quảng Nam - Ring 1/An Thắng - Điện Bàn Đông/trung thế</v>
          </cell>
          <cell r="U1268">
            <v>345.33</v>
          </cell>
        </row>
        <row r="1269">
          <cell r="L1269" t="str">
            <v>Điện Bàn Bắc - TTCMKV Hội An</v>
          </cell>
          <cell r="M1269" t="str">
            <v>1756.61</v>
          </cell>
          <cell r="N1269" t="str">
            <v>707.06</v>
          </cell>
          <cell r="O1269" t="str">
            <v>15.955358</v>
          </cell>
          <cell r="P1269" t="str">
            <v>108.254784</v>
          </cell>
          <cell r="Q1269" t="str">
            <v>1049.55</v>
          </cell>
          <cell r="R1269" t="str">
            <v>15.956380</v>
          </cell>
          <cell r="S1269" t="str">
            <v>108.254917</v>
          </cell>
          <cell r="T1269" t="str">
            <v>full_h04/TP Đà Nẵng/TP Đà Nẵng/Mạng cấp 4 - Quảng Nam/Quảng Nam - Ring 2/Điện Bàn Bắc - TTCMKV Hội An/trung thế 2</v>
          </cell>
          <cell r="U1269">
            <v>1756.61</v>
          </cell>
        </row>
        <row r="1270">
          <cell r="L1270" t="str">
            <v>Điện Bàn Bắc - TTCMKV Hội An</v>
          </cell>
          <cell r="M1270" t="str">
            <v>1258.81</v>
          </cell>
          <cell r="N1270" t="str">
            <v>707.06</v>
          </cell>
          <cell r="O1270" t="str">
            <v>15.955358</v>
          </cell>
          <cell r="P1270" t="str">
            <v>108.254784</v>
          </cell>
          <cell r="Q1270" t="str">
            <v>551.75</v>
          </cell>
          <cell r="R1270" t="str">
            <v>15.954058</v>
          </cell>
          <cell r="S1270" t="str">
            <v>108.239617</v>
          </cell>
          <cell r="T1270" t="str">
            <v>full_h04/TP Đà Nẵng/TP Đà Nẵng/Mạng cấp 4 - Quảng Nam/Quảng Nam - Ring 2/Điện Bàn Bắc - TTCMKV Hội An/trung thế 2</v>
          </cell>
          <cell r="U1270">
            <v>1258.81</v>
          </cell>
        </row>
        <row r="1272">
          <cell r="L1272" t="str">
            <v>Thu Bồn - Gò Nổi</v>
          </cell>
          <cell r="M1272" t="str">
            <v>1816.05</v>
          </cell>
          <cell r="N1272" t="str">
            <v>47.71</v>
          </cell>
          <cell r="O1272" t="str">
            <v>15.829673</v>
          </cell>
          <cell r="P1272" t="str">
            <v>108.124711</v>
          </cell>
          <cell r="Q1272" t="str">
            <v>1768.33</v>
          </cell>
          <cell r="R1272" t="str">
            <v>15.828954</v>
          </cell>
          <cell r="S1272" t="str">
            <v>108.123936</v>
          </cell>
          <cell r="T1272" t="str">
            <v>full_h04/TP Đà Nẵng/TP Đà Nẵng/Mạng cấp 4 - Quảng Nam/Quảng Nam - Ring 3/Thu Bồn - Gò Nổi/hạ thế 1</v>
          </cell>
          <cell r="U1272">
            <v>1816.05</v>
          </cell>
        </row>
        <row r="1273">
          <cell r="L1273" t="str">
            <v>Hội An Đông - TTCMKV Hội An</v>
          </cell>
          <cell r="M1273" t="str">
            <v>1381.74</v>
          </cell>
          <cell r="N1273" t="str">
            <v>2.48</v>
          </cell>
          <cell r="O1273" t="str">
            <v>15.886374</v>
          </cell>
          <cell r="P1273" t="str">
            <v>108.362518</v>
          </cell>
          <cell r="Q1273" t="str">
            <v>1379.26</v>
          </cell>
          <cell r="R1273" t="str">
            <v>15.890886</v>
          </cell>
          <cell r="S1273" t="str">
            <v>108.359292</v>
          </cell>
          <cell r="T1273" t="str">
            <v>full_h04/TP Đà Nẵng/TP Đà Nẵng/Mạng cấp 4 - Quảng Nam/Quảng Nam - Ring 7_them E28/Quảng Nam - Ring 7 - ok/Hội An Đông - TTCMKV Hội An/trung thế 1</v>
          </cell>
          <cell r="U1273">
            <v>1381.74</v>
          </cell>
        </row>
        <row r="1274">
          <cell r="L1274" t="str">
            <v>Hội An Đông - TTCMKV Hội An</v>
          </cell>
          <cell r="M1274" t="str">
            <v>40.75</v>
          </cell>
          <cell r="N1274" t="str">
            <v>2.48</v>
          </cell>
          <cell r="O1274" t="str">
            <v>15.886374</v>
          </cell>
          <cell r="P1274" t="str">
            <v>108.362518</v>
          </cell>
          <cell r="Q1274" t="str">
            <v>38.27</v>
          </cell>
          <cell r="R1274" t="str">
            <v>15.881281</v>
          </cell>
          <cell r="S1274" t="str">
            <v>108.343457</v>
          </cell>
          <cell r="T1274" t="str">
            <v>full_h04/TP Đà Nẵng/TP Đà Nẵng/Mạng cấp 4 - Quảng Nam/Quảng Nam - Ring 7_them E28/Quảng Nam - Ring 7 - ok/Hội An Đông - TTCMKV Hội An/trung thế 1</v>
          </cell>
          <cell r="U1274">
            <v>40.75</v>
          </cell>
        </row>
        <row r="1275">
          <cell r="L1275" t="str">
            <v>Bắc Trà My - Phú Ninh</v>
          </cell>
          <cell r="M1275" t="str">
            <v>239.53</v>
          </cell>
          <cell r="N1275" t="str">
            <v>141.94</v>
          </cell>
          <cell r="O1275" t="str">
            <v>15.524393</v>
          </cell>
          <cell r="P1275" t="str">
            <v>108.418333</v>
          </cell>
          <cell r="Q1275" t="str">
            <v>97.60</v>
          </cell>
          <cell r="R1275" t="str">
            <v>15.518005</v>
          </cell>
          <cell r="S1275" t="str">
            <v>108.401340</v>
          </cell>
          <cell r="T1275" t="str">
            <v>full_h04/TP Đà Nẵng/TP Đà Nẵng/Mạng cấp 3_ DN và Quảng Nam/Cấp 3 - Ring 4 - Quảng Nam cũ/Bắc Trà My - Phú Ninh/Đoạn trung thế 2</v>
          </cell>
          <cell r="U1275">
            <v>239.53</v>
          </cell>
        </row>
        <row r="1276">
          <cell r="L1276" t="str">
            <v>Chiên Đàn - Phú Ninh</v>
          </cell>
          <cell r="M1276" t="str">
            <v>512.29</v>
          </cell>
          <cell r="N1276" t="str">
            <v>293.67</v>
          </cell>
          <cell r="O1276" t="str">
            <v>15.525581</v>
          </cell>
          <cell r="P1276" t="str">
            <v>108.421014</v>
          </cell>
          <cell r="Q1276" t="str">
            <v>218.61</v>
          </cell>
          <cell r="R1276" t="str">
            <v>15.538947</v>
          </cell>
          <cell r="S1276" t="str">
            <v>108.425337</v>
          </cell>
          <cell r="T1276" t="str">
            <v>full_h04/TP Đà Nẵng/TP Đà Nẵng/Mạng cấp 4 - Quảng Nam/Quảng Nam - Ring 14/Chiên Đàn - Phú Ninh/trung thế 2</v>
          </cell>
          <cell r="U1276">
            <v>512.29</v>
          </cell>
        </row>
        <row r="1277">
          <cell r="L1277" t="str">
            <v>Phú Ninh - Hương Trà</v>
          </cell>
          <cell r="M1277" t="str">
            <v>1997.04</v>
          </cell>
          <cell r="N1277" t="str">
            <v>44.75</v>
          </cell>
          <cell r="O1277" t="str">
            <v>15.523185</v>
          </cell>
          <cell r="P1277" t="str">
            <v>108.419532</v>
          </cell>
          <cell r="Q1277" t="str">
            <v>1952.29</v>
          </cell>
          <cell r="R1277" t="str">
            <v>15.544160</v>
          </cell>
          <cell r="S1277" t="str">
            <v>108.459559</v>
          </cell>
          <cell r="T1277" t="str">
            <v>full_h04/TP Đà Nẵng/TP Đà Nẵng/Mạng cấp 4 - Quảng Nam/Quảng Nam - Ring 14/Phú Ninh - Hương Trà/trung thế 1</v>
          </cell>
          <cell r="U1277">
            <v>1997.04</v>
          </cell>
        </row>
        <row r="1278">
          <cell r="L1278" t="str">
            <v>Phú Ninh - Hương Trà</v>
          </cell>
          <cell r="M1278" t="str">
            <v>904.06</v>
          </cell>
          <cell r="N1278" t="str">
            <v>44.75</v>
          </cell>
          <cell r="O1278" t="str">
            <v>15.523185</v>
          </cell>
          <cell r="P1278" t="str">
            <v>108.419532</v>
          </cell>
          <cell r="Q1278" t="str">
            <v>859.31</v>
          </cell>
          <cell r="R1278" t="str">
            <v>15.521298</v>
          </cell>
          <cell r="S1278" t="str">
            <v>108.421182</v>
          </cell>
          <cell r="T1278" t="str">
            <v>full_h04/TP Đà Nẵng/TP Đà Nẵng/Mạng cấp 4 - Quảng Nam/Quảng Nam - Ring 14/Phú Ninh - Hương Trà/trung thế 1</v>
          </cell>
          <cell r="U1278">
            <v>904.06</v>
          </cell>
        </row>
        <row r="1279">
          <cell r="L1279" t="str">
            <v>Đức phú - Phú Ninh</v>
          </cell>
          <cell r="M1279" t="str">
            <v>628.92</v>
          </cell>
          <cell r="N1279" t="str">
            <v>558.49</v>
          </cell>
          <cell r="O1279" t="str">
            <v>15.528066</v>
          </cell>
          <cell r="P1279" t="str">
            <v>108.421516</v>
          </cell>
          <cell r="Q1279" t="str">
            <v>70.43</v>
          </cell>
          <cell r="R1279" t="str">
            <v>15.548544</v>
          </cell>
          <cell r="S1279" t="str">
            <v>108.494412</v>
          </cell>
          <cell r="T1279" t="str">
            <v>full_h04/TP Đà Nẵng/TP Đà Nẵng/Mạng cấp 4 - Quảng Nam/Quảng Nam - Ring 15/Đức phú - Phú Ninh/Trung thế</v>
          </cell>
          <cell r="U1279">
            <v>628.91999999999996</v>
          </cell>
        </row>
        <row r="1280">
          <cell r="L1280" t="str">
            <v>Bắc Trà My - Phú Ninh</v>
          </cell>
          <cell r="M1280" t="str">
            <v>1915.07</v>
          </cell>
          <cell r="N1280" t="str">
            <v>141.94</v>
          </cell>
          <cell r="O1280" t="str">
            <v>15.524393</v>
          </cell>
          <cell r="P1280" t="str">
            <v>108.418333</v>
          </cell>
          <cell r="Q1280" t="str">
            <v>1773.13</v>
          </cell>
          <cell r="R1280" t="str">
            <v>15.550876</v>
          </cell>
          <cell r="S1280" t="str">
            <v>108.413632</v>
          </cell>
          <cell r="T1280" t="str">
            <v>full_h04/TP Đà Nẵng/TP Đà Nẵng/Mạng cấp 3_ DN và Quảng Nam/Cấp 3 - Ring 4 - Quảng Nam cũ/Bắc Trà My - Phú Ninh/Đoạn trung thế 2</v>
          </cell>
          <cell r="U1280">
            <v>1915.07</v>
          </cell>
        </row>
        <row r="1281">
          <cell r="L1281" t="str">
            <v>Quế Sơn - Quế Sơn Trung</v>
          </cell>
          <cell r="M1281" t="str">
            <v>460.28</v>
          </cell>
          <cell r="N1281" t="str">
            <v>72.98</v>
          </cell>
          <cell r="O1281" t="str">
            <v>15.736276</v>
          </cell>
          <cell r="P1281" t="str">
            <v>108.288711</v>
          </cell>
          <cell r="Q1281" t="str">
            <v>387.30</v>
          </cell>
          <cell r="R1281" t="str">
            <v>15.729505</v>
          </cell>
          <cell r="S1281" t="str">
            <v>108.278774</v>
          </cell>
          <cell r="T1281" t="str">
            <v>full_h04/TP Đà Nẵng/TP Đà Nẵng/Mạng cấp 4 - Quảng Nam/Quảng Nam - Ring 8 - ok/Quế Sơn - Quế Sơn Trung/trung thế 1</v>
          </cell>
          <cell r="U1281">
            <v>460.28</v>
          </cell>
        </row>
        <row r="1282">
          <cell r="L1282" t="str">
            <v>Quế Sơn - Quế Sơn Trung</v>
          </cell>
          <cell r="M1282" t="str">
            <v>4995.92</v>
          </cell>
          <cell r="N1282" t="str">
            <v>72.98</v>
          </cell>
          <cell r="O1282" t="str">
            <v>15.736276</v>
          </cell>
          <cell r="P1282" t="str">
            <v>108.288711</v>
          </cell>
          <cell r="Q1282" t="str">
            <v>4922.94</v>
          </cell>
          <cell r="R1282" t="str">
            <v>15.670724</v>
          </cell>
          <cell r="S1282" t="str">
            <v>108.213151</v>
          </cell>
          <cell r="T1282" t="str">
            <v>full_h04/TP Đà Nẵng/TP Đà Nẵng/Mạng cấp 4 - Quảng Nam/Quảng Nam - Ring 8 - ok/Quế Sơn - Quế Sơn Trung/trung thế 1</v>
          </cell>
          <cell r="U1282">
            <v>4995.92</v>
          </cell>
        </row>
        <row r="1283">
          <cell r="L1283" t="str">
            <v>Quế Sơn Trung - TTCMKV Thăng
 Bình</v>
          </cell>
          <cell r="M1283" t="str">
            <v>789.81</v>
          </cell>
          <cell r="N1283" t="str">
            <v>737.28</v>
          </cell>
          <cell r="O1283" t="str">
            <v>15.740909</v>
          </cell>
          <cell r="P1283" t="str">
            <v>108.293855</v>
          </cell>
          <cell r="Q1283" t="str">
            <v>52.52</v>
          </cell>
          <cell r="R1283" t="str">
            <v>15.732188</v>
          </cell>
          <cell r="S1283" t="str">
            <v>108.306318</v>
          </cell>
          <cell r="T1283" t="str">
            <v>full_h04/TP Đà Nẵng/TP Đà Nẵng/Mạng cấp 4 - Quảng Nam/Quảng Nam - Ring 8 - ok/Quế Sơn Trung - TTCMKV Thăng
 Bình/hạ thế 2</v>
          </cell>
          <cell r="U1283">
            <v>789.81</v>
          </cell>
        </row>
        <row r="1284">
          <cell r="L1284" t="str">
            <v>Thăng Bình - Quế Sơn</v>
          </cell>
          <cell r="M1284" t="str">
            <v>3862.47</v>
          </cell>
          <cell r="N1284" t="str">
            <v>3791.78</v>
          </cell>
          <cell r="O1284" t="str">
            <v>15.702866</v>
          </cell>
          <cell r="P1284" t="str">
            <v>108.285609</v>
          </cell>
          <cell r="Q1284" t="str">
            <v>70.69</v>
          </cell>
          <cell r="R1284" t="str">
            <v>15.736033</v>
          </cell>
          <cell r="S1284" t="str">
            <v>108.352322</v>
          </cell>
          <cell r="T1284" t="str">
            <v>full_h04/TP Đà Nẵng/TP Đà Nẵng/Mạng cấp 3_ DN và Quảng Nam/Cấp 3 - Ring 4 - Quảng Nam cũ/Thăng Bình - Quế Sơn/Đoạn trung thế 1</v>
          </cell>
          <cell r="U1284">
            <v>3862.47</v>
          </cell>
        </row>
        <row r="1285">
          <cell r="L1285" t="str">
            <v>Quế Sơn - Đại Lộc</v>
          </cell>
          <cell r="M1285" t="str">
            <v>634.34</v>
          </cell>
          <cell r="N1285" t="str">
            <v>150.32</v>
          </cell>
          <cell r="O1285" t="str">
            <v>15.736057</v>
          </cell>
          <cell r="P1285" t="str">
            <v>108.289530</v>
          </cell>
          <cell r="Q1285" t="str">
            <v>484.02</v>
          </cell>
          <cell r="R1285" t="str">
            <v>15.750251</v>
          </cell>
          <cell r="S1285" t="str">
            <v>108.299021</v>
          </cell>
          <cell r="T1285" t="str">
            <v>full_h04/TP Đà Nẵng/TP Đà Nẵng/Mạng cấp 3_ DN và Quảng Nam/Cấp 3 - Ring 3 - Quảng Nam cũ/Quế Sơn - Đại Lộc_ring 3_ cấp 3.kmz/Quế Sơn - Đại Lộc/trung thế 2</v>
          </cell>
          <cell r="U1285">
            <v>634.34</v>
          </cell>
        </row>
        <row r="1286">
          <cell r="L1286" t="str">
            <v>Quế Sơn Trung - TTCMKV Thăng
 Bình</v>
          </cell>
          <cell r="M1286" t="str">
            <v>2252.62</v>
          </cell>
          <cell r="N1286" t="str">
            <v>737.28</v>
          </cell>
          <cell r="O1286" t="str">
            <v>15.740909</v>
          </cell>
          <cell r="P1286" t="str">
            <v>108.293855</v>
          </cell>
          <cell r="Q1286" t="str">
            <v>1515.33</v>
          </cell>
          <cell r="R1286" t="str">
            <v>15.730776</v>
          </cell>
          <cell r="S1286" t="str">
            <v>108.302993</v>
          </cell>
          <cell r="T1286" t="str">
            <v>full_h04/TP Đà Nẵng/TP Đà Nẵng/Mạng cấp 4 - Quảng Nam/Quảng Nam - Ring 8 - ok/Quế Sơn Trung - TTCMKV Thăng
 Bình/hạ thế 2</v>
          </cell>
          <cell r="U1286">
            <v>2252.62</v>
          </cell>
        </row>
        <row r="1287">
          <cell r="L1287" t="str">
            <v>Nam Phước - Xuân Phú</v>
          </cell>
          <cell r="M1287" t="str">
            <v>827.40</v>
          </cell>
          <cell r="N1287" t="str">
            <v>12.27</v>
          </cell>
          <cell r="O1287" t="str">
            <v>15.777139</v>
          </cell>
          <cell r="P1287" t="str">
            <v>108.335114</v>
          </cell>
          <cell r="Q1287" t="str">
            <v>815.13</v>
          </cell>
          <cell r="R1287" t="str">
            <v>15.776539</v>
          </cell>
          <cell r="S1287" t="str">
            <v>108.330249</v>
          </cell>
          <cell r="T1287" t="str">
            <v>full_h04/TP Đà Nẵng/TP Đà Nẵng/Mạng cấp 4 - Quảng Nam/Quảng Nam - Ring 7_them E28/Quảng Nam - Ring 7 - ok/Nam Phước - Xuân Phú/trung thế 1</v>
          </cell>
          <cell r="U1287">
            <v>827.4</v>
          </cell>
        </row>
        <row r="1288">
          <cell r="L1288" t="str">
            <v>Trạm CSGT Thăng Bình (X. Bình Phục, Thăng
Bình) - TTCMKV Thăng Bình</v>
          </cell>
          <cell r="M1288" t="str">
            <v>246.01</v>
          </cell>
          <cell r="N1288" t="str">
            <v>22.90</v>
          </cell>
          <cell r="O1288" t="str">
            <v>15.720182</v>
          </cell>
          <cell r="P1288" t="str">
            <v>108.375708</v>
          </cell>
          <cell r="Q1288" t="str">
            <v>223.11</v>
          </cell>
          <cell r="R1288" t="str">
            <v>15.720674</v>
          </cell>
          <cell r="S1288" t="str">
            <v>108.369459</v>
          </cell>
          <cell r="T1288" t="str">
            <v>full_h04/TP Đà Nẵng/TP Đà Nẵng/Mạng cấp 3_ DN và Quảng Nam/Ring Nhánh/Trạm CSGT Thăng Bình (X. Bình Phục, Thăng
Bình) - TTCMKV Thăng Bình/Trung thế</v>
          </cell>
          <cell r="U1288">
            <v>246.01</v>
          </cell>
        </row>
        <row r="1289">
          <cell r="L1289" t="str">
            <v>Trạm CSGT Thăng Bình (X. Bình Phục, Thăng
Bình) - TTCMKV Thăng Bình</v>
          </cell>
          <cell r="M1289" t="str">
            <v>1297.81</v>
          </cell>
          <cell r="N1289" t="str">
            <v>22.90</v>
          </cell>
          <cell r="O1289" t="str">
            <v>15.720182</v>
          </cell>
          <cell r="P1289" t="str">
            <v>108.375708</v>
          </cell>
          <cell r="Q1289" t="str">
            <v>1274.91</v>
          </cell>
          <cell r="R1289" t="str">
            <v>15.736057</v>
          </cell>
          <cell r="S1289" t="str">
            <v>108.352300</v>
          </cell>
          <cell r="T1289" t="str">
            <v>full_h04/TP Đà Nẵng/TP Đà Nẵng/Mạng cấp 3_ DN và Quảng Nam/Ring Nhánh/Trạm CSGT Thăng Bình (X. Bình Phục, Thăng
Bình) - TTCMKV Thăng Bình/Trung thế</v>
          </cell>
          <cell r="U1289">
            <v>1297.81</v>
          </cell>
        </row>
        <row r="1290">
          <cell r="L1290" t="str">
            <v>Duy Xuyên - TT2 Tam Kỳ</v>
          </cell>
          <cell r="M1290" t="str">
            <v>875.94</v>
          </cell>
          <cell r="N1290" t="str">
            <v>301.35</v>
          </cell>
          <cell r="O1290" t="str">
            <v>15.717450</v>
          </cell>
          <cell r="P1290" t="str">
            <v>108.375263</v>
          </cell>
          <cell r="Q1290" t="str">
            <v>574.59</v>
          </cell>
          <cell r="R1290" t="str">
            <v>15.646918</v>
          </cell>
          <cell r="S1290" t="str">
            <v>108.430209</v>
          </cell>
          <cell r="T1290" t="str">
            <v>full_h04/TP Đà Nẵng/TP Đà Nẵng/Mạng cấp 3_ DN và Quảng Nam/Cấp 3 - Ring 3 - Quảng Nam cũ/Duy Xuyên - TT2 Tam Kỳ/Trung thế 4</v>
          </cell>
          <cell r="U1290">
            <v>875.94</v>
          </cell>
        </row>
        <row r="1291">
          <cell r="L1291" t="str">
            <v>Duy Xuyên - TT2 Tam Kỳ</v>
          </cell>
          <cell r="M1291" t="str">
            <v>772.35</v>
          </cell>
          <cell r="N1291" t="str">
            <v>301.35</v>
          </cell>
          <cell r="O1291" t="str">
            <v>15.717450</v>
          </cell>
          <cell r="P1291" t="str">
            <v>108.375263</v>
          </cell>
          <cell r="Q1291" t="str">
            <v>471.00</v>
          </cell>
          <cell r="R1291" t="str">
            <v>15.707373</v>
          </cell>
          <cell r="S1291" t="str">
            <v>108.385880</v>
          </cell>
          <cell r="T1291" t="str">
            <v>full_h04/TP Đà Nẵng/TP Đà Nẵng/Mạng cấp 3_ DN và Quảng Nam/Cấp 3 - Ring 3 - Quảng Nam cũ/Duy Xuyên - TT2 Tam Kỳ/Trung thế 4</v>
          </cell>
          <cell r="U1291">
            <v>772.35</v>
          </cell>
        </row>
        <row r="1292">
          <cell r="L1292" t="str">
            <v>Duy Xuyên - TT2 Tam Kỳ</v>
          </cell>
          <cell r="M1292" t="str">
            <v>719.69</v>
          </cell>
          <cell r="N1292" t="str">
            <v>301.35</v>
          </cell>
          <cell r="O1292" t="str">
            <v>15.717450</v>
          </cell>
          <cell r="P1292" t="str">
            <v>108.375263</v>
          </cell>
          <cell r="Q1292" t="str">
            <v>418.34</v>
          </cell>
          <cell r="R1292" t="str">
            <v>15.696898</v>
          </cell>
          <cell r="S1292" t="str">
            <v>108.393225</v>
          </cell>
          <cell r="T1292" t="str">
            <v>full_h04/TP Đà Nẵng/TP Đà Nẵng/Mạng cấp 3_ DN và Quảng Nam/Cấp 3 - Ring 3 - Quảng Nam cũ/Duy Xuyên - TT2 Tam Kỳ/Trung thế 4</v>
          </cell>
          <cell r="U1292">
            <v>719.69</v>
          </cell>
        </row>
        <row r="1293">
          <cell r="L1293" t="str">
            <v>Trạm CSGT Thăng Bình (X. Bình Phục, Thăng
Bình) - TTCMKV Thăng Bình</v>
          </cell>
          <cell r="M1293" t="str">
            <v>2144.64</v>
          </cell>
          <cell r="N1293" t="str">
            <v>22.90</v>
          </cell>
          <cell r="O1293" t="str">
            <v>15.720182</v>
          </cell>
          <cell r="P1293" t="str">
            <v>108.375708</v>
          </cell>
          <cell r="Q1293" t="str">
            <v>2121.74</v>
          </cell>
          <cell r="R1293" t="str">
            <v>15.720257</v>
          </cell>
          <cell r="S1293" t="str">
            <v>108.375578</v>
          </cell>
          <cell r="T1293" t="str">
            <v>full_h04/TP Đà Nẵng/TP Đà Nẵng/Mạng cấp 3_ DN và Quảng Nam/Ring Nhánh/Trạm CSGT Thăng Bình (X. Bình Phục, Thăng
Bình) - TTCMKV Thăng Bình/Trung thế</v>
          </cell>
          <cell r="U1293">
            <v>2144.64</v>
          </cell>
        </row>
        <row r="1294">
          <cell r="L1294" t="str">
            <v>Thăng Phú - Tây Hồ</v>
          </cell>
          <cell r="M1294" t="str">
            <v>724.10</v>
          </cell>
          <cell r="N1294" t="str">
            <v>58.91</v>
          </cell>
          <cell r="O1294" t="str">
            <v>15.632675</v>
          </cell>
          <cell r="P1294" t="str">
            <v>108.374645</v>
          </cell>
          <cell r="Q1294" t="str">
            <v>665.19</v>
          </cell>
          <cell r="R1294" t="str">
            <v>15.624164</v>
          </cell>
          <cell r="S1294" t="str">
            <v>108.382743</v>
          </cell>
          <cell r="T1294" t="str">
            <v>full_h04/TP Đà Nẵng/TP Đà Nẵng/Mạng cấp 4 - Quảng Nam/Quảng Nam - Ring 11 - ok/Thăng Phú - Tây Hồ/trung thế 1</v>
          </cell>
          <cell r="U1294">
            <v>724.1</v>
          </cell>
        </row>
        <row r="1295">
          <cell r="L1295" t="str">
            <v>Thăng Phú - Tây Hồ</v>
          </cell>
          <cell r="M1295" t="str">
            <v>576.87</v>
          </cell>
          <cell r="N1295" t="str">
            <v>58.91</v>
          </cell>
          <cell r="O1295" t="str">
            <v>15.632675</v>
          </cell>
          <cell r="P1295" t="str">
            <v>108.374645</v>
          </cell>
          <cell r="Q1295" t="str">
            <v>517.96</v>
          </cell>
          <cell r="R1295" t="str">
            <v>15.633737</v>
          </cell>
          <cell r="S1295" t="str">
            <v>108.375322</v>
          </cell>
          <cell r="T1295" t="str">
            <v>full_h04/TP Đà Nẵng/TP Đà Nẵng/Mạng cấp 4 - Quảng Nam/Quảng Nam - Ring 11 - ok/Thăng Phú - Tây Hồ/trung thế 1</v>
          </cell>
          <cell r="U1295">
            <v>576.87</v>
          </cell>
        </row>
        <row r="1296">
          <cell r="L1296" t="str">
            <v>Thăng Bình - Thăng Phú</v>
          </cell>
          <cell r="M1296" t="str">
            <v>1356.14</v>
          </cell>
          <cell r="N1296" t="str">
            <v>55.98</v>
          </cell>
          <cell r="O1296" t="str">
            <v>15.632129</v>
          </cell>
          <cell r="P1296" t="str">
            <v>108.374284</v>
          </cell>
          <cell r="Q1296" t="str">
            <v>1300.16</v>
          </cell>
          <cell r="R1296" t="str">
            <v>15.660126</v>
          </cell>
          <cell r="S1296" t="str">
            <v>108.342536</v>
          </cell>
          <cell r="T1296" t="str">
            <v>full_h04/TP Đà Nẵng/TP Đà Nẵng/Mạng cấp 4 - Quảng Nam/Quảng Nam - Ring 11 - ok/Thăng Bình - Thăng Phú/trung thế 1</v>
          </cell>
          <cell r="U1296">
            <v>1356.14</v>
          </cell>
        </row>
        <row r="1297">
          <cell r="L1297" t="str">
            <v>TT2 Tam Kỳ - Thăng Bình</v>
          </cell>
          <cell r="M1297" t="str">
            <v>5310.74</v>
          </cell>
          <cell r="N1297" t="str">
            <v>5275.58</v>
          </cell>
          <cell r="O1297" t="str">
            <v>15.651601</v>
          </cell>
          <cell r="P1297" t="str">
            <v>108.419245</v>
          </cell>
          <cell r="Q1297" t="str">
            <v>35.17</v>
          </cell>
          <cell r="R1297" t="str">
            <v>15.579652</v>
          </cell>
          <cell r="S1297" t="str">
            <v>108.473956</v>
          </cell>
          <cell r="T1297" t="str">
            <v>full_h04/TP Đà Nẵng/TP Đà Nẵng/Mạng cấp 3_ DN và Quảng Nam/Cấp 3 - Ring 4 - Quảng Nam cũ/TT2 Tam Kỳ - Thăng Bình/Đoạn trung thế</v>
          </cell>
          <cell r="U1297">
            <v>5310.74</v>
          </cell>
        </row>
        <row r="1298">
          <cell r="L1298" t="str">
            <v>Thăng Phú - Tây Hồ</v>
          </cell>
          <cell r="M1298" t="str">
            <v>2660.80</v>
          </cell>
          <cell r="N1298" t="str">
            <v>58.91</v>
          </cell>
          <cell r="O1298" t="str">
            <v>15.632675</v>
          </cell>
          <cell r="P1298" t="str">
            <v>108.374645</v>
          </cell>
          <cell r="Q1298" t="str">
            <v>2601.89</v>
          </cell>
          <cell r="R1298" t="str">
            <v>15.633737</v>
          </cell>
          <cell r="S1298" t="str">
            <v>108.375322</v>
          </cell>
          <cell r="T1298" t="str">
            <v>full_h04/TP Đà Nẵng/TP Đà Nẵng/Mạng cấp 4 - Quảng Nam/Quảng Nam - Ring 11 - ok/Thăng Phú - Tây Hồ/trung thế 1</v>
          </cell>
          <cell r="U1298">
            <v>2660.8</v>
          </cell>
        </row>
        <row r="1299">
          <cell r="L1299" t="str">
            <v>Hương Trà - Tam Kỳ</v>
          </cell>
          <cell r="M1299" t="str">
            <v>1876.33</v>
          </cell>
          <cell r="N1299" t="str">
            <v>429.55</v>
          </cell>
          <cell r="O1299" t="str">
            <v>15.544557</v>
          </cell>
          <cell r="P1299" t="str">
            <v>108.488028</v>
          </cell>
          <cell r="Q1299" t="str">
            <v>1446.78</v>
          </cell>
          <cell r="R1299" t="str">
            <v>15.563969</v>
          </cell>
          <cell r="S1299" t="str">
            <v>108.482575</v>
          </cell>
          <cell r="T1299" t="str">
            <v>full_h04/TP Đà Nẵng/TP Đà Nẵng/Mạng cấp 4 - Quảng Nam/Quảng Nam - Ring 14/Hương Trà - Tam Kỳ/trung thế 1</v>
          </cell>
          <cell r="U1299">
            <v>1876.33</v>
          </cell>
        </row>
        <row r="1300">
          <cell r="L1300" t="str">
            <v>Hương Trà - Tam Kỳ</v>
          </cell>
          <cell r="M1300" t="str">
            <v>1788.57</v>
          </cell>
          <cell r="N1300" t="str">
            <v>429.55</v>
          </cell>
          <cell r="O1300" t="str">
            <v>15.544557</v>
          </cell>
          <cell r="P1300" t="str">
            <v>108.488028</v>
          </cell>
          <cell r="Q1300" t="str">
            <v>1359.02</v>
          </cell>
          <cell r="R1300" t="str">
            <v>15.563969</v>
          </cell>
          <cell r="S1300" t="str">
            <v>108.482575</v>
          </cell>
          <cell r="T1300" t="str">
            <v>full_h04/TP Đà Nẵng/TP Đà Nẵng/Mạng cấp 4 - Quảng Nam/Quảng Nam - Ring 14/Hương Trà - Tam Kỳ/trung thế 1</v>
          </cell>
          <cell r="U1300">
            <v>1788.57</v>
          </cell>
        </row>
        <row r="1301">
          <cell r="L1301" t="str">
            <v>Hương Trà - Tam Kỳ</v>
          </cell>
          <cell r="M1301" t="str">
            <v>812.28</v>
          </cell>
          <cell r="N1301" t="str">
            <v>56.83</v>
          </cell>
          <cell r="O1301" t="str">
            <v>15.545833</v>
          </cell>
          <cell r="P1301" t="str">
            <v>108.484005</v>
          </cell>
          <cell r="Q1301" t="str">
            <v>755.45</v>
          </cell>
          <cell r="R1301" t="str">
            <v>15.547324</v>
          </cell>
          <cell r="S1301" t="str">
            <v>108.486795</v>
          </cell>
          <cell r="T1301" t="str">
            <v>full_h04/TP Đà Nẵng/TP Đà Nẵng/Mạng cấp 4 - Quảng Nam/Quảng Nam - Ring 14/Hương Trà - Tam Kỳ/hạ thế 1</v>
          </cell>
          <cell r="U1301">
            <v>812.28</v>
          </cell>
        </row>
        <row r="1302">
          <cell r="L1302" t="str">
            <v>PC06 - PC07</v>
          </cell>
          <cell r="M1302" t="str">
            <v>166.84</v>
          </cell>
          <cell r="N1302" t="str">
            <v>153.25</v>
          </cell>
          <cell r="O1302" t="str">
            <v>15.565082</v>
          </cell>
          <cell r="P1302" t="str">
            <v>108.481034</v>
          </cell>
          <cell r="Q1302" t="str">
            <v>13.59</v>
          </cell>
          <cell r="R1302" t="str">
            <v>15.566740</v>
          </cell>
          <cell r="S1302" t="str">
            <v>108.479157</v>
          </cell>
          <cell r="T1302" t="str">
            <v>full_h04/TP Đà Nẵng/TP Đà Nẵng/Mạng cấp 3_ DN và Quảng Nam/Phòng -  Ring 5 ( Quảng Nam)/PC06 - PC07/Trung thế 1</v>
          </cell>
          <cell r="U1302">
            <v>166.84</v>
          </cell>
        </row>
        <row r="1303">
          <cell r="L1303" t="str">
            <v>PK02 - PC11</v>
          </cell>
          <cell r="M1303" t="str">
            <v>1220.00</v>
          </cell>
          <cell r="N1303" t="str">
            <v>218.62</v>
          </cell>
          <cell r="O1303" t="str">
            <v>15.580760</v>
          </cell>
          <cell r="P1303" t="str">
            <v>108.463223</v>
          </cell>
          <cell r="Q1303" t="str">
            <v>1001.38</v>
          </cell>
          <cell r="R1303" t="str">
            <v>15.575601</v>
          </cell>
          <cell r="S1303" t="str">
            <v>108.461769</v>
          </cell>
          <cell r="T1303" t="str">
            <v>full_h04/TP Đà Nẵng/TP Đà Nẵng/Mạng cấp 3_ DN và Quảng Nam/Phòng -  Ring 4 ( Quảng Nam)/PK02 - PC11/Trung thế 1</v>
          </cell>
          <cell r="U1303">
            <v>1220</v>
          </cell>
        </row>
        <row r="1304">
          <cell r="L1304" t="str">
            <v>TT2 Tam Kỳ - CAX Tiên Sơn (Tiên Phước)</v>
          </cell>
          <cell r="M1304" t="str">
            <v>2366.52</v>
          </cell>
          <cell r="N1304" t="str">
            <v>2292.22</v>
          </cell>
          <cell r="O1304" t="str">
            <v>15.575385</v>
          </cell>
          <cell r="P1304" t="str">
            <v>108.444188</v>
          </cell>
          <cell r="Q1304" t="str">
            <v>74.30</v>
          </cell>
          <cell r="R1304" t="str">
            <v>15.562578</v>
          </cell>
          <cell r="S1304" t="str">
            <v>108.425622</v>
          </cell>
          <cell r="T1304" t="str">
            <v>full_h04/TP Đà Nẵng/TP Đà Nẵng/Mạng cấp 3_ DN và Quảng Nam/Cấp 3 - Ring 3 - Quảng Nam cũ/TT2 Tam Kỳ - CAX Tiên Sơn (Tiên Phước)/Đoạn trung thế 2</v>
          </cell>
          <cell r="U1304">
            <v>2366.52</v>
          </cell>
        </row>
        <row r="1305">
          <cell r="L1305" t="str">
            <v>TT2 Tam Kỳ - Thăng Bình</v>
          </cell>
          <cell r="M1305" t="str">
            <v>448.32</v>
          </cell>
          <cell r="N1305" t="str">
            <v>413.15</v>
          </cell>
          <cell r="O1305" t="str">
            <v>15.585190</v>
          </cell>
          <cell r="P1305" t="str">
            <v>108.466882</v>
          </cell>
          <cell r="Q1305" t="str">
            <v>35.17</v>
          </cell>
          <cell r="R1305" t="str">
            <v>15.579652</v>
          </cell>
          <cell r="S1305" t="str">
            <v>108.473956</v>
          </cell>
          <cell r="T1305" t="str">
            <v>full_h04/TP Đà Nẵng/TP Đà Nẵng/Mạng cấp 3_ DN và Quảng Nam/Cấp 3 - Ring 4 - Quảng Nam cũ/TT2 Tam Kỳ - Thăng Bình/Đoạn trung thế</v>
          </cell>
          <cell r="U1305">
            <v>448.32</v>
          </cell>
        </row>
        <row r="1306">
          <cell r="L1306" t="str">
            <v>TT2 Tam Kỳ - PC08</v>
          </cell>
          <cell r="M1306" t="str">
            <v>133.14</v>
          </cell>
          <cell r="N1306" t="str">
            <v>95.80</v>
          </cell>
          <cell r="O1306" t="str">
            <v>15.575644</v>
          </cell>
          <cell r="P1306" t="str">
            <v>108.476562</v>
          </cell>
          <cell r="Q1306" t="str">
            <v>37.33</v>
          </cell>
          <cell r="R1306" t="str">
            <v>15.579679</v>
          </cell>
          <cell r="S1306" t="str">
            <v>108.473950</v>
          </cell>
          <cell r="T1306" t="str">
            <v>full_h04/TP Đà Nẵng/TP Đà Nẵng/Mạng cấp 3_ DN và Quảng Nam/Phòng -  Ring 5 ( Quảng Nam)/TT2 Tam Kỳ - PC08/Trung thế 1</v>
          </cell>
          <cell r="U1306">
            <v>133.13999999999999</v>
          </cell>
        </row>
        <row r="1307">
          <cell r="L1307" t="str">
            <v>Hương Trà - Tam Kỳ</v>
          </cell>
          <cell r="M1307" t="str">
            <v>1788.57</v>
          </cell>
          <cell r="N1307" t="str">
            <v>1359.02</v>
          </cell>
          <cell r="O1307" t="str">
            <v>15.563969</v>
          </cell>
          <cell r="P1307" t="str">
            <v>108.482575</v>
          </cell>
          <cell r="Q1307" t="str">
            <v>429.55</v>
          </cell>
          <cell r="R1307" t="str">
            <v>15.544557</v>
          </cell>
          <cell r="S1307" t="str">
            <v>108.488028</v>
          </cell>
          <cell r="T1307" t="str">
            <v>full_h04/TP Đà Nẵng/TP Đà Nẵng/Mạng cấp 4 - Quảng Nam/Quảng Nam - Ring 14/Hương Trà - Tam Kỳ/trung thế 1</v>
          </cell>
          <cell r="U1307">
            <v>1788.57</v>
          </cell>
        </row>
        <row r="1308">
          <cell r="L1308" t="str">
            <v>TT2 Tam Kỳ - PC08</v>
          </cell>
          <cell r="M1308" t="str">
            <v>133.14</v>
          </cell>
          <cell r="N1308" t="str">
            <v>95.80</v>
          </cell>
          <cell r="O1308" t="str">
            <v>15.575644</v>
          </cell>
          <cell r="P1308" t="str">
            <v>108.476562</v>
          </cell>
          <cell r="Q1308" t="str">
            <v>37.33</v>
          </cell>
          <cell r="R1308" t="str">
            <v>15.579679</v>
          </cell>
          <cell r="S1308" t="str">
            <v>108.473950</v>
          </cell>
          <cell r="T1308" t="str">
            <v>full_h04/TP Đà Nẵng/TP Đà Nẵng/Mạng cấp 3_ DN và Quảng Nam/Phòng -  Ring 5 ( Quảng Nam)/TT2 Tam Kỳ - PC08/Trung thế 1</v>
          </cell>
          <cell r="U1308">
            <v>133.13999999999999</v>
          </cell>
        </row>
        <row r="1309">
          <cell r="L1309" t="str">
            <v>PK02 - PC11</v>
          </cell>
          <cell r="M1309" t="str">
            <v>64.92</v>
          </cell>
          <cell r="N1309" t="str">
            <v>19.86</v>
          </cell>
          <cell r="O1309" t="str">
            <v>15.558758</v>
          </cell>
          <cell r="P1309" t="str">
            <v>108.450018</v>
          </cell>
          <cell r="Q1309" t="str">
            <v>45.06</v>
          </cell>
          <cell r="R1309" t="str">
            <v>15.564654</v>
          </cell>
          <cell r="S1309" t="str">
            <v>108.459951</v>
          </cell>
          <cell r="T1309" t="str">
            <v>full_h04/TP Đà Nẵng/TP Đà Nẵng/Mạng cấp 3_ DN và Quảng Nam/Phòng -  Ring 4 ( Quảng Nam)/PK02 - PC11/Hạ thế 2</v>
          </cell>
          <cell r="U1309">
            <v>64.92</v>
          </cell>
        </row>
        <row r="1310">
          <cell r="L1310" t="str">
            <v>Phú Ninh - TT2 Tam Kỳ</v>
          </cell>
          <cell r="M1310" t="str">
            <v>1025.56</v>
          </cell>
          <cell r="N1310" t="str">
            <v>362.26</v>
          </cell>
          <cell r="O1310" t="str">
            <v>15.560487</v>
          </cell>
          <cell r="P1310" t="str">
            <v>108.447258</v>
          </cell>
          <cell r="Q1310" t="str">
            <v>663.31</v>
          </cell>
          <cell r="R1310" t="str">
            <v>15.558166</v>
          </cell>
          <cell r="S1310" t="str">
            <v>108.433716</v>
          </cell>
          <cell r="T1310" t="str">
            <v>full_h04/TP Đà Nẵng/TP Đà Nẵng/Mạng cấp 3_ DN và Quảng Nam/Cấp 3 - Ring 4 - Quảng Nam cũ/Phú Ninh - TT2 Tam Kỳ/Đoạn hạ thế 2</v>
          </cell>
          <cell r="U1310">
            <v>1025.56</v>
          </cell>
        </row>
        <row r="1311">
          <cell r="L1311" t="str">
            <v>PK02 - PC11</v>
          </cell>
          <cell r="M1311" t="str">
            <v>1061.48</v>
          </cell>
          <cell r="N1311" t="str">
            <v>19.86</v>
          </cell>
          <cell r="O1311" t="str">
            <v>15.558758</v>
          </cell>
          <cell r="P1311" t="str">
            <v>108.450018</v>
          </cell>
          <cell r="Q1311" t="str">
            <v>1041.62</v>
          </cell>
          <cell r="R1311" t="str">
            <v>15.565383</v>
          </cell>
          <cell r="S1311" t="str">
            <v>108.461071</v>
          </cell>
          <cell r="T1311" t="str">
            <v>full_h04/TP Đà Nẵng/TP Đà Nẵng/Mạng cấp 3_ DN và Quảng Nam/Phòng -  Ring 4 ( Quảng Nam)/PK02 - PC11/Hạ thế 2</v>
          </cell>
          <cell r="U1311">
            <v>1061.48</v>
          </cell>
        </row>
        <row r="1312">
          <cell r="L1312" t="str">
            <v>PC11 - TT2 Tam Kỳ</v>
          </cell>
          <cell r="M1312" t="str">
            <v>961.83</v>
          </cell>
          <cell r="N1312" t="str">
            <v>1.72</v>
          </cell>
          <cell r="O1312" t="str">
            <v>15.558594</v>
          </cell>
          <cell r="P1312" t="str">
            <v>108.450006</v>
          </cell>
          <cell r="Q1312" t="str">
            <v>960.11</v>
          </cell>
          <cell r="R1312" t="str">
            <v>15.558470</v>
          </cell>
          <cell r="S1312" t="str">
            <v>108.451409</v>
          </cell>
          <cell r="T1312" t="str">
            <v>full_h04/TP Đà Nẵng/TP Đà Nẵng/Mạng cấp 3_ DN và Quảng Nam/Phòng -  Ring 4 ( Quảng Nam)/PC11 - TT2 Tam Kỳ/Trồng mới 1</v>
          </cell>
          <cell r="U1312">
            <v>961.83</v>
          </cell>
        </row>
        <row r="1313">
          <cell r="L1313" t="str">
            <v>Phú Ninh - TT2 Tam Kỳ</v>
          </cell>
          <cell r="M1313" t="str">
            <v>1462.28</v>
          </cell>
          <cell r="N1313" t="str">
            <v>362.26</v>
          </cell>
          <cell r="O1313" t="str">
            <v>15.560487</v>
          </cell>
          <cell r="P1313" t="str">
            <v>108.447258</v>
          </cell>
          <cell r="Q1313" t="str">
            <v>1100.02</v>
          </cell>
          <cell r="R1313" t="str">
            <v>15.553033</v>
          </cell>
          <cell r="S1313" t="str">
            <v>108.418121</v>
          </cell>
          <cell r="T1313" t="str">
            <v>full_h04/TP Đà Nẵng/TP Đà Nẵng/Mạng cấp 3_ DN và Quảng Nam/Cấp 3 - Ring 4 - Quảng Nam cũ/Phú Ninh - TT2 Tam Kỳ/Đoạn hạ thế 2</v>
          </cell>
          <cell r="U1313">
            <v>1462.28</v>
          </cell>
        </row>
        <row r="1314">
          <cell r="L1314" t="str">
            <v>Phú Ninh - TT2 Tam Kỳ</v>
          </cell>
          <cell r="M1314" t="str">
            <v>2023.35</v>
          </cell>
          <cell r="N1314" t="str">
            <v>1440.83</v>
          </cell>
          <cell r="O1314" t="str">
            <v>15.565669</v>
          </cell>
          <cell r="P1314" t="str">
            <v>108.461260</v>
          </cell>
          <cell r="Q1314" t="str">
            <v>582.51</v>
          </cell>
          <cell r="R1314" t="str">
            <v>15.574359</v>
          </cell>
          <cell r="S1314" t="str">
            <v>108.475303</v>
          </cell>
          <cell r="T1314" t="str">
            <v>full_h04/TP Đà Nẵng/TP Đà Nẵng/Mạng cấp 3_ DN và Quảng Nam/Cấp 3 - Ring 4 - Quảng Nam cũ/Phú Ninh - TT2 Tam Kỳ/Đoạn trung thế 2</v>
          </cell>
          <cell r="U1314">
            <v>2023.35</v>
          </cell>
        </row>
        <row r="1315">
          <cell r="L1315" t="str">
            <v>TT2 Tam Kỳ - Thăng Bình</v>
          </cell>
          <cell r="M1315" t="str">
            <v>1634.33</v>
          </cell>
          <cell r="N1315" t="str">
            <v>212.68</v>
          </cell>
          <cell r="O1315" t="str">
            <v>15.582588</v>
          </cell>
          <cell r="P1315" t="str">
            <v>108.470351</v>
          </cell>
          <cell r="Q1315" t="str">
            <v>1421.65</v>
          </cell>
          <cell r="R1315" t="str">
            <v>15.594262</v>
          </cell>
          <cell r="S1315" t="str">
            <v>108.458964</v>
          </cell>
          <cell r="T1315" t="str">
            <v>full_h04/TP Đà Nẵng/TP Đà Nẵng/Mạng cấp 3_ DN và Quảng Nam/Cấp 3 - Ring 4 - Quảng Nam cũ/TT2 Tam Kỳ - Thăng Bình/Đoạn trung thế</v>
          </cell>
          <cell r="U1315">
            <v>1634.33</v>
          </cell>
        </row>
        <row r="1316">
          <cell r="L1316" t="str">
            <v>TT2 Tam Kỳ - Thăng Bình</v>
          </cell>
          <cell r="M1316" t="str">
            <v>247.84</v>
          </cell>
          <cell r="N1316" t="str">
            <v>212.68</v>
          </cell>
          <cell r="O1316" t="str">
            <v>15.582588</v>
          </cell>
          <cell r="P1316" t="str">
            <v>108.470351</v>
          </cell>
          <cell r="Q1316" t="str">
            <v>35.17</v>
          </cell>
          <cell r="R1316" t="str">
            <v>15.579652</v>
          </cell>
          <cell r="S1316" t="str">
            <v>108.473956</v>
          </cell>
          <cell r="T1316" t="str">
            <v>full_h04/TP Đà Nẵng/TP Đà Nẵng/Mạng cấp 3_ DN và Quảng Nam/Cấp 3 - Ring 4 - Quảng Nam cũ/TT2 Tam Kỳ - Thăng Bình/Đoạn trung thế</v>
          </cell>
          <cell r="U1316">
            <v>247.84</v>
          </cell>
        </row>
        <row r="1317">
          <cell r="L1317" t="str">
            <v>TT2 Tam Kỳ - PC08</v>
          </cell>
          <cell r="M1317" t="str">
            <v>72.52</v>
          </cell>
          <cell r="N1317" t="str">
            <v>35.18</v>
          </cell>
          <cell r="O1317" t="str">
            <v>15.575923</v>
          </cell>
          <cell r="P1317" t="str">
            <v>108.476812</v>
          </cell>
          <cell r="Q1317" t="str">
            <v>37.33</v>
          </cell>
          <cell r="R1317" t="str">
            <v>15.579679</v>
          </cell>
          <cell r="S1317" t="str">
            <v>108.473950</v>
          </cell>
          <cell r="T1317" t="str">
            <v>full_h04/TP Đà Nẵng/TP Đà Nẵng/Mạng cấp 3_ DN và Quảng Nam/Phòng -  Ring 5 ( Quảng Nam)/TT2 Tam Kỳ - PC08/Trung thế 1</v>
          </cell>
          <cell r="U1317">
            <v>72.52</v>
          </cell>
        </row>
        <row r="1318">
          <cell r="L1318" t="str">
            <v>Hòa CƯờng - TTKV Cẩm Lệ</v>
          </cell>
          <cell r="M1318" t="str">
            <v>972.01</v>
          </cell>
          <cell r="N1318" t="str">
            <v>958.72</v>
          </cell>
          <cell r="O1318" t="str">
            <v>16.020700</v>
          </cell>
          <cell r="P1318" t="str">
            <v>108.211562</v>
          </cell>
          <cell r="Q1318" t="str">
            <v>13.29</v>
          </cell>
          <cell r="R1318" t="str">
            <v>16.037234</v>
          </cell>
          <cell r="S1318" t="str">
            <v>108.221028</v>
          </cell>
          <cell r="T1318" t="str">
            <v>full_h04/TP Đà Nẵng/TP Đà Nẵng/Mạng cấp 4 - ĐN cũ/Ring 7 - DN/Hòa CƯờng - TTKV Cẩm Lệ/Trung thế</v>
          </cell>
          <cell r="U1318">
            <v>972.01</v>
          </cell>
        </row>
        <row r="1319">
          <cell r="L1319" t="str">
            <v>H03 - Đ1 E28</v>
          </cell>
          <cell r="M1319" t="str">
            <v>717.46</v>
          </cell>
          <cell r="N1319" t="str">
            <v>428.05</v>
          </cell>
          <cell r="O1319" t="str">
            <v>16.014690</v>
          </cell>
          <cell r="P1319" t="str">
            <v>108.200235</v>
          </cell>
          <cell r="Q1319" t="str">
            <v>289.41</v>
          </cell>
          <cell r="R1319" t="str">
            <v>16.046088</v>
          </cell>
          <cell r="S1319" t="str">
            <v>108.182130</v>
          </cell>
          <cell r="T1319" t="str">
            <v>full_h04/TP Đà Nẵng/TP Đà Nẵng/Mạng cấp 2/Cấp 2 - Ring 2/Ring 2 - hiệu chỉnh - ok/H03 - Đ1 E28/hạ Thế</v>
          </cell>
          <cell r="U1319">
            <v>717.46</v>
          </cell>
        </row>
        <row r="1320">
          <cell r="L1320" t="str">
            <v>TT1 Đà Nẵng - Cẩm Lệ</v>
          </cell>
          <cell r="M1320" t="str">
            <v>207.17</v>
          </cell>
          <cell r="N1320" t="str">
            <v>9.05</v>
          </cell>
          <cell r="O1320" t="str">
            <v>16.016858</v>
          </cell>
          <cell r="P1320" t="str">
            <v>108.203554</v>
          </cell>
          <cell r="Q1320" t="str">
            <v>198.12</v>
          </cell>
          <cell r="R1320" t="str">
            <v>16.017104</v>
          </cell>
          <cell r="S1320" t="str">
            <v>108.204489</v>
          </cell>
          <cell r="T1320" t="str">
            <v>full_h04/TP Đà Nẵng/TP Đà Nẵng/Mạng cấp 3_ DN và Quảng Nam/Cấp 3 - Ring 1 - Đà Nẵng cũ/TT1 Đà Nẵng - Cẩm Lệ/Trung thế</v>
          </cell>
          <cell r="U1320">
            <v>207.17</v>
          </cell>
        </row>
        <row r="1321">
          <cell r="L1321" t="str">
            <v>TT1 Đà Nẵng - Cẩm Lệ</v>
          </cell>
          <cell r="M1321" t="str">
            <v>238.81</v>
          </cell>
          <cell r="N1321" t="str">
            <v>9.05</v>
          </cell>
          <cell r="O1321" t="str">
            <v>16.016858</v>
          </cell>
          <cell r="P1321" t="str">
            <v>108.203554</v>
          </cell>
          <cell r="Q1321" t="str">
            <v>229.77</v>
          </cell>
          <cell r="R1321" t="str">
            <v>16.018496</v>
          </cell>
          <cell r="S1321" t="str">
            <v>108.207394</v>
          </cell>
          <cell r="T1321" t="str">
            <v>full_h04/TP Đà Nẵng/TP Đà Nẵng/Mạng cấp 3_ DN và Quảng Nam/Cấp 3 - Ring 1 - Đà Nẵng cũ/TT1 Đà Nẵng - Cẩm Lệ/Trung thế</v>
          </cell>
          <cell r="U1321">
            <v>238.81</v>
          </cell>
        </row>
        <row r="1322">
          <cell r="L1322" t="str">
            <v>Hòa Xuân - TTKV Cẩm Lệ</v>
          </cell>
          <cell r="M1322" t="str">
            <v>167.87</v>
          </cell>
          <cell r="N1322" t="str">
            <v>2.15</v>
          </cell>
          <cell r="O1322" t="str">
            <v>16.016921</v>
          </cell>
          <cell r="P1322" t="str">
            <v>108.203480</v>
          </cell>
          <cell r="Q1322" t="str">
            <v>165.72</v>
          </cell>
          <cell r="R1322" t="str">
            <v>16.004993</v>
          </cell>
          <cell r="S1322" t="str">
            <v>108.191183</v>
          </cell>
          <cell r="T1322" t="str">
            <v>full_h04/TP Đà Nẵng/TP Đà Nẵng/Mạng cấp 4 - ĐN cũ/Ring 3 - DN/Hòa Xuân - TTKV Cẩm Lệ/Trung thế</v>
          </cell>
          <cell r="U1322">
            <v>167.87</v>
          </cell>
        </row>
        <row r="1323">
          <cell r="L1323" t="str">
            <v>Hòa Xuân - TTKV Cẩm Lệ</v>
          </cell>
          <cell r="M1323" t="str">
            <v>36.11</v>
          </cell>
          <cell r="N1323" t="str">
            <v>2.15</v>
          </cell>
          <cell r="O1323" t="str">
            <v>16.016921</v>
          </cell>
          <cell r="P1323" t="str">
            <v>108.203480</v>
          </cell>
          <cell r="Q1323" t="str">
            <v>33.95</v>
          </cell>
          <cell r="R1323" t="str">
            <v>16.011571</v>
          </cell>
          <cell r="S1323" t="str">
            <v>108.197464</v>
          </cell>
          <cell r="T1323" t="str">
            <v>full_h04/TP Đà Nẵng/TP Đà Nẵng/Mạng cấp 4 - ĐN cũ/Ring 3 - DN/Hòa Xuân - TTKV Cẩm Lệ/Trung thế</v>
          </cell>
          <cell r="U1323">
            <v>36.11</v>
          </cell>
        </row>
        <row r="1324">
          <cell r="L1324" t="str">
            <v>Nhánh 1</v>
          </cell>
          <cell r="M1324" t="str">
            <v>490.06</v>
          </cell>
          <cell r="N1324" t="str">
            <v>27.45</v>
          </cell>
          <cell r="O1324" t="str">
            <v>16.077317</v>
          </cell>
          <cell r="P1324" t="str">
            <v>108.219248</v>
          </cell>
          <cell r="Q1324" t="str">
            <v>462.61</v>
          </cell>
          <cell r="R1324" t="str">
            <v>16.059672</v>
          </cell>
          <cell r="S1324" t="str">
            <v>108.211104</v>
          </cell>
          <cell r="T1324" t="str">
            <v>full_h04/TP Đà Nẵng/TP Đà Nẵng/Mạng cấp 3_ DN và Quảng Nam/Ring Nhánh/Đồn Công an cảng hàng không (Sân bay Đà
Nẵng) - TT1 Đà Nẵng"/Nhánh 1/Trung thế 1</v>
          </cell>
          <cell r="U1324">
            <v>490.06</v>
          </cell>
        </row>
        <row r="1325">
          <cell r="L1325" t="str">
            <v>Hòa Vang - TT1 Đà Nẵng</v>
          </cell>
          <cell r="M1325" t="str">
            <v>420.32</v>
          </cell>
          <cell r="N1325" t="str">
            <v>3.82</v>
          </cell>
          <cell r="O1325" t="str">
            <v>16.077578</v>
          </cell>
          <cell r="P1325" t="str">
            <v>108.219231</v>
          </cell>
          <cell r="Q1325" t="str">
            <v>416.50</v>
          </cell>
          <cell r="R1325" t="str">
            <v>16.061254</v>
          </cell>
          <cell r="S1325" t="str">
            <v>108.219557</v>
          </cell>
          <cell r="T1325" t="str">
            <v>full_h04/TP Đà Nẵng/TP Đà Nẵng/Mạng cấp 3_ DN và Quảng Nam/Cấp 3 - Ring 2 - Đà Nẵng cũ/Hòa Vang - TT1 Đà Nẵng/Trung Thế Hòa Vang - TT1 Đà Nẵng  1</v>
          </cell>
          <cell r="U1325">
            <v>420.32</v>
          </cell>
        </row>
        <row r="1326">
          <cell r="L1326" t="str">
            <v>TT1 Đà Nẵng-Hải Vân</v>
          </cell>
          <cell r="M1326" t="str">
            <v>222.10</v>
          </cell>
          <cell r="N1326" t="str">
            <v>8.34</v>
          </cell>
          <cell r="O1326" t="str">
            <v>16.077586</v>
          </cell>
          <cell r="P1326" t="str">
            <v>108.219273</v>
          </cell>
          <cell r="Q1326" t="str">
            <v>213.76</v>
          </cell>
          <cell r="R1326" t="str">
            <v>16.072687</v>
          </cell>
          <cell r="S1326" t="str">
            <v>108.209984</v>
          </cell>
          <cell r="T1326" t="str">
            <v>full_h04/TP Đà Nẵng/TP Đà Nẵng/Mạng cấp 4 - ĐN cũ/Ring 5 - DN/TT1 Đà Nẵng-Hải Vân/Trung thế 1</v>
          </cell>
          <cell r="U1326">
            <v>222.1</v>
          </cell>
        </row>
        <row r="1327">
          <cell r="L1327" t="str">
            <v>C08 - TTV2</v>
          </cell>
          <cell r="M1327" t="str">
            <v>304.75</v>
          </cell>
          <cell r="N1327" t="str">
            <v>158.28</v>
          </cell>
          <cell r="O1327" t="str">
            <v>16.077041</v>
          </cell>
          <cell r="P1327" t="str">
            <v>108.217821</v>
          </cell>
          <cell r="Q1327" t="str">
            <v>146.47</v>
          </cell>
          <cell r="R1327" t="str">
            <v>16.071301</v>
          </cell>
          <cell r="S1327" t="str">
            <v>108.211493</v>
          </cell>
          <cell r="T1327" t="str">
            <v>full_h04/TP Đà Nẵng/TP Đà Nẵng/Mạng cấp 2/Cấp 2 - Ring 1 - Hiệu chỉnh/Ring 1/C08 - TTV2/Trung thế</v>
          </cell>
          <cell r="U1327">
            <v>304.75</v>
          </cell>
        </row>
        <row r="1328">
          <cell r="L1328" t="str">
            <v>Thanh Khê - TT1 Đà Nẵng</v>
          </cell>
          <cell r="M1328" t="str">
            <v>136.51</v>
          </cell>
          <cell r="N1328" t="str">
            <v>6.64</v>
          </cell>
          <cell r="O1328" t="str">
            <v>16.077612</v>
          </cell>
          <cell r="P1328" t="str">
            <v>108.219231</v>
          </cell>
          <cell r="Q1328" t="str">
            <v>129.87</v>
          </cell>
          <cell r="R1328" t="str">
            <v>16.071612</v>
          </cell>
          <cell r="S1328" t="str">
            <v>108.204770</v>
          </cell>
          <cell r="T1328" t="str">
            <v>full_h04/TP Đà Nẵng/TP Đà Nẵng/Mạng cấp 4 - ĐN cũ/Ring 6 - DN/Thanh Khê - TT1 Đà Nẵng/Trung thế</v>
          </cell>
          <cell r="U1328">
            <v>136.51</v>
          </cell>
        </row>
        <row r="1329">
          <cell r="L1329" t="str">
            <v>Thanh Khê - TT1 Đà Nẵng</v>
          </cell>
          <cell r="M1329" t="str">
            <v>37.57</v>
          </cell>
          <cell r="N1329" t="str">
            <v>6.64</v>
          </cell>
          <cell r="O1329" t="str">
            <v>16.077612</v>
          </cell>
          <cell r="P1329" t="str">
            <v>108.219231</v>
          </cell>
          <cell r="Q1329" t="str">
            <v>30.94</v>
          </cell>
          <cell r="R1329" t="str">
            <v>16.076634</v>
          </cell>
          <cell r="S1329" t="str">
            <v>108.219625</v>
          </cell>
          <cell r="T1329" t="str">
            <v>full_h04/TP Đà Nẵng/TP Đà Nẵng/Mạng cấp 4 - ĐN cũ/Ring 6 - DN/Thanh Khê - TT1 Đà Nẵng/Trung thế</v>
          </cell>
          <cell r="U1329">
            <v>37.57</v>
          </cell>
        </row>
        <row r="1330">
          <cell r="L1330" t="str">
            <v>TT1 Đà Nẵng - Liên Chiểu</v>
          </cell>
          <cell r="M1330" t="str">
            <v>336.26</v>
          </cell>
          <cell r="N1330" t="str">
            <v>26.76</v>
          </cell>
          <cell r="O1330" t="str">
            <v>16.077609</v>
          </cell>
          <cell r="P1330" t="str">
            <v>108.219445</v>
          </cell>
          <cell r="Q1330" t="str">
            <v>309.50</v>
          </cell>
          <cell r="R1330" t="str">
            <v>16.079284</v>
          </cell>
          <cell r="S1330" t="str">
            <v>108.212947</v>
          </cell>
          <cell r="T1330" t="str">
            <v>full_h04/TP Đà Nẵng/TP Đà Nẵng/Mạng cấp 3_ DN và Quảng Nam/Cấp 3 - Ring 2 - Đà Nẵng cũ/TT1 Đà Nẵng - Liên Chiểu/Trung thế TT1 Đà nẵng - Liên chiểu 2</v>
          </cell>
          <cell r="U1330">
            <v>336.26</v>
          </cell>
        </row>
        <row r="1331">
          <cell r="L1331" t="str">
            <v>Hòa Vang - TT1 Đà Nẵng</v>
          </cell>
          <cell r="M1331" t="str">
            <v>1486.53</v>
          </cell>
          <cell r="N1331" t="str">
            <v>1240.61</v>
          </cell>
          <cell r="O1331" t="str">
            <v>15.997909</v>
          </cell>
          <cell r="P1331" t="str">
            <v>108.145731</v>
          </cell>
          <cell r="Q1331" t="str">
            <v>245.92</v>
          </cell>
          <cell r="R1331" t="str">
            <v>16.011703</v>
          </cell>
          <cell r="S1331" t="str">
            <v>108.173788</v>
          </cell>
          <cell r="T1331" t="str">
            <v>full_h04/TP Đà Nẵng/TP Đà Nẵng/Mạng cấp 3_ DN và Quảng Nam/Cấp 3 - Ring 2 - Đà Nẵng cũ/Hòa Vang - TT1 Đà Nẵng/Trung Thế Hòa Vang - TT1 Đà Nẵng  8</v>
          </cell>
          <cell r="U1331">
            <v>1486.53</v>
          </cell>
        </row>
        <row r="1332">
          <cell r="L1332" t="str">
            <v>Liên Chiểu - Hòa Vang</v>
          </cell>
          <cell r="M1332" t="str">
            <v>8293.39</v>
          </cell>
          <cell r="N1332" t="str">
            <v>13.23</v>
          </cell>
          <cell r="O1332" t="str">
            <v>15.987992</v>
          </cell>
          <cell r="P1332" t="str">
            <v>108.140253</v>
          </cell>
          <cell r="Q1332" t="str">
            <v>8280.15</v>
          </cell>
          <cell r="R1332" t="str">
            <v>16.028785</v>
          </cell>
          <cell r="S1332" t="str">
            <v>108.114780</v>
          </cell>
          <cell r="T1332" t="str">
            <v>full_h04/TP Đà Nẵng/TP Đà Nẵng/Mạng cấp 3_ DN và Quảng Nam/Cấp 3 - Ring 2 - Đà Nẵng cũ/Liên Chiểu - Hòa Vang/Hạ Thế Liên Chiểu - Hòa Vang 1</v>
          </cell>
          <cell r="U1332">
            <v>8293.39</v>
          </cell>
        </row>
        <row r="1333">
          <cell r="L1333" t="str">
            <v>Liên Chiểu - Hòa Vang</v>
          </cell>
          <cell r="M1333" t="str">
            <v>1222.31</v>
          </cell>
          <cell r="N1333" t="str">
            <v>13.23</v>
          </cell>
          <cell r="O1333" t="str">
            <v>15.987992</v>
          </cell>
          <cell r="P1333" t="str">
            <v>108.140253</v>
          </cell>
          <cell r="Q1333" t="str">
            <v>1209.07</v>
          </cell>
          <cell r="R1333" t="str">
            <v>16.005428</v>
          </cell>
          <cell r="S1333" t="str">
            <v>108.135759</v>
          </cell>
          <cell r="T1333" t="str">
            <v>full_h04/TP Đà Nẵng/TP Đà Nẵng/Mạng cấp 3_ DN và Quảng Nam/Cấp 3 - Ring 2 - Đà Nẵng cũ/Liên Chiểu - Hòa Vang/Hạ Thế Liên Chiểu - Hòa Vang 1</v>
          </cell>
          <cell r="U1333">
            <v>1222.31</v>
          </cell>
        </row>
        <row r="1334">
          <cell r="L1334" t="str">
            <v>Sông Vàng - TTCMKV Đại Lộc</v>
          </cell>
          <cell r="M1334" t="str">
            <v>2295.56</v>
          </cell>
          <cell r="N1334" t="str">
            <v>588.26</v>
          </cell>
          <cell r="O1334" t="str">
            <v>15.983065</v>
          </cell>
          <cell r="P1334" t="str">
            <v>108.138511</v>
          </cell>
          <cell r="Q1334" t="str">
            <v>1707.29</v>
          </cell>
          <cell r="R1334" t="str">
            <v>15.978596</v>
          </cell>
          <cell r="S1334" t="str">
            <v>108.122163</v>
          </cell>
          <cell r="T1334" t="str">
            <v>full_h04/TP Đà Nẵng/TP Đà Nẵng/Mạng cấp 4 - Quảng Nam/Quảng Nam - Ring 16/Sông Vàng - TTCMKV Đại Lộc/Trung thế 2</v>
          </cell>
          <cell r="U1334">
            <v>2295.56</v>
          </cell>
        </row>
        <row r="1335">
          <cell r="L1335" t="str">
            <v>Liên Chiểu - Hòa Vang</v>
          </cell>
          <cell r="M1335" t="str">
            <v>945.44</v>
          </cell>
          <cell r="N1335" t="str">
            <v>13.23</v>
          </cell>
          <cell r="O1335" t="str">
            <v>15.987992</v>
          </cell>
          <cell r="P1335" t="str">
            <v>108.140253</v>
          </cell>
          <cell r="Q1335" t="str">
            <v>932.20</v>
          </cell>
          <cell r="R1335" t="str">
            <v>16.007447</v>
          </cell>
          <cell r="S1335" t="str">
            <v>108.127578</v>
          </cell>
          <cell r="T1335" t="str">
            <v>full_h04/TP Đà Nẵng/TP Đà Nẵng/Mạng cấp 3_ DN và Quảng Nam/Cấp 3 - Ring 2 - Đà Nẵng cũ/Liên Chiểu - Hòa Vang/Hạ Thế Liên Chiểu - Hòa Vang 1</v>
          </cell>
          <cell r="U1335">
            <v>945.44</v>
          </cell>
        </row>
        <row r="1336">
          <cell r="L1336" t="str">
            <v>Sông Vàng - TTCMKV Đại Lộc</v>
          </cell>
          <cell r="M1336" t="str">
            <v>676.79</v>
          </cell>
          <cell r="N1336" t="str">
            <v>588.26</v>
          </cell>
          <cell r="O1336" t="str">
            <v>15.983065</v>
          </cell>
          <cell r="P1336" t="str">
            <v>108.138511</v>
          </cell>
          <cell r="Q1336" t="str">
            <v>88.53</v>
          </cell>
          <cell r="R1336" t="str">
            <v>15.968469</v>
          </cell>
          <cell r="S1336" t="str">
            <v>108.139465</v>
          </cell>
          <cell r="T1336" t="str">
            <v>full_h04/TP Đà Nẵng/TP Đà Nẵng/Mạng cấp 4 - Quảng Nam/Quảng Nam - Ring 16/Sông Vàng - TTCMKV Đại Lộc/Trung thế 2</v>
          </cell>
          <cell r="U1336">
            <v>676.79</v>
          </cell>
        </row>
        <row r="1337">
          <cell r="L1337" t="str">
            <v>Hòa Vang - Hòa Tiến</v>
          </cell>
          <cell r="M1337" t="str">
            <v>135.38</v>
          </cell>
          <cell r="N1337" t="str">
            <v>1.27</v>
          </cell>
          <cell r="O1337" t="str">
            <v>15.988111</v>
          </cell>
          <cell r="P1337" t="str">
            <v>108.140200</v>
          </cell>
          <cell r="Q1337" t="str">
            <v>134.11</v>
          </cell>
          <cell r="R1337" t="str">
            <v>15.988111</v>
          </cell>
          <cell r="S1337" t="str">
            <v>108.140200</v>
          </cell>
          <cell r="T1337" t="str">
            <v>full_h04/TP Đà Nẵng/TP Đà Nẵng/Mạng cấp 4 - ĐN cũ/Ring 4 - DN/Hòa Vang - Hòa Tiến/Cống bể xây mới</v>
          </cell>
          <cell r="U1337">
            <v>135.38</v>
          </cell>
        </row>
        <row r="1338">
          <cell r="L1338" t="str">
            <v>Hòa Tiến - Bà Nà</v>
          </cell>
          <cell r="M1338" t="str">
            <v>5137.18</v>
          </cell>
          <cell r="N1338" t="str">
            <v>28.03</v>
          </cell>
          <cell r="O1338" t="str">
            <v>15.970610</v>
          </cell>
          <cell r="P1338" t="str">
            <v>108.180829</v>
          </cell>
          <cell r="Q1338" t="str">
            <v>5109.15</v>
          </cell>
          <cell r="R1338" t="str">
            <v>15.994001</v>
          </cell>
          <cell r="S1338" t="str">
            <v>108.192807</v>
          </cell>
          <cell r="T1338" t="str">
            <v>full_h04/TP Đà Nẵng/TP Đà Nẵng/Mạng cấp 4 - ĐN cũ/Ring 4 - DN/Hòa Tiến - Bà Nà/Trung thế</v>
          </cell>
          <cell r="U1338">
            <v>5137.18</v>
          </cell>
        </row>
        <row r="1339">
          <cell r="L1339" t="str">
            <v>Hòa Tiến - Bà Nà</v>
          </cell>
          <cell r="M1339" t="str">
            <v>3469.92</v>
          </cell>
          <cell r="N1339" t="str">
            <v>28.03</v>
          </cell>
          <cell r="O1339" t="str">
            <v>15.970610</v>
          </cell>
          <cell r="P1339" t="str">
            <v>108.180829</v>
          </cell>
          <cell r="Q1339" t="str">
            <v>3441.89</v>
          </cell>
          <cell r="R1339" t="str">
            <v>15.997654</v>
          </cell>
          <cell r="S1339" t="str">
            <v>108.191596</v>
          </cell>
          <cell r="T1339" t="str">
            <v>full_h04/TP Đà Nẵng/TP Đà Nẵng/Mạng cấp 4 - ĐN cũ/Ring 4 - DN/Hòa Tiến - Bà Nà/Trung thế</v>
          </cell>
          <cell r="U1339">
            <v>3469.92</v>
          </cell>
        </row>
        <row r="1340">
          <cell r="L1340" t="str">
            <v>Hòa Tiến - Bà Nà</v>
          </cell>
          <cell r="M1340" t="str">
            <v>114.03</v>
          </cell>
          <cell r="N1340" t="str">
            <v>28.03</v>
          </cell>
          <cell r="O1340" t="str">
            <v>15.970610</v>
          </cell>
          <cell r="P1340" t="str">
            <v>108.180829</v>
          </cell>
          <cell r="Q1340" t="str">
            <v>85.99</v>
          </cell>
          <cell r="R1340" t="str">
            <v>15.985526</v>
          </cell>
          <cell r="S1340" t="str">
            <v>108.188317</v>
          </cell>
          <cell r="T1340" t="str">
            <v>full_h04/TP Đà Nẵng/TP Đà Nẵng/Mạng cấp 4 - ĐN cũ/Ring 4 - DN/Hòa Tiến - Bà Nà/Trung thế</v>
          </cell>
          <cell r="U1340">
            <v>114.03</v>
          </cell>
        </row>
        <row r="1341">
          <cell r="L1341" t="str">
            <v>Hòa Vang - Hòa Tiến</v>
          </cell>
          <cell r="M1341" t="str">
            <v>2648.70</v>
          </cell>
          <cell r="N1341" t="str">
            <v>25.23</v>
          </cell>
          <cell r="O1341" t="str">
            <v>15.970608</v>
          </cell>
          <cell r="P1341" t="str">
            <v>108.180635</v>
          </cell>
          <cell r="Q1341" t="str">
            <v>2623.47</v>
          </cell>
          <cell r="R1341" t="str">
            <v>15.970139</v>
          </cell>
          <cell r="S1341" t="str">
            <v>108.180554</v>
          </cell>
          <cell r="T1341" t="str">
            <v>full_h04/TP Đà Nẵng/TP Đà Nẵng/Mạng cấp 4 - ĐN cũ/Ring 4 - DN/Hòa Vang - Hòa Tiến/Cột trồng mới</v>
          </cell>
          <cell r="U1341">
            <v>2648.7</v>
          </cell>
        </row>
        <row r="1342">
          <cell r="L1342" t="str">
            <v>Hòa Tiến - Bà Nà</v>
          </cell>
          <cell r="M1342" t="str">
            <v>1540.94</v>
          </cell>
          <cell r="N1342" t="str">
            <v>28.03</v>
          </cell>
          <cell r="O1342" t="str">
            <v>15.970610</v>
          </cell>
          <cell r="P1342" t="str">
            <v>108.180829</v>
          </cell>
          <cell r="Q1342" t="str">
            <v>1512.91</v>
          </cell>
          <cell r="R1342" t="str">
            <v>15.979906</v>
          </cell>
          <cell r="S1342" t="str">
            <v>108.186144</v>
          </cell>
          <cell r="T1342" t="str">
            <v>full_h04/TP Đà Nẵng/TP Đà Nẵng/Mạng cấp 4 - ĐN cũ/Ring 4 - DN/Hòa Tiến - Bà Nà/Trung thế</v>
          </cell>
          <cell r="U1342">
            <v>1540.94</v>
          </cell>
        </row>
        <row r="1343">
          <cell r="L1343" t="str">
            <v>Hòa Tiến - Bà Nà</v>
          </cell>
          <cell r="M1343" t="str">
            <v>3469.92</v>
          </cell>
          <cell r="N1343" t="str">
            <v>28.03</v>
          </cell>
          <cell r="O1343" t="str">
            <v>15.970610</v>
          </cell>
          <cell r="P1343" t="str">
            <v>108.180829</v>
          </cell>
          <cell r="Q1343" t="str">
            <v>3441.89</v>
          </cell>
          <cell r="R1343" t="str">
            <v>15.997654</v>
          </cell>
          <cell r="S1343" t="str">
            <v>108.191596</v>
          </cell>
          <cell r="T1343" t="str">
            <v>full_h04/TP Đà Nẵng/TP Đà Nẵng/Mạng cấp 4 - ĐN cũ/Ring 4 - DN/Hòa Tiến - Bà Nà/Trung thế</v>
          </cell>
          <cell r="U1343">
            <v>3469.92</v>
          </cell>
        </row>
        <row r="1345">
          <cell r="L1345" t="str">
            <v>Hòa Tiến - Bà Nà</v>
          </cell>
          <cell r="M1345" t="str">
            <v>3469.92</v>
          </cell>
          <cell r="N1345" t="str">
            <v>28.03</v>
          </cell>
          <cell r="O1345" t="str">
            <v>15.970610</v>
          </cell>
          <cell r="P1345" t="str">
            <v>108.180829</v>
          </cell>
          <cell r="Q1345" t="str">
            <v>3441.89</v>
          </cell>
          <cell r="R1345" t="str">
            <v>15.997654</v>
          </cell>
          <cell r="S1345" t="str">
            <v>108.191596</v>
          </cell>
          <cell r="T1345" t="str">
            <v>full_h04/TP Đà Nẵng/TP Đà Nẵng/Mạng cấp 4 - ĐN cũ/Ring 4 - DN/Hòa Tiến - Bà Nà/Trung thế</v>
          </cell>
          <cell r="U1345">
            <v>3469.92</v>
          </cell>
        </row>
        <row r="1346">
          <cell r="L1346" t="str">
            <v>TTCMKV Liên Chiểu - Trạm CSGT Hòa Hiệp</v>
          </cell>
          <cell r="M1346" t="str">
            <v>3335.25</v>
          </cell>
          <cell r="N1346" t="str">
            <v>27.31</v>
          </cell>
          <cell r="O1346" t="str">
            <v>16.074274</v>
          </cell>
          <cell r="P1346" t="str">
            <v>108.158044</v>
          </cell>
          <cell r="Q1346" t="str">
            <v>3307.94</v>
          </cell>
          <cell r="R1346" t="str">
            <v>16.116260</v>
          </cell>
          <cell r="S1346" t="str">
            <v>108.125941</v>
          </cell>
          <cell r="T1346" t="str">
            <v>full_h04/TP Đà Nẵng/TP Đà Nẵng/Mạng cấp 3_ DN và Quảng Nam/Phòng - Ring 3 (ĐN ).kmz/Phòng - Ring 3 (ĐN )/TTCMKV Liên Chiểu - Trạm CSGT Hòa Hiệp/TTCMKV Liên Chiểu - Trạm CSGT Hòa Hiệp-Trung thế 1</v>
          </cell>
          <cell r="U1346">
            <v>3335.25</v>
          </cell>
        </row>
        <row r="1347">
          <cell r="L1347" t="str">
            <v>TT1 Đà Nẵng-Hải Vân</v>
          </cell>
          <cell r="M1347" t="str">
            <v>823.71</v>
          </cell>
          <cell r="N1347" t="str">
            <v>792.46</v>
          </cell>
          <cell r="O1347" t="str">
            <v>16.077791</v>
          </cell>
          <cell r="P1347" t="str">
            <v>108.164749</v>
          </cell>
          <cell r="Q1347" t="str">
            <v>31.26</v>
          </cell>
          <cell r="R1347" t="str">
            <v>16.073207</v>
          </cell>
          <cell r="S1347" t="str">
            <v>108.177558</v>
          </cell>
          <cell r="T1347" t="str">
            <v>full_h04/TP Đà Nẵng/TP Đà Nẵng/Mạng cấp 4 - ĐN cũ/Ring 5 - DN/TT1 Đà Nẵng-Hải Vân/Trung thế 1</v>
          </cell>
          <cell r="U1347">
            <v>823.71</v>
          </cell>
        </row>
        <row r="1348">
          <cell r="L1348" t="str">
            <v>TTCMKV Liên Chiểu - Trạm CSGT Hòa Hiệp</v>
          </cell>
          <cell r="M1348" t="str">
            <v>98.86</v>
          </cell>
          <cell r="N1348" t="str">
            <v>27.31</v>
          </cell>
          <cell r="O1348" t="str">
            <v>16.074274</v>
          </cell>
          <cell r="P1348" t="str">
            <v>108.158044</v>
          </cell>
          <cell r="Q1348" t="str">
            <v>71.55</v>
          </cell>
          <cell r="R1348" t="str">
            <v>16.090608</v>
          </cell>
          <cell r="S1348" t="str">
            <v>108.142908</v>
          </cell>
          <cell r="T1348" t="str">
            <v>full_h04/TP Đà Nẵng/TP Đà Nẵng/Mạng cấp 3_ DN và Quảng Nam/Phòng - Ring 3 (ĐN ).kmz/Phòng - Ring 3 (ĐN )/TTCMKV Liên Chiểu - Trạm CSGT Hòa Hiệp/TTCMKV Liên Chiểu - Trạm CSGT Hòa Hiệp-Trung thế 1</v>
          </cell>
          <cell r="U1348">
            <v>98.86</v>
          </cell>
        </row>
        <row r="1349">
          <cell r="L1349" t="str">
            <v>TTCMKV Liên Chiểu - Trạm CSGT Hòa Hiệp</v>
          </cell>
          <cell r="M1349" t="str">
            <v>490.42</v>
          </cell>
          <cell r="N1349" t="str">
            <v>27.31</v>
          </cell>
          <cell r="O1349" t="str">
            <v>16.074274</v>
          </cell>
          <cell r="P1349" t="str">
            <v>108.158044</v>
          </cell>
          <cell r="Q1349" t="str">
            <v>463.11</v>
          </cell>
          <cell r="R1349" t="str">
            <v>16.074614</v>
          </cell>
          <cell r="S1349" t="str">
            <v>108.149481</v>
          </cell>
          <cell r="T1349" t="str">
            <v>full_h04/TP Đà Nẵng/TP Đà Nẵng/Mạng cấp 3_ DN và Quảng Nam/Phòng - Ring 3 (ĐN ).kmz/Phòng - Ring 3 (ĐN )/TTCMKV Liên Chiểu - Trạm CSGT Hòa Hiệp/TTCMKV Liên Chiểu - Trạm CSGT Hòa Hiệp-Trung thế 1</v>
          </cell>
          <cell r="U1349">
            <v>490.42</v>
          </cell>
        </row>
        <row r="1350">
          <cell r="L1350" t="str">
            <v>TT1 Đà Nẵng - Liên Chiểu</v>
          </cell>
          <cell r="M1350" t="str">
            <v>366.88</v>
          </cell>
          <cell r="N1350" t="str">
            <v>38.99</v>
          </cell>
          <cell r="O1350" t="str">
            <v>16.074251</v>
          </cell>
          <cell r="P1350" t="str">
            <v>108.157936</v>
          </cell>
          <cell r="Q1350" t="str">
            <v>327.89</v>
          </cell>
          <cell r="R1350" t="str">
            <v>16.076884</v>
          </cell>
          <cell r="S1350" t="str">
            <v>108.159477</v>
          </cell>
          <cell r="T1350" t="str">
            <v>full_h04/TP Đà Nẵng/TP Đà Nẵng/Mạng cấp 3_ DN và Quảng Nam/Cấp 3 - Ring 2 - Đà Nẵng cũ/TT1 Đà Nẵng - Liên Chiểu/Cống bể mới TT1 Đà Nẵng - Liên Chiểu</v>
          </cell>
          <cell r="U1350">
            <v>366.88</v>
          </cell>
        </row>
        <row r="1351">
          <cell r="L1351" t="str">
            <v>TTCMKV Liên Chiểu - Trạm CSGT Hòa Hiệp</v>
          </cell>
          <cell r="M1351" t="str">
            <v>278.69</v>
          </cell>
          <cell r="N1351" t="str">
            <v>27.31</v>
          </cell>
          <cell r="O1351" t="str">
            <v>16.074274</v>
          </cell>
          <cell r="P1351" t="str">
            <v>108.158044</v>
          </cell>
          <cell r="Q1351" t="str">
            <v>251.38</v>
          </cell>
          <cell r="R1351" t="str">
            <v>16.075294</v>
          </cell>
          <cell r="S1351" t="str">
            <v>108.151125</v>
          </cell>
          <cell r="T1351" t="str">
            <v>full_h04/TP Đà Nẵng/TP Đà Nẵng/Mạng cấp 3_ DN và Quảng Nam/Phòng - Ring 3 (ĐN ).kmz/Phòng - Ring 3 (ĐN )/TTCMKV Liên Chiểu - Trạm CSGT Hòa Hiệp/TTCMKV Liên Chiểu - Trạm CSGT Hòa Hiệp-Trung thế 1</v>
          </cell>
          <cell r="U1351">
            <v>278.69</v>
          </cell>
        </row>
        <row r="1352">
          <cell r="L1352" t="str">
            <v>K01 - A01</v>
          </cell>
          <cell r="M1352" t="str">
            <v>125.49</v>
          </cell>
          <cell r="N1352" t="str">
            <v>72.54</v>
          </cell>
          <cell r="O1352" t="str">
            <v>16.015794</v>
          </cell>
          <cell r="P1352" t="str">
            <v>108.254242</v>
          </cell>
          <cell r="Q1352" t="str">
            <v>52.95</v>
          </cell>
          <cell r="R1352" t="str">
            <v>16.042570</v>
          </cell>
          <cell r="S1352" t="str">
            <v>108.245257</v>
          </cell>
          <cell r="T1352" t="str">
            <v>full_h04/TP Đà Nẵng/TP Đà Nẵng/Mạng cấp 2/Cấp 2 - Ring 3/K01 - A01/Ngầm hiện hữu</v>
          </cell>
          <cell r="U1352">
            <v>125.49</v>
          </cell>
        </row>
        <row r="1353">
          <cell r="L1353" t="str">
            <v>TTKV Ngũ Hành Sơn - Hòa Xuân</v>
          </cell>
          <cell r="M1353" t="str">
            <v>1679.80</v>
          </cell>
          <cell r="N1353" t="str">
            <v>23.38</v>
          </cell>
          <cell r="O1353" t="str">
            <v>16.015270</v>
          </cell>
          <cell r="P1353" t="str">
            <v>108.254587</v>
          </cell>
          <cell r="Q1353" t="str">
            <v>1656.42</v>
          </cell>
          <cell r="R1353" t="str">
            <v>15.999196</v>
          </cell>
          <cell r="S1353" t="str">
            <v>108.233384</v>
          </cell>
          <cell r="T1353" t="str">
            <v>full_h04/TP Đà Nẵng/TP Đà Nẵng/Mạng cấp 4 - ĐN cũ/Ring 3 - DN/TTKV Ngũ Hành Sơn - Hòa Xuân/Ngầm VNPT</v>
          </cell>
          <cell r="U1353">
            <v>1679.8</v>
          </cell>
        </row>
        <row r="1354">
          <cell r="L1354" t="str">
            <v>Hội An - Ngũ Hành Sơn</v>
          </cell>
          <cell r="M1354" t="str">
            <v>35.39</v>
          </cell>
          <cell r="N1354" t="str">
            <v>14.34</v>
          </cell>
          <cell r="O1354" t="str">
            <v>16.015280</v>
          </cell>
          <cell r="P1354" t="str">
            <v>108.254448</v>
          </cell>
          <cell r="Q1354" t="str">
            <v>21.05</v>
          </cell>
          <cell r="R1354" t="str">
            <v>15.996881</v>
          </cell>
          <cell r="S1354" t="str">
            <v>108.262869</v>
          </cell>
          <cell r="T1354" t="str">
            <v>full_h04/TP Đà Nẵng/TP Đà Nẵng/Mạng cấp 3_ DN và Quảng Nam/Cấp 3 - Ring 1 - Đà Nẵng cũ/Hội An - Ngũ Hành Sơn/Tuyến cột trung thế 2</v>
          </cell>
          <cell r="U1354">
            <v>35.39</v>
          </cell>
        </row>
        <row r="1355">
          <cell r="L1355" t="str">
            <v>Hội An - Ngũ Hành Sơn</v>
          </cell>
          <cell r="M1355" t="str">
            <v>120.29</v>
          </cell>
          <cell r="N1355" t="str">
            <v>14.34</v>
          </cell>
          <cell r="O1355" t="str">
            <v>16.015280</v>
          </cell>
          <cell r="P1355" t="str">
            <v>108.254448</v>
          </cell>
          <cell r="Q1355" t="str">
            <v>105.95</v>
          </cell>
          <cell r="R1355" t="str">
            <v>16.015132</v>
          </cell>
          <cell r="S1355" t="str">
            <v>108.255020</v>
          </cell>
          <cell r="T1355" t="str">
            <v>full_h04/TP Đà Nẵng/TP Đà Nẵng/Mạng cấp 3_ DN và Quảng Nam/Cấp 3 - Ring 1 - Đà Nẵng cũ/Hội An - Ngũ Hành Sơn/Tuyến cột trung thế 2</v>
          </cell>
          <cell r="U1355">
            <v>120.29</v>
          </cell>
        </row>
        <row r="1356">
          <cell r="L1356" t="str">
            <v>K01 - A01</v>
          </cell>
          <cell r="M1356" t="str">
            <v>245.67</v>
          </cell>
          <cell r="N1356" t="str">
            <v>72.54</v>
          </cell>
          <cell r="O1356" t="str">
            <v>16.015794</v>
          </cell>
          <cell r="P1356" t="str">
            <v>108.254242</v>
          </cell>
          <cell r="Q1356" t="str">
            <v>173.13</v>
          </cell>
          <cell r="R1356" t="str">
            <v>16.008153</v>
          </cell>
          <cell r="S1356" t="str">
            <v>108.257991</v>
          </cell>
          <cell r="T1356" t="str">
            <v>full_h04/TP Đà Nẵng/TP Đà Nẵng/Mạng cấp 2/Cấp 2 - Ring 3/K01 - A01/Ngầm hiện hữu</v>
          </cell>
          <cell r="U1356">
            <v>245.67</v>
          </cell>
        </row>
        <row r="1357">
          <cell r="L1357" t="str">
            <v>K01 - A01</v>
          </cell>
          <cell r="M1357" t="str">
            <v>188.33</v>
          </cell>
          <cell r="N1357" t="str">
            <v>72.54</v>
          </cell>
          <cell r="O1357" t="str">
            <v>16.015794</v>
          </cell>
          <cell r="P1357" t="str">
            <v>108.254242</v>
          </cell>
          <cell r="Q1357" t="str">
            <v>115.79</v>
          </cell>
          <cell r="R1357" t="str">
            <v>16.012621</v>
          </cell>
          <cell r="S1357" t="str">
            <v>108.255769</v>
          </cell>
          <cell r="T1357" t="str">
            <v>full_h04/TP Đà Nẵng/TP Đà Nẵng/Mạng cấp 2/Cấp 2 - Ring 3/K01 - A01/Ngầm hiện hữu</v>
          </cell>
          <cell r="U1357">
            <v>188.33</v>
          </cell>
        </row>
        <row r="1358">
          <cell r="L1358" t="str">
            <v>Hội An - Ngũ Hành Sơn</v>
          </cell>
          <cell r="M1358" t="str">
            <v>538.37</v>
          </cell>
          <cell r="N1358" t="str">
            <v>14.34</v>
          </cell>
          <cell r="O1358" t="str">
            <v>16.015280</v>
          </cell>
          <cell r="P1358" t="str">
            <v>108.254448</v>
          </cell>
          <cell r="Q1358" t="str">
            <v>524.03</v>
          </cell>
          <cell r="R1358" t="str">
            <v>16.000471</v>
          </cell>
          <cell r="S1358" t="str">
            <v>108.259847</v>
          </cell>
          <cell r="T1358" t="str">
            <v>full_h04/TP Đà Nẵng/TP Đà Nẵng/Mạng cấp 3_ DN và Quảng Nam/Cấp 3 - Ring 1 - Đà Nẵng cũ/Hội An - Ngũ Hành Sơn/Tuyến cột trung thế 2</v>
          </cell>
          <cell r="U1358">
            <v>538.37</v>
          </cell>
        </row>
        <row r="1359">
          <cell r="L1359" t="str">
            <v>K01 (CS2) - Bệnh viện 199 - ok</v>
          </cell>
          <cell r="M1359" t="str">
            <v>1731.73</v>
          </cell>
          <cell r="N1359" t="str">
            <v>248.80</v>
          </cell>
          <cell r="O1359" t="str">
            <v>16.068177</v>
          </cell>
          <cell r="P1359" t="str">
            <v>108.232409</v>
          </cell>
          <cell r="Q1359" t="str">
            <v>1482.93</v>
          </cell>
          <cell r="R1359" t="str">
            <v>16.086011</v>
          </cell>
          <cell r="S1359" t="str">
            <v>108.239991</v>
          </cell>
          <cell r="T1359" t="str">
            <v>full_h04/TP Đà Nẵng/TP Đà Nẵng/Mạng cấp 2/Cấp 2 - Ring 1 - Hiệu chỉnh/Ring 1/K01 (CS2) - Bệnh viện 199 - ok/Ngầm VNPT</v>
          </cell>
          <cell r="U1359">
            <v>1731.73</v>
          </cell>
        </row>
        <row r="1360">
          <cell r="L1360" t="str">
            <v>Nhánh 1</v>
          </cell>
          <cell r="M1360" t="str">
            <v>2017.40</v>
          </cell>
          <cell r="N1360" t="str">
            <v>1554.78</v>
          </cell>
          <cell r="O1360" t="str">
            <v>16.074739</v>
          </cell>
          <cell r="P1360" t="str">
            <v>108.219873</v>
          </cell>
          <cell r="Q1360" t="str">
            <v>462.61</v>
          </cell>
          <cell r="R1360" t="str">
            <v>16.059672</v>
          </cell>
          <cell r="S1360" t="str">
            <v>108.211104</v>
          </cell>
          <cell r="T1360" t="str">
            <v>full_h04/TP Đà Nẵng/TP Đà Nẵng/Mạng cấp 3_ DN và Quảng Nam/Ring Nhánh/Đồn Công an cảng hàng không (Sân bay Đà
Nẵng) - TT1 Đà Nẵng"/Nhánh 1/Trung thế 1</v>
          </cell>
          <cell r="U1360">
            <v>2017.4</v>
          </cell>
        </row>
        <row r="1361">
          <cell r="L1361" t="str">
            <v>K01 (CS2) - Bệnh viện 199 - ok</v>
          </cell>
          <cell r="M1361" t="str">
            <v>1073.37</v>
          </cell>
          <cell r="N1361" t="str">
            <v>248.80</v>
          </cell>
          <cell r="O1361" t="str">
            <v>16.068177</v>
          </cell>
          <cell r="P1361" t="str">
            <v>108.232409</v>
          </cell>
          <cell r="Q1361" t="str">
            <v>824.57</v>
          </cell>
          <cell r="R1361" t="str">
            <v>16.082334</v>
          </cell>
          <cell r="S1361" t="str">
            <v>108.236397</v>
          </cell>
          <cell r="T1361" t="str">
            <v>full_h04/TP Đà Nẵng/TP Đà Nẵng/Mạng cấp 2/Cấp 2 - Ring 1 - Hiệu chỉnh/Ring 1/K01 (CS2) - Bệnh viện 199 - ok/Ngầm VNPT</v>
          </cell>
          <cell r="U1361">
            <v>1073.3699999999999</v>
          </cell>
        </row>
        <row r="1362">
          <cell r="L1362" t="str">
            <v>An Hải - Sơn Trà</v>
          </cell>
          <cell r="M1362" t="str">
            <v>493.53</v>
          </cell>
          <cell r="N1362" t="str">
            <v>208.25</v>
          </cell>
          <cell r="O1362" t="str">
            <v>16.071846</v>
          </cell>
          <cell r="P1362" t="str">
            <v>108.234304</v>
          </cell>
          <cell r="Q1362" t="str">
            <v>285.27</v>
          </cell>
          <cell r="R1362" t="str">
            <v>16.069942</v>
          </cell>
          <cell r="S1362" t="str">
            <v>108.241132</v>
          </cell>
          <cell r="T1362" t="str">
            <v>full_h04/TP Đà Nẵng/TP Đà Nẵng/Mạng cấp 4 - ĐN cũ/Ring 1 -DN/An Hải - Sơn Trà/Ngầm VNPT</v>
          </cell>
          <cell r="U1362">
            <v>493.53</v>
          </cell>
        </row>
        <row r="1363">
          <cell r="L1363" t="str">
            <v>Bệnh viện 199 - A01 - ok</v>
          </cell>
          <cell r="M1363" t="str">
            <v>796.60</v>
          </cell>
          <cell r="N1363" t="str">
            <v>617.65</v>
          </cell>
          <cell r="O1363" t="str">
            <v>16.065455</v>
          </cell>
          <cell r="P1363" t="str">
            <v>108.236769</v>
          </cell>
          <cell r="Q1363" t="str">
            <v>178.95</v>
          </cell>
          <cell r="R1363" t="str">
            <v>16.060064</v>
          </cell>
          <cell r="S1363" t="str">
            <v>108.245611</v>
          </cell>
          <cell r="T1363" t="str">
            <v>full_h04/TP Đà Nẵng/TP Đà Nẵng/Mạng cấp 2/Cấp 2 - Ring 1 - Hiệu chỉnh/Ring 1/Bệnh viện 199 - A01 - ok/Trung thế</v>
          </cell>
          <cell r="U1363">
            <v>796.6</v>
          </cell>
        </row>
        <row r="1364">
          <cell r="L1364" t="str">
            <v>Ngũ Hành Sơn - Sơn Trà</v>
          </cell>
          <cell r="M1364" t="str">
            <v>806.13</v>
          </cell>
          <cell r="N1364" t="str">
            <v>231.85</v>
          </cell>
          <cell r="O1364" t="str">
            <v>16.068319</v>
          </cell>
          <cell r="P1364" t="str">
            <v>108.232472</v>
          </cell>
          <cell r="Q1364" t="str">
            <v>574.28</v>
          </cell>
          <cell r="R1364" t="str">
            <v>16.056984</v>
          </cell>
          <cell r="S1364" t="str">
            <v>108.235525</v>
          </cell>
          <cell r="T1364" t="str">
            <v>full_h04/TP Đà Nẵng/TP Đà Nẵng/Mạng cấp 3_ DN và Quảng Nam/Cấp 3 - Ring 1 - Đà Nẵng cũ/Ngũ Hành Sơn - Sơn Trà/cống bể VNPT</v>
          </cell>
          <cell r="U1364">
            <v>806.13</v>
          </cell>
        </row>
        <row r="1365">
          <cell r="L1365" t="str">
            <v>An Hải - Sơn Trà</v>
          </cell>
          <cell r="M1365" t="str">
            <v>829.54</v>
          </cell>
          <cell r="N1365" t="str">
            <v>208.25</v>
          </cell>
          <cell r="O1365" t="str">
            <v>16.071846</v>
          </cell>
          <cell r="P1365" t="str">
            <v>108.234304</v>
          </cell>
          <cell r="Q1365" t="str">
            <v>621.28</v>
          </cell>
          <cell r="R1365" t="str">
            <v>16.069942</v>
          </cell>
          <cell r="S1365" t="str">
            <v>108.241132</v>
          </cell>
          <cell r="T1365" t="str">
            <v>full_h04/TP Đà Nẵng/TP Đà Nẵng/Mạng cấp 4 - ĐN cũ/Ring 1 -DN/An Hải - Sơn Trà/Ngầm VNPT</v>
          </cell>
          <cell r="U1365">
            <v>829.54</v>
          </cell>
        </row>
        <row r="1366">
          <cell r="L1366" t="str">
            <v>Nam Phước - Xuân Phú</v>
          </cell>
          <cell r="M1366" t="str">
            <v>6347.58</v>
          </cell>
          <cell r="N1366" t="str">
            <v>6069.45</v>
          </cell>
          <cell r="O1366" t="str">
            <v>15.839861</v>
          </cell>
          <cell r="P1366" t="str">
            <v>108.281587</v>
          </cell>
          <cell r="Q1366" t="str">
            <v>278.13</v>
          </cell>
          <cell r="R1366" t="str">
            <v>15.787193</v>
          </cell>
          <cell r="S1366" t="str">
            <v>108.323618</v>
          </cell>
          <cell r="T1366" t="str">
            <v>full_h04/TP Đà Nẵng/TP Đà Nẵng/Mạng cấp 4 - Quảng Nam/Quảng Nam - Ring 7_them E28/Quảng Nam - Ring 7 - ok/Nam Phước - Xuân Phú/trung thế 1</v>
          </cell>
          <cell r="U1366">
            <v>6347.58</v>
          </cell>
        </row>
        <row r="1367">
          <cell r="L1367" t="str">
            <v>Điện Bàn - Điện Bàn Tây</v>
          </cell>
          <cell r="M1367" t="str">
            <v>1753.20</v>
          </cell>
          <cell r="N1367" t="str">
            <v>1505.28</v>
          </cell>
          <cell r="O1367" t="str">
            <v>15.888445</v>
          </cell>
          <cell r="P1367" t="str">
            <v>108.239955</v>
          </cell>
          <cell r="Q1367" t="str">
            <v>247.93</v>
          </cell>
          <cell r="R1367" t="str">
            <v>15.888390</v>
          </cell>
          <cell r="S1367" t="str">
            <v>108.179380</v>
          </cell>
          <cell r="T1367" t="str">
            <v>full_h04/TP Đà Nẵng/TP Đà Nẵng/Mạng cấp 4 - Quảng Nam/Quảng Nam - Ring 2/Điện Bàn - Điện Bàn Tây/trung thế 2</v>
          </cell>
          <cell r="U1367">
            <v>1753.2</v>
          </cell>
        </row>
        <row r="1368">
          <cell r="L1368" t="str">
            <v>TTCMKV Điện Bàn - An Thắng</v>
          </cell>
          <cell r="M1368" t="str">
            <v>312.47</v>
          </cell>
          <cell r="N1368" t="str">
            <v>294.45</v>
          </cell>
          <cell r="O1368" t="str">
            <v>15.889352</v>
          </cell>
          <cell r="P1368" t="str">
            <v>108.256027</v>
          </cell>
          <cell r="Q1368" t="str">
            <v>18.02</v>
          </cell>
          <cell r="R1368" t="str">
            <v>15.919997</v>
          </cell>
          <cell r="S1368" t="str">
            <v>108.221555</v>
          </cell>
          <cell r="T1368" t="str">
            <v>full_h04/TP Đà Nẵng/TP Đà Nẵng/Mạng cấp 4 - Quảng Nam/Quảng Nam - Ring 1/TTCMKV Điện Bàn - An Thắng/trung thế</v>
          </cell>
          <cell r="U1368">
            <v>312.47000000000003</v>
          </cell>
        </row>
        <row r="1369">
          <cell r="L1369" t="str">
            <v>Điện Bàn - Điện Bàn Tây</v>
          </cell>
          <cell r="M1369" t="str">
            <v>1566.06</v>
          </cell>
          <cell r="N1369" t="str">
            <v>1505.28</v>
          </cell>
          <cell r="O1369" t="str">
            <v>15.888445</v>
          </cell>
          <cell r="P1369" t="str">
            <v>108.239955</v>
          </cell>
          <cell r="Q1369" t="str">
            <v>60.78</v>
          </cell>
          <cell r="R1369" t="str">
            <v>15.884274</v>
          </cell>
          <cell r="S1369" t="str">
            <v>108.226576</v>
          </cell>
          <cell r="T1369" t="str">
            <v>full_h04/TP Đà Nẵng/TP Đà Nẵng/Mạng cấp 4 - Quảng Nam/Quảng Nam - Ring 2/Điện Bàn - Điện Bàn Tây/trung thế 2</v>
          </cell>
          <cell r="U1369">
            <v>1566.06</v>
          </cell>
        </row>
        <row r="1370">
          <cell r="L1370" t="str">
            <v>TTCMKV Điện Bàn - Nam Phước</v>
          </cell>
          <cell r="M1370" t="str">
            <v>1502.01</v>
          </cell>
          <cell r="N1370" t="str">
            <v>13.57</v>
          </cell>
          <cell r="O1370" t="str">
            <v>15.887679</v>
          </cell>
          <cell r="P1370" t="str">
            <v>108.254028</v>
          </cell>
          <cell r="Q1370" t="str">
            <v>1488.43</v>
          </cell>
          <cell r="R1370" t="str">
            <v>15.865550</v>
          </cell>
          <cell r="S1370" t="str">
            <v>108.270460</v>
          </cell>
          <cell r="T1370" t="str">
            <v>full_h04/TP Đà Nẵng/TP Đà Nẵng/Mạng cấp 4 - Quảng Nam/Quảng Nam - Ring 7_them E28/Quảng Nam - Ring 7 - ok/TTCMKV Điện Bàn - Nam Phước/trung thế 1</v>
          </cell>
          <cell r="U1370">
            <v>1502.01</v>
          </cell>
        </row>
        <row r="1371">
          <cell r="L1371" t="str">
            <v>TTCMKV Điện Bàn - Nam Phước</v>
          </cell>
          <cell r="M1371" t="str">
            <v>39.02</v>
          </cell>
          <cell r="N1371" t="str">
            <v>13.57</v>
          </cell>
          <cell r="O1371" t="str">
            <v>15.887679</v>
          </cell>
          <cell r="P1371" t="str">
            <v>108.254028</v>
          </cell>
          <cell r="Q1371" t="str">
            <v>25.45</v>
          </cell>
          <cell r="R1371" t="str">
            <v>15.868352</v>
          </cell>
          <cell r="S1371" t="str">
            <v>108.263243</v>
          </cell>
          <cell r="T1371" t="str">
            <v>full_h04/TP Đà Nẵng/TP Đà Nẵng/Mạng cấp 4 - Quảng Nam/Quảng Nam - Ring 7_them E28/Quảng Nam - Ring 7 - ok/TTCMKV Điện Bàn - Nam Phước/trung thế 1</v>
          </cell>
          <cell r="U1371">
            <v>39.020000000000003</v>
          </cell>
        </row>
        <row r="1372">
          <cell r="L1372" t="str">
            <v>TTCMKV Điện Bàn - Nam Phước</v>
          </cell>
          <cell r="M1372" t="str">
            <v>1118.85</v>
          </cell>
          <cell r="N1372" t="str">
            <v>13.57</v>
          </cell>
          <cell r="O1372" t="str">
            <v>15.887679</v>
          </cell>
          <cell r="P1372" t="str">
            <v>108.254028</v>
          </cell>
          <cell r="Q1372" t="str">
            <v>1105.28</v>
          </cell>
          <cell r="R1372" t="str">
            <v>15.868352</v>
          </cell>
          <cell r="S1372" t="str">
            <v>108.263243</v>
          </cell>
          <cell r="T1372" t="str">
            <v>full_h04/TP Đà Nẵng/TP Đà Nẵng/Mạng cấp 4 - Quảng Nam/Quảng Nam - Ring 7_them E28/Quảng Nam - Ring 7 - ok/TTCMKV Điện Bàn - Nam Phước/trung thế 1</v>
          </cell>
          <cell r="U1372">
            <v>1118.8499999999999</v>
          </cell>
        </row>
        <row r="1373">
          <cell r="L1373" t="str">
            <v>Cẩm Lệ - Điện Bàn</v>
          </cell>
          <cell r="M1373" t="str">
            <v>354.28</v>
          </cell>
          <cell r="N1373" t="str">
            <v>306.38</v>
          </cell>
          <cell r="O1373" t="str">
            <v>15.886761</v>
          </cell>
          <cell r="P1373" t="str">
            <v>108.251258</v>
          </cell>
          <cell r="Q1373" t="str">
            <v>47.90</v>
          </cell>
          <cell r="R1373" t="str">
            <v>15.888949</v>
          </cell>
          <cell r="S1373" t="str">
            <v>108.249090</v>
          </cell>
          <cell r="T1373" t="str">
            <v>full_h04/TP Đà Nẵng/TP Đà Nẵng/Mạng cấp 3_ DN và Quảng Nam/Cấp 3 - Ring 1 - Đà Nẵng cũ/Cẩm Lệ - Điện Bàn/Tuyến cột trung thế</v>
          </cell>
          <cell r="U1373">
            <v>354.28</v>
          </cell>
        </row>
        <row r="1374">
          <cell r="L1374" t="str">
            <v>Điện Bàn - Điện Bàn Tây</v>
          </cell>
          <cell r="M1374" t="str">
            <v>1338.63</v>
          </cell>
          <cell r="N1374" t="str">
            <v>69.79</v>
          </cell>
          <cell r="O1374" t="str">
            <v>15.887834</v>
          </cell>
          <cell r="P1374" t="str">
            <v>108.253413</v>
          </cell>
          <cell r="Q1374" t="str">
            <v>1268.84</v>
          </cell>
          <cell r="R1374" t="str">
            <v>15.884628</v>
          </cell>
          <cell r="S1374" t="str">
            <v>108.248704</v>
          </cell>
          <cell r="T1374" t="str">
            <v>full_h04/TP Đà Nẵng/TP Đà Nẵng/Mạng cấp 4 - Quảng Nam/Quảng Nam - Ring 2/Điện Bàn - Điện Bàn Tây/hạ thế 1</v>
          </cell>
          <cell r="U1374">
            <v>1338.63</v>
          </cell>
        </row>
        <row r="1375">
          <cell r="L1375" t="str">
            <v>Điện Bàn - Điện Bàn Tây</v>
          </cell>
          <cell r="M1375" t="str">
            <v>3949.71</v>
          </cell>
          <cell r="N1375" t="str">
            <v>3701.29</v>
          </cell>
          <cell r="O1375" t="str">
            <v>15.888811</v>
          </cell>
          <cell r="P1375" t="str">
            <v>108.149871</v>
          </cell>
          <cell r="Q1375" t="str">
            <v>248.42</v>
          </cell>
          <cell r="R1375" t="str">
            <v>15.888381</v>
          </cell>
          <cell r="S1375" t="str">
            <v>108.179380</v>
          </cell>
          <cell r="T1375" t="str">
            <v>full_h04/TP Đà Nẵng/TP Đà Nẵng/Mạng cấp 4 - Quảng Nam/Quảng Nam - Ring 2/Điện Bàn - Điện Bàn Tây/hạ thế 4</v>
          </cell>
          <cell r="U1375">
            <v>3949.71</v>
          </cell>
        </row>
        <row r="1376">
          <cell r="L1376" t="str">
            <v>Trại giam An Điềm (C10) - Duy Xuyên</v>
          </cell>
          <cell r="M1376" t="str">
            <v>3133.76</v>
          </cell>
          <cell r="N1376" t="str">
            <v>3081.84</v>
          </cell>
          <cell r="O1376" t="str">
            <v>15.855328</v>
          </cell>
          <cell r="P1376" t="str">
            <v>108.113702</v>
          </cell>
          <cell r="Q1376" t="str">
            <v>51.92</v>
          </cell>
          <cell r="R1376" t="str">
            <v>15.822844</v>
          </cell>
          <cell r="S1376" t="str">
            <v>108.246846</v>
          </cell>
          <cell r="T1376" t="str">
            <v>full_h04/TP Đà Nẵng/TP Đà Nẵng/Mạng cấp 3_ DN và Quảng Nam/Cấp 3 - Ring 3 - Quảng Nam cũ/Trại giam An Điềm (C10) - Duy Xuyên/Trung thế</v>
          </cell>
          <cell r="U1376">
            <v>3133.76</v>
          </cell>
        </row>
        <row r="1377">
          <cell r="L1377" t="str">
            <v>Sông Vàng - TTCMKV Đại Lộc</v>
          </cell>
          <cell r="M1377" t="str">
            <v>578.62</v>
          </cell>
          <cell r="N1377" t="str">
            <v>27.76</v>
          </cell>
          <cell r="O1377" t="str">
            <v>15.882748</v>
          </cell>
          <cell r="P1377" t="str">
            <v>108.115681</v>
          </cell>
          <cell r="Q1377" t="str">
            <v>550.86</v>
          </cell>
          <cell r="R1377" t="str">
            <v>15.906772</v>
          </cell>
          <cell r="S1377" t="str">
            <v>108.126825</v>
          </cell>
          <cell r="T1377" t="str">
            <v>full_h04/TP Đà Nẵng/TP Đà Nẵng/Mạng cấp 4 - Quảng Nam/Quảng Nam - Ring 16/Sông Vàng - TTCMKV Đại Lộc/Trung thế 2</v>
          </cell>
          <cell r="U1377">
            <v>578.62</v>
          </cell>
        </row>
        <row r="1378">
          <cell r="L1378" t="str">
            <v>Đại Lộc - Phước Sơn</v>
          </cell>
          <cell r="M1378" t="str">
            <v>743.31</v>
          </cell>
          <cell r="N1378" t="str">
            <v>576.69</v>
          </cell>
          <cell r="O1378" t="str">
            <v>15.882273</v>
          </cell>
          <cell r="P1378" t="str">
            <v>108.110457</v>
          </cell>
          <cell r="Q1378" t="str">
            <v>166.62</v>
          </cell>
          <cell r="R1378" t="str">
            <v>15.878144</v>
          </cell>
          <cell r="S1378" t="str">
            <v>108.077396</v>
          </cell>
          <cell r="T1378" t="str">
            <v>full_h04/TP Đà Nẵng/TP Đà Nẵng/Mạng cấp 3_ DN và Quảng Nam/Cấp 3 - Ring 3 - Quảng Nam cũ/Đại Lộc - Phước Sơn_ring 3_ cấp 3.kmz/Đại Lộc - Phước Sơn/trung thế 1</v>
          </cell>
          <cell r="U1378">
            <v>743.31</v>
          </cell>
        </row>
        <row r="1379">
          <cell r="L1379" t="str">
            <v>Đại Lộc - Phước Sơn</v>
          </cell>
          <cell r="M1379" t="str">
            <v>634.18</v>
          </cell>
          <cell r="N1379" t="str">
            <v>576.69</v>
          </cell>
          <cell r="O1379" t="str">
            <v>15.882273</v>
          </cell>
          <cell r="P1379" t="str">
            <v>108.110457</v>
          </cell>
          <cell r="Q1379" t="str">
            <v>57.49</v>
          </cell>
          <cell r="R1379" t="str">
            <v>15.878699</v>
          </cell>
          <cell r="S1379" t="str">
            <v>108.105295</v>
          </cell>
          <cell r="T1379" t="str">
            <v>full_h04/TP Đà Nẵng/TP Đà Nẵng/Mạng cấp 3_ DN và Quảng Nam/Cấp 3 - Ring 3 - Quảng Nam cũ/Đại Lộc - Phước Sơn_ring 3_ cấp 3.kmz/Đại Lộc - Phước Sơn/trung thế 1</v>
          </cell>
          <cell r="U1379">
            <v>634.17999999999995</v>
          </cell>
        </row>
        <row r="1380">
          <cell r="L1380" t="str">
            <v>TTCMKV Đại Lộc - Hà Nha</v>
          </cell>
          <cell r="M1380" t="str">
            <v>840.34</v>
          </cell>
          <cell r="N1380" t="str">
            <v>578.28</v>
          </cell>
          <cell r="O1380" t="str">
            <v>15.882272</v>
          </cell>
          <cell r="P1380" t="str">
            <v>108.110442</v>
          </cell>
          <cell r="Q1380" t="str">
            <v>262.07</v>
          </cell>
          <cell r="R1380" t="str">
            <v>15.875380</v>
          </cell>
          <cell r="S1380" t="str">
            <v>108.091140</v>
          </cell>
          <cell r="T1380" t="str">
            <v>full_h04/TP Đà Nẵng/TP Đà Nẵng/Mạng cấp 4 - Quảng Nam/Quảng Nam - Ring 5_fix.kmz/Quảng Nam - Ring 5 - ok/TTCMKV Đại Lộc - Hà Nha/trung thế 1</v>
          </cell>
          <cell r="U1380">
            <v>840.34</v>
          </cell>
        </row>
        <row r="1381">
          <cell r="L1381" t="str">
            <v>Đại Lộc - Thu Bồn</v>
          </cell>
          <cell r="M1381" t="str">
            <v>704.32</v>
          </cell>
          <cell r="N1381" t="str">
            <v>36.07</v>
          </cell>
          <cell r="O1381" t="str">
            <v>15.882703</v>
          </cell>
          <cell r="P1381" t="str">
            <v>108.115991</v>
          </cell>
          <cell r="Q1381" t="str">
            <v>668.25</v>
          </cell>
          <cell r="R1381" t="str">
            <v>15.878918</v>
          </cell>
          <cell r="S1381" t="str">
            <v>108.121422</v>
          </cell>
          <cell r="T1381" t="str">
            <v>full_h04/TP Đà Nẵng/TP Đà Nẵng/Mạng cấp 4 - Quảng Nam/Quảng Nam - Ring 3/Đại Lộc - Thu Bồn/trung thế 1</v>
          </cell>
          <cell r="U1381">
            <v>704.32</v>
          </cell>
        </row>
        <row r="1382">
          <cell r="L1382" t="str">
            <v>Đại Lộc - Thu Bồn</v>
          </cell>
          <cell r="M1382" t="str">
            <v>858.93</v>
          </cell>
          <cell r="N1382" t="str">
            <v>36.07</v>
          </cell>
          <cell r="O1382" t="str">
            <v>15.882703</v>
          </cell>
          <cell r="P1382" t="str">
            <v>108.115991</v>
          </cell>
          <cell r="Q1382" t="str">
            <v>822.86</v>
          </cell>
          <cell r="R1382" t="str">
            <v>15.868013</v>
          </cell>
          <cell r="S1382" t="str">
            <v>108.121419</v>
          </cell>
          <cell r="T1382" t="str">
            <v>full_h04/TP Đà Nẵng/TP Đà Nẵng/Mạng cấp 4 - Quảng Nam/Quảng Nam - Ring 3/Đại Lộc - Thu Bồn/trung thế 1</v>
          </cell>
          <cell r="U1382">
            <v>858.93</v>
          </cell>
        </row>
        <row r="1383">
          <cell r="L1383" t="str">
            <v>Đại Lộc - Thu Bồn</v>
          </cell>
          <cell r="M1383" t="str">
            <v>253.54</v>
          </cell>
          <cell r="N1383" t="str">
            <v>4.24</v>
          </cell>
          <cell r="O1383" t="str">
            <v>15.882982</v>
          </cell>
          <cell r="P1383" t="str">
            <v>108.115762</v>
          </cell>
          <cell r="Q1383" t="str">
            <v>249.30</v>
          </cell>
          <cell r="R1383" t="str">
            <v>15.882982</v>
          </cell>
          <cell r="S1383" t="str">
            <v>108.115762</v>
          </cell>
          <cell r="T1383" t="str">
            <v>full_h04/TP Đà Nẵng/TP Đà Nẵng/Mạng cấp 4 - Quảng Nam/Quảng Nam - Ring 3/Đại Lộc - Thu Bồn/trồng mới 1</v>
          </cell>
          <cell r="U1383">
            <v>253.54</v>
          </cell>
        </row>
        <row r="1384">
          <cell r="L1384" t="str">
            <v>TTCMKV Đại Lộc - Hà Nha</v>
          </cell>
          <cell r="M1384" t="str">
            <v>311.29</v>
          </cell>
          <cell r="N1384" t="str">
            <v>152.30</v>
          </cell>
          <cell r="O1384" t="str">
            <v>15.882797</v>
          </cell>
          <cell r="P1384" t="str">
            <v>108.114387</v>
          </cell>
          <cell r="Q1384" t="str">
            <v>158.99</v>
          </cell>
          <cell r="R1384" t="str">
            <v>15.882905</v>
          </cell>
          <cell r="S1384" t="str">
            <v>108.112134</v>
          </cell>
          <cell r="T1384" t="str">
            <v>full_h04/TP Đà Nẵng/TP Đà Nẵng/Mạng cấp 4 - Quảng Nam/Quảng Nam - Ring 5_fix.kmz/Quảng Nam - Ring 5 - ok/TTCMKV Đại Lộc - Hà Nha/ngầm mới 1</v>
          </cell>
          <cell r="U1384">
            <v>311.29000000000002</v>
          </cell>
        </row>
        <row r="1385">
          <cell r="L1385" t="str">
            <v>Trại giam An Điềm (C10) - Duy Xuyên</v>
          </cell>
          <cell r="M1385" t="str">
            <v>3133.76</v>
          </cell>
          <cell r="N1385" t="str">
            <v>51.92</v>
          </cell>
          <cell r="O1385" t="str">
            <v>15.822844</v>
          </cell>
          <cell r="P1385" t="str">
            <v>108.246846</v>
          </cell>
          <cell r="Q1385" t="str">
            <v>3081.84</v>
          </cell>
          <cell r="R1385" t="str">
            <v>15.855328</v>
          </cell>
          <cell r="S1385" t="str">
            <v>108.113702</v>
          </cell>
          <cell r="T1385" t="str">
            <v>full_h04/TP Đà Nẵng/TP Đà Nẵng/Mạng cấp 3_ DN và Quảng Nam/Cấp 3 - Ring 3 - Quảng Nam cũ/Trại giam An Điềm (C10) - Duy Xuyên/Trung thế</v>
          </cell>
          <cell r="U1385">
            <v>3133.76</v>
          </cell>
        </row>
        <row r="1386">
          <cell r="L1386" t="str">
            <v>"Đội CSĐT (X. Duy Nghĩa, Duyên Xuyên) -
TTCMKV Duy Xuyên"</v>
          </cell>
          <cell r="M1386" t="str">
            <v>866.41</v>
          </cell>
          <cell r="N1386" t="str">
            <v>39.62</v>
          </cell>
          <cell r="O1386" t="str">
            <v>15.822771</v>
          </cell>
          <cell r="P1386" t="str">
            <v>108.246752</v>
          </cell>
          <cell r="Q1386" t="str">
            <v>826.79</v>
          </cell>
          <cell r="R1386" t="str">
            <v>15.830395</v>
          </cell>
          <cell r="S1386" t="str">
            <v>108.292408</v>
          </cell>
          <cell r="T1386" t="str">
            <v>full_h04/TP Đà Nẵng/TP Đà Nẵng/Mạng cấp 3_ DN và Quảng Nam/Ring Nhánh/"Đội CSĐT (X. Duy Nghĩa, Duyên Xuyên) -
TTCMKV Duy Xuyên"/Trung thế</v>
          </cell>
          <cell r="U1386">
            <v>866.41</v>
          </cell>
        </row>
        <row r="1387">
          <cell r="L1387" t="str">
            <v>Trại giam An Điềm (C10) - Duy Xuyên</v>
          </cell>
          <cell r="M1387" t="str">
            <v>200.43</v>
          </cell>
          <cell r="N1387" t="str">
            <v>51.92</v>
          </cell>
          <cell r="O1387" t="str">
            <v>15.822844</v>
          </cell>
          <cell r="P1387" t="str">
            <v>108.246846</v>
          </cell>
          <cell r="Q1387" t="str">
            <v>148.51</v>
          </cell>
          <cell r="R1387" t="str">
            <v>15.836906</v>
          </cell>
          <cell r="S1387" t="str">
            <v>108.143949</v>
          </cell>
          <cell r="T1387" t="str">
            <v>full_h04/TP Đà Nẵng/TP Đà Nẵng/Mạng cấp 3_ DN và Quảng Nam/Cấp 3 - Ring 3 - Quảng Nam cũ/Trại giam An Điềm (C10) - Duy Xuyên/Trung thế</v>
          </cell>
          <cell r="U1387">
            <v>200.43</v>
          </cell>
        </row>
        <row r="1388">
          <cell r="L1388" t="str">
            <v>Trại giam An Điềm (C10) - Duy Xuyên</v>
          </cell>
          <cell r="M1388" t="str">
            <v>759.63</v>
          </cell>
          <cell r="N1388" t="str">
            <v>51.92</v>
          </cell>
          <cell r="O1388" t="str">
            <v>15.822844</v>
          </cell>
          <cell r="P1388" t="str">
            <v>108.246846</v>
          </cell>
          <cell r="Q1388" t="str">
            <v>707.71</v>
          </cell>
          <cell r="R1388" t="str">
            <v>15.829068</v>
          </cell>
          <cell r="S1388" t="str">
            <v>108.202787</v>
          </cell>
          <cell r="T1388" t="str">
            <v>full_h04/TP Đà Nẵng/TP Đà Nẵng/Mạng cấp 3_ DN và Quảng Nam/Cấp 3 - Ring 3 - Quảng Nam cũ/Trại giam An Điềm (C10) - Duy Xuyên/Trung thế</v>
          </cell>
          <cell r="U1388">
            <v>759.63</v>
          </cell>
        </row>
        <row r="1389">
          <cell r="L1389" t="str">
            <v>Phú Thuận - Duy Xuyên</v>
          </cell>
          <cell r="M1389" t="str">
            <v>799.31</v>
          </cell>
          <cell r="N1389" t="str">
            <v>53.71</v>
          </cell>
          <cell r="O1389" t="str">
            <v>15.822854</v>
          </cell>
          <cell r="P1389" t="str">
            <v>108.246860</v>
          </cell>
          <cell r="Q1389" t="str">
            <v>745.60</v>
          </cell>
          <cell r="R1389" t="str">
            <v>15.836685</v>
          </cell>
          <cell r="S1389" t="str">
            <v>108.124303</v>
          </cell>
          <cell r="T1389" t="str">
            <v>full_h04/TP Đà Nẵng/TP Đà Nẵng/Mạng cấp 4 - Quảng Nam/Quảng Nam - Ring 6_fix.kmz/Quảng Nam - Ring 6/Phú Thuận - Duy Xuyên/trung thế 7</v>
          </cell>
          <cell r="U1389">
            <v>799.31</v>
          </cell>
        </row>
        <row r="1390">
          <cell r="L1390" t="str">
            <v>Trại giam An Điềm (C10) - Duy Xuyên</v>
          </cell>
          <cell r="M1390" t="str">
            <v>2543.68</v>
          </cell>
          <cell r="N1390" t="str">
            <v>51.92</v>
          </cell>
          <cell r="O1390" t="str">
            <v>15.822844</v>
          </cell>
          <cell r="P1390" t="str">
            <v>108.246846</v>
          </cell>
          <cell r="Q1390" t="str">
            <v>2491.76</v>
          </cell>
          <cell r="R1390" t="str">
            <v>15.830925</v>
          </cell>
          <cell r="S1390" t="str">
            <v>108.195851</v>
          </cell>
          <cell r="T1390" t="str">
            <v>full_h04/TP Đà Nẵng/TP Đà Nẵng/Mạng cấp 3_ DN và Quảng Nam/Cấp 3 - Ring 3 - Quảng Nam cũ/Trại giam An Điềm (C10) - Duy Xuyên/Trung thế</v>
          </cell>
          <cell r="U1390">
            <v>2543.6799999999998</v>
          </cell>
        </row>
        <row r="1391">
          <cell r="L1391" t="str">
            <v>Phú Thuận - Duy Xuyên</v>
          </cell>
          <cell r="M1391" t="str">
            <v>238.93</v>
          </cell>
          <cell r="N1391" t="str">
            <v>53.71</v>
          </cell>
          <cell r="O1391" t="str">
            <v>15.822854</v>
          </cell>
          <cell r="P1391" t="str">
            <v>108.246860</v>
          </cell>
          <cell r="Q1391" t="str">
            <v>185.23</v>
          </cell>
          <cell r="R1391" t="str">
            <v>15.826288</v>
          </cell>
          <cell r="S1391" t="str">
            <v>108.232608</v>
          </cell>
          <cell r="T1391" t="str">
            <v>full_h04/TP Đà Nẵng/TP Đà Nẵng/Mạng cấp 4 - Quảng Nam/Quảng Nam - Ring 6_fix.kmz/Quảng Nam - Ring 6/Phú Thuận - Duy Xuyên/trung thế 7</v>
          </cell>
          <cell r="U1391">
            <v>238.93</v>
          </cell>
        </row>
        <row r="1392">
          <cell r="L1392" t="str">
            <v>Trại giam An Điềm (C10) - Duy Xuyên</v>
          </cell>
          <cell r="M1392" t="str">
            <v>2279.56</v>
          </cell>
          <cell r="N1392" t="str">
            <v>51.92</v>
          </cell>
          <cell r="O1392" t="str">
            <v>15.822844</v>
          </cell>
          <cell r="P1392" t="str">
            <v>108.246846</v>
          </cell>
          <cell r="Q1392" t="str">
            <v>2227.63</v>
          </cell>
          <cell r="R1392" t="str">
            <v>15.828367</v>
          </cell>
          <cell r="S1392" t="str">
            <v>108.218264</v>
          </cell>
          <cell r="T1392" t="str">
            <v>full_h04/TP Đà Nẵng/TP Đà Nẵng/Mạng cấp 3_ DN và Quảng Nam/Cấp 3 - Ring 3 - Quảng Nam cũ/Trại giam An Điềm (C10) - Duy Xuyên/Trung thế</v>
          </cell>
          <cell r="U1392">
            <v>2279.56</v>
          </cell>
        </row>
        <row r="1393">
          <cell r="L1393" t="str">
            <v>Trại giam An Điềm (C10) - Duy Xuyên</v>
          </cell>
          <cell r="M1393" t="str">
            <v>955.02</v>
          </cell>
          <cell r="N1393" t="str">
            <v>51.92</v>
          </cell>
          <cell r="O1393" t="str">
            <v>15.822844</v>
          </cell>
          <cell r="P1393" t="str">
            <v>108.246846</v>
          </cell>
          <cell r="Q1393" t="str">
            <v>903.10</v>
          </cell>
          <cell r="R1393" t="str">
            <v>15.826549</v>
          </cell>
          <cell r="S1393" t="str">
            <v>108.231941</v>
          </cell>
          <cell r="T1393" t="str">
            <v>full_h04/TP Đà Nẵng/TP Đà Nẵng/Mạng cấp 3_ DN và Quảng Nam/Cấp 3 - Ring 3 - Quảng Nam cũ/Trại giam An Điềm (C10) - Duy Xuyên/Trung thế</v>
          </cell>
          <cell r="U1393">
            <v>955.02</v>
          </cell>
        </row>
        <row r="1394">
          <cell r="L1394" t="str">
            <v>Trại giam An Điềm (C10) - Duy Xuyên</v>
          </cell>
          <cell r="M1394" t="str">
            <v>357.17</v>
          </cell>
          <cell r="N1394" t="str">
            <v>51.92</v>
          </cell>
          <cell r="O1394" t="str">
            <v>15.822844</v>
          </cell>
          <cell r="P1394" t="str">
            <v>108.246846</v>
          </cell>
          <cell r="Q1394" t="str">
            <v>305.25</v>
          </cell>
          <cell r="R1394" t="str">
            <v>15.827369</v>
          </cell>
          <cell r="S1394" t="str">
            <v>108.180673</v>
          </cell>
          <cell r="T1394" t="str">
            <v>full_h04/TP Đà Nẵng/TP Đà Nẵng/Mạng cấp 3_ DN và Quảng Nam/Cấp 3 - Ring 3 - Quảng Nam cũ/Trại giam An Điềm (C10) - Duy Xuyên/Trung thế</v>
          </cell>
          <cell r="U1394">
            <v>357.17</v>
          </cell>
        </row>
        <row r="1395">
          <cell r="L1395" t="str">
            <v>Hội An Đông - TTCMKV Hội An</v>
          </cell>
          <cell r="M1395" t="str">
            <v>1430.15</v>
          </cell>
          <cell r="N1395" t="str">
            <v>50.89</v>
          </cell>
          <cell r="O1395" t="str">
            <v>15.881015</v>
          </cell>
          <cell r="P1395" t="str">
            <v>108.332280</v>
          </cell>
          <cell r="Q1395" t="str">
            <v>1379.26</v>
          </cell>
          <cell r="R1395" t="str">
            <v>15.890886</v>
          </cell>
          <cell r="S1395" t="str">
            <v>108.359292</v>
          </cell>
          <cell r="T1395" t="str">
            <v>full_h04/TP Đà Nẵng/TP Đà Nẵng/Mạng cấp 4 - Quảng Nam/Quảng Nam - Ring 7_them E28/Quảng Nam - Ring 7 - ok/Hội An Đông - TTCMKV Hội An/trung thế 1</v>
          </cell>
          <cell r="U1395">
            <v>1430.15</v>
          </cell>
        </row>
        <row r="1396">
          <cell r="L1396" t="str">
            <v>điện bàn-Hội An</v>
          </cell>
          <cell r="M1396" t="str">
            <v>1430.12</v>
          </cell>
          <cell r="N1396" t="str">
            <v>30.36</v>
          </cell>
          <cell r="O1396" t="str">
            <v>15.880702</v>
          </cell>
          <cell r="P1396" t="str">
            <v>108.332181</v>
          </cell>
          <cell r="Q1396" t="str">
            <v>1399.76</v>
          </cell>
          <cell r="R1396" t="str">
            <v>15.889308</v>
          </cell>
          <cell r="S1396" t="str">
            <v>108.256110</v>
          </cell>
          <cell r="T1396" t="str">
            <v>full_h04/TP Đà Nẵng/TP Đà Nẵng/Mạng cấp 3_ DN và Quảng Nam/Cấp 3 - Ring 1 - Đà Nẵng cũ/điện bàn-Hội An/tuyến trung thế</v>
          </cell>
          <cell r="U1396">
            <v>1430.12</v>
          </cell>
        </row>
        <row r="1398">
          <cell r="L1398" t="str">
            <v>Tam Anh - Núi Thành</v>
          </cell>
          <cell r="M1398" t="str">
            <v>151.55</v>
          </cell>
          <cell r="N1398" t="str">
            <v>35.22</v>
          </cell>
          <cell r="O1398" t="str">
            <v>15.432839</v>
          </cell>
          <cell r="P1398" t="str">
            <v>108.660348</v>
          </cell>
          <cell r="Q1398" t="str">
            <v>116.34</v>
          </cell>
          <cell r="R1398" t="str">
            <v>15.460558</v>
          </cell>
          <cell r="S1398" t="str">
            <v>108.602866</v>
          </cell>
          <cell r="T1398" t="str">
            <v>full_h04/TP Đà Nẵng/TP Đà Nẵng/Mạng cấp 4 - Quảng Nam/Quảng Nam - Ring 15/Tam Anh - Núi Thành/Trung thế</v>
          </cell>
          <cell r="U1398">
            <v>151.55000000000001</v>
          </cell>
        </row>
        <row r="1399">
          <cell r="L1399" t="str">
            <v>Đức phú - Phú Ninh</v>
          </cell>
          <cell r="M1399" t="str">
            <v>11891.46</v>
          </cell>
          <cell r="N1399" t="str">
            <v>8872.81</v>
          </cell>
          <cell r="O1399" t="str">
            <v>15.446864</v>
          </cell>
          <cell r="P1399" t="str">
            <v>108.578954</v>
          </cell>
          <cell r="Q1399" t="str">
            <v>3018.65</v>
          </cell>
          <cell r="R1399" t="str">
            <v>15.553322</v>
          </cell>
          <cell r="S1399" t="str">
            <v>108.481654</v>
          </cell>
          <cell r="T1399" t="str">
            <v>full_h04/TP Đà Nẵng/TP Đà Nẵng/Mạng cấp 4 - Quảng Nam/Quảng Nam - Ring 15/Đức phú - Phú Ninh/Trung thế</v>
          </cell>
          <cell r="U1399">
            <v>11891.46</v>
          </cell>
        </row>
        <row r="1400">
          <cell r="L1400" t="str">
            <v>Tam Anh - Núi Thành</v>
          </cell>
          <cell r="M1400" t="str">
            <v>326.87</v>
          </cell>
          <cell r="N1400" t="str">
            <v>35.22</v>
          </cell>
          <cell r="O1400" t="str">
            <v>15.432839</v>
          </cell>
          <cell r="P1400" t="str">
            <v>108.660348</v>
          </cell>
          <cell r="Q1400" t="str">
            <v>291.66</v>
          </cell>
          <cell r="R1400" t="str">
            <v>15.432786</v>
          </cell>
          <cell r="S1400" t="str">
            <v>108.651911</v>
          </cell>
          <cell r="T1400" t="str">
            <v>full_h04/TP Đà Nẵng/TP Đà Nẵng/Mạng cấp 4 - Quảng Nam/Quảng Nam - Ring 15/Tam Anh - Núi Thành/Trung thế</v>
          </cell>
          <cell r="U1400">
            <v>326.87</v>
          </cell>
        </row>
        <row r="1401">
          <cell r="L1401" t="str">
            <v>Tam Anh - Núi Thành</v>
          </cell>
          <cell r="M1401" t="str">
            <v>2923.33</v>
          </cell>
          <cell r="N1401" t="str">
            <v>3.91</v>
          </cell>
          <cell r="O1401" t="str">
            <v>15.433142</v>
          </cell>
          <cell r="P1401" t="str">
            <v>108.660472</v>
          </cell>
          <cell r="Q1401" t="str">
            <v>2919.42</v>
          </cell>
          <cell r="R1401" t="str">
            <v>15.433142</v>
          </cell>
          <cell r="S1401" t="str">
            <v>108.660472</v>
          </cell>
          <cell r="T1401" t="str">
            <v>full_h04/TP Đà Nẵng/TP Đà Nẵng/Mạng cấp 4 - Quảng Nam/Quảng Nam - Ring 15/Tam Anh - Núi Thành/Cột trồng mới</v>
          </cell>
          <cell r="U1401">
            <v>2923.33</v>
          </cell>
        </row>
        <row r="1402">
          <cell r="L1402" t="str">
            <v>Tam Anh - Núi Thành</v>
          </cell>
          <cell r="M1402" t="str">
            <v>2814.25</v>
          </cell>
          <cell r="N1402" t="str">
            <v>3.91</v>
          </cell>
          <cell r="O1402" t="str">
            <v>15.433142</v>
          </cell>
          <cell r="P1402" t="str">
            <v>108.660472</v>
          </cell>
          <cell r="Q1402" t="str">
            <v>2810.34</v>
          </cell>
          <cell r="R1402" t="str">
            <v>15.433142</v>
          </cell>
          <cell r="S1402" t="str">
            <v>108.660472</v>
          </cell>
          <cell r="T1402" t="str">
            <v>full_h04/TP Đà Nẵng/TP Đà Nẵng/Mạng cấp 4 - Quảng Nam/Quảng Nam - Ring 15/Tam Anh - Núi Thành/Cột trồng mới</v>
          </cell>
          <cell r="U1402">
            <v>2814.25</v>
          </cell>
        </row>
        <row r="1403">
          <cell r="L1403" t="str">
            <v>Tam Anh - Núi Thành</v>
          </cell>
          <cell r="M1403" t="str">
            <v>4574.96</v>
          </cell>
          <cell r="N1403" t="str">
            <v>3.91</v>
          </cell>
          <cell r="O1403" t="str">
            <v>15.433142</v>
          </cell>
          <cell r="P1403" t="str">
            <v>108.660472</v>
          </cell>
          <cell r="Q1403" t="str">
            <v>4571.05</v>
          </cell>
          <cell r="R1403" t="str">
            <v>15.432864</v>
          </cell>
          <cell r="S1403" t="str">
            <v>108.660290</v>
          </cell>
          <cell r="T1403" t="str">
            <v>full_h04/TP Đà Nẵng/TP Đà Nẵng/Mạng cấp 4 - Quảng Nam/Quảng Nam - Ring 15/Tam Anh - Núi Thành/Cột trồng mới</v>
          </cell>
          <cell r="U1403">
            <v>4574.96</v>
          </cell>
        </row>
        <row r="1404">
          <cell r="L1404" t="str">
            <v>Duy Xuyên - TT2 Tam Kỳ</v>
          </cell>
          <cell r="M1404" t="str">
            <v>895.37</v>
          </cell>
          <cell r="N1404" t="str">
            <v>813.22</v>
          </cell>
          <cell r="O1404" t="str">
            <v>15.741393</v>
          </cell>
          <cell r="P1404" t="str">
            <v>108.356620</v>
          </cell>
          <cell r="Q1404" t="str">
            <v>82.15</v>
          </cell>
          <cell r="R1404" t="str">
            <v>15.788897</v>
          </cell>
          <cell r="S1404" t="str">
            <v>108.321879</v>
          </cell>
          <cell r="T1404" t="str">
            <v>full_h04/TP Đà Nẵng/TP Đà Nẵng/Mạng cấp 3_ DN và Quảng Nam/Cấp 3 - Ring 3 - Quảng Nam cũ/Duy Xuyên - TT2 Tam Kỳ/Trung thế 2</v>
          </cell>
          <cell r="U1404">
            <v>895.37</v>
          </cell>
        </row>
        <row r="1405">
          <cell r="L1405" t="str">
            <v>E28 - Thăng An</v>
          </cell>
          <cell r="M1405" t="str">
            <v>4729.40</v>
          </cell>
          <cell r="N1405" t="str">
            <v>1063.79</v>
          </cell>
          <cell r="O1405" t="str">
            <v>15.742058</v>
          </cell>
          <cell r="P1405" t="str">
            <v>108.359236</v>
          </cell>
          <cell r="Q1405" t="str">
            <v>3665.60</v>
          </cell>
          <cell r="R1405" t="str">
            <v>15.759016</v>
          </cell>
          <cell r="S1405" t="str">
            <v>108.393829</v>
          </cell>
          <cell r="T1405" t="str">
            <v>full_h04/TP Đà Nẵng/TP Đà Nẵng/Mạng cấp 4 - Quảng Nam/Quảng Nam - Ring 7_them E28/Quảng Nam - Ring 7 - ok/E28 - Thăng An/Trung thế</v>
          </cell>
          <cell r="U1405">
            <v>4729.3999999999996</v>
          </cell>
        </row>
        <row r="1407">
          <cell r="L1407" t="str">
            <v>Thăng Bình - Quế Sơn</v>
          </cell>
          <cell r="M1407" t="str">
            <v>899.30</v>
          </cell>
          <cell r="N1407" t="str">
            <v>4.69</v>
          </cell>
          <cell r="O1407" t="str">
            <v>15.735824</v>
          </cell>
          <cell r="P1407" t="str">
            <v>108.351744</v>
          </cell>
          <cell r="Q1407" t="str">
            <v>894.61</v>
          </cell>
          <cell r="R1407" t="str">
            <v>15.736126</v>
          </cell>
          <cell r="S1407" t="str">
            <v>108.352128</v>
          </cell>
          <cell r="T1407" t="str">
            <v>full_h04/TP Đà Nẵng/TP Đà Nẵng/Mạng cấp 3_ DN và Quảng Nam/Cấp 3 - Ring 4 - Quảng Nam cũ/Thăng Bình - Quế Sơn/Đoạn nhập CA Thăng Bình</v>
          </cell>
          <cell r="U1407">
            <v>899.3</v>
          </cell>
        </row>
        <row r="1408">
          <cell r="L1408" t="str">
            <v>TTCMKV Thăng Bình - Thăng
Trường</v>
          </cell>
          <cell r="M1408" t="str">
            <v>11307.44</v>
          </cell>
          <cell r="N1408" t="str">
            <v>2543.98</v>
          </cell>
          <cell r="O1408" t="str">
            <v>15.646301</v>
          </cell>
          <cell r="P1408" t="str">
            <v>108.462339</v>
          </cell>
          <cell r="Q1408" t="str">
            <v>8763.46</v>
          </cell>
          <cell r="R1408" t="str">
            <v>15.706669</v>
          </cell>
          <cell r="S1408" t="str">
            <v>108.386088</v>
          </cell>
          <cell r="T1408" t="str">
            <v>full_h04/TP Đà Nẵng/TP Đà Nẵng/Mạng cấp 4 - Quảng Nam/Quảng Nam - Ring 12/Quảng Nam - Ring 12_fix.kmz/Quảng Nam - Ring 12 - ok/TTCMKV Thăng Bình - Thăng
Trường/trung thế 1</v>
          </cell>
          <cell r="U1408">
            <v>11307.44</v>
          </cell>
        </row>
        <row r="1410">
          <cell r="L1410" t="str">
            <v>Thăng Trường - Quảng Phú</v>
          </cell>
          <cell r="M1410" t="str">
            <v>4102.84</v>
          </cell>
          <cell r="N1410" t="str">
            <v>9.00</v>
          </cell>
          <cell r="O1410" t="str">
            <v>15.650879</v>
          </cell>
          <cell r="P1410" t="str">
            <v>108.485607</v>
          </cell>
          <cell r="Q1410" t="str">
            <v>4093.84</v>
          </cell>
          <cell r="R1410" t="str">
            <v>15.651888</v>
          </cell>
          <cell r="S1410" t="str">
            <v>108.487395</v>
          </cell>
          <cell r="T1410" t="str">
            <v>full_h04/TP Đà Nẵng/TP Đà Nẵng/Mạng cấp 4 - Quảng Nam/Quảng Nam - Ring 12/Quảng Nam - Ring 12_fix.kmz/Quảng Nam - Ring 12 - ok/Thăng Trường - Quảng Phú/hạ thế 1</v>
          </cell>
          <cell r="U1410">
            <v>4102.84</v>
          </cell>
        </row>
        <row r="1411">
          <cell r="L1411" t="str">
            <v>Thăng Trường - Quảng Phú</v>
          </cell>
          <cell r="M1411" t="str">
            <v>2608.59</v>
          </cell>
          <cell r="N1411" t="str">
            <v>1745.63</v>
          </cell>
          <cell r="O1411" t="str">
            <v>15.658691</v>
          </cell>
          <cell r="P1411" t="str">
            <v>108.499790</v>
          </cell>
          <cell r="Q1411" t="str">
            <v>862.96</v>
          </cell>
          <cell r="R1411" t="str">
            <v>15.643542</v>
          </cell>
          <cell r="S1411" t="str">
            <v>108.511238</v>
          </cell>
          <cell r="T1411" t="str">
            <v>full_h04/TP Đà Nẵng/TP Đà Nẵng/Mạng cấp 4 - Quảng Nam/Quảng Nam - Ring 12/Quảng Nam - Ring 12_fix.kmz/Quảng Nam - Ring 12 - ok/Thăng Trường - Quảng Phú/trung thế 2</v>
          </cell>
          <cell r="U1411">
            <v>2608.59</v>
          </cell>
        </row>
        <row r="1414">
          <cell r="L1414" t="str">
            <v>TT2 Tam Kỳ - Thăng Bình</v>
          </cell>
          <cell r="M1414" t="str">
            <v>12173.80</v>
          </cell>
          <cell r="N1414" t="str">
            <v>569.96</v>
          </cell>
          <cell r="O1414" t="str">
            <v>15.646900</v>
          </cell>
          <cell r="P1414" t="str">
            <v>108.430170</v>
          </cell>
          <cell r="Q1414" t="str">
            <v>11603.84</v>
          </cell>
          <cell r="R1414" t="str">
            <v>15.736011</v>
          </cell>
          <cell r="S1414" t="str">
            <v>108.352346</v>
          </cell>
          <cell r="T1414" t="str">
            <v>full_h04/TP Đà Nẵng/TP Đà Nẵng/Mạng cấp 3_ DN và Quảng Nam/Cấp 3 - Ring 4 - Quảng Nam cũ/TT2 Tam Kỳ - Thăng Bình/Đoạn trung thế</v>
          </cell>
          <cell r="U1414">
            <v>12173.8</v>
          </cell>
        </row>
        <row r="1415">
          <cell r="L1415" t="str">
            <v>TT2 Tam Kỳ - Thăng Bình</v>
          </cell>
          <cell r="M1415" t="str">
            <v>605.12</v>
          </cell>
          <cell r="N1415" t="str">
            <v>569.96</v>
          </cell>
          <cell r="O1415" t="str">
            <v>15.646900</v>
          </cell>
          <cell r="P1415" t="str">
            <v>108.430170</v>
          </cell>
          <cell r="Q1415" t="str">
            <v>35.17</v>
          </cell>
          <cell r="R1415" t="str">
            <v>15.579652</v>
          </cell>
          <cell r="S1415" t="str">
            <v>108.473956</v>
          </cell>
          <cell r="T1415" t="str">
            <v>full_h04/TP Đà Nẵng/TP Đà Nẵng/Mạng cấp 3_ DN và Quảng Nam/Cấp 3 - Ring 4 - Quảng Nam cũ/TT2 Tam Kỳ - Thăng Bình/Đoạn trung thế</v>
          </cell>
          <cell r="U1415">
            <v>605.12</v>
          </cell>
        </row>
        <row r="1416">
          <cell r="L1416" t="str">
            <v>TTCMKV Thăng Bình - Thăng
Trường</v>
          </cell>
          <cell r="M1416" t="str">
            <v>1333.52</v>
          </cell>
          <cell r="N1416" t="str">
            <v>709.57</v>
          </cell>
          <cell r="O1416" t="str">
            <v>15.650188</v>
          </cell>
          <cell r="P1416" t="str">
            <v>108.428378</v>
          </cell>
          <cell r="Q1416" t="str">
            <v>623.95</v>
          </cell>
          <cell r="R1416" t="str">
            <v>15.647589</v>
          </cell>
          <cell r="S1416" t="str">
            <v>108.438421</v>
          </cell>
          <cell r="T1416" t="str">
            <v>full_h04/TP Đà Nẵng/TP Đà Nẵng/Mạng cấp 4 - Quảng Nam/Quảng Nam - Ring 12/Quảng Nam - Ring 12_fix.kmz/Quảng Nam - Ring 12 - ok/TTCMKV Thăng Bình - Thăng
Trường/trung thế 1</v>
          </cell>
          <cell r="U1416">
            <v>1333.52</v>
          </cell>
        </row>
        <row r="1417">
          <cell r="L1417" t="str">
            <v>PC08-PC07</v>
          </cell>
          <cell r="M1417" t="str">
            <v>201.40</v>
          </cell>
          <cell r="N1417" t="str">
            <v>37.74</v>
          </cell>
          <cell r="O1417" t="str">
            <v>16.035793</v>
          </cell>
          <cell r="P1417" t="str">
            <v>108.212664</v>
          </cell>
          <cell r="Q1417" t="str">
            <v>163.66</v>
          </cell>
          <cell r="R1417" t="str">
            <v>16.035915</v>
          </cell>
          <cell r="S1417" t="str">
            <v>108.214187</v>
          </cell>
          <cell r="T1417" t="str">
            <v>full_h04/TP Đà Nẵng/TP Đà Nẵng/Mạng cấp 3_ DN và Quảng Nam/Phòng - Ring 1 ( ĐN )4.kmz/Phòng - Ring 1 ( ĐN )/PC08-PC07/hạ thế 2</v>
          </cell>
          <cell r="U1417">
            <v>201.4</v>
          </cell>
        </row>
        <row r="1418">
          <cell r="L1418" t="str">
            <v>PC08-PC07</v>
          </cell>
          <cell r="M1418" t="str">
            <v>392.31</v>
          </cell>
          <cell r="N1418" t="str">
            <v>37.74</v>
          </cell>
          <cell r="O1418" t="str">
            <v>16.035793</v>
          </cell>
          <cell r="P1418" t="str">
            <v>108.212664</v>
          </cell>
          <cell r="Q1418" t="str">
            <v>354.57</v>
          </cell>
          <cell r="R1418" t="str">
            <v>16.033328</v>
          </cell>
          <cell r="S1418" t="str">
            <v>108.214531</v>
          </cell>
          <cell r="T1418" t="str">
            <v>full_h04/TP Đà Nẵng/TP Đà Nẵng/Mạng cấp 3_ DN và Quảng Nam/Phòng - Ring 1 ( ĐN )4.kmz/Phòng - Ring 1 ( ĐN )/PC08-PC07/hạ thế 2</v>
          </cell>
          <cell r="U1418">
            <v>392.31</v>
          </cell>
        </row>
        <row r="1419">
          <cell r="L1419" t="str">
            <v>PC07 - PX04</v>
          </cell>
          <cell r="M1419" t="str">
            <v>114.96</v>
          </cell>
          <cell r="N1419" t="str">
            <v>39.99</v>
          </cell>
          <cell r="O1419" t="str">
            <v>16.035855</v>
          </cell>
          <cell r="P1419" t="str">
            <v>108.212668</v>
          </cell>
          <cell r="Q1419" t="str">
            <v>74.97</v>
          </cell>
          <cell r="R1419" t="str">
            <v>16.036910</v>
          </cell>
          <cell r="S1419" t="str">
            <v>108.209838</v>
          </cell>
          <cell r="T1419" t="str">
            <v>full_h04/TP Đà Nẵng/TP Đà Nẵng/Mạng cấp 3_ DN và Quảng Nam/Phòng - Ring 1 ( ĐN )4.kmz/Phòng - Ring 1 ( ĐN )/PC07 - PX04/Trung Thế 1</v>
          </cell>
          <cell r="U1419">
            <v>114.96</v>
          </cell>
        </row>
        <row r="1420">
          <cell r="L1420" t="str">
            <v>Hòa Xuân - TTKV Cẩm Lệ</v>
          </cell>
          <cell r="M1420" t="str">
            <v>694.83</v>
          </cell>
          <cell r="N1420" t="str">
            <v>33.95</v>
          </cell>
          <cell r="O1420" t="str">
            <v>16.011571</v>
          </cell>
          <cell r="P1420" t="str">
            <v>108.197464</v>
          </cell>
          <cell r="Q1420" t="str">
            <v>660.88</v>
          </cell>
          <cell r="R1420" t="str">
            <v>16.007458</v>
          </cell>
          <cell r="S1420" t="str">
            <v>108.192159</v>
          </cell>
          <cell r="T1420" t="str">
            <v>full_h04/TP Đà Nẵng/TP Đà Nẵng/Mạng cấp 4 - ĐN cũ/Ring 3 - DN/Hòa Xuân - TTKV Cẩm Lệ/Trung thế</v>
          </cell>
          <cell r="U1420">
            <v>694.83</v>
          </cell>
        </row>
        <row r="1421">
          <cell r="L1421" t="str">
            <v>Hòa Xuân - TTKV Cẩm Lệ</v>
          </cell>
          <cell r="M1421" t="str">
            <v>36.11</v>
          </cell>
          <cell r="N1421" t="str">
            <v>33.95</v>
          </cell>
          <cell r="O1421" t="str">
            <v>16.011571</v>
          </cell>
          <cell r="P1421" t="str">
            <v>108.197464</v>
          </cell>
          <cell r="Q1421" t="str">
            <v>2.15</v>
          </cell>
          <cell r="R1421" t="str">
            <v>16.016921</v>
          </cell>
          <cell r="S1421" t="str">
            <v>108.203480</v>
          </cell>
          <cell r="T1421" t="str">
            <v>full_h04/TP Đà Nẵng/TP Đà Nẵng/Mạng cấp 4 - ĐN cũ/Ring 3 - DN/Hòa Xuân - TTKV Cẩm Lệ/Trung thế</v>
          </cell>
          <cell r="U1421">
            <v>36.11</v>
          </cell>
        </row>
        <row r="1422">
          <cell r="L1422" t="str">
            <v>Ngũ Hành Sơn - Cẩm Lệ</v>
          </cell>
          <cell r="M1422" t="str">
            <v>672.37</v>
          </cell>
          <cell r="N1422" t="str">
            <v>36.42</v>
          </cell>
          <cell r="O1422" t="str">
            <v>16.011546</v>
          </cell>
          <cell r="P1422" t="str">
            <v>108.197452</v>
          </cell>
          <cell r="Q1422" t="str">
            <v>635.96</v>
          </cell>
          <cell r="R1422" t="str">
            <v>16.019794</v>
          </cell>
          <cell r="S1422" t="str">
            <v>108.210158</v>
          </cell>
          <cell r="T1422" t="str">
            <v>full_h04/TP Đà Nẵng/TP Đà Nẵng/Mạng cấp 4 - ĐN cũ/Ring 2 -DN/Ngũ Hành Sơn - Cẩm Lệ/Trung thế</v>
          </cell>
          <cell r="U1422">
            <v>672.37</v>
          </cell>
        </row>
        <row r="1423">
          <cell r="L1423" t="str">
            <v>PC08-PC07</v>
          </cell>
          <cell r="M1423" t="str">
            <v>688.74</v>
          </cell>
          <cell r="N1423" t="str">
            <v>18.12</v>
          </cell>
          <cell r="O1423" t="str">
            <v>16.007725</v>
          </cell>
          <cell r="P1423" t="str">
            <v>108.217546</v>
          </cell>
          <cell r="Q1423" t="str">
            <v>670.62</v>
          </cell>
          <cell r="R1423" t="str">
            <v>16.008358</v>
          </cell>
          <cell r="S1423" t="str">
            <v>108.218391</v>
          </cell>
          <cell r="T1423" t="str">
            <v>full_h04/TP Đà Nẵng/TP Đà Nẵng/Mạng cấp 3_ DN và Quảng Nam/Phòng - Ring 1 ( ĐN )4.kmz/Phòng - Ring 1 ( ĐN )/PC08-PC07/Hạ thế 1</v>
          </cell>
          <cell r="U1423">
            <v>688.74</v>
          </cell>
        </row>
        <row r="1424">
          <cell r="L1424" t="str">
            <v>TTKV Ngũ Hành Sơn - Hòa Xuân</v>
          </cell>
          <cell r="M1424" t="str">
            <v>795.77</v>
          </cell>
          <cell r="N1424" t="str">
            <v>702.61</v>
          </cell>
          <cell r="O1424" t="str">
            <v>16.004119</v>
          </cell>
          <cell r="P1424" t="str">
            <v>108.223106</v>
          </cell>
          <cell r="Q1424" t="str">
            <v>93.15</v>
          </cell>
          <cell r="R1424" t="str">
            <v>16.002381</v>
          </cell>
          <cell r="S1424" t="str">
            <v>108.227505</v>
          </cell>
          <cell r="T1424" t="str">
            <v>full_h04/TP Đà Nẵng/TP Đà Nẵng/Mạng cấp 4 - ĐN cũ/Ring 3 - DN/TTKV Ngũ Hành Sơn - Hòa Xuân/Ngầm VNPT</v>
          </cell>
          <cell r="U1424">
            <v>795.77</v>
          </cell>
        </row>
        <row r="1425">
          <cell r="L1425" t="str">
            <v>C09 - A06</v>
          </cell>
          <cell r="M1425" t="str">
            <v>1109.73</v>
          </cell>
          <cell r="N1425" t="str">
            <v>706.37</v>
          </cell>
          <cell r="O1425" t="str">
            <v>16.004256</v>
          </cell>
          <cell r="P1425" t="str">
            <v>108.223238</v>
          </cell>
          <cell r="Q1425" t="str">
            <v>403.36</v>
          </cell>
          <cell r="R1425" t="str">
            <v>15.993741</v>
          </cell>
          <cell r="S1425" t="str">
            <v>108.235771</v>
          </cell>
          <cell r="T1425" t="str">
            <v>full_h04/TP Đà Nẵng/TP Đà Nẵng/Mạng cấp 2/Cấp 2 - Ring 3/C09 - A06 (CS3).kmz/C09 - A06/C09 - A06_Cống bể VNPT</v>
          </cell>
          <cell r="U1425">
            <v>1109.73</v>
          </cell>
        </row>
        <row r="1426">
          <cell r="L1426" t="str">
            <v>Trạm CSGT Hòa Nhơn - PC08</v>
          </cell>
          <cell r="M1426" t="str">
            <v>328.06</v>
          </cell>
          <cell r="N1426" t="str">
            <v>3.42</v>
          </cell>
          <cell r="O1426" t="str">
            <v>16.007584</v>
          </cell>
          <cell r="P1426" t="str">
            <v>108.217628</v>
          </cell>
          <cell r="Q1426" t="str">
            <v>324.64</v>
          </cell>
          <cell r="R1426" t="str">
            <v>16.004862</v>
          </cell>
          <cell r="S1426" t="str">
            <v>108.211937</v>
          </cell>
          <cell r="T1426" t="str">
            <v>full_h04/TP Đà Nẵng/TP Đà Nẵng/Mạng cấp 3_ DN và Quảng Nam/Phòng - Ring 1 ( ĐN )4.kmz/Phòng - Ring 1 ( ĐN )/Trạm CSGT Hòa Nhơn - PC08/Trung thế 2</v>
          </cell>
          <cell r="U1426">
            <v>328.06</v>
          </cell>
        </row>
        <row r="1429">
          <cell r="L1429" t="str">
            <v>Hải Châu - Hòa Cường</v>
          </cell>
          <cell r="M1429" t="str">
            <v>273.16</v>
          </cell>
          <cell r="N1429" t="str">
            <v>70.85</v>
          </cell>
          <cell r="O1429" t="str">
            <v>16.065806</v>
          </cell>
          <cell r="P1429" t="str">
            <v>108.222388</v>
          </cell>
          <cell r="Q1429" t="str">
            <v>202.32</v>
          </cell>
          <cell r="R1429" t="str">
            <v>16.062224</v>
          </cell>
          <cell r="S1429" t="str">
            <v>108.219660</v>
          </cell>
          <cell r="T1429" t="str">
            <v>full_h04/TP Đà Nẵng/TP Đà Nẵng/Mạng cấp 4 - ĐN cũ/Ring 7 - DN/Hải Châu - Hòa Cường/Trung thế</v>
          </cell>
          <cell r="U1429">
            <v>273.16000000000003</v>
          </cell>
        </row>
        <row r="1430">
          <cell r="L1430" t="str">
            <v>Hải Châu - Hòa Cường</v>
          </cell>
          <cell r="M1430" t="str">
            <v>90.31</v>
          </cell>
          <cell r="N1430" t="str">
            <v>70.85</v>
          </cell>
          <cell r="O1430" t="str">
            <v>16.065806</v>
          </cell>
          <cell r="P1430" t="str">
            <v>108.222388</v>
          </cell>
          <cell r="Q1430" t="str">
            <v>19.47</v>
          </cell>
          <cell r="R1430" t="str">
            <v>16.071146</v>
          </cell>
          <cell r="S1430" t="str">
            <v>108.221061</v>
          </cell>
          <cell r="T1430" t="str">
            <v>full_h04/TP Đà Nẵng/TP Đà Nẵng/Mạng cấp 4 - ĐN cũ/Ring 7 - DN/Hải Châu - Hòa Cường/Trung thế</v>
          </cell>
          <cell r="U1430">
            <v>90.31</v>
          </cell>
        </row>
        <row r="1431">
          <cell r="L1431" t="str">
            <v>PA07 - PA06</v>
          </cell>
          <cell r="M1431" t="str">
            <v>90.06</v>
          </cell>
          <cell r="N1431" t="str">
            <v>16.70</v>
          </cell>
          <cell r="O1431" t="str">
            <v>16.066120</v>
          </cell>
          <cell r="P1431" t="str">
            <v>108.221645</v>
          </cell>
          <cell r="Q1431" t="str">
            <v>73.36</v>
          </cell>
          <cell r="R1431" t="str">
            <v>16.066134</v>
          </cell>
          <cell r="S1431" t="str">
            <v>108.223629</v>
          </cell>
          <cell r="T1431" t="str">
            <v>full_h04/TP Đà Nẵng/TP Đà Nẵng/Mạng cấp 3_ DN và Quảng Nam/Phòng - Ring 2 ( ĐN ).kmz/Phòng - Ring 2 ( ĐN )/PA07 - PA06/PA07 - PA06_hạ thế_3</v>
          </cell>
          <cell r="U1431">
            <v>90.06</v>
          </cell>
        </row>
        <row r="1432">
          <cell r="L1432" t="str">
            <v>TT1 Đà Nẵng - Hải Châu</v>
          </cell>
          <cell r="M1432" t="str">
            <v>245.68</v>
          </cell>
          <cell r="N1432" t="str">
            <v>2.80</v>
          </cell>
          <cell r="O1432" t="str">
            <v>16.078945</v>
          </cell>
          <cell r="P1432" t="str">
            <v>108.222221</v>
          </cell>
          <cell r="Q1432" t="str">
            <v>242.88</v>
          </cell>
          <cell r="R1432" t="str">
            <v>16.078945</v>
          </cell>
          <cell r="S1432" t="str">
            <v>108.222221</v>
          </cell>
          <cell r="T1432" t="str">
            <v>full_h04/TP Đà Nẵng/TP Đà Nẵng/Mạng cấp 4 - ĐN cũ/Ring 7 - DN/TT1 Đà Nẵng - Hải Châu/Hạ thế</v>
          </cell>
          <cell r="U1432">
            <v>245.68</v>
          </cell>
        </row>
        <row r="1433">
          <cell r="L1433" t="str">
            <v>TT1 Đà Nẵng - Liên Chiểu</v>
          </cell>
          <cell r="M1433" t="str">
            <v>639.96</v>
          </cell>
          <cell r="N1433" t="str">
            <v>330.46</v>
          </cell>
          <cell r="O1433" t="str">
            <v>16.077609</v>
          </cell>
          <cell r="P1433" t="str">
            <v>108.219445</v>
          </cell>
          <cell r="Q1433" t="str">
            <v>309.50</v>
          </cell>
          <cell r="R1433" t="str">
            <v>16.079284</v>
          </cell>
          <cell r="S1433" t="str">
            <v>108.212947</v>
          </cell>
          <cell r="T1433" t="str">
            <v>full_h04/TP Đà Nẵng/TP Đà Nẵng/Mạng cấp 3_ DN và Quảng Nam/Cấp 3 - Ring 2 - Đà Nẵng cũ/TT1 Đà Nẵng - Liên Chiểu/Trung thế TT1 Đà nẵng - Liên chiểu 2</v>
          </cell>
          <cell r="U1433">
            <v>639.96</v>
          </cell>
        </row>
        <row r="1434">
          <cell r="L1434" t="str">
            <v>Hòa Vang - TT1 Đà Nẵng</v>
          </cell>
          <cell r="M1434" t="str">
            <v>747.73</v>
          </cell>
          <cell r="N1434" t="str">
            <v>331.23</v>
          </cell>
          <cell r="O1434" t="str">
            <v>16.077589</v>
          </cell>
          <cell r="P1434" t="str">
            <v>108.219448</v>
          </cell>
          <cell r="Q1434" t="str">
            <v>416.50</v>
          </cell>
          <cell r="R1434" t="str">
            <v>16.061254</v>
          </cell>
          <cell r="S1434" t="str">
            <v>108.219557</v>
          </cell>
          <cell r="T1434" t="str">
            <v>full_h04/TP Đà Nẵng/TP Đà Nẵng/Mạng cấp 3_ DN và Quảng Nam/Cấp 3 - Ring 2 - Đà Nẵng cũ/Hòa Vang - TT1 Đà Nẵng/Trung Thế Hòa Vang - TT1 Đà Nẵng  1</v>
          </cell>
          <cell r="U1434">
            <v>747.73</v>
          </cell>
        </row>
        <row r="1435">
          <cell r="L1435" t="str">
            <v>TTV 2 - K01 (CS2) - ok</v>
          </cell>
          <cell r="M1435" t="str">
            <v>343.98</v>
          </cell>
          <cell r="N1435" t="str">
            <v>267.55</v>
          </cell>
          <cell r="O1435" t="str">
            <v>16.081336</v>
          </cell>
          <cell r="P1435" t="str">
            <v>108.221802</v>
          </cell>
          <cell r="Q1435" t="str">
            <v>76.43</v>
          </cell>
          <cell r="R1435" t="str">
            <v>16.081187</v>
          </cell>
          <cell r="S1435" t="str">
            <v>108.219967</v>
          </cell>
          <cell r="T1435" t="str">
            <v>full_h04/TP Đà Nẵng/TP Đà Nẵng/Mạng cấp 2/Cấp 2 - Ring 1 - Hiệu chỉnh/Ring 1/TTV 2 - K01 (CS2) - ok/Trung Thế</v>
          </cell>
          <cell r="U1435">
            <v>343.98</v>
          </cell>
        </row>
        <row r="1436">
          <cell r="L1436" t="str">
            <v>Hải Châu - Hòa Cường</v>
          </cell>
          <cell r="M1436" t="str">
            <v>494.42</v>
          </cell>
          <cell r="N1436" t="str">
            <v>7.13</v>
          </cell>
          <cell r="O1436" t="str">
            <v>16.037737</v>
          </cell>
          <cell r="P1436" t="str">
            <v>108.215386</v>
          </cell>
          <cell r="Q1436" t="str">
            <v>487.29</v>
          </cell>
          <cell r="R1436" t="str">
            <v>16.039113</v>
          </cell>
          <cell r="S1436" t="str">
            <v>108.215276</v>
          </cell>
          <cell r="T1436" t="str">
            <v>full_h04/TP Đà Nẵng/TP Đà Nẵng/Mạng cấp 4 - ĐN cũ/Ring 7 - DN/Hải Châu - Hòa Cường/Trung thế</v>
          </cell>
          <cell r="U1436">
            <v>494.42</v>
          </cell>
        </row>
        <row r="1437">
          <cell r="L1437" t="str">
            <v>Hải Châu - Hòa Cường</v>
          </cell>
          <cell r="M1437" t="str">
            <v>309.78</v>
          </cell>
          <cell r="N1437" t="str">
            <v>7.13</v>
          </cell>
          <cell r="O1437" t="str">
            <v>16.037737</v>
          </cell>
          <cell r="P1437" t="str">
            <v>108.215386</v>
          </cell>
          <cell r="Q1437" t="str">
            <v>302.64</v>
          </cell>
          <cell r="R1437" t="str">
            <v>16.039200</v>
          </cell>
          <cell r="S1437" t="str">
            <v>108.213795</v>
          </cell>
          <cell r="T1437" t="str">
            <v>full_h04/TP Đà Nẵng/TP Đà Nẵng/Mạng cấp 4 - ĐN cũ/Ring 7 - DN/Hải Châu - Hòa Cường/Trung thế</v>
          </cell>
          <cell r="U1437">
            <v>309.77999999999997</v>
          </cell>
        </row>
        <row r="1438">
          <cell r="L1438" t="str">
            <v>Nhánh 1</v>
          </cell>
          <cell r="M1438" t="str">
            <v>547.77</v>
          </cell>
          <cell r="N1438" t="str">
            <v>7.22</v>
          </cell>
          <cell r="O1438" t="str">
            <v>16.052781</v>
          </cell>
          <cell r="P1438" t="str">
            <v>108.203267</v>
          </cell>
          <cell r="Q1438" t="str">
            <v>540.55</v>
          </cell>
          <cell r="R1438" t="str">
            <v>16.050824</v>
          </cell>
          <cell r="S1438" t="str">
            <v>108.208978</v>
          </cell>
          <cell r="T1438" t="str">
            <v>full_h04/TP Đà Nẵng/TP Đà Nẵng/Mạng cấp 3_ DN và Quảng Nam/Ring Nhánh/Đồn Công an cảng hàng không (Sân bay Đà
Nẵng) - TT1 Đà Nẵng"/Nhánh 1/Ngầm mới</v>
          </cell>
          <cell r="U1438">
            <v>547.77</v>
          </cell>
        </row>
        <row r="1439">
          <cell r="L1439" t="str">
            <v>Nhánh 1</v>
          </cell>
          <cell r="M1439" t="str">
            <v>309.84</v>
          </cell>
          <cell r="N1439" t="str">
            <v>7.22</v>
          </cell>
          <cell r="O1439" t="str">
            <v>16.052781</v>
          </cell>
          <cell r="P1439" t="str">
            <v>108.203267</v>
          </cell>
          <cell r="Q1439" t="str">
            <v>302.62</v>
          </cell>
          <cell r="R1439" t="str">
            <v>16.050820</v>
          </cell>
          <cell r="S1439" t="str">
            <v>108.206950</v>
          </cell>
          <cell r="T1439" t="str">
            <v>full_h04/TP Đà Nẵng/TP Đà Nẵng/Mạng cấp 3_ DN và Quảng Nam/Ring Nhánh/Đồn Công an cảng hàng không (Sân bay Đà
Nẵng) - TT1 Đà Nẵng"/Nhánh 1/Ngầm mới</v>
          </cell>
          <cell r="U1439">
            <v>309.83999999999997</v>
          </cell>
        </row>
        <row r="1440">
          <cell r="L1440" t="str">
            <v>Nhánh 1</v>
          </cell>
          <cell r="M1440" t="str">
            <v>600.85</v>
          </cell>
          <cell r="N1440" t="str">
            <v>291.87</v>
          </cell>
          <cell r="O1440" t="str">
            <v>16.068057</v>
          </cell>
          <cell r="P1440" t="str">
            <v>108.217573</v>
          </cell>
          <cell r="Q1440" t="str">
            <v>308.98</v>
          </cell>
          <cell r="R1440" t="str">
            <v>16.067586</v>
          </cell>
          <cell r="S1440" t="str">
            <v>108.215838</v>
          </cell>
          <cell r="T1440" t="str">
            <v>full_h04/TP Đà Nẵng/TP Đà Nẵng/Mạng cấp 3_ DN và Quảng Nam/Ring Nhánh/Đồn Công an cảng hàng không (Sân bay Đà
Nẵng) - TT1 Đà Nẵng"/Nhánh 1/Trung thế 1</v>
          </cell>
          <cell r="U1440">
            <v>600.85</v>
          </cell>
        </row>
        <row r="1441">
          <cell r="L1441" t="str">
            <v>Nhánh 1</v>
          </cell>
          <cell r="M1441" t="str">
            <v>558.03</v>
          </cell>
          <cell r="N1441" t="str">
            <v>291.87</v>
          </cell>
          <cell r="O1441" t="str">
            <v>16.068057</v>
          </cell>
          <cell r="P1441" t="str">
            <v>108.217573</v>
          </cell>
          <cell r="Q1441" t="str">
            <v>266.16</v>
          </cell>
          <cell r="R1441" t="str">
            <v>16.064010</v>
          </cell>
          <cell r="S1441" t="str">
            <v>108.216691</v>
          </cell>
          <cell r="T1441" t="str">
            <v>full_h04/TP Đà Nẵng/TP Đà Nẵng/Mạng cấp 3_ DN và Quảng Nam/Ring Nhánh/Đồn Công an cảng hàng không (Sân bay Đà
Nẵng) - TT1 Đà Nẵng"/Nhánh 1/Trung thế 1</v>
          </cell>
          <cell r="U1441">
            <v>558.03</v>
          </cell>
        </row>
        <row r="1442">
          <cell r="L1442" t="str">
            <v>TTKV Ngũ Hành Sơn - Hòa Xuân</v>
          </cell>
          <cell r="M1442" t="str">
            <v>1134.09</v>
          </cell>
          <cell r="N1442" t="str">
            <v>3.69</v>
          </cell>
          <cell r="O1442" t="str">
            <v>15.985679</v>
          </cell>
          <cell r="P1442" t="str">
            <v>108.201567</v>
          </cell>
          <cell r="Q1442" t="str">
            <v>1130.40</v>
          </cell>
          <cell r="R1442" t="str">
            <v>15.985679</v>
          </cell>
          <cell r="S1442" t="str">
            <v>108.201567</v>
          </cell>
          <cell r="T1442" t="str">
            <v>full_h04/TP Đà Nẵng/TP Đà Nẵng/Mạng cấp 4 - ĐN cũ/Ring 3 - DN/TTKV Ngũ Hành Sơn - Hòa Xuân/Trung thế</v>
          </cell>
          <cell r="U1442">
            <v>1134.0899999999999</v>
          </cell>
        </row>
        <row r="1443">
          <cell r="L1443" t="str">
            <v>TTKV Ngũ Hành Sơn - Hòa Xuân</v>
          </cell>
          <cell r="M1443" t="str">
            <v>2650.34</v>
          </cell>
          <cell r="N1443" t="str">
            <v>3.69</v>
          </cell>
          <cell r="O1443" t="str">
            <v>15.985679</v>
          </cell>
          <cell r="P1443" t="str">
            <v>108.201567</v>
          </cell>
          <cell r="Q1443" t="str">
            <v>2646.66</v>
          </cell>
          <cell r="R1443" t="str">
            <v>16.002027</v>
          </cell>
          <cell r="S1443" t="str">
            <v>108.221849</v>
          </cell>
          <cell r="T1443" t="str">
            <v>full_h04/TP Đà Nẵng/TP Đà Nẵng/Mạng cấp 4 - ĐN cũ/Ring 3 - DN/TTKV Ngũ Hành Sơn - Hòa Xuân/Trung thế</v>
          </cell>
          <cell r="U1443">
            <v>2650.34</v>
          </cell>
        </row>
        <row r="1444">
          <cell r="L1444" t="str">
            <v>Trại giam CATP - Trạm CSGT Hòa Nhơn</v>
          </cell>
          <cell r="M1444" t="str">
            <v>78.28</v>
          </cell>
          <cell r="N1444" t="str">
            <v>13.44</v>
          </cell>
          <cell r="O1444" t="str">
            <v>16.077966</v>
          </cell>
          <cell r="P1444" t="str">
            <v>108.114974</v>
          </cell>
          <cell r="Q1444" t="str">
            <v>64.84</v>
          </cell>
          <cell r="R1444" t="str">
            <v>16.061855</v>
          </cell>
          <cell r="S1444" t="str">
            <v>108.099862</v>
          </cell>
          <cell r="T1444" t="str">
            <v>full_h04/TP Đà Nẵng/TP Đà Nẵng/Mạng cấp 3_ DN và Quảng Nam/Phòng - Ring 1 ( ĐN )4.kmz/Phòng - Ring 1 ( ĐN )/Trại giam CATP - Trạm CSGT Hòa Nhơn/Trung thế 1</v>
          </cell>
          <cell r="U1444">
            <v>78.28</v>
          </cell>
        </row>
        <row r="1445">
          <cell r="L1445" t="str">
            <v>"Cơ sở cai nghiện (X. Hòa Bắc, Hòa Vang) -
TTCMKV Hòa Vang"</v>
          </cell>
          <cell r="M1445" t="str">
            <v>1886.83</v>
          </cell>
          <cell r="N1445" t="str">
            <v>1270.84</v>
          </cell>
          <cell r="O1445" t="str">
            <v>16.073209</v>
          </cell>
          <cell r="P1445" t="str">
            <v>108.104287</v>
          </cell>
          <cell r="Q1445" t="str">
            <v>616.00</v>
          </cell>
          <cell r="R1445" t="str">
            <v>16.079285</v>
          </cell>
          <cell r="S1445" t="str">
            <v>108.098132</v>
          </cell>
          <cell r="T1445" t="str">
            <v>full_h04/TP Đà Nẵng/TP Đà Nẵng/Mạng cấp 3_ DN và Quảng Nam/Ring Nhánh/"Cơ sở cai nghiện (X. Hòa Bắc, Hòa Vang) -
TTCMKV Hòa Vang"/Trung thế 2</v>
          </cell>
          <cell r="U1445">
            <v>1886.83</v>
          </cell>
        </row>
        <row r="1446">
          <cell r="L1446" t="str">
            <v>TT1 Đà Nẵng-Hải Vân</v>
          </cell>
          <cell r="M1446" t="str">
            <v>1776.98</v>
          </cell>
          <cell r="N1446" t="str">
            <v>1745.72</v>
          </cell>
          <cell r="O1446" t="str">
            <v>16.076751</v>
          </cell>
          <cell r="P1446" t="str">
            <v>108.166334</v>
          </cell>
          <cell r="Q1446" t="str">
            <v>31.26</v>
          </cell>
          <cell r="R1446" t="str">
            <v>16.073207</v>
          </cell>
          <cell r="S1446" t="str">
            <v>108.177558</v>
          </cell>
          <cell r="T1446" t="str">
            <v>full_h04/TP Đà Nẵng/TP Đà Nẵng/Mạng cấp 4 - ĐN cũ/Ring 5 - DN/TT1 Đà Nẵng-Hải Vân/Trung thế 1</v>
          </cell>
          <cell r="U1446">
            <v>1776.98</v>
          </cell>
        </row>
        <row r="1447">
          <cell r="L1447" t="str">
            <v>TTCMKV Liên Chiểu-Hòa Khánh</v>
          </cell>
          <cell r="M1447" t="str">
            <v>263.72</v>
          </cell>
          <cell r="N1447" t="str">
            <v>14.24</v>
          </cell>
          <cell r="O1447" t="str">
            <v>16.063764</v>
          </cell>
          <cell r="P1447" t="str">
            <v>108.157391</v>
          </cell>
          <cell r="Q1447" t="str">
            <v>249.49</v>
          </cell>
          <cell r="R1447" t="str">
            <v>16.065524</v>
          </cell>
          <cell r="S1447" t="str">
            <v>108.154652</v>
          </cell>
          <cell r="T1447" t="str">
            <v>full_h04/TP Đà Nẵng/TP Đà Nẵng/Mạng cấp 4 - ĐN cũ/Ring 6 - DN/TTCMKV Liên Chiểu-Hòa Khánh/Cống bể VNPT</v>
          </cell>
          <cell r="U1447">
            <v>263.72000000000003</v>
          </cell>
        </row>
        <row r="1449">
          <cell r="L1449" t="str">
            <v>Liên Chiểu - Hòa Vang</v>
          </cell>
          <cell r="M1449" t="str">
            <v>778.79</v>
          </cell>
          <cell r="N1449" t="str">
            <v>730.71</v>
          </cell>
          <cell r="O1449" t="str">
            <v>16.053222</v>
          </cell>
          <cell r="P1449" t="str">
            <v>108.156038</v>
          </cell>
          <cell r="Q1449" t="str">
            <v>48.08</v>
          </cell>
          <cell r="R1449" t="str">
            <v>16.048704</v>
          </cell>
          <cell r="S1449" t="str">
            <v>108.146836</v>
          </cell>
          <cell r="T1449" t="str">
            <v>full_h04/TP Đà Nẵng/TP Đà Nẵng/Mạng cấp 3_ DN và Quảng Nam/Cấp 3 - Ring 2 - Đà Nẵng cũ/Liên Chiểu - Hòa Vang/cống bể Liên Chiểu - Hòa Vang 5</v>
          </cell>
          <cell r="U1449">
            <v>778.79</v>
          </cell>
        </row>
        <row r="1450">
          <cell r="L1450" t="str">
            <v>PK02 - TTCMKV Liên Chiểu</v>
          </cell>
          <cell r="M1450" t="str">
            <v>80.86</v>
          </cell>
          <cell r="N1450" t="str">
            <v>33.35</v>
          </cell>
          <cell r="O1450" t="str">
            <v>16.046617</v>
          </cell>
          <cell r="P1450" t="str">
            <v>108.157389</v>
          </cell>
          <cell r="Q1450" t="str">
            <v>47.50</v>
          </cell>
          <cell r="R1450" t="str">
            <v>16.048882</v>
          </cell>
          <cell r="S1450" t="str">
            <v>108.158168</v>
          </cell>
          <cell r="T1450" t="str">
            <v>full_h04/TP Đà Nẵng/TP Đà Nẵng/Mạng cấp 3_ DN và Quảng Nam/Phòng - Ring 3 (ĐN ).kmz/Phòng - Ring 3 (ĐN )/PK02 - TTCMKV Liên Chiểu/PK02 - TTCMKV Liên Chiểu_hạ thế 1</v>
          </cell>
          <cell r="U1450">
            <v>80.86</v>
          </cell>
        </row>
        <row r="1451">
          <cell r="L1451" t="str">
            <v>PK02 - TTCMKV Liên Chiểu</v>
          </cell>
          <cell r="M1451" t="str">
            <v>121.93</v>
          </cell>
          <cell r="N1451" t="str">
            <v>33.35</v>
          </cell>
          <cell r="O1451" t="str">
            <v>16.046617</v>
          </cell>
          <cell r="P1451" t="str">
            <v>108.157389</v>
          </cell>
          <cell r="Q1451" t="str">
            <v>88.58</v>
          </cell>
          <cell r="R1451" t="str">
            <v>16.053638</v>
          </cell>
          <cell r="S1451" t="str">
            <v>108.157757</v>
          </cell>
          <cell r="T1451" t="str">
            <v>full_h04/TP Đà Nẵng/TP Đà Nẵng/Mạng cấp 3_ DN và Quảng Nam/Phòng - Ring 3 (ĐN ).kmz/Phòng - Ring 3 (ĐN )/PK02 - TTCMKV Liên Chiểu/PK02 - TTCMKV Liên Chiểu_hạ thế 1</v>
          </cell>
          <cell r="U1451">
            <v>121.93</v>
          </cell>
        </row>
        <row r="1452">
          <cell r="L1452" t="str">
            <v>TT1 Đà Nẵng - PK02</v>
          </cell>
          <cell r="M1452" t="str">
            <v>1791.00</v>
          </cell>
          <cell r="N1452" t="str">
            <v>41.12</v>
          </cell>
          <cell r="O1452" t="str">
            <v>16.046609</v>
          </cell>
          <cell r="P1452" t="str">
            <v>108.157463</v>
          </cell>
          <cell r="Q1452" t="str">
            <v>1749.89</v>
          </cell>
          <cell r="R1452" t="str">
            <v>16.049126</v>
          </cell>
          <cell r="S1452" t="str">
            <v>108.160696</v>
          </cell>
          <cell r="T1452" t="str">
            <v>full_h04/TP Đà Nẵng/TP Đà Nẵng/Mạng cấp 3_ DN và Quảng Nam/Phòng - Ring 1 ( ĐN )4.kmz/Phòng - Ring 1 ( ĐN )/TT1 Đà Nẵng - PK02/TT1 Đà Nẵng - PK02_hạ thế ( trụ chiếu sáng) _1</v>
          </cell>
          <cell r="U1452">
            <v>1791</v>
          </cell>
        </row>
        <row r="1453">
          <cell r="L1453" t="str">
            <v>Trại giam CATP - PK02</v>
          </cell>
          <cell r="M1453" t="str">
            <v>1122.18</v>
          </cell>
          <cell r="N1453" t="str">
            <v>29.18</v>
          </cell>
          <cell r="O1453" t="str">
            <v>16.046562</v>
          </cell>
          <cell r="P1453" t="str">
            <v>108.157310</v>
          </cell>
          <cell r="Q1453" t="str">
            <v>1093.01</v>
          </cell>
          <cell r="R1453" t="str">
            <v>16.046562</v>
          </cell>
          <cell r="S1453" t="str">
            <v>108.157310</v>
          </cell>
          <cell r="T1453" t="str">
            <v>full_h04/TP Đà Nẵng/TP Đà Nẵng/Mạng cấp 3_ DN và Quảng Nam/Phòng - Ring 3 (ĐN ).kmz/Phòng - Ring 3 (ĐN )/Trại giam CATP - PK02/Trại giam CATP - PK02_hạ thế 1</v>
          </cell>
          <cell r="U1453">
            <v>1122.18</v>
          </cell>
        </row>
        <row r="1454">
          <cell r="L1454" t="str">
            <v>Trạm CSGT Hòa Hiệp - Trại giam CATP</v>
          </cell>
          <cell r="M1454" t="str">
            <v>3483.25</v>
          </cell>
          <cell r="N1454" t="str">
            <v>20.38</v>
          </cell>
          <cell r="O1454" t="str">
            <v>16.140616</v>
          </cell>
          <cell r="P1454" t="str">
            <v>108.119791</v>
          </cell>
          <cell r="Q1454" t="str">
            <v>3462.87</v>
          </cell>
          <cell r="R1454" t="str">
            <v>16.128189</v>
          </cell>
          <cell r="S1454" t="str">
            <v>108.114917</v>
          </cell>
          <cell r="T1454" t="str">
            <v>full_h04/TP Đà Nẵng/TP Đà Nẵng/Mạng cấp 3_ DN và Quảng Nam/Phòng - Ring 3 (ĐN ).kmz/Phòng - Ring 3 (ĐN )/Trạm CSGT Hòa Hiệp - Trại giam CATP/Trạm CSGT Hòa Hiệp - Trại giam CATP - Trung thế 1</v>
          </cell>
          <cell r="U1454">
            <v>3483.25</v>
          </cell>
        </row>
        <row r="1455">
          <cell r="L1455" t="str">
            <v>Trạm CSGT Hòa Hiệp - Trại giam CATP</v>
          </cell>
          <cell r="M1455" t="str">
            <v>270.03</v>
          </cell>
          <cell r="N1455" t="str">
            <v>20.38</v>
          </cell>
          <cell r="O1455" t="str">
            <v>16.140616</v>
          </cell>
          <cell r="P1455" t="str">
            <v>108.119791</v>
          </cell>
          <cell r="Q1455" t="str">
            <v>249.65</v>
          </cell>
          <cell r="R1455" t="str">
            <v>16.107706</v>
          </cell>
          <cell r="S1455" t="str">
            <v>108.128424</v>
          </cell>
          <cell r="T1455" t="str">
            <v>full_h04/TP Đà Nẵng/TP Đà Nẵng/Mạng cấp 3_ DN và Quảng Nam/Phòng - Ring 3 (ĐN ).kmz/Phòng - Ring 3 (ĐN )/Trạm CSGT Hòa Hiệp - Trại giam CATP/Trạm CSGT Hòa Hiệp - Trại giam CATP - Trung thế 1</v>
          </cell>
          <cell r="U1455">
            <v>270.02999999999997</v>
          </cell>
        </row>
        <row r="1456">
          <cell r="L1456" t="str">
            <v>TTCMKV Liên Chiểu - Trạm CSGT Hòa Hiệp</v>
          </cell>
          <cell r="M1456" t="str">
            <v>490.42</v>
          </cell>
          <cell r="N1456" t="str">
            <v>463.11</v>
          </cell>
          <cell r="O1456" t="str">
            <v>16.074614</v>
          </cell>
          <cell r="P1456" t="str">
            <v>108.149481</v>
          </cell>
          <cell r="Q1456" t="str">
            <v>27.31</v>
          </cell>
          <cell r="R1456" t="str">
            <v>16.074274</v>
          </cell>
          <cell r="S1456" t="str">
            <v>108.158044</v>
          </cell>
          <cell r="T1456" t="str">
            <v>full_h04/TP Đà Nẵng/TP Đà Nẵng/Mạng cấp 3_ DN và Quảng Nam/Phòng - Ring 3 (ĐN ).kmz/Phòng - Ring 3 (ĐN )/TTCMKV Liên Chiểu - Trạm CSGT Hòa Hiệp/TTCMKV Liên Chiểu - Trạm CSGT Hòa Hiệp-Trung thế 1</v>
          </cell>
          <cell r="U1456">
            <v>490.42</v>
          </cell>
        </row>
        <row r="1457">
          <cell r="L1457" t="str">
            <v>TT1 Đà Nẵng-Hải Vân</v>
          </cell>
          <cell r="M1457" t="str">
            <v>605.01</v>
          </cell>
          <cell r="N1457" t="str">
            <v>492.71</v>
          </cell>
          <cell r="O1457" t="str">
            <v>16.081017</v>
          </cell>
          <cell r="P1457" t="str">
            <v>108.146484</v>
          </cell>
          <cell r="Q1457" t="str">
            <v>112.31</v>
          </cell>
          <cell r="R1457" t="str">
            <v>16.084243</v>
          </cell>
          <cell r="S1457" t="str">
            <v>108.150699</v>
          </cell>
          <cell r="T1457" t="str">
            <v>full_h04/TP Đà Nẵng/TP Đà Nẵng/Mạng cấp 4 - ĐN cũ/Ring 5 - DN/TT1 Đà Nẵng-Hải Vân/Trung thế</v>
          </cell>
          <cell r="U1457">
            <v>605.01</v>
          </cell>
        </row>
        <row r="1458">
          <cell r="L1458" t="str">
            <v>TT1 Đà Nẵng-Hải Vân</v>
          </cell>
          <cell r="M1458" t="str">
            <v>177.02</v>
          </cell>
          <cell r="N1458" t="str">
            <v>14.62</v>
          </cell>
          <cell r="O1458" t="str">
            <v>16.107544</v>
          </cell>
          <cell r="P1458" t="str">
            <v>108.125987</v>
          </cell>
          <cell r="Q1458" t="str">
            <v>162.41</v>
          </cell>
          <cell r="R1458" t="str">
            <v>16.105843</v>
          </cell>
          <cell r="S1458" t="str">
            <v>108.132670</v>
          </cell>
          <cell r="T1458" t="str">
            <v>full_h04/TP Đà Nẵng/TP Đà Nẵng/Mạng cấp 4 - ĐN cũ/Ring 5 - DN/TT1 Đà Nẵng-Hải Vân/Trung thế</v>
          </cell>
          <cell r="U1458">
            <v>177.02</v>
          </cell>
        </row>
        <row r="1459">
          <cell r="L1459" t="str">
            <v>Trạm CSGT Hòa Hiệp - Trại giam CATP</v>
          </cell>
          <cell r="M1459" t="str">
            <v>270.03</v>
          </cell>
          <cell r="N1459" t="str">
            <v>249.65</v>
          </cell>
          <cell r="O1459" t="str">
            <v>16.107706</v>
          </cell>
          <cell r="P1459" t="str">
            <v>108.128424</v>
          </cell>
          <cell r="Q1459" t="str">
            <v>20.38</v>
          </cell>
          <cell r="R1459" t="str">
            <v>16.140616</v>
          </cell>
          <cell r="S1459" t="str">
            <v>108.119791</v>
          </cell>
          <cell r="T1459" t="str">
            <v>full_h04/TP Đà Nẵng/TP Đà Nẵng/Mạng cấp 3_ DN và Quảng Nam/Phòng - Ring 3 (ĐN ).kmz/Phòng - Ring 3 (ĐN )/Trạm CSGT Hòa Hiệp - Trại giam CATP/Trạm CSGT Hòa Hiệp - Trại giam CATP - Trung thế 1</v>
          </cell>
          <cell r="U1459">
            <v>270.02999999999997</v>
          </cell>
        </row>
        <row r="1460">
          <cell r="L1460" t="str">
            <v>TT1 Đà Nẵng-Hải Vân</v>
          </cell>
          <cell r="M1460" t="str">
            <v>194.31</v>
          </cell>
          <cell r="N1460" t="str">
            <v>14.62</v>
          </cell>
          <cell r="O1460" t="str">
            <v>16.107544</v>
          </cell>
          <cell r="P1460" t="str">
            <v>108.125987</v>
          </cell>
          <cell r="Q1460" t="str">
            <v>179.69</v>
          </cell>
          <cell r="R1460" t="str">
            <v>16.100844</v>
          </cell>
          <cell r="S1460" t="str">
            <v>108.135134</v>
          </cell>
          <cell r="T1460" t="str">
            <v>full_h04/TP Đà Nẵng/TP Đà Nẵng/Mạng cấp 4 - ĐN cũ/Ring 5 - DN/TT1 Đà Nẵng-Hải Vân/Trung thế</v>
          </cell>
          <cell r="U1460">
            <v>194.31</v>
          </cell>
        </row>
        <row r="1461">
          <cell r="L1461" t="str">
            <v>K01 - A01</v>
          </cell>
          <cell r="M1461" t="str">
            <v>366.33</v>
          </cell>
          <cell r="N1461" t="str">
            <v>50.98</v>
          </cell>
          <cell r="O1461" t="str">
            <v>16.038462</v>
          </cell>
          <cell r="P1461" t="str">
            <v>108.242496</v>
          </cell>
          <cell r="Q1461" t="str">
            <v>315.35</v>
          </cell>
          <cell r="R1461" t="str">
            <v>16.043773</v>
          </cell>
          <cell r="S1461" t="str">
            <v>108.244814</v>
          </cell>
          <cell r="T1461" t="str">
            <v>full_h04/TP Đà Nẵng/TP Đà Nẵng/Mạng cấp 2/Cấp 2 - Ring 3/K01 - A01/Ngầm hiện hữu</v>
          </cell>
          <cell r="U1461">
            <v>366.33</v>
          </cell>
        </row>
        <row r="1462">
          <cell r="L1462" t="str">
            <v>K01 - A01</v>
          </cell>
          <cell r="M1462" t="str">
            <v>103.93</v>
          </cell>
          <cell r="N1462" t="str">
            <v>50.98</v>
          </cell>
          <cell r="O1462" t="str">
            <v>16.038462</v>
          </cell>
          <cell r="P1462" t="str">
            <v>108.242496</v>
          </cell>
          <cell r="Q1462" t="str">
            <v>52.95</v>
          </cell>
          <cell r="R1462" t="str">
            <v>16.042570</v>
          </cell>
          <cell r="S1462" t="str">
            <v>108.245257</v>
          </cell>
          <cell r="T1462" t="str">
            <v>full_h04/TP Đà Nẵng/TP Đà Nẵng/Mạng cấp 2/Cấp 2 - Ring 3/K01 - A01/Ngầm hiện hữu</v>
          </cell>
          <cell r="U1462">
            <v>103.93</v>
          </cell>
        </row>
        <row r="1463">
          <cell r="L1463" t="str">
            <v>K01 - A01</v>
          </cell>
          <cell r="M1463" t="str">
            <v>711.92</v>
          </cell>
          <cell r="N1463" t="str">
            <v>50.98</v>
          </cell>
          <cell r="O1463" t="str">
            <v>16.038462</v>
          </cell>
          <cell r="P1463" t="str">
            <v>108.242496</v>
          </cell>
          <cell r="Q1463" t="str">
            <v>660.94</v>
          </cell>
          <cell r="R1463" t="str">
            <v>16.026435</v>
          </cell>
          <cell r="S1463" t="str">
            <v>108.248806</v>
          </cell>
          <cell r="T1463" t="str">
            <v>full_h04/TP Đà Nẵng/TP Đà Nẵng/Mạng cấp 2/Cấp 2 - Ring 3/K01 - A01/Ngầm hiện hữu</v>
          </cell>
          <cell r="U1463">
            <v>711.92</v>
          </cell>
        </row>
        <row r="1465">
          <cell r="L1465" t="str">
            <v>An Hải - Sơn Trà</v>
          </cell>
          <cell r="M1465" t="str">
            <v>45.28</v>
          </cell>
          <cell r="N1465" t="str">
            <v>22.93</v>
          </cell>
          <cell r="O1465" t="str">
            <v>16.082997</v>
          </cell>
          <cell r="P1465" t="str">
            <v>108.229310</v>
          </cell>
          <cell r="Q1465" t="str">
            <v>22.35</v>
          </cell>
          <cell r="R1465" t="str">
            <v>16.080313</v>
          </cell>
          <cell r="S1465" t="str">
            <v>108.231584</v>
          </cell>
          <cell r="T1465" t="str">
            <v>full_h04/TP Đà Nẵng/TP Đà Nẵng/Mạng cấp 4 - ĐN cũ/Ring 1 -DN/An Hải - Sơn Trà/Trung thế</v>
          </cell>
          <cell r="U1465">
            <v>45.28</v>
          </cell>
        </row>
        <row r="1466">
          <cell r="L1466" t="str">
            <v>Sơn Trà - TT1 Đà Nẵng - check ngầm</v>
          </cell>
          <cell r="M1466" t="str">
            <v>85.23</v>
          </cell>
          <cell r="N1466" t="str">
            <v>12.83</v>
          </cell>
          <cell r="O1466" t="str">
            <v>16.082982</v>
          </cell>
          <cell r="P1466" t="str">
            <v>108.228996</v>
          </cell>
          <cell r="Q1466" t="str">
            <v>72.39</v>
          </cell>
          <cell r="R1466" t="str">
            <v>16.078888</v>
          </cell>
          <cell r="S1466" t="str">
            <v>108.228974</v>
          </cell>
          <cell r="T1466" t="str">
            <v>full_h04/TP Đà Nẵng/TP Đà Nẵng/Mạng cấp 4 - ĐN cũ/Ring 1 -DN/Sơn Trà - TT1 Đà Nẵng - check ngầm/Cống bể VNPT</v>
          </cell>
          <cell r="U1466">
            <v>85.23</v>
          </cell>
        </row>
        <row r="1467">
          <cell r="L1467" t="str">
            <v>An Hải - Sơn Trà</v>
          </cell>
          <cell r="M1467" t="str">
            <v>398.28</v>
          </cell>
          <cell r="N1467" t="str">
            <v>22.93</v>
          </cell>
          <cell r="O1467" t="str">
            <v>16.082997</v>
          </cell>
          <cell r="P1467" t="str">
            <v>108.229310</v>
          </cell>
          <cell r="Q1467" t="str">
            <v>375.36</v>
          </cell>
          <cell r="R1467" t="str">
            <v>16.078872</v>
          </cell>
          <cell r="S1467" t="str">
            <v>108.232797</v>
          </cell>
          <cell r="T1467" t="str">
            <v>full_h04/TP Đà Nẵng/TP Đà Nẵng/Mạng cấp 4 - ĐN cũ/Ring 1 -DN/An Hải - Sơn Trà/Trung thế</v>
          </cell>
          <cell r="U1467">
            <v>398.28</v>
          </cell>
        </row>
        <row r="1468">
          <cell r="L1468" t="str">
            <v>An Hải - Sơn Trà</v>
          </cell>
          <cell r="M1468" t="str">
            <v>297.76</v>
          </cell>
          <cell r="N1468" t="str">
            <v>2.32</v>
          </cell>
          <cell r="O1468" t="str">
            <v>16.083035</v>
          </cell>
          <cell r="P1468" t="str">
            <v>108.229079</v>
          </cell>
          <cell r="Q1468" t="str">
            <v>295.44</v>
          </cell>
          <cell r="R1468" t="str">
            <v>16.083126</v>
          </cell>
          <cell r="S1468" t="str">
            <v>108.229298</v>
          </cell>
          <cell r="T1468" t="str">
            <v>full_h04/TP Đà Nẵng/TP Đà Nẵng/Mạng cấp 4 - ĐN cũ/Ring 1 -DN/An Hải - Sơn Trà/Trồng mới</v>
          </cell>
          <cell r="U1468">
            <v>297.76</v>
          </cell>
        </row>
        <row r="1469">
          <cell r="L1469" t="str">
            <v>Hòa Khánh - An Khê</v>
          </cell>
          <cell r="M1469" t="str">
            <v>449.92</v>
          </cell>
          <cell r="N1469" t="str">
            <v>6.41</v>
          </cell>
          <cell r="O1469" t="str">
            <v>16.057247</v>
          </cell>
          <cell r="P1469" t="str">
            <v>108.181504</v>
          </cell>
          <cell r="Q1469" t="str">
            <v>443.51</v>
          </cell>
          <cell r="R1469" t="str">
            <v>16.056746</v>
          </cell>
          <cell r="S1469" t="str">
            <v>108.180753</v>
          </cell>
          <cell r="T1469" t="str">
            <v>full_h04/TP Đà Nẵng/TP Đà Nẵng/Mạng cấp 4 - ĐN cũ/Ring 6 - DN/Hòa Khánh - An Khê/Trung thế</v>
          </cell>
          <cell r="U1469">
            <v>449.92</v>
          </cell>
        </row>
        <row r="1470">
          <cell r="L1470" t="str">
            <v>Hòa Khánh - An Khê</v>
          </cell>
          <cell r="M1470" t="str">
            <v>558.79</v>
          </cell>
          <cell r="N1470" t="str">
            <v>6.41</v>
          </cell>
          <cell r="O1470" t="str">
            <v>16.057247</v>
          </cell>
          <cell r="P1470" t="str">
            <v>108.181504</v>
          </cell>
          <cell r="Q1470" t="str">
            <v>552.39</v>
          </cell>
          <cell r="R1470" t="str">
            <v>16.058513</v>
          </cell>
          <cell r="S1470" t="str">
            <v>108.180147</v>
          </cell>
          <cell r="T1470" t="str">
            <v>full_h04/TP Đà Nẵng/TP Đà Nẵng/Mạng cấp 4 - ĐN cũ/Ring 6 - DN/Hòa Khánh - An Khê/Trung thế</v>
          </cell>
          <cell r="U1470">
            <v>558.79</v>
          </cell>
        </row>
        <row r="1471">
          <cell r="L1471" t="str">
            <v>An Khê - Thanh Khê</v>
          </cell>
          <cell r="M1471" t="str">
            <v>786.67</v>
          </cell>
          <cell r="N1471" t="str">
            <v>4.51</v>
          </cell>
          <cell r="O1471" t="str">
            <v>16.057228</v>
          </cell>
          <cell r="P1471" t="str">
            <v>108.181516</v>
          </cell>
          <cell r="Q1471" t="str">
            <v>782.16</v>
          </cell>
          <cell r="R1471" t="str">
            <v>16.057034</v>
          </cell>
          <cell r="S1471" t="str">
            <v>108.181619</v>
          </cell>
          <cell r="T1471" t="str">
            <v>full_h04/TP Đà Nẵng/TP Đà Nẵng/Mạng cấp 4 - ĐN cũ/Ring 6 - DN/An Khê - Thanh Khê/Trung thế</v>
          </cell>
          <cell r="U1471">
            <v>786.67</v>
          </cell>
        </row>
        <row r="1472">
          <cell r="L1472" t="str">
            <v>An Khê - Thanh Khê</v>
          </cell>
          <cell r="M1472" t="str">
            <v>191.85</v>
          </cell>
          <cell r="N1472" t="str">
            <v>10.87</v>
          </cell>
          <cell r="O1472" t="str">
            <v>16.070730</v>
          </cell>
          <cell r="P1472" t="str">
            <v>108.192493</v>
          </cell>
          <cell r="Q1472" t="str">
            <v>180.97</v>
          </cell>
          <cell r="R1472" t="str">
            <v>16.071201</v>
          </cell>
          <cell r="S1472" t="str">
            <v>108.191708</v>
          </cell>
          <cell r="T1472" t="str">
            <v>full_h04/TP Đà Nẵng/TP Đà Nẵng/Mạng cấp 4 - ĐN cũ/Ring 6 - DN/An Khê - Thanh Khê/Trung thế</v>
          </cell>
          <cell r="U1472">
            <v>191.85</v>
          </cell>
        </row>
        <row r="1473">
          <cell r="L1473" t="str">
            <v>TT1 Đà Nẵng - Liên Chiểu</v>
          </cell>
          <cell r="M1473" t="str">
            <v>226.88</v>
          </cell>
          <cell r="N1473" t="str">
            <v>195.19</v>
          </cell>
          <cell r="O1473" t="str">
            <v>16.072437</v>
          </cell>
          <cell r="P1473" t="str">
            <v>108.191826</v>
          </cell>
          <cell r="Q1473" t="str">
            <v>31.69</v>
          </cell>
          <cell r="R1473" t="str">
            <v>16.073625</v>
          </cell>
          <cell r="S1473" t="str">
            <v>108.185683</v>
          </cell>
          <cell r="T1473" t="str">
            <v>full_h04/TP Đà Nẵng/TP Đà Nẵng/Mạng cấp 3_ DN và Quảng Nam/Cấp 3 - Ring 2 - Đà Nẵng cũ/TT1 Đà Nẵng - Liên Chiểu/Trung thế TT1 Đà nẵng - Liên chiểu 2</v>
          </cell>
          <cell r="U1473">
            <v>226.88</v>
          </cell>
        </row>
        <row r="1474">
          <cell r="L1474" t="str">
            <v>Thanh Khê - TT1 Đà Nẵng</v>
          </cell>
          <cell r="M1474" t="str">
            <v>69.67</v>
          </cell>
          <cell r="N1474" t="str">
            <v>11.25</v>
          </cell>
          <cell r="O1474" t="str">
            <v>16.070743</v>
          </cell>
          <cell r="P1474" t="str">
            <v>108.192502</v>
          </cell>
          <cell r="Q1474" t="str">
            <v>58.42</v>
          </cell>
          <cell r="R1474" t="str">
            <v>16.071004</v>
          </cell>
          <cell r="S1474" t="str">
            <v>108.200844</v>
          </cell>
          <cell r="T1474" t="str">
            <v>full_h04/TP Đà Nẵng/TP Đà Nẵng/Mạng cấp 4 - ĐN cũ/Ring 6 - DN/Thanh Khê - TT1 Đà Nẵng/Trung thế</v>
          </cell>
          <cell r="U1474">
            <v>69.67</v>
          </cell>
        </row>
        <row r="1475">
          <cell r="L1475" t="str">
            <v>Thanh Khê - TT1 Đà Nẵng</v>
          </cell>
          <cell r="M1475" t="str">
            <v>644.80</v>
          </cell>
          <cell r="N1475" t="str">
            <v>11.25</v>
          </cell>
          <cell r="O1475" t="str">
            <v>16.070743</v>
          </cell>
          <cell r="P1475" t="str">
            <v>108.192502</v>
          </cell>
          <cell r="Q1475" t="str">
            <v>633.54</v>
          </cell>
          <cell r="R1475" t="str">
            <v>16.071004</v>
          </cell>
          <cell r="S1475" t="str">
            <v>108.200844</v>
          </cell>
          <cell r="T1475" t="str">
            <v>full_h04/TP Đà Nẵng/TP Đà Nẵng/Mạng cấp 4 - ĐN cũ/Ring 6 - DN/Thanh Khê - TT1 Đà Nẵng/Trung thế</v>
          </cell>
          <cell r="U1475">
            <v>644.79999999999995</v>
          </cell>
        </row>
        <row r="1476">
          <cell r="L1476" t="str">
            <v>Điện Bàn Đông - Hội An Tây</v>
          </cell>
          <cell r="M1476" t="str">
            <v>274.68</v>
          </cell>
          <cell r="N1476" t="str">
            <v>1.42</v>
          </cell>
          <cell r="O1476" t="str">
            <v>15.949006</v>
          </cell>
          <cell r="P1476" t="str">
            <v>108.254912</v>
          </cell>
          <cell r="Q1476" t="str">
            <v>273.26</v>
          </cell>
          <cell r="R1476" t="str">
            <v>15.949006</v>
          </cell>
          <cell r="S1476" t="str">
            <v>108.254912</v>
          </cell>
          <cell r="T1476" t="str">
            <v>full_h04/TP Đà Nẵng/TP Đà Nẵng/Mạng cấp 4 - Quảng Nam/Quảng Nam - Ring 1/Điện Bàn Đông - Hội An Tây/trồng mới 1</v>
          </cell>
          <cell r="U1476">
            <v>274.68</v>
          </cell>
        </row>
        <row r="1477">
          <cell r="L1477" t="str">
            <v>TTCMKV Điện Bàn - An Thắng</v>
          </cell>
          <cell r="M1477" t="str">
            <v>312.47</v>
          </cell>
          <cell r="N1477" t="str">
            <v>18.02</v>
          </cell>
          <cell r="O1477" t="str">
            <v>15.919997</v>
          </cell>
          <cell r="P1477" t="str">
            <v>108.221555</v>
          </cell>
          <cell r="Q1477" t="str">
            <v>294.45</v>
          </cell>
          <cell r="R1477" t="str">
            <v>15.889352</v>
          </cell>
          <cell r="S1477" t="str">
            <v>108.256027</v>
          </cell>
          <cell r="T1477" t="str">
            <v>full_h04/TP Đà Nẵng/TP Đà Nẵng/Mạng cấp 4 - Quảng Nam/Quảng Nam - Ring 1/TTCMKV Điện Bàn - An Thắng/trung thế</v>
          </cell>
          <cell r="U1477">
            <v>312.47000000000003</v>
          </cell>
        </row>
        <row r="1478">
          <cell r="L1478" t="str">
            <v>Điện Bàn Bắc - TTCMKV Hội An</v>
          </cell>
          <cell r="M1478" t="str">
            <v>2005.71</v>
          </cell>
          <cell r="N1478" t="str">
            <v>1342.73</v>
          </cell>
          <cell r="O1478" t="str">
            <v>15.932121</v>
          </cell>
          <cell r="P1478" t="str">
            <v>108.223150</v>
          </cell>
          <cell r="Q1478" t="str">
            <v>662.98</v>
          </cell>
          <cell r="R1478" t="str">
            <v>15.933014</v>
          </cell>
          <cell r="S1478" t="str">
            <v>108.208342</v>
          </cell>
          <cell r="T1478" t="str">
            <v>full_h04/TP Đà Nẵng/TP Đà Nẵng/Mạng cấp 4 - Quảng Nam/Quảng Nam - Ring 2/Điện Bàn Bắc - TTCMKV Hội An/trung thế 1</v>
          </cell>
          <cell r="U1478">
            <v>2005.71</v>
          </cell>
        </row>
        <row r="1479">
          <cell r="L1479" t="str">
            <v>Điện Bàn Tây - Điện Bàn Bắc</v>
          </cell>
          <cell r="M1479" t="str">
            <v>3162.64</v>
          </cell>
          <cell r="N1479" t="str">
            <v>40.38</v>
          </cell>
          <cell r="O1479" t="str">
            <v>15.923459</v>
          </cell>
          <cell r="P1479" t="str">
            <v>108.157512</v>
          </cell>
          <cell r="Q1479" t="str">
            <v>3122.25</v>
          </cell>
          <cell r="R1479" t="str">
            <v>15.909742</v>
          </cell>
          <cell r="S1479" t="str">
            <v>108.160770</v>
          </cell>
          <cell r="T1479" t="str">
            <v>full_h04/TP Đà Nẵng/TP Đà Nẵng/Mạng cấp 4 - Quảng Nam/Quảng Nam - Ring 2/Điện Bàn Tây - Điện Bàn Bắc/hạ thế 2</v>
          </cell>
          <cell r="U1479">
            <v>3162.64</v>
          </cell>
        </row>
        <row r="1480">
          <cell r="L1480" t="str">
            <v>Điện Bàn Tây - Điện Bàn Bắc</v>
          </cell>
          <cell r="M1480" t="str">
            <v>2587.93</v>
          </cell>
          <cell r="N1480" t="str">
            <v>40.38</v>
          </cell>
          <cell r="O1480" t="str">
            <v>15.923459</v>
          </cell>
          <cell r="P1480" t="str">
            <v>108.157512</v>
          </cell>
          <cell r="Q1480" t="str">
            <v>2547.55</v>
          </cell>
          <cell r="R1480" t="str">
            <v>15.921165</v>
          </cell>
          <cell r="S1480" t="str">
            <v>108.156412</v>
          </cell>
          <cell r="T1480" t="str">
            <v>full_h04/TP Đà Nẵng/TP Đà Nẵng/Mạng cấp 4 - Quảng Nam/Quảng Nam - Ring 2/Điện Bàn Tây - Điện Bàn Bắc/hạ thế 2</v>
          </cell>
          <cell r="U1480">
            <v>2587.9299999999998</v>
          </cell>
        </row>
        <row r="1481">
          <cell r="L1481" t="str">
            <v>Điện Bàn Tây - Điện Bàn Bắc</v>
          </cell>
          <cell r="M1481" t="str">
            <v>87.58</v>
          </cell>
          <cell r="N1481" t="str">
            <v>40.38</v>
          </cell>
          <cell r="O1481" t="str">
            <v>15.923459</v>
          </cell>
          <cell r="P1481" t="str">
            <v>108.157512</v>
          </cell>
          <cell r="Q1481" t="str">
            <v>47.20</v>
          </cell>
          <cell r="R1481" t="str">
            <v>15.921165</v>
          </cell>
          <cell r="S1481" t="str">
            <v>108.156412</v>
          </cell>
          <cell r="T1481" t="str">
            <v>full_h04/TP Đà Nẵng/TP Đà Nẵng/Mạng cấp 4 - Quảng Nam/Quảng Nam - Ring 2/Điện Bàn Tây - Điện Bàn Bắc/hạ thế 2</v>
          </cell>
          <cell r="U1481">
            <v>87.58</v>
          </cell>
        </row>
        <row r="1482">
          <cell r="L1482" t="str">
            <v>Trại giam An Điềm (C10) - Duy Xuyên</v>
          </cell>
          <cell r="M1482" t="str">
            <v>863.95</v>
          </cell>
          <cell r="N1482" t="str">
            <v>556.94</v>
          </cell>
          <cell r="O1482" t="str">
            <v>15.846783</v>
          </cell>
          <cell r="P1482" t="str">
            <v>108.091896</v>
          </cell>
          <cell r="Q1482" t="str">
            <v>307.02</v>
          </cell>
          <cell r="R1482" t="str">
            <v>15.851334</v>
          </cell>
          <cell r="S1482" t="str">
            <v>107.945141</v>
          </cell>
          <cell r="T1482" t="str">
            <v>full_h04/TP Đà Nẵng/TP Đà Nẵng/Mạng cấp 3_ DN và Quảng Nam/Cấp 3 - Ring 3 - Quảng Nam cũ/Trại giam An Điềm (C10) - Duy Xuyên/Trung thế</v>
          </cell>
          <cell r="U1482">
            <v>863.95</v>
          </cell>
        </row>
        <row r="1483">
          <cell r="L1483" t="str">
            <v>Trại giam An Điềm (C10) - Duy Xuyên</v>
          </cell>
          <cell r="M1483" t="str">
            <v>1264.65</v>
          </cell>
          <cell r="N1483" t="str">
            <v>556.94</v>
          </cell>
          <cell r="O1483" t="str">
            <v>15.846783</v>
          </cell>
          <cell r="P1483" t="str">
            <v>108.091896</v>
          </cell>
          <cell r="Q1483" t="str">
            <v>707.71</v>
          </cell>
          <cell r="R1483" t="str">
            <v>15.829068</v>
          </cell>
          <cell r="S1483" t="str">
            <v>108.202787</v>
          </cell>
          <cell r="T1483" t="str">
            <v>full_h04/TP Đà Nẵng/TP Đà Nẵng/Mạng cấp 3_ DN và Quảng Nam/Cấp 3 - Ring 3 - Quảng Nam cũ/Trại giam An Điềm (C10) - Duy Xuyên/Trung thế</v>
          </cell>
          <cell r="U1483">
            <v>1264.6500000000001</v>
          </cell>
        </row>
        <row r="1484">
          <cell r="L1484" t="str">
            <v>TTCMKV Đại Lộc - Vu Gia</v>
          </cell>
          <cell r="M1484" t="str">
            <v>1160.95</v>
          </cell>
          <cell r="N1484" t="str">
            <v>54.34</v>
          </cell>
          <cell r="O1484" t="str">
            <v>15.846954</v>
          </cell>
          <cell r="P1484" t="str">
            <v>108.086629</v>
          </cell>
          <cell r="Q1484" t="str">
            <v>1106.61</v>
          </cell>
          <cell r="R1484" t="str">
            <v>15.846134</v>
          </cell>
          <cell r="S1484" t="str">
            <v>108.106295</v>
          </cell>
          <cell r="T1484" t="str">
            <v>full_h04/TP Đà Nẵng/TP Đà Nẵng/Mạng cấp 4 - Quảng Nam/Quảng Nam - Ring 6_fix.kmz/Quảng Nam - Ring 6/TTCMKV Đại Lộc - Vu Gia/trung thế 1</v>
          </cell>
          <cell r="U1484">
            <v>1160.95</v>
          </cell>
        </row>
        <row r="1485">
          <cell r="L1485" t="str">
            <v>Phú Thuận - Duy Xuyên</v>
          </cell>
          <cell r="M1485" t="str">
            <v>1245.09</v>
          </cell>
          <cell r="N1485" t="str">
            <v>1026.37</v>
          </cell>
          <cell r="O1485" t="str">
            <v>15.837248</v>
          </cell>
          <cell r="P1485" t="str">
            <v>108.086302</v>
          </cell>
          <cell r="Q1485" t="str">
            <v>218.72</v>
          </cell>
          <cell r="R1485" t="str">
            <v>15.830485</v>
          </cell>
          <cell r="S1485" t="str">
            <v>108.084808</v>
          </cell>
          <cell r="T1485" t="str">
            <v>full_h04/TP Đà Nẵng/TP Đà Nẵng/Mạng cấp 4 - Quảng Nam/Quảng Nam - Ring 6_fix.kmz/Quảng Nam - Ring 6/Phú Thuận - Duy Xuyên/hạ thế 4</v>
          </cell>
          <cell r="U1485">
            <v>1245.0899999999999</v>
          </cell>
        </row>
        <row r="1486">
          <cell r="L1486" t="str">
            <v>Trại giam An Điềm (C10) - Duy Xuyên</v>
          </cell>
          <cell r="M1486" t="str">
            <v>751.85</v>
          </cell>
          <cell r="N1486" t="str">
            <v>556.94</v>
          </cell>
          <cell r="O1486" t="str">
            <v>15.846783</v>
          </cell>
          <cell r="P1486" t="str">
            <v>108.091896</v>
          </cell>
          <cell r="Q1486" t="str">
            <v>194.91</v>
          </cell>
          <cell r="R1486" t="str">
            <v>15.857137</v>
          </cell>
          <cell r="S1486" t="str">
            <v>108.083394</v>
          </cell>
          <cell r="T1486" t="str">
            <v>full_h04/TP Đà Nẵng/TP Đà Nẵng/Mạng cấp 3_ DN và Quảng Nam/Cấp 3 - Ring 3 - Quảng Nam cũ/Trại giam An Điềm (C10) - Duy Xuyên/Trung thế</v>
          </cell>
          <cell r="U1486">
            <v>751.85</v>
          </cell>
        </row>
        <row r="1487">
          <cell r="L1487" t="str">
            <v>Trại giam An Điềm (C10) - Duy Xuyên</v>
          </cell>
          <cell r="M1487" t="str">
            <v>1436.57</v>
          </cell>
          <cell r="N1487" t="str">
            <v>784.84</v>
          </cell>
          <cell r="O1487" t="str">
            <v>15.837038</v>
          </cell>
          <cell r="P1487" t="str">
            <v>108.124410</v>
          </cell>
          <cell r="Q1487" t="str">
            <v>651.74</v>
          </cell>
          <cell r="R1487" t="str">
            <v>15.859436</v>
          </cell>
          <cell r="S1487" t="str">
            <v>108.002516</v>
          </cell>
          <cell r="T1487" t="str">
            <v>full_h04/TP Đà Nẵng/TP Đà Nẵng/Mạng cấp 3_ DN và Quảng Nam/Cấp 3 - Ring 3 - Quảng Nam cũ/Trại giam An Điềm (C10) - Duy Xuyên/Trung thế</v>
          </cell>
          <cell r="U1487">
            <v>1436.57</v>
          </cell>
        </row>
        <row r="1488">
          <cell r="L1488" t="str">
            <v>Phú Thuận - Duy Xuyên</v>
          </cell>
          <cell r="M1488" t="str">
            <v>799.31</v>
          </cell>
          <cell r="N1488" t="str">
            <v>745.60</v>
          </cell>
          <cell r="O1488" t="str">
            <v>15.836685</v>
          </cell>
          <cell r="P1488" t="str">
            <v>108.124303</v>
          </cell>
          <cell r="Q1488" t="str">
            <v>53.71</v>
          </cell>
          <cell r="R1488" t="str">
            <v>15.822854</v>
          </cell>
          <cell r="S1488" t="str">
            <v>108.246860</v>
          </cell>
          <cell r="T1488" t="str">
            <v>full_h04/TP Đà Nẵng/TP Đà Nẵng/Mạng cấp 4 - Quảng Nam/Quảng Nam - Ring 6_fix.kmz/Quảng Nam - Ring 6/Phú Thuận - Duy Xuyên/trung thế 7</v>
          </cell>
          <cell r="U1488">
            <v>799.31</v>
          </cell>
        </row>
        <row r="1489">
          <cell r="L1489" t="str">
            <v>"Đội CSĐT (X. Duy Nghĩa, Duyên Xuyên) -
TTCMKV Duy Xuyên"</v>
          </cell>
          <cell r="M1489" t="str">
            <v>664.09</v>
          </cell>
          <cell r="N1489" t="str">
            <v>207.58</v>
          </cell>
          <cell r="O1489" t="str">
            <v>15.828560</v>
          </cell>
          <cell r="P1489" t="str">
            <v>108.271935</v>
          </cell>
          <cell r="Q1489" t="str">
            <v>456.51</v>
          </cell>
          <cell r="R1489" t="str">
            <v>15.822771</v>
          </cell>
          <cell r="S1489" t="str">
            <v>108.246752</v>
          </cell>
          <cell r="T1489" t="str">
            <v>full_h04/TP Đà Nẵng/TP Đà Nẵng/Mạng cấp 3_ DN và Quảng Nam/Ring Nhánh/"Đội CSĐT (X. Duy Nghĩa, Duyên Xuyên) -
TTCMKV Duy Xuyên"/Trung thế</v>
          </cell>
          <cell r="U1489">
            <v>664.09</v>
          </cell>
        </row>
        <row r="1490">
          <cell r="L1490" t="str">
            <v>"Đội CSĐT (X. Duy Nghĩa, Duyên Xuyên) -
TTCMKV Duy Xuyên"</v>
          </cell>
          <cell r="M1490" t="str">
            <v>1034.37</v>
          </cell>
          <cell r="N1490" t="str">
            <v>207.58</v>
          </cell>
          <cell r="O1490" t="str">
            <v>15.828560</v>
          </cell>
          <cell r="P1490" t="str">
            <v>108.271935</v>
          </cell>
          <cell r="Q1490" t="str">
            <v>826.79</v>
          </cell>
          <cell r="R1490" t="str">
            <v>15.830395</v>
          </cell>
          <cell r="S1490" t="str">
            <v>108.292408</v>
          </cell>
          <cell r="T1490" t="str">
            <v>full_h04/TP Đà Nẵng/TP Đà Nẵng/Mạng cấp 3_ DN và Quảng Nam/Ring Nhánh/"Đội CSĐT (X. Duy Nghĩa, Duyên Xuyên) -
TTCMKV Duy Xuyên"/Trung thế</v>
          </cell>
          <cell r="U1490">
            <v>1034.3699999999999</v>
          </cell>
        </row>
        <row r="1491">
          <cell r="L1491" t="str">
            <v>"Đội CSĐT (X. Duy Nghĩa, Duyên Xuyên) -
TTCMKV Duy Xuyên"</v>
          </cell>
          <cell r="M1491" t="str">
            <v>1318.25</v>
          </cell>
          <cell r="N1491" t="str">
            <v>207.58</v>
          </cell>
          <cell r="O1491" t="str">
            <v>15.828560</v>
          </cell>
          <cell r="P1491" t="str">
            <v>108.271935</v>
          </cell>
          <cell r="Q1491" t="str">
            <v>1110.67</v>
          </cell>
          <cell r="R1491" t="str">
            <v>15.826947</v>
          </cell>
          <cell r="S1491" t="str">
            <v>108.258463</v>
          </cell>
          <cell r="T1491" t="str">
            <v>full_h04/TP Đà Nẵng/TP Đà Nẵng/Mạng cấp 3_ DN và Quảng Nam/Ring Nhánh/"Đội CSĐT (X. Duy Nghĩa, Duyên Xuyên) -
TTCMKV Duy Xuyên"/Trung thế</v>
          </cell>
          <cell r="U1491">
            <v>1318.25</v>
          </cell>
        </row>
        <row r="1492">
          <cell r="L1492" t="str">
            <v>"Đội CSĐT (X. Duy Nghĩa, Duyên Xuyên) -
TTCMKV Duy Xuyên"</v>
          </cell>
          <cell r="M1492" t="str">
            <v>802.75</v>
          </cell>
          <cell r="N1492" t="str">
            <v>207.58</v>
          </cell>
          <cell r="O1492" t="str">
            <v>15.828560</v>
          </cell>
          <cell r="P1492" t="str">
            <v>108.271935</v>
          </cell>
          <cell r="Q1492" t="str">
            <v>595.17</v>
          </cell>
          <cell r="R1492" t="str">
            <v>15.823723</v>
          </cell>
          <cell r="S1492" t="str">
            <v>108.255015</v>
          </cell>
          <cell r="T1492" t="str">
            <v>full_h04/TP Đà Nẵng/TP Đà Nẵng/Mạng cấp 3_ DN và Quảng Nam/Ring Nhánh/"Đội CSĐT (X. Duy Nghĩa, Duyên Xuyên) -
TTCMKV Duy Xuyên"/Trung thế</v>
          </cell>
          <cell r="U1492">
            <v>802.75</v>
          </cell>
        </row>
        <row r="1494">
          <cell r="L1494" t="str">
            <v>TT2 Tam Kỳ - Tam Xuân</v>
          </cell>
          <cell r="M1494" t="str">
            <v>1071.17</v>
          </cell>
          <cell r="N1494" t="str">
            <v>13.48</v>
          </cell>
          <cell r="O1494" t="str">
            <v>15.545696</v>
          </cell>
          <cell r="P1494" t="str">
            <v>108.521484</v>
          </cell>
          <cell r="Q1494" t="str">
            <v>1057.68</v>
          </cell>
          <cell r="R1494" t="str">
            <v>15.552980</v>
          </cell>
          <cell r="S1494" t="str">
            <v>108.506161</v>
          </cell>
          <cell r="T1494" t="str">
            <v>full_h04/TP Đà Nẵng/TP Đà Nẵng/Mạng cấp 4 - Quảng Nam/Quảng Nam - Ring 15/TT2 Tam Kỳ - Tam Xuân/Hạ thế</v>
          </cell>
          <cell r="U1494">
            <v>1071.17</v>
          </cell>
        </row>
        <row r="1495">
          <cell r="L1495" t="str">
            <v>Tam Xuân - Tam Anh</v>
          </cell>
          <cell r="M1495" t="str">
            <v>1092.49</v>
          </cell>
          <cell r="N1495" t="str">
            <v>755.06</v>
          </cell>
          <cell r="O1495" t="str">
            <v>15.541767</v>
          </cell>
          <cell r="P1495" t="str">
            <v>108.527382</v>
          </cell>
          <cell r="Q1495" t="str">
            <v>337.43</v>
          </cell>
          <cell r="R1495" t="str">
            <v>15.513627</v>
          </cell>
          <cell r="S1495" t="str">
            <v>108.557365</v>
          </cell>
          <cell r="T1495" t="str">
            <v>full_h04/TP Đà Nẵng/TP Đà Nẵng/Mạng cấp 4 - Quảng Nam/Quảng Nam - Ring 15/Tam Xuân - Tam Anh/Trung thế</v>
          </cell>
          <cell r="U1495">
            <v>1092.49</v>
          </cell>
        </row>
        <row r="1496">
          <cell r="L1496" t="str">
            <v>Tam Xuân - Tam Anh</v>
          </cell>
          <cell r="M1496" t="str">
            <v>907.91</v>
          </cell>
          <cell r="N1496" t="str">
            <v>8.84</v>
          </cell>
          <cell r="O1496" t="str">
            <v>15.545572</v>
          </cell>
          <cell r="P1496" t="str">
            <v>108.521613</v>
          </cell>
          <cell r="Q1496" t="str">
            <v>899.07</v>
          </cell>
          <cell r="R1496" t="str">
            <v>15.541735</v>
          </cell>
          <cell r="S1496" t="str">
            <v>108.527445</v>
          </cell>
          <cell r="T1496" t="str">
            <v>full_h04/TP Đà Nẵng/TP Đà Nẵng/Mạng cấp 4 - Quảng Nam/Quảng Nam - Ring 15/Tam Xuân - Tam Anh/Hạ thế</v>
          </cell>
          <cell r="U1496">
            <v>907.91</v>
          </cell>
        </row>
        <row r="1497">
          <cell r="L1497" t="str">
            <v>Chiên Đàn - Phú Ninh</v>
          </cell>
          <cell r="M1497" t="str">
            <v>58.49</v>
          </cell>
          <cell r="N1497" t="str">
            <v>44.16</v>
          </cell>
          <cell r="O1497" t="str">
            <v>15.523190</v>
          </cell>
          <cell r="P1497" t="str">
            <v>108.419530</v>
          </cell>
          <cell r="Q1497" t="str">
            <v>14.32</v>
          </cell>
          <cell r="R1497" t="str">
            <v>15.523827</v>
          </cell>
          <cell r="S1497" t="str">
            <v>108.420692</v>
          </cell>
          <cell r="T1497" t="str">
            <v>full_h04/TP Đà Nẵng/TP Đà Nẵng/Mạng cấp 4 - Quảng Nam/Quảng Nam - Ring 14/Chiên Đàn - Phú Ninh/hạ thế 3</v>
          </cell>
          <cell r="U1497">
            <v>58.49</v>
          </cell>
        </row>
        <row r="1499">
          <cell r="L1499" t="str">
            <v>Quế Sơn - Đại Lộc</v>
          </cell>
          <cell r="M1499" t="str">
            <v>1524.16</v>
          </cell>
          <cell r="N1499" t="str">
            <v>150.32</v>
          </cell>
          <cell r="O1499" t="str">
            <v>15.736057</v>
          </cell>
          <cell r="P1499" t="str">
            <v>108.289530</v>
          </cell>
          <cell r="Q1499" t="str">
            <v>1373.84</v>
          </cell>
          <cell r="R1499" t="str">
            <v>15.722346</v>
          </cell>
          <cell r="S1499" t="str">
            <v>108.279076</v>
          </cell>
          <cell r="T1499" t="str">
            <v>full_h04/TP Đà Nẵng/TP Đà Nẵng/Mạng cấp 3_ DN và Quảng Nam/Cấp 3 - Ring 3 - Quảng Nam cũ/Quế Sơn - Đại Lộc_ring 3_ cấp 3.kmz/Quế Sơn - Đại Lộc/trung thế 2</v>
          </cell>
          <cell r="U1499">
            <v>1524.16</v>
          </cell>
        </row>
        <row r="1500">
          <cell r="L1500" t="str">
            <v>Duy Xuyên - TT2 Tam Kỳ</v>
          </cell>
          <cell r="M1500" t="str">
            <v>1489.19</v>
          </cell>
          <cell r="N1500" t="str">
            <v>266.18</v>
          </cell>
          <cell r="O1500" t="str">
            <v>15.775742</v>
          </cell>
          <cell r="P1500" t="str">
            <v>108.333003</v>
          </cell>
          <cell r="Q1500" t="str">
            <v>1223.01</v>
          </cell>
          <cell r="R1500" t="str">
            <v>15.756098</v>
          </cell>
          <cell r="S1500" t="str">
            <v>108.348137</v>
          </cell>
          <cell r="T1500" t="str">
            <v>full_h04/TP Đà Nẵng/TP Đà Nẵng/Mạng cấp 3_ DN và Quảng Nam/Cấp 3 - Ring 3 - Quảng Nam cũ/Duy Xuyên - TT2 Tam Kỳ/Trung thế 2</v>
          </cell>
          <cell r="U1500">
            <v>1489.19</v>
          </cell>
        </row>
        <row r="1502">
          <cell r="L1502" t="str">
            <v>Thăng Phú - Tây Hồ</v>
          </cell>
          <cell r="M1502" t="str">
            <v>576.87</v>
          </cell>
          <cell r="N1502" t="str">
            <v>58.91</v>
          </cell>
          <cell r="O1502" t="str">
            <v>15.632675</v>
          </cell>
          <cell r="P1502" t="str">
            <v>108.374645</v>
          </cell>
          <cell r="Q1502" t="str">
            <v>517.96</v>
          </cell>
          <cell r="R1502" t="str">
            <v>15.633737</v>
          </cell>
          <cell r="S1502" t="str">
            <v>108.375322</v>
          </cell>
          <cell r="T1502" t="str">
            <v>full_h04/TP Đà Nẵng/TP Đà Nẵng/Mạng cấp 4 - Quảng Nam/Quảng Nam - Ring 11 - ok/Thăng Phú - Tây Hồ/trung thế 1</v>
          </cell>
          <cell r="U1502">
            <v>576.87</v>
          </cell>
        </row>
        <row r="1503">
          <cell r="L1503" t="str">
            <v>Thăng Phú - Tây Hồ</v>
          </cell>
          <cell r="M1503" t="str">
            <v>1507.93</v>
          </cell>
          <cell r="N1503" t="str">
            <v>1350.84</v>
          </cell>
          <cell r="O1503" t="str">
            <v>15.624055</v>
          </cell>
          <cell r="P1503" t="str">
            <v>108.383067</v>
          </cell>
          <cell r="Q1503" t="str">
            <v>157.09</v>
          </cell>
          <cell r="R1503" t="str">
            <v>15.621383</v>
          </cell>
          <cell r="S1503" t="str">
            <v>108.399039</v>
          </cell>
          <cell r="T1503" t="str">
            <v>full_h04/TP Đà Nẵng/TP Đà Nẵng/Mạng cấp 4 - Quảng Nam/Quảng Nam - Ring 11 - ok/Thăng Phú - Tây Hồ/hạ thế 1</v>
          </cell>
          <cell r="U1503">
            <v>1507.93</v>
          </cell>
        </row>
        <row r="1504">
          <cell r="L1504" t="str">
            <v>Hương Trà - Tam Kỳ</v>
          </cell>
          <cell r="M1504" t="str">
            <v>1064.20</v>
          </cell>
          <cell r="N1504" t="str">
            <v>429.55</v>
          </cell>
          <cell r="O1504" t="str">
            <v>15.544557</v>
          </cell>
          <cell r="P1504" t="str">
            <v>108.488028</v>
          </cell>
          <cell r="Q1504" t="str">
            <v>634.65</v>
          </cell>
          <cell r="R1504" t="str">
            <v>15.560666</v>
          </cell>
          <cell r="S1504" t="str">
            <v>108.485999</v>
          </cell>
          <cell r="T1504" t="str">
            <v>full_h04/TP Đà Nẵng/TP Đà Nẵng/Mạng cấp 4 - Quảng Nam/Quảng Nam - Ring 14/Hương Trà - Tam Kỳ/trung thế 1</v>
          </cell>
          <cell r="U1504">
            <v>1064.2</v>
          </cell>
        </row>
        <row r="1505">
          <cell r="L1505" t="str">
            <v>PC06 - PC07</v>
          </cell>
          <cell r="M1505" t="str">
            <v>478.99</v>
          </cell>
          <cell r="N1505" t="str">
            <v>95.74</v>
          </cell>
          <cell r="O1505" t="str">
            <v>15.575647</v>
          </cell>
          <cell r="P1505" t="str">
            <v>108.476566</v>
          </cell>
          <cell r="Q1505" t="str">
            <v>383.25</v>
          </cell>
          <cell r="R1505" t="str">
            <v>15.569207</v>
          </cell>
          <cell r="S1505" t="str">
            <v>108.476629</v>
          </cell>
          <cell r="T1505" t="str">
            <v>full_h04/TP Đà Nẵng/TP Đà Nẵng/Mạng cấp 3_ DN và Quảng Nam/Phòng -  Ring 5 ( Quảng Nam)/PC06 - PC07/Hạ thế 2</v>
          </cell>
          <cell r="U1505">
            <v>478.99</v>
          </cell>
        </row>
        <row r="1507">
          <cell r="L1507" t="str">
            <v>Phú Ninh - TT2 Tam Kỳ</v>
          </cell>
          <cell r="M1507" t="str">
            <v>941.53</v>
          </cell>
          <cell r="N1507" t="str">
            <v>362.26</v>
          </cell>
          <cell r="O1507" t="str">
            <v>15.560487</v>
          </cell>
          <cell r="P1507" t="str">
            <v>108.447258</v>
          </cell>
          <cell r="Q1507" t="str">
            <v>579.27</v>
          </cell>
          <cell r="R1507" t="str">
            <v>15.559533</v>
          </cell>
          <cell r="S1507" t="str">
            <v>108.440489</v>
          </cell>
          <cell r="T1507" t="str">
            <v>full_h04/TP Đà Nẵng/TP Đà Nẵng/Mạng cấp 3_ DN và Quảng Nam/Cấp 3 - Ring 4 - Quảng Nam cũ/Phú Ninh - TT2 Tam Kỳ/Đoạn hạ thế 2</v>
          </cell>
          <cell r="U1507">
            <v>941.53</v>
          </cell>
        </row>
        <row r="1508">
          <cell r="L1508" t="str">
            <v>TT2-Gia Lai-Ia Grai</v>
          </cell>
          <cell r="M1508" t="str">
            <v>58.08</v>
          </cell>
          <cell r="N1508" t="str">
            <v>5.40</v>
          </cell>
          <cell r="O1508" t="str">
            <v>13.976327</v>
          </cell>
          <cell r="P1508" t="str">
            <v>107.992369</v>
          </cell>
          <cell r="Q1508" t="str">
            <v>52.68</v>
          </cell>
          <cell r="R1508" t="str">
            <v>13.961506</v>
          </cell>
          <cell r="S1508" t="str">
            <v>107.853484</v>
          </cell>
          <cell r="T1508" t="str">
            <v>full_h04/Gia Lai/GE Mạng cấp III-IV Gia Lai Full v6.kmz/GE Mạng cấp III-IV Gia Lai Full/Mạng cấp III Gia Lai Full/Ring 3/TT2-Gia Lai-Ia Grai/Trung Thế</v>
          </cell>
          <cell r="U1508">
            <v>58.08</v>
          </cell>
        </row>
        <row r="1509">
          <cell r="L1509" t="str">
            <v>Ia Grai- Đức Cơ</v>
          </cell>
          <cell r="M1509" t="str">
            <v>12591.82</v>
          </cell>
          <cell r="N1509" t="str">
            <v>12574.81</v>
          </cell>
          <cell r="O1509" t="str">
            <v>13.878564</v>
          </cell>
          <cell r="P1509" t="str">
            <v>107.774421</v>
          </cell>
          <cell r="Q1509" t="str">
            <v>17.01</v>
          </cell>
          <cell r="R1509" t="str">
            <v>13.793872</v>
          </cell>
          <cell r="S1509" t="str">
            <v>107.671984</v>
          </cell>
          <cell r="T1509" t="str">
            <v>full_h04/Gia Lai/GE Mạng cấp III-IV Gia Lai Full v6.kmz/GE Mạng cấp III-IV Gia Lai Full/Mạng cấp III Gia Lai Full/Ring 3/Ia Grai- Đức Cơ/Trung Thế</v>
          </cell>
          <cell r="U1509">
            <v>12591.82</v>
          </cell>
        </row>
        <row r="1510">
          <cell r="L1510" t="str">
            <v>Đức Cơ- Chư Prông</v>
          </cell>
          <cell r="M1510" t="str">
            <v>1468.90</v>
          </cell>
          <cell r="N1510" t="str">
            <v>26.32</v>
          </cell>
          <cell r="O1510" t="str">
            <v>13.794121</v>
          </cell>
          <cell r="P1510" t="str">
            <v>107.671998</v>
          </cell>
          <cell r="Q1510" t="str">
            <v>1442.59</v>
          </cell>
          <cell r="R1510" t="str">
            <v>13.753993</v>
          </cell>
          <cell r="S1510" t="str">
            <v>107.889787</v>
          </cell>
          <cell r="T1510" t="str">
            <v>full_h04/Gia Lai/GE Mạng cấp III-IV Gia Lai Full v6.kmz/GE Mạng cấp III-IV Gia Lai Full/Mạng cấp III Gia Lai Full/Ring 3/Đức Cơ- Chư Prông/Trung Thế</v>
          </cell>
          <cell r="U1510">
            <v>1468.9</v>
          </cell>
        </row>
        <row r="1511">
          <cell r="L1511" t="str">
            <v>PC11A-Chư Sê</v>
          </cell>
          <cell r="M1511" t="str">
            <v>20446.56</v>
          </cell>
          <cell r="N1511" t="str">
            <v>10368.00</v>
          </cell>
          <cell r="O1511" t="str">
            <v>13.784673</v>
          </cell>
          <cell r="P1511" t="str">
            <v>108.068817</v>
          </cell>
          <cell r="Q1511" t="str">
            <v>10078.55</v>
          </cell>
          <cell r="R1511" t="str">
            <v>13.887287</v>
          </cell>
          <cell r="S1511" t="str">
            <v>108.026915</v>
          </cell>
          <cell r="T1511" t="str">
            <v>full_h04/Gia Lai/GE Mạng cấp III-IV Gia Lai Full v6.kmz/GE Mạng cấp III-IV Gia Lai Full/Mạng cấp III Gia Lai Full/Cấp Phòng-Ban/PC11A-Chư Sê/Trung Thế</v>
          </cell>
          <cell r="U1511">
            <v>20446.560000000001</v>
          </cell>
        </row>
        <row r="1512">
          <cell r="L1512" t="str">
            <v>Kon Gang - TTCMKV Mang Yang</v>
          </cell>
          <cell r="M1512" t="str">
            <v>26005.05</v>
          </cell>
          <cell r="N1512" t="str">
            <v>21076.90</v>
          </cell>
          <cell r="O1512" t="str">
            <v>14.059809</v>
          </cell>
          <cell r="P1512" t="str">
            <v>108.095805</v>
          </cell>
          <cell r="Q1512" t="str">
            <v>4928.14</v>
          </cell>
          <cell r="R1512" t="str">
            <v>14.013227</v>
          </cell>
          <cell r="S1512" t="str">
            <v>108.220785</v>
          </cell>
          <cell r="T1512" t="str">
            <v>full_h04/Gia Lai/GE Mạng cấp III-IV Gia Lai Full v6.kmz/GE Mạng cấp III-IV Gia Lai Full/Mạng cấp IV  Gia Lai Full/Mạng 4 GLI-Ring 3/Ring 3/Kon Gang - TTCMKV Mang Yang/Kon Gang - TTCMKV Mang Yang - Trung Thế (1)</v>
          </cell>
          <cell r="U1512">
            <v>26005.05</v>
          </cell>
        </row>
        <row r="1513">
          <cell r="L1513" t="str">
            <v>Đak Pơ- Mang Yang</v>
          </cell>
          <cell r="M1513" t="str">
            <v>133.97</v>
          </cell>
          <cell r="N1513" t="str">
            <v>115.06</v>
          </cell>
          <cell r="O1513" t="str">
            <v>14.044458</v>
          </cell>
          <cell r="P1513" t="str">
            <v>108.254570</v>
          </cell>
          <cell r="Q1513" t="str">
            <v>18.92</v>
          </cell>
          <cell r="R1513" t="str">
            <v>13.967781</v>
          </cell>
          <cell r="S1513" t="str">
            <v>108.546024</v>
          </cell>
          <cell r="T1513" t="str">
            <v>full_h04/Gia Lai/GE Mạng cấp III-IV Gia Lai Full v6.kmz/GE Mạng cấp III-IV Gia Lai Full/Mạng cấp III Gia Lai Full/Ring 4/Đak Pơ- Mang Yang/Trung Thế</v>
          </cell>
          <cell r="U1513">
            <v>133.97</v>
          </cell>
        </row>
        <row r="1514">
          <cell r="L1514" t="str">
            <v>Mang Yang-TT2 Gia Lai</v>
          </cell>
          <cell r="M1514" t="str">
            <v>1138.39</v>
          </cell>
          <cell r="N1514" t="str">
            <v>24.56</v>
          </cell>
          <cell r="O1514" t="str">
            <v>13.975977</v>
          </cell>
          <cell r="P1514" t="str">
            <v>108.007120</v>
          </cell>
          <cell r="Q1514" t="str">
            <v>1113.83</v>
          </cell>
          <cell r="R1514" t="str">
            <v>13.977303</v>
          </cell>
          <cell r="S1514" t="str">
            <v>107.993594</v>
          </cell>
          <cell r="T1514" t="str">
            <v>full_h04/Gia Lai/GE Mạng cấp III-IV Gia Lai Full v6.kmz/GE Mạng cấp III-IV Gia Lai Full/Mạng cấp III Gia Lai Full/Ring 4/Mang Yang-TT2 Gia Lai/Trung Thế</v>
          </cell>
          <cell r="U1514">
            <v>1138.3900000000001</v>
          </cell>
        </row>
        <row r="1515">
          <cell r="L1515" t="str">
            <v>TT1 Gia Lai - TT2 Gia Lai (ring 1)</v>
          </cell>
          <cell r="M1515" t="str">
            <v>264.29</v>
          </cell>
          <cell r="N1515" t="str">
            <v>78.36</v>
          </cell>
          <cell r="O1515" t="str">
            <v>13.986433</v>
          </cell>
          <cell r="P1515" t="str">
            <v>107.991055</v>
          </cell>
          <cell r="Q1515" t="str">
            <v>185.93</v>
          </cell>
          <cell r="R1515" t="str">
            <v>14.001015</v>
          </cell>
          <cell r="S1515" t="str">
            <v>107.988205</v>
          </cell>
          <cell r="T1515" t="str">
            <v>full_h04/Gia Lai/Mạng cấp 2 Gia Lai.kmz/Mạng cấp 2 Gia Lai/TT1 Gia Lai - TT2 Gia Lai (ring 1)/Trung thế 7</v>
          </cell>
          <cell r="U1515">
            <v>264.29000000000002</v>
          </cell>
        </row>
        <row r="1516">
          <cell r="L1516" t="str">
            <v>TT1 Gia Lai - TT2 Gia Lai (ring 1)</v>
          </cell>
          <cell r="M1516" t="str">
            <v>462.20</v>
          </cell>
          <cell r="N1516" t="str">
            <v>185.93</v>
          </cell>
          <cell r="O1516" t="str">
            <v>14.001015</v>
          </cell>
          <cell r="P1516" t="str">
            <v>107.988205</v>
          </cell>
          <cell r="Q1516" t="str">
            <v>276.27</v>
          </cell>
          <cell r="R1516" t="str">
            <v>14.019205</v>
          </cell>
          <cell r="S1516" t="str">
            <v>107.991445</v>
          </cell>
          <cell r="T1516" t="str">
            <v>full_h04/Gia Lai/Mạng cấp 2 Gia Lai.kmz/Mạng cấp 2 Gia Lai/TT1 Gia Lai - TT2 Gia Lai (ring 1)/Trung thế 7</v>
          </cell>
          <cell r="U1516">
            <v>462.2</v>
          </cell>
        </row>
        <row r="1517">
          <cell r="L1517" t="str">
            <v>TT1 Gia Lai - TT2 Gia Lai (ring 1)</v>
          </cell>
          <cell r="M1517" t="str">
            <v>418.31</v>
          </cell>
          <cell r="N1517" t="str">
            <v>276.27</v>
          </cell>
          <cell r="O1517" t="str">
            <v>14.019205</v>
          </cell>
          <cell r="P1517" t="str">
            <v>107.991445</v>
          </cell>
          <cell r="Q1517" t="str">
            <v>142.04</v>
          </cell>
          <cell r="R1517" t="str">
            <v>14.030605</v>
          </cell>
          <cell r="S1517" t="str">
            <v>107.989194</v>
          </cell>
          <cell r="T1517" t="str">
            <v>full_h04/Gia Lai/Mạng cấp 2 Gia Lai.kmz/Mạng cấp 2 Gia Lai/TT1 Gia Lai - TT2 Gia Lai (ring 1)/Trung thế 7</v>
          </cell>
          <cell r="U1517">
            <v>418.31</v>
          </cell>
        </row>
        <row r="1518">
          <cell r="L1518" t="str">
            <v>Pleiku - Biển Hồ</v>
          </cell>
          <cell r="M1518" t="str">
            <v>4068.01</v>
          </cell>
          <cell r="N1518" t="str">
            <v>1309.42</v>
          </cell>
          <cell r="O1518" t="str">
            <v>13.987567</v>
          </cell>
          <cell r="P1518" t="str">
            <v>108.005966</v>
          </cell>
          <cell r="Q1518" t="str">
            <v>2758.59</v>
          </cell>
          <cell r="R1518" t="str">
            <v>14.025198</v>
          </cell>
          <cell r="S1518" t="str">
            <v>107.990269</v>
          </cell>
          <cell r="T1518" t="str">
            <v>full_h04/Gia Lai/GE Mạng cấp III-IV Gia Lai Full v6.kmz/GE Mạng cấp III-IV Gia Lai Full/Mạng cấp IV  Gia Lai Full/Mạng 4 GLI-Ring 3/Ring 3/Pleiku - Biển Hồ/Pleiku - Biển Hồ - Trung Thế (2)</v>
          </cell>
          <cell r="U1518">
            <v>4068.01</v>
          </cell>
        </row>
        <row r="1519">
          <cell r="L1519" t="str">
            <v>Thống Nhất - Ia Hrung</v>
          </cell>
          <cell r="M1519" t="str">
            <v>1706.42</v>
          </cell>
          <cell r="N1519" t="str">
            <v>1432.45</v>
          </cell>
          <cell r="O1519" t="str">
            <v>14.035219</v>
          </cell>
          <cell r="P1519" t="str">
            <v>107.976332</v>
          </cell>
          <cell r="Q1519" t="str">
            <v>273.97</v>
          </cell>
          <cell r="R1519" t="str">
            <v>14.050341</v>
          </cell>
          <cell r="S1519" t="str">
            <v>107.944174</v>
          </cell>
          <cell r="T1519" t="str">
            <v>full_h04/Gia Lai/GE Mạng cấp III-IV Gia Lai Full v6.kmz/GE Mạng cấp III-IV Gia Lai Full/Mạng cấp IV  Gia Lai Full/Mạng 4 GLI-Ring 2/Thống Nhất - Ia Hrung/Thống Nhất - Ia Hrung - Trung thế</v>
          </cell>
          <cell r="U1519">
            <v>1706.42</v>
          </cell>
        </row>
        <row r="1520">
          <cell r="L1520" t="str">
            <v>Thống Nhất - Ia Hrung</v>
          </cell>
          <cell r="M1520" t="str">
            <v>518.11</v>
          </cell>
          <cell r="N1520" t="str">
            <v>273.97</v>
          </cell>
          <cell r="O1520" t="str">
            <v>14.050341</v>
          </cell>
          <cell r="P1520" t="str">
            <v>107.944174</v>
          </cell>
          <cell r="Q1520" t="str">
            <v>244.14</v>
          </cell>
          <cell r="R1520" t="str">
            <v>14.041586</v>
          </cell>
          <cell r="S1520" t="str">
            <v>107.975059</v>
          </cell>
          <cell r="T1520" t="str">
            <v>full_h04/Gia Lai/GE Mạng cấp III-IV Gia Lai Full v6.kmz/GE Mạng cấp III-IV Gia Lai Full/Mạng cấp IV  Gia Lai Full/Mạng 4 GLI-Ring 2/Thống Nhất - Ia Hrung/Thống Nhất - Ia Hrung - Trung thế</v>
          </cell>
          <cell r="U1520">
            <v>518.11</v>
          </cell>
        </row>
        <row r="1521">
          <cell r="L1521" t="str">
            <v>Thống Nhất - Ia Hrung</v>
          </cell>
          <cell r="M1521" t="str">
            <v>382.61</v>
          </cell>
          <cell r="N1521" t="str">
            <v>244.14</v>
          </cell>
          <cell r="O1521" t="str">
            <v>14.041586</v>
          </cell>
          <cell r="P1521" t="str">
            <v>107.975059</v>
          </cell>
          <cell r="Q1521" t="str">
            <v>138.47</v>
          </cell>
          <cell r="R1521" t="str">
            <v>14.030574</v>
          </cell>
          <cell r="S1521" t="str">
            <v>107.989164</v>
          </cell>
          <cell r="T1521" t="str">
            <v>full_h04/Gia Lai/GE Mạng cấp III-IV Gia Lai Full v6.kmz/GE Mạng cấp III-IV Gia Lai Full/Mạng cấp IV  Gia Lai Full/Mạng 4 GLI-Ring 2/Thống Nhất - Ia Hrung/Thống Nhất - Ia Hrung - Trung thế</v>
          </cell>
          <cell r="U1521">
            <v>382.61</v>
          </cell>
        </row>
        <row r="1522">
          <cell r="L1522" t="str">
            <v>Mang Yang-TT2 Gia Lai</v>
          </cell>
          <cell r="M1522" t="str">
            <v>2343.12</v>
          </cell>
          <cell r="N1522" t="str">
            <v>24.56</v>
          </cell>
          <cell r="O1522" t="str">
            <v>13.975977</v>
          </cell>
          <cell r="P1522" t="str">
            <v>108.007120</v>
          </cell>
          <cell r="Q1522" t="str">
            <v>2318.56</v>
          </cell>
          <cell r="R1522" t="str">
            <v>13.979895</v>
          </cell>
          <cell r="S1522" t="str">
            <v>108.056088</v>
          </cell>
          <cell r="T1522" t="str">
            <v>full_h04/Gia Lai/GE Mạng cấp III-IV Gia Lai Full v6.kmz/GE Mạng cấp III-IV Gia Lai Full/Mạng cấp III Gia Lai Full/Ring 4/Mang Yang-TT2 Gia Lai/Trung Thế</v>
          </cell>
          <cell r="U1522">
            <v>2343.12</v>
          </cell>
        </row>
        <row r="1523">
          <cell r="L1523" t="str">
            <v>Mang Yang-TT2 Gia Lai</v>
          </cell>
          <cell r="M1523" t="str">
            <v>4795.52</v>
          </cell>
          <cell r="N1523" t="str">
            <v>2318.56</v>
          </cell>
          <cell r="O1523" t="str">
            <v>13.979895</v>
          </cell>
          <cell r="P1523" t="str">
            <v>108.056088</v>
          </cell>
          <cell r="Q1523" t="str">
            <v>2476.96</v>
          </cell>
          <cell r="R1523" t="str">
            <v>13.981914</v>
          </cell>
          <cell r="S1523" t="str">
            <v>108.059037</v>
          </cell>
          <cell r="T1523" t="str">
            <v>full_h04/Gia Lai/GE Mạng cấp III-IV Gia Lai Full v6.kmz/GE Mạng cấp III-IV Gia Lai Full/Mạng cấp III Gia Lai Full/Ring 4/Mang Yang-TT2 Gia Lai/Trung Thế</v>
          </cell>
          <cell r="U1523">
            <v>4795.5200000000004</v>
          </cell>
        </row>
        <row r="1524">
          <cell r="L1524" t="str">
            <v>TT1 Gia Lai - TT2 Gia Lai (ring 1)</v>
          </cell>
          <cell r="M1524" t="str">
            <v>5546.80</v>
          </cell>
          <cell r="N1524" t="str">
            <v>5387.27</v>
          </cell>
          <cell r="O1524" t="str">
            <v>14.038877</v>
          </cell>
          <cell r="P1524" t="str">
            <v>108.017393</v>
          </cell>
          <cell r="Q1524" t="str">
            <v>159.53</v>
          </cell>
          <cell r="R1524" t="str">
            <v>14.036513</v>
          </cell>
          <cell r="S1524" t="str">
            <v>108.013386</v>
          </cell>
          <cell r="T1524" t="str">
            <v>full_h04/Gia Lai/Mạng cấp 2 Gia Lai.kmz/Mạng cấp 2 Gia Lai/TT1 Gia Lai - TT2 Gia Lai (ring 1)/Trung thế 7</v>
          </cell>
          <cell r="U1524">
            <v>5546.8</v>
          </cell>
        </row>
        <row r="1525">
          <cell r="L1525" t="str">
            <v>TT1 Gia Lai - TT2 Gia Lai (ring 1)</v>
          </cell>
          <cell r="M1525" t="str">
            <v>301.57</v>
          </cell>
          <cell r="N1525" t="str">
            <v>159.53</v>
          </cell>
          <cell r="O1525" t="str">
            <v>14.036513</v>
          </cell>
          <cell r="P1525" t="str">
            <v>108.013386</v>
          </cell>
          <cell r="Q1525" t="str">
            <v>142.04</v>
          </cell>
          <cell r="R1525" t="str">
            <v>14.030605</v>
          </cell>
          <cell r="S1525" t="str">
            <v>107.989194</v>
          </cell>
          <cell r="T1525" t="str">
            <v>full_h04/Gia Lai/Mạng cấp 2 Gia Lai.kmz/Mạng cấp 2 Gia Lai/TT1 Gia Lai - TT2 Gia Lai (ring 1)/Trung thế 7</v>
          </cell>
          <cell r="U1525">
            <v>301.57</v>
          </cell>
        </row>
        <row r="1526">
          <cell r="L1526" t="str">
            <v>Trại Giam Gia Trung-Đak Pơ</v>
          </cell>
          <cell r="M1526" t="str">
            <v>78.81</v>
          </cell>
          <cell r="N1526" t="str">
            <v>6.28</v>
          </cell>
          <cell r="O1526" t="str">
            <v>13.967899</v>
          </cell>
          <cell r="P1526" t="str">
            <v>108.546073</v>
          </cell>
          <cell r="Q1526" t="str">
            <v>72.53</v>
          </cell>
          <cell r="R1526" t="str">
            <v>14.064273</v>
          </cell>
          <cell r="S1526" t="str">
            <v>108.334809</v>
          </cell>
          <cell r="T1526" t="str">
            <v>full_h04/Gia Lai/GE Mạng cấp III-IV Gia Lai Full v6.kmz/GE Mạng cấp III-IV Gia Lai Full/Mạng cấp III Gia Lai Full/Cấp Phòng-Ban/Trại Giam Gia Trung-Đak Pơ/Trung Thế</v>
          </cell>
          <cell r="U1526">
            <v>78.81</v>
          </cell>
        </row>
        <row r="1527">
          <cell r="L1527" t="str">
            <v>Mang Yang- Trại Giam Gia Trung</v>
          </cell>
          <cell r="M1527" t="str">
            <v>175.09</v>
          </cell>
          <cell r="N1527" t="str">
            <v>20.66</v>
          </cell>
          <cell r="O1527" t="str">
            <v>14.064811</v>
          </cell>
          <cell r="P1527" t="str">
            <v>108.334502</v>
          </cell>
          <cell r="Q1527" t="str">
            <v>154.43</v>
          </cell>
          <cell r="R1527" t="str">
            <v>14.042767</v>
          </cell>
          <cell r="S1527" t="str">
            <v>108.255346</v>
          </cell>
          <cell r="T1527" t="str">
            <v>full_h04/Gia Lai/GE Mạng cấp III-IV Gia Lai Full v6.kmz/GE Mạng cấp III-IV Gia Lai Full/Mạng cấp III Gia Lai Full/Cấp Phòng-Ban/Mang Yang- Trại Giam Gia Trung/Trung Thế</v>
          </cell>
          <cell r="U1527">
            <v>175.09</v>
          </cell>
        </row>
        <row r="1528">
          <cell r="L1528" t="str">
            <v>An Khê-Đak Pơ</v>
          </cell>
          <cell r="M1528" t="str">
            <v>2951.95</v>
          </cell>
          <cell r="N1528" t="str">
            <v>23.10</v>
          </cell>
          <cell r="O1528" t="str">
            <v>13.968123</v>
          </cell>
          <cell r="P1528" t="str">
            <v>108.546165</v>
          </cell>
          <cell r="Q1528" t="str">
            <v>2928.85</v>
          </cell>
          <cell r="R1528" t="str">
            <v>13.960168</v>
          </cell>
          <cell r="S1528" t="str">
            <v>108.608309</v>
          </cell>
          <cell r="T1528" t="str">
            <v>full_h04/Gia Lai/GE Mạng cấp III-IV Gia Lai Full v6.kmz/GE Mạng cấp III-IV Gia Lai Full/Mạng cấp III Gia Lai Full/Ring 4/An Khê-Đak Pơ/Trung Thế</v>
          </cell>
          <cell r="U1528">
            <v>2951.95</v>
          </cell>
        </row>
        <row r="1529">
          <cell r="L1529" t="str">
            <v>TT1 Gia Lai - TT2 Gia Lai (ring 1)</v>
          </cell>
          <cell r="M1529" t="str">
            <v>2979.70</v>
          </cell>
          <cell r="N1529" t="str">
            <v>2928.95</v>
          </cell>
          <cell r="O1529" t="str">
            <v>13.960357</v>
          </cell>
          <cell r="P1529" t="str">
            <v>108.607570</v>
          </cell>
          <cell r="Q1529" t="str">
            <v>50.74</v>
          </cell>
          <cell r="R1529" t="str">
            <v>13.960000</v>
          </cell>
          <cell r="S1529" t="str">
            <v>108.614415</v>
          </cell>
          <cell r="T1529" t="str">
            <v>full_h04/Gia Lai/Mạng cấp 2 Gia Lai.kmz/Mạng cấp 2 Gia Lai/TT1 Gia Lai - TT2 Gia Lai (ring 1)/Trung thế 4</v>
          </cell>
          <cell r="U1529">
            <v>2979.7</v>
          </cell>
        </row>
        <row r="1530">
          <cell r="L1530" t="str">
            <v>TT1 Gia Lai - TT2 Gia Lai (ring 1)</v>
          </cell>
          <cell r="M1530" t="str">
            <v>3332.81</v>
          </cell>
          <cell r="N1530" t="str">
            <v>50.74</v>
          </cell>
          <cell r="O1530" t="str">
            <v>13.960000</v>
          </cell>
          <cell r="P1530" t="str">
            <v>108.614415</v>
          </cell>
          <cell r="Q1530" t="str">
            <v>3282.06</v>
          </cell>
          <cell r="R1530" t="str">
            <v>13.972889</v>
          </cell>
          <cell r="S1530" t="str">
            <v>108.675011</v>
          </cell>
          <cell r="T1530" t="str">
            <v>full_h04/Gia Lai/Mạng cấp 2 Gia Lai.kmz/Mạng cấp 2 Gia Lai/TT1 Gia Lai - TT2 Gia Lai (ring 1)/Trung thế 4</v>
          </cell>
          <cell r="U1530">
            <v>3332.81</v>
          </cell>
        </row>
        <row r="1531">
          <cell r="L1531" t="str">
            <v>Kông Bơ La - An Khê</v>
          </cell>
          <cell r="M1531" t="str">
            <v>6482.91</v>
          </cell>
          <cell r="N1531" t="str">
            <v>368.26</v>
          </cell>
          <cell r="O1531" t="str">
            <v>13.998237</v>
          </cell>
          <cell r="P1531" t="str">
            <v>108.654970</v>
          </cell>
          <cell r="Q1531" t="str">
            <v>6114.65</v>
          </cell>
          <cell r="R1531" t="str">
            <v>14.038970</v>
          </cell>
          <cell r="S1531" t="str">
            <v>108.647316</v>
          </cell>
          <cell r="T1531" t="str">
            <v>full_h04/Gia Lai/GE Mạng cấp III-IV Gia Lai Full v6.kmz/GE Mạng cấp III-IV Gia Lai Full/Mạng cấp IV  Gia Lai Full/Mạng 4 GLI-Ring 15/Gia Lai Ring 15/Kông Bơ La - An Khê/Kông Bơ La - An Khê - trung thế</v>
          </cell>
          <cell r="U1531">
            <v>6482.91</v>
          </cell>
        </row>
        <row r="1532">
          <cell r="L1532" t="str">
            <v>TT1 Gia Lai - TT2 Gia Lai (ring 1)</v>
          </cell>
          <cell r="M1532" t="str">
            <v>13242.18</v>
          </cell>
          <cell r="N1532" t="str">
            <v>13096.00</v>
          </cell>
          <cell r="O1532" t="str">
            <v>13.976487</v>
          </cell>
          <cell r="P1532" t="str">
            <v>108.687316</v>
          </cell>
          <cell r="Q1532" t="str">
            <v>146.18</v>
          </cell>
          <cell r="R1532" t="str">
            <v>14.042709</v>
          </cell>
          <cell r="S1532" t="str">
            <v>108.255210</v>
          </cell>
          <cell r="T1532" t="str">
            <v>full_h04/Gia Lai/Mạng cấp 2 Gia Lai.kmz/Mạng cấp 2 Gia Lai/TT1 Gia Lai - TT2 Gia Lai (ring 1)/Trung thế 4</v>
          </cell>
          <cell r="U1532">
            <v>13242.18</v>
          </cell>
        </row>
        <row r="1533">
          <cell r="L1533" t="str">
            <v>An Khê-Đak Pơ</v>
          </cell>
          <cell r="M1533" t="str">
            <v>42.13</v>
          </cell>
          <cell r="N1533" t="str">
            <v>23.10</v>
          </cell>
          <cell r="O1533" t="str">
            <v>13.968123</v>
          </cell>
          <cell r="P1533" t="str">
            <v>108.546165</v>
          </cell>
          <cell r="Q1533" t="str">
            <v>19.02</v>
          </cell>
          <cell r="R1533" t="str">
            <v>13.953626</v>
          </cell>
          <cell r="S1533" t="str">
            <v>108.654975</v>
          </cell>
          <cell r="T1533" t="str">
            <v>full_h04/Gia Lai/GE Mạng cấp III-IV Gia Lai Full v6.kmz/GE Mạng cấp III-IV Gia Lai Full/Mạng cấp III Gia Lai Full/Ring 4/An Khê-Đak Pơ/Trung Thế</v>
          </cell>
          <cell r="U1533">
            <v>42.13</v>
          </cell>
        </row>
        <row r="1534">
          <cell r="L1534" t="str">
            <v>Cửu An - TTCMKV An Khê</v>
          </cell>
          <cell r="M1534" t="str">
            <v>218.60</v>
          </cell>
          <cell r="N1534" t="str">
            <v>58.97</v>
          </cell>
          <cell r="O1534" t="str">
            <v>13.953217</v>
          </cell>
          <cell r="P1534" t="str">
            <v>108.655554</v>
          </cell>
          <cell r="Q1534" t="str">
            <v>159.63</v>
          </cell>
          <cell r="R1534" t="str">
            <v>13.971009</v>
          </cell>
          <cell r="S1534" t="str">
            <v>108.672723</v>
          </cell>
          <cell r="T1534" t="str">
            <v>full_h04/Gia Lai/GE Mạng cấp III-IV Gia Lai Full v6.kmz/GE Mạng cấp III-IV Gia Lai Full/Mạng cấp IV  Gia Lai Full/Mạng 4 GLI-Ring 16/Gia Lai Ring 16/Cửu An - TTCMKV An Khê/Cửu An - TTCMKV An Khê - trung thế</v>
          </cell>
          <cell r="U1534">
            <v>218.6</v>
          </cell>
        </row>
        <row r="1535">
          <cell r="L1535" t="str">
            <v>Cửu An - TTCMKV An Khê</v>
          </cell>
          <cell r="M1535" t="str">
            <v>269.01</v>
          </cell>
          <cell r="N1535" t="str">
            <v>159.63</v>
          </cell>
          <cell r="O1535" t="str">
            <v>13.971009</v>
          </cell>
          <cell r="P1535" t="str">
            <v>108.672723</v>
          </cell>
          <cell r="Q1535" t="str">
            <v>109.38</v>
          </cell>
          <cell r="R1535" t="str">
            <v>13.974591</v>
          </cell>
          <cell r="S1535" t="str">
            <v>108.678703</v>
          </cell>
          <cell r="T1535" t="str">
            <v>full_h04/Gia Lai/GE Mạng cấp III-IV Gia Lai Full v6.kmz/GE Mạng cấp III-IV Gia Lai Full/Mạng cấp IV  Gia Lai Full/Mạng 4 GLI-Ring 16/Gia Lai Ring 16/Cửu An - TTCMKV An Khê/Cửu An - TTCMKV An Khê - trung thế</v>
          </cell>
          <cell r="U1535">
            <v>269.01</v>
          </cell>
        </row>
        <row r="1536">
          <cell r="L1536" t="str">
            <v>TT1 Gia Lai - TT2 Gia Lai (ring 1)</v>
          </cell>
          <cell r="M1536" t="str">
            <v>380.28</v>
          </cell>
          <cell r="N1536" t="str">
            <v>189.46</v>
          </cell>
          <cell r="O1536" t="str">
            <v>13.974348</v>
          </cell>
          <cell r="P1536" t="str">
            <v>108.677654</v>
          </cell>
          <cell r="Q1536" t="str">
            <v>190.81</v>
          </cell>
          <cell r="R1536" t="str">
            <v>13.979367</v>
          </cell>
          <cell r="S1536" t="str">
            <v>108.713758</v>
          </cell>
          <cell r="T1536" t="str">
            <v>full_h04/Gia Lai/Mạng cấp 2 Gia Lai.kmz/Mạng cấp 2 Gia Lai/TT1 Gia Lai - TT2 Gia Lai (ring 1)/Trung thế 4</v>
          </cell>
          <cell r="U1536">
            <v>380.28</v>
          </cell>
        </row>
        <row r="1537">
          <cell r="L1537" t="str">
            <v>Kbang - Cửu An</v>
          </cell>
          <cell r="M1537" t="str">
            <v>1085.99</v>
          </cell>
          <cell r="N1537" t="str">
            <v>594.55</v>
          </cell>
          <cell r="O1537" t="str">
            <v>13.980578</v>
          </cell>
          <cell r="P1537" t="str">
            <v>108.709626</v>
          </cell>
          <cell r="Q1537" t="str">
            <v>491.44</v>
          </cell>
          <cell r="R1537" t="str">
            <v>14.003221</v>
          </cell>
          <cell r="S1537" t="str">
            <v>108.694164</v>
          </cell>
          <cell r="T1537" t="str">
            <v>full_h04/Gia Lai/GE Mạng cấp III-IV Gia Lai Full v6.kmz/GE Mạng cấp III-IV Gia Lai Full/Mạng cấp IV  Gia Lai Full/Mạng 4 GLI-Ring 16/Gia Lai Ring 16/Kbang - Cửu An/Kbang - Cửu An - trung thế</v>
          </cell>
          <cell r="U1537">
            <v>1085.99</v>
          </cell>
        </row>
        <row r="1538">
          <cell r="L1538" t="str">
            <v>TT1 Gia Lai - TT2 Gia Lai (ring 1)</v>
          </cell>
          <cell r="M1538" t="str">
            <v>3222.98</v>
          </cell>
          <cell r="N1538" t="str">
            <v>2913.87</v>
          </cell>
          <cell r="O1538" t="str">
            <v>13.977430</v>
          </cell>
          <cell r="P1538" t="str">
            <v>108.694885</v>
          </cell>
          <cell r="Q1538" t="str">
            <v>309.11</v>
          </cell>
          <cell r="R1538" t="str">
            <v>13.975898</v>
          </cell>
          <cell r="S1538" t="str">
            <v>108.527321</v>
          </cell>
          <cell r="T1538" t="str">
            <v>full_h04/Gia Lai/Mạng cấp 2 Gia Lai.kmz/Mạng cấp 2 Gia Lai/TT1 Gia Lai - TT2 Gia Lai (ring 1)/Trung thế 4</v>
          </cell>
          <cell r="U1538">
            <v>3222.98</v>
          </cell>
        </row>
        <row r="1539">
          <cell r="L1539" t="str">
            <v>Đak Pơ- Mang Yang</v>
          </cell>
          <cell r="M1539" t="str">
            <v>432.25</v>
          </cell>
          <cell r="N1539" t="str">
            <v>317.19</v>
          </cell>
          <cell r="O1539" t="str">
            <v>13.975923</v>
          </cell>
          <cell r="P1539" t="str">
            <v>108.527676</v>
          </cell>
          <cell r="Q1539" t="str">
            <v>115.06</v>
          </cell>
          <cell r="R1539" t="str">
            <v>14.044458</v>
          </cell>
          <cell r="S1539" t="str">
            <v>108.254570</v>
          </cell>
          <cell r="T1539" t="str">
            <v>full_h04/Gia Lai/GE Mạng cấp III-IV Gia Lai Full v6.kmz/GE Mạng cấp III-IV Gia Lai Full/Mạng cấp III Gia Lai Full/Ring 4/Đak Pơ- Mang Yang/Trung Thế</v>
          </cell>
          <cell r="U1539">
            <v>432.25</v>
          </cell>
        </row>
        <row r="1540">
          <cell r="L1540" t="str">
            <v>Mang Yang-TT2 Gia Lai</v>
          </cell>
          <cell r="M1540" t="str">
            <v>63.01</v>
          </cell>
          <cell r="N1540" t="str">
            <v>24.56</v>
          </cell>
          <cell r="O1540" t="str">
            <v>13.975977</v>
          </cell>
          <cell r="P1540" t="str">
            <v>108.007120</v>
          </cell>
          <cell r="Q1540" t="str">
            <v>38.45</v>
          </cell>
          <cell r="R1540" t="str">
            <v>13.971126</v>
          </cell>
          <cell r="S1540" t="str">
            <v>108.033049</v>
          </cell>
          <cell r="T1540" t="str">
            <v>full_h04/Gia Lai/GE Mạng cấp III-IV Gia Lai Full v6.kmz/GE Mạng cấp III-IV Gia Lai Full/Mạng cấp III Gia Lai Full/Ring 4/Mang Yang-TT2 Gia Lai/Trung Thế</v>
          </cell>
          <cell r="U1540">
            <v>63.01</v>
          </cell>
        </row>
        <row r="1541">
          <cell r="L1541" t="str">
            <v>Mang Yang-TT2 Gia Lai</v>
          </cell>
          <cell r="M1541" t="str">
            <v>82.10</v>
          </cell>
          <cell r="N1541" t="str">
            <v>38.45</v>
          </cell>
          <cell r="O1541" t="str">
            <v>13.971126</v>
          </cell>
          <cell r="P1541" t="str">
            <v>108.033049</v>
          </cell>
          <cell r="Q1541" t="str">
            <v>43.65</v>
          </cell>
          <cell r="R1541" t="str">
            <v>13.978845</v>
          </cell>
          <cell r="S1541" t="str">
            <v>108.055339</v>
          </cell>
          <cell r="T1541" t="str">
            <v>full_h04/Gia Lai/GE Mạng cấp III-IV Gia Lai Full v6.kmz/GE Mạng cấp III-IV Gia Lai Full/Mạng cấp III Gia Lai Full/Ring 4/Mang Yang-TT2 Gia Lai/Trung Thế</v>
          </cell>
          <cell r="U1541">
            <v>82.1</v>
          </cell>
        </row>
        <row r="1542">
          <cell r="L1542" t="str">
            <v>Mang Yang-TT2 Gia Lai</v>
          </cell>
          <cell r="M1542" t="str">
            <v>2364.96</v>
          </cell>
          <cell r="N1542" t="str">
            <v>43.65</v>
          </cell>
          <cell r="O1542" t="str">
            <v>13.978845</v>
          </cell>
          <cell r="P1542" t="str">
            <v>108.055339</v>
          </cell>
          <cell r="Q1542" t="str">
            <v>2321.31</v>
          </cell>
          <cell r="R1542" t="str">
            <v>13.979399</v>
          </cell>
          <cell r="S1542" t="str">
            <v>108.069846</v>
          </cell>
          <cell r="T1542" t="str">
            <v>full_h04/Gia Lai/GE Mạng cấp III-IV Gia Lai Full v6.kmz/GE Mạng cấp III-IV Gia Lai Full/Mạng cấp III Gia Lai Full/Ring 4/Mang Yang-TT2 Gia Lai/Trung Thế</v>
          </cell>
          <cell r="U1542">
            <v>2364.96</v>
          </cell>
        </row>
        <row r="1543">
          <cell r="L1543" t="str">
            <v>Ia băng - Đăk Đoa</v>
          </cell>
          <cell r="M1543" t="str">
            <v>170.90</v>
          </cell>
          <cell r="N1543" t="str">
            <v>41.41</v>
          </cell>
          <cell r="O1543" t="str">
            <v>13.959146</v>
          </cell>
          <cell r="P1543" t="str">
            <v>108.073198</v>
          </cell>
          <cell r="Q1543" t="str">
            <v>129.48</v>
          </cell>
          <cell r="R1543" t="str">
            <v>13.981231</v>
          </cell>
          <cell r="S1543" t="str">
            <v>108.077360</v>
          </cell>
          <cell r="T1543" t="str">
            <v>full_h04/Gia Lai/GE Mạng cấp III-IV Gia Lai Full v6.kmz/GE Mạng cấp III-IV Gia Lai Full/Mạng cấp IV  Gia Lai Full/Mạng 4 GLI-Ring 4/Ring 4/Ia băng - Đăk Đoa/Ia băng - Đăk Đoa - Trung thế (2)</v>
          </cell>
          <cell r="U1543">
            <v>170.9</v>
          </cell>
        </row>
        <row r="1544">
          <cell r="L1544" t="str">
            <v>Ia băng - Đăk Đoa</v>
          </cell>
          <cell r="M1544" t="str">
            <v>230.25</v>
          </cell>
          <cell r="N1544" t="str">
            <v>129.48</v>
          </cell>
          <cell r="O1544" t="str">
            <v>13.981231</v>
          </cell>
          <cell r="P1544" t="str">
            <v>108.077360</v>
          </cell>
          <cell r="Q1544" t="str">
            <v>100.76</v>
          </cell>
          <cell r="R1544" t="str">
            <v>13.986910</v>
          </cell>
          <cell r="S1544" t="str">
            <v>108.087727</v>
          </cell>
          <cell r="T1544" t="str">
            <v>full_h04/Gia Lai/GE Mạng cấp III-IV Gia Lai Full v6.kmz/GE Mạng cấp III-IV Gia Lai Full/Mạng cấp IV  Gia Lai Full/Mạng 4 GLI-Ring 4/Ring 4/Ia băng - Đăk Đoa/Ia băng - Đăk Đoa - Trung thế (2)</v>
          </cell>
          <cell r="U1544">
            <v>230.25</v>
          </cell>
        </row>
        <row r="1545">
          <cell r="L1545" t="str">
            <v>Mang Yang-TT2 Gia Lai</v>
          </cell>
          <cell r="M1545" t="str">
            <v>305.72</v>
          </cell>
          <cell r="N1545" t="str">
            <v>97.47</v>
          </cell>
          <cell r="O1545" t="str">
            <v>13.987262</v>
          </cell>
          <cell r="P1545" t="str">
            <v>108.088094</v>
          </cell>
          <cell r="Q1545" t="str">
            <v>208.25</v>
          </cell>
          <cell r="R1545" t="str">
            <v>13.993990</v>
          </cell>
          <cell r="S1545" t="str">
            <v>108.120640</v>
          </cell>
          <cell r="T1545" t="str">
            <v>full_h04/Gia Lai/GE Mạng cấp III-IV Gia Lai Full v6.kmz/GE Mạng cấp III-IV Gia Lai Full/Mạng cấp III Gia Lai Full/Ring 4/Mang Yang-TT2 Gia Lai/Trung Thế</v>
          </cell>
          <cell r="U1545">
            <v>305.72000000000003</v>
          </cell>
        </row>
        <row r="1546">
          <cell r="L1546" t="str">
            <v>TT2 Gia Lai- Chư Sê</v>
          </cell>
          <cell r="M1546" t="str">
            <v>1581.40</v>
          </cell>
          <cell r="N1546" t="str">
            <v>1489.29</v>
          </cell>
          <cell r="O1546" t="str">
            <v>13.973366</v>
          </cell>
          <cell r="P1546" t="str">
            <v>107.993383</v>
          </cell>
          <cell r="Q1546" t="str">
            <v>92.11</v>
          </cell>
          <cell r="R1546" t="str">
            <v>13.936449</v>
          </cell>
          <cell r="S1546" t="str">
            <v>108.009153</v>
          </cell>
          <cell r="T1546" t="str">
            <v>full_h04/Gia Lai/GE Mạng cấp III-IV Gia Lai Full v6.kmz/GE Mạng cấp III-IV Gia Lai Full/Mạng cấp III Gia Lai Full/Ring 4/TT2 Gia Lai- Chư Sê/Trung Thế</v>
          </cell>
          <cell r="U1546">
            <v>1581.4</v>
          </cell>
        </row>
        <row r="1548">
          <cell r="L1548" t="str">
            <v>Hội Phú - Ia Băng</v>
          </cell>
          <cell r="M1548" t="str">
            <v>1202.42</v>
          </cell>
          <cell r="N1548" t="str">
            <v>1147.16</v>
          </cell>
          <cell r="O1548" t="str">
            <v>13.894146</v>
          </cell>
          <cell r="P1548" t="str">
            <v>108.020970</v>
          </cell>
          <cell r="Q1548" t="str">
            <v>55.26</v>
          </cell>
          <cell r="R1548" t="str">
            <v>13.893011</v>
          </cell>
          <cell r="S1548" t="str">
            <v>108.048691</v>
          </cell>
          <cell r="T1548" t="str">
            <v>full_h04/Gia Lai/GE Mạng cấp III-IV Gia Lai Full v6.kmz/GE Mạng cấp III-IV Gia Lai Full/Mạng cấp IV  Gia Lai Full/Mạng 4 GLI-Ring 4/Ring 4/Hội Phú - Ia Băng/Hội phú - Ia băng - trung thế (4)</v>
          </cell>
          <cell r="U1548">
            <v>1202.42</v>
          </cell>
        </row>
        <row r="1549">
          <cell r="L1549" t="str">
            <v>Ia băng - Đăk Đoa</v>
          </cell>
          <cell r="M1549" t="str">
            <v>8465.38</v>
          </cell>
          <cell r="N1549" t="str">
            <v>91.29</v>
          </cell>
          <cell r="O1549" t="str">
            <v>13.893615</v>
          </cell>
          <cell r="P1549" t="str">
            <v>108.049333</v>
          </cell>
          <cell r="Q1549" t="str">
            <v>8374.08</v>
          </cell>
          <cell r="R1549" t="str">
            <v>13.898093</v>
          </cell>
          <cell r="S1549" t="str">
            <v>108.052488</v>
          </cell>
          <cell r="T1549" t="str">
            <v>full_h04/Gia Lai/GE Mạng cấp III-IV Gia Lai Full v6.kmz/GE Mạng cấp III-IV Gia Lai Full/Mạng cấp IV  Gia Lai Full/Mạng 4 GLI-Ring 4/Ring 4/Ia băng - Đăk Đoa/Ia băng - Đăk Đoa - Trung thế (2)</v>
          </cell>
          <cell r="U1549">
            <v>8465.3799999999992</v>
          </cell>
        </row>
        <row r="1550">
          <cell r="L1550" t="str">
            <v>Kdang - Bờ Ngoong</v>
          </cell>
          <cell r="M1550" t="str">
            <v>7545.01</v>
          </cell>
          <cell r="N1550" t="str">
            <v>2967.63</v>
          </cell>
          <cell r="O1550" t="str">
            <v>13.871776</v>
          </cell>
          <cell r="P1550" t="str">
            <v>108.153998</v>
          </cell>
          <cell r="Q1550" t="str">
            <v>4577.39</v>
          </cell>
          <cell r="R1550" t="str">
            <v>13.951296</v>
          </cell>
          <cell r="S1550" t="str">
            <v>108.178617</v>
          </cell>
          <cell r="T1550" t="str">
            <v>full_h04/Gia Lai/GE Mạng cấp III-IV Gia Lai Full v6.kmz/GE Mạng cấp III-IV Gia Lai Full/Mạng cấp IV  Gia Lai Full/Mạng 4 GLI-Ring 11/Ring 11/Kdang - Bờ Ngoong/Kdang - Bờ Ngoong - trung thế</v>
          </cell>
          <cell r="U1550">
            <v>7545.01</v>
          </cell>
        </row>
        <row r="1551">
          <cell r="L1551" t="str">
            <v>TT2 Gia Lai - TT1 Gia Lai (ring 2)</v>
          </cell>
          <cell r="M1551" t="str">
            <v>4020.75</v>
          </cell>
          <cell r="N1551" t="str">
            <v>3980.29</v>
          </cell>
          <cell r="O1551" t="str">
            <v>13.985671</v>
          </cell>
          <cell r="P1551" t="str">
            <v>108.149232</v>
          </cell>
          <cell r="Q1551" t="str">
            <v>40.46</v>
          </cell>
          <cell r="R1551" t="str">
            <v>13.994993</v>
          </cell>
          <cell r="S1551" t="str">
            <v>108.113481</v>
          </cell>
          <cell r="T1551" t="str">
            <v>full_h04/Gia Lai/Mạng cấp 2 Gia Lai.kmz/Mạng cấp 2 Gia Lai/TT2 Gia Lai - TT1 Gia Lai (ring 2)/Trung thế 1</v>
          </cell>
          <cell r="U1551">
            <v>4020.75</v>
          </cell>
        </row>
        <row r="1552">
          <cell r="L1552" t="str">
            <v>TT2 Gia Lai - TT1 Gia Lai (ring 2)</v>
          </cell>
          <cell r="M1552" t="str">
            <v>110.63</v>
          </cell>
          <cell r="N1552" t="str">
            <v>40.46</v>
          </cell>
          <cell r="O1552" t="str">
            <v>13.994993</v>
          </cell>
          <cell r="P1552" t="str">
            <v>108.113481</v>
          </cell>
          <cell r="Q1552" t="str">
            <v>70.17</v>
          </cell>
          <cell r="R1552" t="str">
            <v>13.998816</v>
          </cell>
          <cell r="S1552" t="str">
            <v>108.173844</v>
          </cell>
          <cell r="T1552" t="str">
            <v>full_h04/Gia Lai/Mạng cấp 2 Gia Lai.kmz/Mạng cấp 2 Gia Lai/TT2 Gia Lai - TT1 Gia Lai (ring 2)/Trung thế 1</v>
          </cell>
          <cell r="U1552">
            <v>110.63</v>
          </cell>
        </row>
        <row r="1553">
          <cell r="L1553" t="str">
            <v>TT2 Gia Lai - TT1 Gia Lai (ring 2)</v>
          </cell>
          <cell r="M1553" t="str">
            <v>218.32</v>
          </cell>
          <cell r="N1553" t="str">
            <v>70.17</v>
          </cell>
          <cell r="O1553" t="str">
            <v>13.998816</v>
          </cell>
          <cell r="P1553" t="str">
            <v>108.173844</v>
          </cell>
          <cell r="Q1553" t="str">
            <v>148.14</v>
          </cell>
          <cell r="R1553" t="str">
            <v>14.006960</v>
          </cell>
          <cell r="S1553" t="str">
            <v>108.207561</v>
          </cell>
          <cell r="T1553" t="str">
            <v>full_h04/Gia Lai/Mạng cấp 2 Gia Lai.kmz/Mạng cấp 2 Gia Lai/TT2 Gia Lai - TT1 Gia Lai (ring 2)/Trung thế 1</v>
          </cell>
          <cell r="U1553">
            <v>218.32</v>
          </cell>
        </row>
        <row r="1554">
          <cell r="L1554" t="str">
            <v>TTCMKV Mang Yang - Lơ Pang</v>
          </cell>
          <cell r="M1554" t="str">
            <v>2501.33</v>
          </cell>
          <cell r="N1554" t="str">
            <v>2197.52</v>
          </cell>
          <cell r="O1554" t="str">
            <v>14.006282</v>
          </cell>
          <cell r="P1554" t="str">
            <v>108.226698</v>
          </cell>
          <cell r="Q1554" t="str">
            <v>303.82</v>
          </cell>
          <cell r="R1554" t="str">
            <v>13.985979</v>
          </cell>
          <cell r="S1554" t="str">
            <v>108.231241</v>
          </cell>
          <cell r="T1554" t="str">
            <v>full_h04/Gia Lai/GE Mạng cấp III-IV Gia Lai Full v6.kmz/GE Mạng cấp III-IV Gia Lai Full/Mạng cấp IV  Gia Lai Full/Mạng 4 GLI-Ring 12/Gia Lai Ring 12/TTCMKV Mang Yang - Lơ Pang/TTCMKV Mang Yang - Lơ Pang - trung thế</v>
          </cell>
          <cell r="U1554">
            <v>2501.33</v>
          </cell>
        </row>
        <row r="1555">
          <cell r="L1555" t="str">
            <v>TTCMKV Mang Yang - Lơ Pang</v>
          </cell>
          <cell r="M1555" t="str">
            <v>371.77</v>
          </cell>
          <cell r="N1555" t="str">
            <v>303.82</v>
          </cell>
          <cell r="O1555" t="str">
            <v>13.985979</v>
          </cell>
          <cell r="P1555" t="str">
            <v>108.231241</v>
          </cell>
          <cell r="Q1555" t="str">
            <v>67.95</v>
          </cell>
          <cell r="R1555" t="str">
            <v>14.041244</v>
          </cell>
          <cell r="S1555" t="str">
            <v>108.253302</v>
          </cell>
          <cell r="T1555" t="str">
            <v>full_h04/Gia Lai/GE Mạng cấp III-IV Gia Lai Full v6.kmz/GE Mạng cấp III-IV Gia Lai Full/Mạng cấp IV  Gia Lai Full/Mạng 4 GLI-Ring 12/Gia Lai Ring 12/TTCMKV Mang Yang - Lơ Pang/TTCMKV Mang Yang - Lơ Pang - trung thế</v>
          </cell>
          <cell r="U1555">
            <v>371.77</v>
          </cell>
        </row>
        <row r="1556">
          <cell r="L1556" t="str">
            <v>Ia Ly - Ia Khươi</v>
          </cell>
          <cell r="M1556" t="str">
            <v>8729.14</v>
          </cell>
          <cell r="N1556" t="str">
            <v>1270.10</v>
          </cell>
          <cell r="O1556" t="str">
            <v>14.207778</v>
          </cell>
          <cell r="P1556" t="str">
            <v>107.957964</v>
          </cell>
          <cell r="Q1556" t="str">
            <v>7459.04</v>
          </cell>
          <cell r="R1556" t="str">
            <v>14.207379</v>
          </cell>
          <cell r="S1556" t="str">
            <v>107.955442</v>
          </cell>
          <cell r="T1556" t="str">
            <v>full_h04/Gia Lai/GE Mạng cấp III-IV Gia Lai Full v6.kmz/GE Mạng cấp III-IV Gia Lai Full/Mạng cấp IV  Gia Lai Full/Mạng 4 GLI-Ring 5/Ring 5/Ia Ly - Ia Khươi/Ia Ly- Ia Khươi - trung thế (5)</v>
          </cell>
          <cell r="U1556">
            <v>8729.14</v>
          </cell>
        </row>
        <row r="1557">
          <cell r="L1557" t="str">
            <v>TT2 Gia Lai - Chư Pah</v>
          </cell>
          <cell r="M1557" t="str">
            <v>4707.56</v>
          </cell>
          <cell r="N1557" t="str">
            <v>4632.51</v>
          </cell>
          <cell r="O1557" t="str">
            <v>14.101617</v>
          </cell>
          <cell r="P1557" t="str">
            <v>107.968264</v>
          </cell>
          <cell r="Q1557" t="str">
            <v>75.05</v>
          </cell>
          <cell r="R1557" t="str">
            <v>14.066876</v>
          </cell>
          <cell r="S1557" t="str">
            <v>107.988436</v>
          </cell>
          <cell r="T1557" t="str">
            <v>full_h04/Gia Lai/GE Mạng cấp III-IV Gia Lai Full v6.kmz/GE Mạng cấp III-IV Gia Lai Full/Mạng cấp IV  Gia Lai Full/Mạng 4 GLI-Ring 5/Ring 5/TT2 Gia Lai - Chư Pah/TT2 Pleiku - Chư Pah - Trung thế</v>
          </cell>
          <cell r="U1557">
            <v>4707.5600000000004</v>
          </cell>
        </row>
        <row r="1558">
          <cell r="L1558" t="str">
            <v>TT1 Gia Lai - TT2 Gia Lai (ring 1)</v>
          </cell>
          <cell r="M1558" t="str">
            <v>5274.73</v>
          </cell>
          <cell r="N1558" t="str">
            <v>3745.36</v>
          </cell>
          <cell r="O1558" t="str">
            <v>14.034194</v>
          </cell>
          <cell r="P1558" t="str">
            <v>107.996991</v>
          </cell>
          <cell r="Q1558" t="str">
            <v>1529.36</v>
          </cell>
          <cell r="R1558" t="str">
            <v>13.976551</v>
          </cell>
          <cell r="S1558" t="str">
            <v>107.992796</v>
          </cell>
          <cell r="T1558" t="str">
            <v>full_h04/Gia Lai/Mạng cấp 2 Gia Lai.kmz/Mạng cấp 2 Gia Lai/TT1 Gia Lai - TT2 Gia Lai (ring 1)/Trung thế 7</v>
          </cell>
          <cell r="U1558">
            <v>5274.73</v>
          </cell>
        </row>
        <row r="1559">
          <cell r="L1559" t="str">
            <v>Ia Ly - Ia Khươi</v>
          </cell>
          <cell r="M1559" t="str">
            <v>4785.63</v>
          </cell>
          <cell r="N1559" t="str">
            <v>1270.10</v>
          </cell>
          <cell r="O1559" t="str">
            <v>14.207778</v>
          </cell>
          <cell r="P1559" t="str">
            <v>107.957964</v>
          </cell>
          <cell r="Q1559" t="str">
            <v>3515.53</v>
          </cell>
          <cell r="R1559" t="str">
            <v>14.191354</v>
          </cell>
          <cell r="S1559" t="str">
            <v>107.891666</v>
          </cell>
          <cell r="T1559" t="str">
            <v>full_h04/Gia Lai/GE Mạng cấp III-IV Gia Lai Full v6.kmz/GE Mạng cấp III-IV Gia Lai Full/Mạng cấp IV  Gia Lai Full/Mạng 4 GLI-Ring 5/Ring 5/Ia Ly - Ia Khươi/Ia Ly- Ia Khươi - trung thế (5)</v>
          </cell>
          <cell r="U1559">
            <v>4785.63</v>
          </cell>
        </row>
        <row r="1560">
          <cell r="L1560" t="str">
            <v>Ia Phí - Ia Ly</v>
          </cell>
          <cell r="M1560" t="str">
            <v>52.14</v>
          </cell>
          <cell r="N1560" t="str">
            <v>22.72</v>
          </cell>
          <cell r="O1560" t="str">
            <v>14.208135</v>
          </cell>
          <cell r="P1560" t="str">
            <v>107.837262</v>
          </cell>
          <cell r="Q1560" t="str">
            <v>29.41</v>
          </cell>
          <cell r="R1560" t="str">
            <v>14.135236</v>
          </cell>
          <cell r="S1560" t="str">
            <v>107.889842</v>
          </cell>
          <cell r="T1560" t="str">
            <v>full_h04/Gia Lai/GE Mạng cấp III-IV Gia Lai Full v6.kmz/GE Mạng cấp III-IV Gia Lai Full/Mạng cấp IV  Gia Lai Full/Mạng 4 GLI-Ring 5/Ring 5/Ia Phí - Ia Ly/Ia Phí - Ia Ly- Trung thế</v>
          </cell>
          <cell r="U1560">
            <v>52.14</v>
          </cell>
        </row>
        <row r="1561">
          <cell r="L1561" t="str">
            <v>Thống Nhất - Ia Hrung</v>
          </cell>
          <cell r="M1561" t="str">
            <v>5408.00</v>
          </cell>
          <cell r="N1561" t="str">
            <v>5269.53</v>
          </cell>
          <cell r="O1561" t="str">
            <v>14.088619</v>
          </cell>
          <cell r="P1561" t="str">
            <v>107.899932</v>
          </cell>
          <cell r="Q1561" t="str">
            <v>138.47</v>
          </cell>
          <cell r="R1561" t="str">
            <v>14.030574</v>
          </cell>
          <cell r="S1561" t="str">
            <v>107.989164</v>
          </cell>
          <cell r="T1561" t="str">
            <v>full_h04/Gia Lai/GE Mạng cấp III-IV Gia Lai Full v6.kmz/GE Mạng cấp III-IV Gia Lai Full/Mạng cấp IV  Gia Lai Full/Mạng 4 GLI-Ring 2/Thống Nhất - Ia Hrung/Thống Nhất - Ia Hrung - Trung thế</v>
          </cell>
          <cell r="U1561">
            <v>5408</v>
          </cell>
        </row>
        <row r="1562">
          <cell r="L1562" t="str">
            <v>Ia Ly - Ia Khươi</v>
          </cell>
          <cell r="M1562" t="str">
            <v>1331.42</v>
          </cell>
          <cell r="N1562" t="str">
            <v>1270.10</v>
          </cell>
          <cell r="O1562" t="str">
            <v>14.207778</v>
          </cell>
          <cell r="P1562" t="str">
            <v>107.957964</v>
          </cell>
          <cell r="Q1562" t="str">
            <v>61.31</v>
          </cell>
          <cell r="R1562" t="str">
            <v>14.216975</v>
          </cell>
          <cell r="S1562" t="str">
            <v>108.047084</v>
          </cell>
          <cell r="T1562" t="str">
            <v>full_h04/Gia Lai/GE Mạng cấp III-IV Gia Lai Full v6.kmz/GE Mạng cấp III-IV Gia Lai Full/Mạng cấp IV  Gia Lai Full/Mạng 4 GLI-Ring 5/Ring 5/Ia Ly - Ia Khươi/Ia Ly- Ia Khươi - trung thế (5)</v>
          </cell>
          <cell r="U1562">
            <v>1331.42</v>
          </cell>
        </row>
        <row r="1563">
          <cell r="L1563" t="str">
            <v>Ia Khơi - Đăk Sơ Mei</v>
          </cell>
          <cell r="M1563" t="str">
            <v>166.22</v>
          </cell>
          <cell r="N1563" t="str">
            <v>118.24</v>
          </cell>
          <cell r="O1563" t="str">
            <v>14.216224</v>
          </cell>
          <cell r="P1563" t="str">
            <v>108.047756</v>
          </cell>
          <cell r="Q1563" t="str">
            <v>47.97</v>
          </cell>
          <cell r="R1563" t="str">
            <v>14.167803</v>
          </cell>
          <cell r="S1563" t="str">
            <v>108.140305</v>
          </cell>
          <cell r="T1563" t="str">
            <v>full_h04/Gia Lai/GE Mạng cấp III-IV Gia Lai Full v6.kmz/GE Mạng cấp III-IV Gia Lai Full/Mạng cấp IV  Gia Lai Full/Mạng 4 GLI-Ring 5/Ring 5/Ia Khơi - Đăk Sơ Mei/Ia Khơi - Đăk Sơ Mei - trung thế (1)</v>
          </cell>
          <cell r="U1563">
            <v>166.22</v>
          </cell>
        </row>
        <row r="1564">
          <cell r="L1564" t="str">
            <v>Ia Khơi - Đăk Sơ Mei</v>
          </cell>
          <cell r="M1564" t="str">
            <v>7302.62</v>
          </cell>
          <cell r="N1564" t="str">
            <v>47.97</v>
          </cell>
          <cell r="O1564" t="str">
            <v>14.167803</v>
          </cell>
          <cell r="P1564" t="str">
            <v>108.140305</v>
          </cell>
          <cell r="Q1564" t="str">
            <v>7254.65</v>
          </cell>
          <cell r="R1564" t="str">
            <v>14.167959</v>
          </cell>
          <cell r="S1564" t="str">
            <v>108.135043</v>
          </cell>
          <cell r="T1564" t="str">
            <v>full_h04/Gia Lai/GE Mạng cấp III-IV Gia Lai Full v6.kmz/GE Mạng cấp III-IV Gia Lai Full/Mạng cấp IV  Gia Lai Full/Mạng 4 GLI-Ring 5/Ring 5/Ia Khơi - Đăk Sơ Mei/Ia Khơi - Đăk Sơ Mei - trung thế (1)</v>
          </cell>
          <cell r="U1564">
            <v>7302.62</v>
          </cell>
        </row>
        <row r="1565">
          <cell r="L1565" t="str">
            <v>TT1 Gia Lai - TT2 Gia Lai (ring 1)</v>
          </cell>
          <cell r="M1565" t="str">
            <v>5644.61</v>
          </cell>
          <cell r="N1565" t="str">
            <v>5367.47</v>
          </cell>
          <cell r="O1565" t="str">
            <v>14.057991</v>
          </cell>
          <cell r="P1565" t="str">
            <v>108.106424</v>
          </cell>
          <cell r="Q1565" t="str">
            <v>277.14</v>
          </cell>
          <cell r="R1565" t="str">
            <v>14.061106</v>
          </cell>
          <cell r="S1565" t="str">
            <v>108.086575</v>
          </cell>
          <cell r="T1565" t="str">
            <v>full_h04/Gia Lai/Mạng cấp 2 Gia Lai.kmz/Mạng cấp 2 Gia Lai/TT1 Gia Lai - TT2 Gia Lai (ring 1)/Trung thế 6</v>
          </cell>
          <cell r="U1565">
            <v>5644.61</v>
          </cell>
        </row>
        <row r="1566">
          <cell r="L1566" t="str">
            <v>TT1 Gia Lai - TT2 Gia Lai (ring 1)</v>
          </cell>
          <cell r="M1566" t="str">
            <v>5606.16</v>
          </cell>
          <cell r="N1566" t="str">
            <v>5464.12</v>
          </cell>
          <cell r="O1566" t="str">
            <v>14.060465</v>
          </cell>
          <cell r="P1566" t="str">
            <v>108.044669</v>
          </cell>
          <cell r="Q1566" t="str">
            <v>142.04</v>
          </cell>
          <cell r="R1566" t="str">
            <v>14.030605</v>
          </cell>
          <cell r="S1566" t="str">
            <v>107.989194</v>
          </cell>
          <cell r="T1566" t="str">
            <v>full_h04/Gia Lai/Mạng cấp 2 Gia Lai.kmz/Mạng cấp 2 Gia Lai/TT1 Gia Lai - TT2 Gia Lai (ring 1)/Trung thế 7</v>
          </cell>
          <cell r="U1566">
            <v>5606.16</v>
          </cell>
        </row>
        <row r="1567">
          <cell r="L1567" t="str">
            <v>TT2 Gia Lai - Hội Phú</v>
          </cell>
          <cell r="M1567" t="str">
            <v>191.73</v>
          </cell>
          <cell r="N1567" t="str">
            <v>23.05</v>
          </cell>
          <cell r="O1567" t="str">
            <v>13.976027</v>
          </cell>
          <cell r="P1567" t="str">
            <v>108.007015</v>
          </cell>
          <cell r="Q1567" t="str">
            <v>168.68</v>
          </cell>
          <cell r="R1567" t="str">
            <v>13.961100</v>
          </cell>
          <cell r="S1567" t="str">
            <v>108.006312</v>
          </cell>
          <cell r="T1567" t="str">
            <v>full_h04/Gia Lai/GE Mạng cấp III-IV Gia Lai Full v6.kmz/GE Mạng cấp III-IV Gia Lai Full/Mạng cấp IV  Gia Lai Full/Mạng 4 GLI-Ring 4/Ring 4/TT2 Gia Lai - Hội Phú/TT Gia Lai - Hội Phú - Trung thế</v>
          </cell>
          <cell r="U1567">
            <v>191.73</v>
          </cell>
        </row>
        <row r="1568">
          <cell r="L1568" t="str">
            <v>IaO - Ia CHia</v>
          </cell>
          <cell r="M1568" t="str">
            <v>18527.27</v>
          </cell>
          <cell r="N1568" t="str">
            <v>12654.67</v>
          </cell>
          <cell r="O1568" t="str">
            <v>13.885251</v>
          </cell>
          <cell r="P1568" t="str">
            <v>107.636459</v>
          </cell>
          <cell r="Q1568" t="str">
            <v>5872.60</v>
          </cell>
          <cell r="R1568" t="str">
            <v>13.929046</v>
          </cell>
          <cell r="S1568" t="str">
            <v>107.575099</v>
          </cell>
          <cell r="T1568" t="str">
            <v>full_h04/Gia Lai/GE Mạng cấp III-IV Gia Lai Full v6.kmz/GE Mạng cấp III-IV Gia Lai Full/Mạng cấp IV  Gia Lai Full/Mạng 4 GLI-Ring 6/Ring 6/IaO - Ia CHia/Ia O - Ia Chía - trung thế (4)</v>
          </cell>
          <cell r="U1568">
            <v>18527.27</v>
          </cell>
        </row>
        <row r="1569">
          <cell r="L1569" t="str">
            <v>Ia Krai - Ia O</v>
          </cell>
          <cell r="M1569" t="str">
            <v>147.36</v>
          </cell>
          <cell r="N1569" t="str">
            <v>40.08</v>
          </cell>
          <cell r="O1569" t="str">
            <v>13.960522</v>
          </cell>
          <cell r="P1569" t="str">
            <v>107.531839</v>
          </cell>
          <cell r="Q1569" t="str">
            <v>107.27</v>
          </cell>
          <cell r="R1569" t="str">
            <v>13.966328</v>
          </cell>
          <cell r="S1569" t="str">
            <v>107.593076</v>
          </cell>
          <cell r="T1569" t="str">
            <v>full_h04/Gia Lai/GE Mạng cấp III-IV Gia Lai Full v6.kmz/GE Mạng cấp III-IV Gia Lai Full/Mạng cấp IV  Gia Lai Full/Mạng 4 GLI-Ring 6/Ring 6/Ia Krai - Ia O/IaKrai - Ia O - trung thế (1)</v>
          </cell>
          <cell r="U1569">
            <v>147.36000000000001</v>
          </cell>
        </row>
        <row r="1570">
          <cell r="L1570" t="str">
            <v>Ia Krai - Ia O</v>
          </cell>
          <cell r="M1570" t="str">
            <v>153.76</v>
          </cell>
          <cell r="N1570" t="str">
            <v>107.27</v>
          </cell>
          <cell r="O1570" t="str">
            <v>13.966328</v>
          </cell>
          <cell r="P1570" t="str">
            <v>107.593076</v>
          </cell>
          <cell r="Q1570" t="str">
            <v>46.48</v>
          </cell>
          <cell r="R1570" t="str">
            <v>13.939035</v>
          </cell>
          <cell r="S1570" t="str">
            <v>107.749778</v>
          </cell>
          <cell r="T1570" t="str">
            <v>full_h04/Gia Lai/GE Mạng cấp III-IV Gia Lai Full v6.kmz/GE Mạng cấp III-IV Gia Lai Full/Mạng cấp IV  Gia Lai Full/Mạng 4 GLI-Ring 6/Ring 6/Ia Krai - Ia O/IaKrai - Ia O - trung thế (1)</v>
          </cell>
          <cell r="U1570">
            <v>153.76</v>
          </cell>
        </row>
        <row r="1571">
          <cell r="L1571" t="str">
            <v>TTCMKV IaGrai - Ia Krai</v>
          </cell>
          <cell r="M1571" t="str">
            <v>110.68</v>
          </cell>
          <cell r="N1571" t="str">
            <v>44.04</v>
          </cell>
          <cell r="O1571" t="str">
            <v>13.939026</v>
          </cell>
          <cell r="P1571" t="str">
            <v>107.749799</v>
          </cell>
          <cell r="Q1571" t="str">
            <v>66.65</v>
          </cell>
          <cell r="R1571" t="str">
            <v>13.960853</v>
          </cell>
          <cell r="S1571" t="str">
            <v>107.853440</v>
          </cell>
          <cell r="T1571" t="str">
            <v>full_h04/Gia Lai/GE Mạng cấp III-IV Gia Lai Full v6.kmz/GE Mạng cấp III-IV Gia Lai Full/Mạng cấp IV  Gia Lai Full/Mạng 4 GLI-Ring 6/Ring 6/TTCMKV IaGrai - Ia Krai/TTCMKV IaGrai - Ia Krai - trung thế (1)</v>
          </cell>
          <cell r="U1571">
            <v>110.68</v>
          </cell>
        </row>
        <row r="1572">
          <cell r="L1572" t="str">
            <v>TTCMKV Đức Cơ - Ia Dom</v>
          </cell>
          <cell r="M1572" t="str">
            <v>119.52</v>
          </cell>
          <cell r="N1572" t="str">
            <v>37.67</v>
          </cell>
          <cell r="O1572" t="str">
            <v>13.775201</v>
          </cell>
          <cell r="P1572" t="str">
            <v>107.607965</v>
          </cell>
          <cell r="Q1572" t="str">
            <v>81.84</v>
          </cell>
          <cell r="R1572" t="str">
            <v>13.794485</v>
          </cell>
          <cell r="S1572" t="str">
            <v>107.671642</v>
          </cell>
          <cell r="T1572" t="str">
            <v>full_h04/Gia Lai/GE Mạng cấp III-IV Gia Lai Full v6.kmz/GE Mạng cấp III-IV Gia Lai Full/Mạng cấp IV  Gia Lai Full/Mạng 4 GLI-Ring 7/Ring 7/TTCMKV Đức Cơ - Ia Dom/RRCMKV Đức Cơ - Ia Đom - Trung thế (1)</v>
          </cell>
          <cell r="U1572">
            <v>119.52</v>
          </cell>
        </row>
        <row r="1573">
          <cell r="L1573" t="str">
            <v>Ia Chía - Ia Đơk</v>
          </cell>
          <cell r="M1573" t="str">
            <v>3571.66</v>
          </cell>
          <cell r="N1573" t="str">
            <v>3541.62</v>
          </cell>
          <cell r="O1573" t="str">
            <v>13.825709</v>
          </cell>
          <cell r="P1573" t="str">
            <v>107.674227</v>
          </cell>
          <cell r="Q1573" t="str">
            <v>30.05</v>
          </cell>
          <cell r="R1573" t="str">
            <v>13.887543</v>
          </cell>
          <cell r="S1573" t="str">
            <v>107.646909</v>
          </cell>
          <cell r="T1573" t="str">
            <v>full_h04/Gia Lai/GE Mạng cấp III-IV Gia Lai Full v6.kmz/GE Mạng cấp III-IV Gia Lai Full/Mạng cấp IV  Gia Lai Full/Mạng 4 GLI-Ring 6/Ring 6/Ia Chía - Ia Đơk/Ia Chía - Ia Đơk - trung thế (1)</v>
          </cell>
          <cell r="U1573">
            <v>3571.66</v>
          </cell>
        </row>
        <row r="1574">
          <cell r="L1574" t="str">
            <v>Ia Chía - Ia Đơk</v>
          </cell>
          <cell r="M1574" t="str">
            <v>6623.12</v>
          </cell>
          <cell r="N1574" t="str">
            <v>30.05</v>
          </cell>
          <cell r="O1574" t="str">
            <v>13.887543</v>
          </cell>
          <cell r="P1574" t="str">
            <v>107.646909</v>
          </cell>
          <cell r="Q1574" t="str">
            <v>6593.07</v>
          </cell>
          <cell r="R1574" t="str">
            <v>13.909033</v>
          </cell>
          <cell r="S1574" t="str">
            <v>107.697266</v>
          </cell>
          <cell r="T1574" t="str">
            <v>full_h04/Gia Lai/GE Mạng cấp III-IV Gia Lai Full v6.kmz/GE Mạng cấp III-IV Gia Lai Full/Mạng cấp IV  Gia Lai Full/Mạng 4 GLI-Ring 6/Ring 6/Ia Chía - Ia Đơk/Ia Chía - Ia Đơk - trung thế (1)</v>
          </cell>
          <cell r="U1574">
            <v>6623.12</v>
          </cell>
        </row>
        <row r="1575">
          <cell r="L1575" t="str">
            <v>TTCMKV IaGrai - Ia Krai</v>
          </cell>
          <cell r="M1575" t="str">
            <v>110.68</v>
          </cell>
          <cell r="N1575" t="str">
            <v>44.04</v>
          </cell>
          <cell r="O1575" t="str">
            <v>13.939026</v>
          </cell>
          <cell r="P1575" t="str">
            <v>107.749799</v>
          </cell>
          <cell r="Q1575" t="str">
            <v>66.65</v>
          </cell>
          <cell r="R1575" t="str">
            <v>13.960853</v>
          </cell>
          <cell r="S1575" t="str">
            <v>107.853440</v>
          </cell>
          <cell r="T1575" t="str">
            <v>full_h04/Gia Lai/GE Mạng cấp III-IV Gia Lai Full v6.kmz/GE Mạng cấp III-IV Gia Lai Full/Mạng cấp IV  Gia Lai Full/Mạng 4 GLI-Ring 6/Ring 6/TTCMKV IaGrai - Ia Krai/TTCMKV IaGrai - Ia Krai - trung thế (1)</v>
          </cell>
          <cell r="U1575">
            <v>110.68</v>
          </cell>
        </row>
        <row r="1576">
          <cell r="L1576" t="str">
            <v>TT2 Gia Lai - Hội Phú</v>
          </cell>
          <cell r="M1576" t="str">
            <v>826.93</v>
          </cell>
          <cell r="N1576" t="str">
            <v>23.05</v>
          </cell>
          <cell r="O1576" t="str">
            <v>13.976027</v>
          </cell>
          <cell r="P1576" t="str">
            <v>108.007015</v>
          </cell>
          <cell r="Q1576" t="str">
            <v>803.88</v>
          </cell>
          <cell r="R1576" t="str">
            <v>13.974234</v>
          </cell>
          <cell r="S1576" t="str">
            <v>107.993201</v>
          </cell>
          <cell r="T1576" t="str">
            <v>full_h04/Gia Lai/GE Mạng cấp III-IV Gia Lai Full v6.kmz/GE Mạng cấp III-IV Gia Lai Full/Mạng cấp IV  Gia Lai Full/Mạng 4 GLI-Ring 4/Ring 4/TT2 Gia Lai - Hội Phú/TT Gia Lai - Hội Phú - Trung thế</v>
          </cell>
          <cell r="U1576">
            <v>826.93</v>
          </cell>
        </row>
        <row r="1577">
          <cell r="L1577" t="str">
            <v>TT2-Gia Lai-Ia Grai</v>
          </cell>
          <cell r="M1577" t="str">
            <v>767.47</v>
          </cell>
          <cell r="N1577" t="str">
            <v>466.06</v>
          </cell>
          <cell r="O1577" t="str">
            <v>13.967959</v>
          </cell>
          <cell r="P1577" t="str">
            <v>107.987626</v>
          </cell>
          <cell r="Q1577" t="str">
            <v>301.41</v>
          </cell>
          <cell r="R1577" t="str">
            <v>13.974388</v>
          </cell>
          <cell r="S1577" t="str">
            <v>107.958622</v>
          </cell>
          <cell r="T1577" t="str">
            <v>full_h04/Gia Lai/GE Mạng cấp III-IV Gia Lai Full v6.kmz/GE Mạng cấp III-IV Gia Lai Full/Mạng cấp III Gia Lai Full/Ring 3/TT2-Gia Lai-Ia Grai/Trung Thế</v>
          </cell>
          <cell r="U1577">
            <v>767.47</v>
          </cell>
        </row>
        <row r="1578">
          <cell r="L1578" t="str">
            <v>TT2-Gia Lai-Ia Grai</v>
          </cell>
          <cell r="M1578" t="str">
            <v>3818.44</v>
          </cell>
          <cell r="N1578" t="str">
            <v>301.41</v>
          </cell>
          <cell r="O1578" t="str">
            <v>13.974388</v>
          </cell>
          <cell r="P1578" t="str">
            <v>107.958622</v>
          </cell>
          <cell r="Q1578" t="str">
            <v>3517.02</v>
          </cell>
          <cell r="R1578" t="str">
            <v>13.961506</v>
          </cell>
          <cell r="S1578" t="str">
            <v>107.853484</v>
          </cell>
          <cell r="T1578" t="str">
            <v>full_h04/Gia Lai/GE Mạng cấp III-IV Gia Lai Full v6.kmz/GE Mạng cấp III-IV Gia Lai Full/Mạng cấp III Gia Lai Full/Ring 3/TT2-Gia Lai-Ia Grai/Trung Thế</v>
          </cell>
          <cell r="U1578">
            <v>3818.44</v>
          </cell>
        </row>
        <row r="1579">
          <cell r="L1579" t="str">
            <v>Ia Hrung - IaGrai</v>
          </cell>
          <cell r="M1579" t="str">
            <v>244.99</v>
          </cell>
          <cell r="N1579" t="str">
            <v>140.53</v>
          </cell>
          <cell r="O1579" t="str">
            <v>13.991307</v>
          </cell>
          <cell r="P1579" t="str">
            <v>107.844850</v>
          </cell>
          <cell r="Q1579" t="str">
            <v>104.46</v>
          </cell>
          <cell r="R1579" t="str">
            <v>13.960895</v>
          </cell>
          <cell r="S1579" t="str">
            <v>107.853004</v>
          </cell>
          <cell r="T1579" t="str">
            <v>full_h04/Gia Lai/GE Mạng cấp III-IV Gia Lai Full v6.kmz/GE Mạng cấp III-IV Gia Lai Full/Mạng cấp IV  Gia Lai Full/Mạng 4 GLI-Ring 2/Ia Hrung - IaGrai/Ia Hrung - Ia Grai - Trung thế</v>
          </cell>
          <cell r="U1579">
            <v>244.99</v>
          </cell>
        </row>
        <row r="1580">
          <cell r="L1580" t="str">
            <v>Hàm Rồng-Gia Lai</v>
          </cell>
          <cell r="M1580" t="str">
            <v>1548.69</v>
          </cell>
          <cell r="N1580" t="str">
            <v>1336.62</v>
          </cell>
          <cell r="O1580" t="str">
            <v>13.951223</v>
          </cell>
          <cell r="P1580" t="str">
            <v>108.013178</v>
          </cell>
          <cell r="Q1580" t="str">
            <v>212.07</v>
          </cell>
          <cell r="R1580" t="str">
            <v>13.887101</v>
          </cell>
          <cell r="S1580" t="str">
            <v>108.012516</v>
          </cell>
          <cell r="T1580" t="str">
            <v>full_h04/Gia Lai/GE Mạng cấp III-IV Gia Lai Full v6.kmz/GE Mạng cấp III-IV Gia Lai Full/Mạng cấp III Gia Lai Full/Ring 3/Hàm Rồng-Gia Lai/Trung Thế</v>
          </cell>
          <cell r="U1580">
            <v>1548.69</v>
          </cell>
        </row>
        <row r="1581">
          <cell r="L1581" t="str">
            <v>Chư Pưh- Hàm Rồng</v>
          </cell>
          <cell r="M1581" t="str">
            <v>2641.26</v>
          </cell>
          <cell r="N1581" t="str">
            <v>252.47</v>
          </cell>
          <cell r="O1581" t="str">
            <v>13.886499</v>
          </cell>
          <cell r="P1581" t="str">
            <v>108.011916</v>
          </cell>
          <cell r="Q1581" t="str">
            <v>2388.78</v>
          </cell>
          <cell r="R1581" t="str">
            <v>13.865929</v>
          </cell>
          <cell r="S1581" t="str">
            <v>107.998921</v>
          </cell>
          <cell r="T1581" t="str">
            <v>full_h04/Gia Lai/GE Mạng cấp III-IV Gia Lai Full v6.kmz/GE Mạng cấp III-IV Gia Lai Full/Mạng cấp III Gia Lai Full/Ring 3/Chư Pưh- Hàm Rồng/Trung Thế</v>
          </cell>
          <cell r="U1581">
            <v>2641.26</v>
          </cell>
        </row>
        <row r="1582">
          <cell r="L1582" t="str">
            <v>TT2 - Gào</v>
          </cell>
          <cell r="M1582" t="str">
            <v>5355.94</v>
          </cell>
          <cell r="N1582" t="str">
            <v>5168.46</v>
          </cell>
          <cell r="O1582" t="str">
            <v>13.904756</v>
          </cell>
          <cell r="P1582" t="str">
            <v>107.943142</v>
          </cell>
          <cell r="Q1582" t="str">
            <v>187.48</v>
          </cell>
          <cell r="R1582" t="str">
            <v>13.885977</v>
          </cell>
          <cell r="S1582" t="str">
            <v>107.911177</v>
          </cell>
          <cell r="T1582" t="str">
            <v>full_h04/Gia Lai/GE Mạng cấp III-IV Gia Lai Full v6.kmz/GE Mạng cấp III-IV Gia Lai Full/Mạng cấp IV  Gia Lai Full/Mạng 4 GLI-Ring 1/TT2 - Gào/TT2-Gào - Trụ VNPT</v>
          </cell>
          <cell r="U1582">
            <v>5355.94</v>
          </cell>
        </row>
        <row r="1583">
          <cell r="L1583" t="str">
            <v>TT2 - Gào</v>
          </cell>
          <cell r="M1583" t="str">
            <v>7246.97</v>
          </cell>
          <cell r="N1583" t="str">
            <v>7183.85</v>
          </cell>
          <cell r="O1583" t="str">
            <v>13.936211</v>
          </cell>
          <cell r="P1583" t="str">
            <v>107.950580</v>
          </cell>
          <cell r="Q1583" t="str">
            <v>63.11</v>
          </cell>
          <cell r="R1583" t="str">
            <v>13.976847</v>
          </cell>
          <cell r="S1583" t="str">
            <v>107.992482</v>
          </cell>
          <cell r="T1583" t="str">
            <v>full_h04/Gia Lai/GE Mạng cấp III-IV Gia Lai Full v6.kmz/GE Mạng cấp III-IV Gia Lai Full/Mạng cấp IV  Gia Lai Full/Mạng 4 GLI-Ring 1/TT2 - Gào/TT2 - Gào - Trung thế (1)</v>
          </cell>
          <cell r="U1583">
            <v>7246.97</v>
          </cell>
        </row>
        <row r="1584">
          <cell r="L1584" t="str">
            <v>TT2 Gia Lai - Hội Phú</v>
          </cell>
          <cell r="M1584" t="str">
            <v>54.70</v>
          </cell>
          <cell r="N1584" t="str">
            <v>23.05</v>
          </cell>
          <cell r="O1584" t="str">
            <v>13.976027</v>
          </cell>
          <cell r="P1584" t="str">
            <v>108.007015</v>
          </cell>
          <cell r="Q1584" t="str">
            <v>31.64</v>
          </cell>
          <cell r="R1584" t="str">
            <v>13.971400</v>
          </cell>
          <cell r="S1584" t="str">
            <v>108.007879</v>
          </cell>
          <cell r="T1584" t="str">
            <v>full_h04/Gia Lai/GE Mạng cấp III-IV Gia Lai Full v6.kmz/GE Mạng cấp III-IV Gia Lai Full/Mạng cấp IV  Gia Lai Full/Mạng 4 GLI-Ring 4/Ring 4/TT2 Gia Lai - Hội Phú/TT Gia Lai - Hội Phú - Trung thế</v>
          </cell>
          <cell r="U1584">
            <v>54.7</v>
          </cell>
        </row>
        <row r="1585">
          <cell r="L1585" t="str">
            <v>Gào - Bàu Cạn</v>
          </cell>
          <cell r="M1585" t="str">
            <v>14384.79</v>
          </cell>
          <cell r="N1585" t="str">
            <v>14273.21</v>
          </cell>
          <cell r="O1585" t="str">
            <v>13.884423</v>
          </cell>
          <cell r="P1585" t="str">
            <v>107.910754</v>
          </cell>
          <cell r="Q1585" t="str">
            <v>111.58</v>
          </cell>
          <cell r="R1585" t="str">
            <v>13.819451</v>
          </cell>
          <cell r="S1585" t="str">
            <v>107.871175</v>
          </cell>
          <cell r="T1585" t="str">
            <v>full_h04/Gia Lai/GE Mạng cấp III-IV Gia Lai Full v6.kmz/GE Mạng cấp III-IV Gia Lai Full/Mạng cấp IV  Gia Lai Full/Mạng 4 GLI-Ring 1/Gào - Bàu Cạn/Gào - Bàu Cạn - Trung Thế</v>
          </cell>
          <cell r="U1585">
            <v>14384.79</v>
          </cell>
        </row>
        <row r="1586">
          <cell r="L1586" t="str">
            <v>Bàu Cạn-Ia Krel</v>
          </cell>
          <cell r="M1586" t="str">
            <v>143.20</v>
          </cell>
          <cell r="N1586" t="str">
            <v>86.81</v>
          </cell>
          <cell r="O1586" t="str">
            <v>13.821220</v>
          </cell>
          <cell r="P1586" t="str">
            <v>107.871024</v>
          </cell>
          <cell r="Q1586" t="str">
            <v>56.39</v>
          </cell>
          <cell r="R1586" t="str">
            <v>13.836179</v>
          </cell>
          <cell r="S1586" t="str">
            <v>107.791993</v>
          </cell>
          <cell r="T1586" t="str">
            <v>full_h04/Gia Lai/GE Mạng cấp III-IV Gia Lai Full v6.kmz/GE Mạng cấp III-IV Gia Lai Full/Mạng cấp IV  Gia Lai Full/Mạng 4 GLI-Ring 1/Bàu Cạn-Ia Krel/Bàu Cạn - Ia Krel - Trung Thế</v>
          </cell>
          <cell r="U1586">
            <v>143.19999999999999</v>
          </cell>
        </row>
        <row r="1587">
          <cell r="L1587" t="str">
            <v>Ia Grai- Đức Cơ</v>
          </cell>
          <cell r="M1587" t="str">
            <v>62.21</v>
          </cell>
          <cell r="N1587" t="str">
            <v>45.19</v>
          </cell>
          <cell r="O1587" t="str">
            <v>13.836130</v>
          </cell>
          <cell r="P1587" t="str">
            <v>107.791674</v>
          </cell>
          <cell r="Q1587" t="str">
            <v>17.01</v>
          </cell>
          <cell r="R1587" t="str">
            <v>13.793872</v>
          </cell>
          <cell r="S1587" t="str">
            <v>107.671984</v>
          </cell>
          <cell r="T1587" t="str">
            <v>full_h04/Gia Lai/GE Mạng cấp III-IV Gia Lai Full v6.kmz/GE Mạng cấp III-IV Gia Lai Full/Mạng cấp III Gia Lai Full/Ring 3/Ia Grai- Đức Cơ/Trung Thế</v>
          </cell>
          <cell r="U1587">
            <v>62.21</v>
          </cell>
        </row>
        <row r="1588">
          <cell r="L1588" t="str">
            <v>TTCMKV Đức Cơ - Ia Dom</v>
          </cell>
          <cell r="M1588" t="str">
            <v>119.50</v>
          </cell>
          <cell r="N1588" t="str">
            <v>81.84</v>
          </cell>
          <cell r="O1588" t="str">
            <v>13.794485</v>
          </cell>
          <cell r="P1588" t="str">
            <v>107.671642</v>
          </cell>
          <cell r="Q1588" t="str">
            <v>37.66</v>
          </cell>
          <cell r="R1588" t="str">
            <v>13.775201</v>
          </cell>
          <cell r="S1588" t="str">
            <v>107.607965</v>
          </cell>
          <cell r="T1588" t="str">
            <v>full_h04/Gia Lai/GE Mạng cấp III-IV Gia Lai Full v6.kmz/GE Mạng cấp III-IV Gia Lai Full/Mạng cấp IV  Gia Lai Full/Mạng 4 GLI-Ring 7/Ring 7/TTCMKV Đức Cơ - Ia Dom/RRCMKV Đức Cơ - Ia Đom - Trung thế (1)</v>
          </cell>
          <cell r="U1588">
            <v>119.5</v>
          </cell>
        </row>
        <row r="1589">
          <cell r="L1589" t="str">
            <v>TT2 Gia Lai- Chư Sê</v>
          </cell>
          <cell r="M1589" t="str">
            <v>13011.60</v>
          </cell>
          <cell r="N1589" t="str">
            <v>1489.29</v>
          </cell>
          <cell r="O1589" t="str">
            <v>13.973366</v>
          </cell>
          <cell r="P1589" t="str">
            <v>107.993383</v>
          </cell>
          <cell r="Q1589" t="str">
            <v>11522.31</v>
          </cell>
          <cell r="R1589" t="str">
            <v>13.898295</v>
          </cell>
          <cell r="S1589" t="str">
            <v>108.016447</v>
          </cell>
          <cell r="T1589" t="str">
            <v>full_h04/Gia Lai/GE Mạng cấp III-IV Gia Lai Full v6.kmz/GE Mạng cấp III-IV Gia Lai Full/Mạng cấp III Gia Lai Full/Ring 4/TT2 Gia Lai- Chư Sê/Trung Thế</v>
          </cell>
          <cell r="U1589">
            <v>13011.6</v>
          </cell>
        </row>
        <row r="1590">
          <cell r="L1590" t="str">
            <v>Đức Cơ- Chư Prông</v>
          </cell>
          <cell r="M1590" t="str">
            <v>7012.61</v>
          </cell>
          <cell r="N1590" t="str">
            <v>6905.54</v>
          </cell>
          <cell r="O1590" t="str">
            <v>13.816597</v>
          </cell>
          <cell r="P1590" t="str">
            <v>107.881558</v>
          </cell>
          <cell r="Q1590" t="str">
            <v>107.07</v>
          </cell>
          <cell r="R1590" t="str">
            <v>13.744860</v>
          </cell>
          <cell r="S1590" t="str">
            <v>107.858248</v>
          </cell>
          <cell r="T1590" t="str">
            <v>full_h04/Gia Lai/GE Mạng cấp III-IV Gia Lai Full v6.kmz/GE Mạng cấp III-IV Gia Lai Full/Mạng cấp III Gia Lai Full/Ring 3/Đức Cơ- Chư Prông/Trung Thế</v>
          </cell>
          <cell r="U1590">
            <v>7012.61</v>
          </cell>
        </row>
        <row r="1591">
          <cell r="L1591" t="str">
            <v>Đức Cơ- Chư Prông</v>
          </cell>
          <cell r="M1591" t="str">
            <v>123.58</v>
          </cell>
          <cell r="N1591" t="str">
            <v>107.07</v>
          </cell>
          <cell r="O1591" t="str">
            <v>13.744860</v>
          </cell>
          <cell r="P1591" t="str">
            <v>107.858248</v>
          </cell>
          <cell r="Q1591" t="str">
            <v>16.51</v>
          </cell>
          <cell r="R1591" t="str">
            <v>13.753993</v>
          </cell>
          <cell r="S1591" t="str">
            <v>107.889787</v>
          </cell>
          <cell r="T1591" t="str">
            <v>full_h04/Gia Lai/GE Mạng cấp III-IV Gia Lai Full v6.kmz/GE Mạng cấp III-IV Gia Lai Full/Mạng cấp III Gia Lai Full/Ring 3/Đức Cơ- Chư Prông/Trung Thế</v>
          </cell>
          <cell r="U1591">
            <v>123.58</v>
          </cell>
        </row>
        <row r="1592">
          <cell r="L1592" t="str">
            <v>TTCMKV Chư Prông - Chư Prông</v>
          </cell>
          <cell r="M1592" t="str">
            <v>107.93</v>
          </cell>
          <cell r="N1592" t="str">
            <v>41.87</v>
          </cell>
          <cell r="O1592" t="str">
            <v>13.753618</v>
          </cell>
          <cell r="P1592" t="str">
            <v>107.889730</v>
          </cell>
          <cell r="Q1592" t="str">
            <v>66.06</v>
          </cell>
          <cell r="R1592" t="str">
            <v>13.762046</v>
          </cell>
          <cell r="S1592" t="str">
            <v>107.899835</v>
          </cell>
          <cell r="T1592" t="str">
            <v>full_h04/Gia Lai/GE Mạng cấp III-IV Gia Lai Full v6.kmz/GE Mạng cấp III-IV Gia Lai Full/Mạng cấp IV  Gia Lai Full/Mạng 4 GLI-Ring 9/Ring 9/TTCMKV Chư Prông - Chư Prông/TTCMKV Chư Prông - Chư Prông - trung thế</v>
          </cell>
          <cell r="U1592">
            <v>107.93</v>
          </cell>
        </row>
        <row r="1593">
          <cell r="L1593" t="str">
            <v>PC11A-Chư Sê</v>
          </cell>
          <cell r="M1593" t="str">
            <v>85.79</v>
          </cell>
          <cell r="N1593" t="str">
            <v>1.02</v>
          </cell>
          <cell r="O1593" t="str">
            <v>13.692099</v>
          </cell>
          <cell r="P1593" t="str">
            <v>108.080351</v>
          </cell>
          <cell r="Q1593" t="str">
            <v>84.76</v>
          </cell>
          <cell r="R1593" t="str">
            <v>13.705873</v>
          </cell>
          <cell r="S1593" t="str">
            <v>108.091086</v>
          </cell>
          <cell r="T1593" t="str">
            <v>full_h04/Gia Lai/GE Mạng cấp III-IV Gia Lai Full v6.kmz/GE Mạng cấp III-IV Gia Lai Full/Mạng cấp III Gia Lai Full/Cấp Phòng-Ban/PC11A-Chư Sê/Trung Thế</v>
          </cell>
          <cell r="U1593">
            <v>85.79</v>
          </cell>
        </row>
        <row r="1594">
          <cell r="L1594" t="str">
            <v>Chư Pưh- Hàm Rồng</v>
          </cell>
          <cell r="M1594" t="str">
            <v>2092.34</v>
          </cell>
          <cell r="N1594" t="str">
            <v>1823.86</v>
          </cell>
          <cell r="O1594" t="str">
            <v>13.698165</v>
          </cell>
          <cell r="P1594" t="str">
            <v>108.075373</v>
          </cell>
          <cell r="Q1594" t="str">
            <v>268.48</v>
          </cell>
          <cell r="R1594" t="str">
            <v>13.762463</v>
          </cell>
          <cell r="S1594" t="str">
            <v>108.027052</v>
          </cell>
          <cell r="T1594" t="str">
            <v>full_h04/Gia Lai/GE Mạng cấp III-IV Gia Lai Full v6.kmz/GE Mạng cấp III-IV Gia Lai Full/Mạng cấp III Gia Lai Full/Ring 3/Chư Pưh- Hàm Rồng/Trung Thế</v>
          </cell>
          <cell r="U1594">
            <v>2092.34</v>
          </cell>
        </row>
        <row r="1595">
          <cell r="L1595" t="str">
            <v>Chư Prông-Chư Pưh</v>
          </cell>
          <cell r="M1595" t="str">
            <v>1205.16</v>
          </cell>
          <cell r="N1595" t="str">
            <v>1179.93</v>
          </cell>
          <cell r="O1595" t="str">
            <v>13.768655</v>
          </cell>
          <cell r="P1595" t="str">
            <v>108.018895</v>
          </cell>
          <cell r="Q1595" t="str">
            <v>25.24</v>
          </cell>
          <cell r="R1595" t="str">
            <v>13.791882</v>
          </cell>
          <cell r="S1595" t="str">
            <v>108.001333</v>
          </cell>
          <cell r="T1595" t="str">
            <v>full_h04/Gia Lai/GE Mạng cấp III-IV Gia Lai Full v6.kmz/GE Mạng cấp III-IV Gia Lai Full/Mạng cấp III Gia Lai Full/Ring 3/Chư Prông-Chư Pưh/Trung Thế</v>
          </cell>
          <cell r="U1595">
            <v>1205.1600000000001</v>
          </cell>
        </row>
        <row r="1596">
          <cell r="L1596" t="str">
            <v>Chư Prông-Chư Pưh</v>
          </cell>
          <cell r="M1596" t="str">
            <v>1240.25</v>
          </cell>
          <cell r="N1596" t="str">
            <v>25.24</v>
          </cell>
          <cell r="O1596" t="str">
            <v>13.791882</v>
          </cell>
          <cell r="P1596" t="str">
            <v>108.001333</v>
          </cell>
          <cell r="Q1596" t="str">
            <v>1215.01</v>
          </cell>
          <cell r="R1596" t="str">
            <v>13.751874</v>
          </cell>
          <cell r="S1596" t="str">
            <v>107.897792</v>
          </cell>
          <cell r="T1596" t="str">
            <v>full_h04/Gia Lai/GE Mạng cấp III-IV Gia Lai Full v6.kmz/GE Mạng cấp III-IV Gia Lai Full/Mạng cấp III Gia Lai Full/Ring 3/Chư Prông-Chư Pưh/Trung Thế</v>
          </cell>
          <cell r="U1596">
            <v>1240.25</v>
          </cell>
        </row>
        <row r="1597">
          <cell r="L1597" t="str">
            <v>Chư Prông-Chư Pưh</v>
          </cell>
          <cell r="M1597" t="str">
            <v>628.36</v>
          </cell>
          <cell r="N1597" t="str">
            <v>232.19</v>
          </cell>
          <cell r="O1597" t="str">
            <v>13.691159</v>
          </cell>
          <cell r="P1597" t="str">
            <v>108.078440</v>
          </cell>
          <cell r="Q1597" t="str">
            <v>396.17</v>
          </cell>
          <cell r="R1597" t="str">
            <v>13.618996</v>
          </cell>
          <cell r="S1597" t="str">
            <v>108.110883</v>
          </cell>
          <cell r="T1597" t="str">
            <v>full_h04/Gia Lai/GE Mạng cấp III-IV Gia Lai Full v6.kmz/GE Mạng cấp III-IV Gia Lai Full/Mạng cấp III Gia Lai Full/Ring 3/Chư Prông-Chư Pưh/Trung Thế</v>
          </cell>
          <cell r="U1597">
            <v>628.36</v>
          </cell>
        </row>
        <row r="1598">
          <cell r="L1598" t="str">
            <v>Ia Ko - Ia Hrú</v>
          </cell>
          <cell r="M1598" t="str">
            <v>18414.50</v>
          </cell>
          <cell r="N1598" t="str">
            <v>120.53</v>
          </cell>
          <cell r="O1598" t="str">
            <v>13.618595</v>
          </cell>
          <cell r="P1598" t="str">
            <v>108.113514</v>
          </cell>
          <cell r="Q1598" t="str">
            <v>18293.96</v>
          </cell>
          <cell r="R1598" t="str">
            <v>13.584393</v>
          </cell>
          <cell r="S1598" t="str">
            <v>108.006560</v>
          </cell>
          <cell r="T1598" t="str">
            <v>full_h04/Gia Lai/GE Mạng cấp III-IV Gia Lai Full v6.kmz/GE Mạng cấp III-IV Gia Lai Full/Mạng cấp IV  Gia Lai Full/Mạng 4 GLI-Ring 9/Ring 9/Ia Ko - Ia Hrú/Ia Ko - Ia Hrú - trung thế</v>
          </cell>
          <cell r="U1598">
            <v>18414.5</v>
          </cell>
        </row>
        <row r="1599">
          <cell r="L1599" t="str">
            <v>Ia Mơ - Ia Lâu</v>
          </cell>
          <cell r="M1599" t="str">
            <v>2268.50</v>
          </cell>
          <cell r="N1599" t="str">
            <v>79.53</v>
          </cell>
          <cell r="O1599" t="str">
            <v>13.484057</v>
          </cell>
          <cell r="P1599" t="str">
            <v>107.872379</v>
          </cell>
          <cell r="Q1599" t="str">
            <v>2188.96</v>
          </cell>
          <cell r="R1599" t="str">
            <v>13.581787</v>
          </cell>
          <cell r="S1599" t="str">
            <v>107.874772</v>
          </cell>
          <cell r="T1599" t="str">
            <v>full_h04/Gia Lai/GE Mạng cấp III-IV Gia Lai Full v6.kmz/GE Mạng cấp III-IV Gia Lai Full/Mạng cấp IV  Gia Lai Full/Mạng 4 GLI-Ring 8/Ring 8/Ia Mơ - Ia Lâu/Ia Mơ - Ia Lâu - Trung thế (1)</v>
          </cell>
          <cell r="U1599">
            <v>2268.5</v>
          </cell>
        </row>
        <row r="1600">
          <cell r="L1600" t="str">
            <v>TTCMKV Chư Prong - IaPia</v>
          </cell>
          <cell r="M1600" t="str">
            <v>3301.58</v>
          </cell>
          <cell r="N1600" t="str">
            <v>29.09</v>
          </cell>
          <cell r="O1600" t="str">
            <v>13.595531</v>
          </cell>
          <cell r="P1600" t="str">
            <v>107.889447</v>
          </cell>
          <cell r="Q1600" t="str">
            <v>3272.50</v>
          </cell>
          <cell r="R1600" t="str">
            <v>13.617354</v>
          </cell>
          <cell r="S1600" t="str">
            <v>107.900488</v>
          </cell>
          <cell r="T1600" t="str">
            <v>full_h04/Gia Lai/GE Mạng cấp III-IV Gia Lai Full v6.kmz/GE Mạng cấp III-IV Gia Lai Full/Mạng cấp IV  Gia Lai Full/Mạng 4 GLI-Ring 8/Ring 8/TTCMKV Chư Prong - IaPia/TTCMKV CHư Prong - Ia Pia - Trung thế (3)</v>
          </cell>
          <cell r="U1600">
            <v>3301.58</v>
          </cell>
        </row>
        <row r="1601">
          <cell r="L1601" t="str">
            <v>Ia Tôr - Ia Ko</v>
          </cell>
          <cell r="M1601" t="str">
            <v>6517.31</v>
          </cell>
          <cell r="N1601" t="str">
            <v>237.67</v>
          </cell>
          <cell r="O1601" t="str">
            <v>13.633530</v>
          </cell>
          <cell r="P1601" t="str">
            <v>107.924501</v>
          </cell>
          <cell r="Q1601" t="str">
            <v>6279.65</v>
          </cell>
          <cell r="R1601" t="str">
            <v>13.724773</v>
          </cell>
          <cell r="S1601" t="str">
            <v>107.942887</v>
          </cell>
          <cell r="T1601" t="str">
            <v>full_h04/Gia Lai/GE Mạng cấp III-IV Gia Lai Full v6.kmz/GE Mạng cấp III-IV Gia Lai Full/Mạng cấp IV  Gia Lai Full/Mạng 4 GLI-Ring 9/Ring 9/Ia Tôr - Ia Ko/Ia Tôr - Ia Ko - trung thế</v>
          </cell>
          <cell r="U1601">
            <v>6517.31</v>
          </cell>
        </row>
        <row r="1602">
          <cell r="L1602" t="str">
            <v>Chư Prông-Chư Pưh</v>
          </cell>
          <cell r="M1602" t="str">
            <v>456.16</v>
          </cell>
          <cell r="N1602" t="str">
            <v>232.19</v>
          </cell>
          <cell r="O1602" t="str">
            <v>13.691159</v>
          </cell>
          <cell r="P1602" t="str">
            <v>108.078440</v>
          </cell>
          <cell r="Q1602" t="str">
            <v>223.98</v>
          </cell>
          <cell r="R1602" t="str">
            <v>13.693994</v>
          </cell>
          <cell r="S1602" t="str">
            <v>108.028186</v>
          </cell>
          <cell r="T1602" t="str">
            <v>full_h04/Gia Lai/GE Mạng cấp III-IV Gia Lai Full v6.kmz/GE Mạng cấp III-IV Gia Lai Full/Mạng cấp III Gia Lai Full/Ring 3/Chư Prông-Chư Pưh/Trung Thế</v>
          </cell>
          <cell r="U1602">
            <v>456.16</v>
          </cell>
        </row>
        <row r="1603">
          <cell r="L1603" t="str">
            <v>Ia Tôr - Ia Ko</v>
          </cell>
          <cell r="M1603" t="str">
            <v>9567.81</v>
          </cell>
          <cell r="N1603" t="str">
            <v>9473.77</v>
          </cell>
          <cell r="O1603" t="str">
            <v>13.736822</v>
          </cell>
          <cell r="P1603" t="str">
            <v>107.953590</v>
          </cell>
          <cell r="Q1603" t="str">
            <v>94.04</v>
          </cell>
          <cell r="R1603" t="str">
            <v>13.585607</v>
          </cell>
          <cell r="S1603" t="str">
            <v>108.006819</v>
          </cell>
          <cell r="T1603" t="str">
            <v>full_h04/Gia Lai/GE Mạng cấp III-IV Gia Lai Full v6.kmz/GE Mạng cấp III-IV Gia Lai Full/Mạng cấp IV  Gia Lai Full/Mạng 4 GLI-Ring 9/Ring 9/Ia Tôr - Ia Ko/Ia Tôr - Ia Ko - trung thế</v>
          </cell>
          <cell r="U1603">
            <v>9567.81</v>
          </cell>
        </row>
        <row r="1604">
          <cell r="L1604" t="str">
            <v>Ia Tôr - Ia Ko</v>
          </cell>
          <cell r="M1604" t="str">
            <v>6373.67</v>
          </cell>
          <cell r="N1604" t="str">
            <v>94.03</v>
          </cell>
          <cell r="O1604" t="str">
            <v>13.585607</v>
          </cell>
          <cell r="P1604" t="str">
            <v>108.006819</v>
          </cell>
          <cell r="Q1604" t="str">
            <v>6279.65</v>
          </cell>
          <cell r="R1604" t="str">
            <v>13.724773</v>
          </cell>
          <cell r="S1604" t="str">
            <v>107.942887</v>
          </cell>
          <cell r="T1604" t="str">
            <v>full_h04/Gia Lai/GE Mạng cấp III-IV Gia Lai Full v6.kmz/GE Mạng cấp III-IV Gia Lai Full/Mạng cấp IV  Gia Lai Full/Mạng 4 GLI-Ring 9/Ring 9/Ia Tôr - Ia Ko/Ia Tôr - Ia Ko - trung thế</v>
          </cell>
          <cell r="U1604">
            <v>6373.67</v>
          </cell>
        </row>
        <row r="1605">
          <cell r="L1605" t="str">
            <v>TT2 Gia Lai- Chư Sê</v>
          </cell>
          <cell r="M1605" t="str">
            <v>8565.05</v>
          </cell>
          <cell r="N1605" t="str">
            <v>1489.29</v>
          </cell>
          <cell r="O1605" t="str">
            <v>13.973366</v>
          </cell>
          <cell r="P1605" t="str">
            <v>107.993383</v>
          </cell>
          <cell r="Q1605" t="str">
            <v>7075.76</v>
          </cell>
          <cell r="R1605" t="str">
            <v>13.898295</v>
          </cell>
          <cell r="S1605" t="str">
            <v>108.016447</v>
          </cell>
          <cell r="T1605" t="str">
            <v>full_h04/Gia Lai/GE Mạng cấp III-IV Gia Lai Full v6.kmz/GE Mạng cấp III-IV Gia Lai Full/Mạng cấp III Gia Lai Full/Ring 4/TT2 Gia Lai- Chư Sê/Trung Thế</v>
          </cell>
          <cell r="U1605">
            <v>8565.0499999999993</v>
          </cell>
        </row>
        <row r="1606">
          <cell r="L1606" t="str">
            <v>PC11A-Chư Sê</v>
          </cell>
          <cell r="M1606" t="str">
            <v>6999.57</v>
          </cell>
          <cell r="N1606" t="str">
            <v>116.25</v>
          </cell>
          <cell r="O1606" t="str">
            <v>13.846434</v>
          </cell>
          <cell r="P1606" t="str">
            <v>108.054151</v>
          </cell>
          <cell r="Q1606" t="str">
            <v>6883.32</v>
          </cell>
          <cell r="R1606" t="str">
            <v>13.833928</v>
          </cell>
          <cell r="S1606" t="str">
            <v>108.057454</v>
          </cell>
          <cell r="T1606" t="str">
            <v>full_h04/Gia Lai/GE Mạng cấp III-IV Gia Lai Full v6.kmz/GE Mạng cấp III-IV Gia Lai Full/Mạng cấp III Gia Lai Full/Cấp Phòng-Ban/PC11A-Chư Sê/Trung Thế</v>
          </cell>
          <cell r="U1606">
            <v>6999.57</v>
          </cell>
        </row>
        <row r="1607">
          <cell r="L1607" t="str">
            <v>Bờ Ngoong - AlBá</v>
          </cell>
          <cell r="M1607" t="str">
            <v>117.19</v>
          </cell>
          <cell r="N1607" t="str">
            <v>68.22</v>
          </cell>
          <cell r="O1607" t="str">
            <v>13.830571</v>
          </cell>
          <cell r="P1607" t="str">
            <v>108.121448</v>
          </cell>
          <cell r="Q1607" t="str">
            <v>48.97</v>
          </cell>
          <cell r="R1607" t="str">
            <v>13.737549</v>
          </cell>
          <cell r="S1607" t="str">
            <v>108.118886</v>
          </cell>
          <cell r="T1607" t="str">
            <v>full_h04/Gia Lai/GE Mạng cấp III-IV Gia Lai Full v6.kmz/GE Mạng cấp III-IV Gia Lai Full/Mạng cấp IV  Gia Lai Full/Mạng 4 GLI-Ring 11/Ring 11/Bờ Ngoong - AlBá/Bờ Ngoong - AlBá - trung thế</v>
          </cell>
          <cell r="U1607">
            <v>117.19</v>
          </cell>
        </row>
        <row r="1608">
          <cell r="L1608" t="str">
            <v>TTCMKV Chư Sê - Chư A Thai</v>
          </cell>
          <cell r="M1608" t="str">
            <v>6605.23</v>
          </cell>
          <cell r="N1608" t="str">
            <v>6358.92</v>
          </cell>
          <cell r="O1608" t="str">
            <v>13.682983</v>
          </cell>
          <cell r="P1608" t="str">
            <v>108.100022</v>
          </cell>
          <cell r="Q1608" t="str">
            <v>246.31</v>
          </cell>
          <cell r="R1608" t="str">
            <v>13.580524</v>
          </cell>
          <cell r="S1608" t="str">
            <v>108.229806</v>
          </cell>
          <cell r="T1608" t="str">
            <v>full_h04/Gia Lai/GE Mạng cấp III-IV Gia Lai Full v6.kmz/GE Mạng cấp III-IV Gia Lai Full/Mạng cấp IV  Gia Lai Full/Mạng 4 GLI-Ring 10/Ring 10/TTCMKV Chư Sê - Chư A Thai/TTCMKV Chư Sê - Chư A Thai - trung thế</v>
          </cell>
          <cell r="U1608">
            <v>6605.23</v>
          </cell>
        </row>
        <row r="1609">
          <cell r="L1609" t="str">
            <v>Chư Sê- Phú Thiện</v>
          </cell>
          <cell r="M1609" t="str">
            <v>260.69</v>
          </cell>
          <cell r="N1609" t="str">
            <v>260.23</v>
          </cell>
          <cell r="O1609" t="str">
            <v>13.580659</v>
          </cell>
          <cell r="P1609" t="str">
            <v>108.229859</v>
          </cell>
          <cell r="Q1609" t="str">
            <v>0.46</v>
          </cell>
          <cell r="R1609" t="str">
            <v>13.692111</v>
          </cell>
          <cell r="S1609" t="str">
            <v>108.080355</v>
          </cell>
          <cell r="T1609" t="str">
            <v>full_h04/Gia Lai/GE Mạng cấp III-IV Gia Lai Full v6.kmz/GE Mạng cấp III-IV Gia Lai Full/Mạng cấp III Gia Lai Full/Ring 4/Chư Sê- Phú Thiện/Trung Thế</v>
          </cell>
          <cell r="U1609">
            <v>260.69</v>
          </cell>
        </row>
        <row r="1610">
          <cell r="L1610" t="str">
            <v>CA Công an tỉnh - Quy Nhơn Nam</v>
          </cell>
          <cell r="M1610" t="str">
            <v>617.98</v>
          </cell>
          <cell r="N1610" t="str">
            <v>112.08</v>
          </cell>
          <cell r="O1610" t="str">
            <v>13.770323</v>
          </cell>
          <cell r="P1610" t="str">
            <v>109.225879</v>
          </cell>
          <cell r="Q1610" t="str">
            <v>505.91</v>
          </cell>
          <cell r="R1610" t="str">
            <v>13.755694</v>
          </cell>
          <cell r="S1610" t="str">
            <v>109.207715</v>
          </cell>
          <cell r="T1610" t="str">
            <v>full_h04/Gia Lai/GE Mạng cấp III-IV Gia Lai Full v6.kmz/GE Mạng cấp III-IV Gia Lai Full/Mạng cấp IV  Gia Lai Full/Mạng 4 BD - Ring 1/CA Công an tỉnh - Quy Nhơn Nam/cot trung the</v>
          </cell>
          <cell r="U1610">
            <v>617.98</v>
          </cell>
        </row>
        <row r="1611">
          <cell r="L1611" t="str">
            <v>Phù Mỹ-  Hoài Ân</v>
          </cell>
          <cell r="M1611" t="str">
            <v>9379.42</v>
          </cell>
          <cell r="N1611" t="str">
            <v>18.49</v>
          </cell>
          <cell r="O1611" t="str">
            <v>14.168985</v>
          </cell>
          <cell r="P1611" t="str">
            <v>109.048852</v>
          </cell>
          <cell r="Q1611" t="str">
            <v>9360.93</v>
          </cell>
          <cell r="R1611" t="str">
            <v>14.358561</v>
          </cell>
          <cell r="S1611" t="str">
            <v>108.961426</v>
          </cell>
          <cell r="T1611" t="str">
            <v>full_h04/Gia Lai/GE Mạng cấp III-IV Gia Lai Full v6.kmz/GE Mạng cấp III-IV Gia Lai Full/Mạng cấp III Gia Lai Full/Ring 1/Phù Mỹ-  Hoài Ân/Trung Thế</v>
          </cell>
          <cell r="U1611">
            <v>9379.42</v>
          </cell>
        </row>
        <row r="1612">
          <cell r="L1612" t="str">
            <v>Hoài Nhơn Đông - TTCMKV Hoài Ân</v>
          </cell>
          <cell r="M1612" t="str">
            <v>9256.55</v>
          </cell>
          <cell r="N1612" t="str">
            <v>76.98</v>
          </cell>
          <cell r="O1612" t="str">
            <v>14.364764</v>
          </cell>
          <cell r="P1612" t="str">
            <v>108.967712</v>
          </cell>
          <cell r="Q1612" t="str">
            <v>9179.58</v>
          </cell>
          <cell r="R1612" t="str">
            <v>14.481485</v>
          </cell>
          <cell r="S1612" t="str">
            <v>109.080802</v>
          </cell>
          <cell r="T1612" t="str">
            <v>full_h04/Gia Lai/GE Mạng cấp III-IV Gia Lai Full v6.kmz/GE Mạng cấp III-IV Gia Lai Full/Mạng cấp IV  Gia Lai Full/Mạng 4 BD - Ring 12/Hoài Nhơn Đông - TTCMKV Hoài Ân/Hoài Nhơn Đông - TTCMKV Hoài Ân_Trung thế</v>
          </cell>
          <cell r="U1612">
            <v>9256.5499999999993</v>
          </cell>
        </row>
        <row r="1613">
          <cell r="L1613" t="str">
            <v>PX05 - Khối CQ CSĐT</v>
          </cell>
          <cell r="M1613" t="str">
            <v>346.01</v>
          </cell>
          <cell r="N1613" t="str">
            <v>24.06</v>
          </cell>
          <cell r="O1613" t="str">
            <v>13.769836</v>
          </cell>
          <cell r="P1613" t="str">
            <v>109.232201</v>
          </cell>
          <cell r="Q1613" t="str">
            <v>321.95</v>
          </cell>
          <cell r="R1613" t="str">
            <v>13.765346</v>
          </cell>
          <cell r="S1613" t="str">
            <v>109.224615</v>
          </cell>
          <cell r="T1613" t="str">
            <v>full_h04/Gia Lai/GE Mạng cấp III-IV Gia Lai Full v6.kmz/GE Mạng cấp III-IV Gia Lai Full/Mạng cấp III Gia Lai Full/Cấp Phòng-Ban/PX05 - Khối CQ CSĐT/Trung thế</v>
          </cell>
          <cell r="U1613">
            <v>346.01</v>
          </cell>
        </row>
        <row r="1614">
          <cell r="L1614" t="str">
            <v>Khối CQ CSĐT - PA07 cũ</v>
          </cell>
          <cell r="M1614" t="str">
            <v>617.19</v>
          </cell>
          <cell r="N1614" t="str">
            <v>25.32</v>
          </cell>
          <cell r="O1614" t="str">
            <v>13.756923</v>
          </cell>
          <cell r="P1614" t="str">
            <v>109.212577</v>
          </cell>
          <cell r="Q1614" t="str">
            <v>591.87</v>
          </cell>
          <cell r="R1614" t="str">
            <v>13.769770</v>
          </cell>
          <cell r="S1614" t="str">
            <v>109.217917</v>
          </cell>
          <cell r="T1614" t="str">
            <v>full_h04/Gia Lai/GE Mạng cấp III-IV Gia Lai Full v6.kmz/GE Mạng cấp III-IV Gia Lai Full/Mạng cấp III Gia Lai Full/Cấp Phòng-Ban/Khối CQ CSĐT - PA07 cũ/Trung thế</v>
          </cell>
          <cell r="U1614">
            <v>617.19000000000005</v>
          </cell>
        </row>
        <row r="1615">
          <cell r="L1615" t="str">
            <v>Khối CQ CSĐT - PA07 cũ</v>
          </cell>
          <cell r="M1615" t="str">
            <v>631.03</v>
          </cell>
          <cell r="N1615" t="str">
            <v>22.69</v>
          </cell>
          <cell r="O1615" t="str">
            <v>13.777423</v>
          </cell>
          <cell r="P1615" t="str">
            <v>109.230131</v>
          </cell>
          <cell r="Q1615" t="str">
            <v>608.34</v>
          </cell>
          <cell r="R1615" t="str">
            <v>13.777979</v>
          </cell>
          <cell r="S1615" t="str">
            <v>109.230326</v>
          </cell>
          <cell r="T1615" t="str">
            <v>full_h04/Gia Lai/GE Mạng cấp III-IV Gia Lai Full v6.kmz/GE Mạng cấp III-IV Gia Lai Full/Mạng cấp III Gia Lai Full/Cấp Phòng-Ban/Khối CQ CSĐT - PA07 cũ/Trung thế</v>
          </cell>
          <cell r="U1615">
            <v>631.03</v>
          </cell>
        </row>
        <row r="1616">
          <cell r="L1616" t="str">
            <v>TT1 Gia Lai - TT2 Gia Lai (ring 1)</v>
          </cell>
          <cell r="M1616" t="str">
            <v>76.78</v>
          </cell>
          <cell r="N1616" t="str">
            <v>37.59</v>
          </cell>
          <cell r="O1616" t="str">
            <v>13.771952</v>
          </cell>
          <cell r="P1616" t="str">
            <v>109.226640</v>
          </cell>
          <cell r="Q1616" t="str">
            <v>39.19</v>
          </cell>
          <cell r="R1616" t="str">
            <v>13.777645</v>
          </cell>
          <cell r="S1616" t="str">
            <v>109.222702</v>
          </cell>
          <cell r="T1616" t="str">
            <v>full_h04/Gia Lai/Mạng cấp 2 Gia Lai.kmz/Mạng cấp 2 Gia Lai/TT1 Gia Lai - TT2 Gia Lai (ring 1)/Trung thế</v>
          </cell>
          <cell r="U1616">
            <v>76.78</v>
          </cell>
        </row>
        <row r="1617">
          <cell r="L1617" t="str">
            <v>TT2 Gia Lai - TT1 Gia Lai (ring 2)</v>
          </cell>
          <cell r="M1617" t="str">
            <v>249.66</v>
          </cell>
          <cell r="N1617" t="str">
            <v>237.98</v>
          </cell>
          <cell r="O1617" t="str">
            <v>13.769006</v>
          </cell>
          <cell r="P1617" t="str">
            <v>109.226101</v>
          </cell>
          <cell r="Q1617" t="str">
            <v>11.68</v>
          </cell>
          <cell r="R1617" t="str">
            <v>13.765398</v>
          </cell>
          <cell r="S1617" t="str">
            <v>109.224717</v>
          </cell>
          <cell r="T1617" t="str">
            <v>full_h04/Gia Lai/Mạng cấp 2 Gia Lai.kmz/Mạng cấp 2 Gia Lai/TT2 Gia Lai - TT1 Gia Lai (ring 2)/Trung thế 8</v>
          </cell>
          <cell r="U1617">
            <v>249.66</v>
          </cell>
        </row>
        <row r="1618">
          <cell r="L1618" t="str">
            <v>CA Tỉnh - Tuy Phước</v>
          </cell>
          <cell r="M1618" t="str">
            <v>152.21</v>
          </cell>
          <cell r="N1618" t="str">
            <v>44.90</v>
          </cell>
          <cell r="O1618" t="str">
            <v>13.770341</v>
          </cell>
          <cell r="P1618" t="str">
            <v>109.225867</v>
          </cell>
          <cell r="Q1618" t="str">
            <v>107.31</v>
          </cell>
          <cell r="R1618" t="str">
            <v>13.777872</v>
          </cell>
          <cell r="S1618" t="str">
            <v>109.225996</v>
          </cell>
          <cell r="T1618" t="str">
            <v>full_h04/Gia Lai/GE Mạng cấp III-IV Gia Lai Full v6.kmz/GE Mạng cấp III-IV Gia Lai Full/Mạng cấp IV  Gia Lai Full/Mạng 4 BD - Ring 6/CA Tỉnh - Tuy Phước/trung thế</v>
          </cell>
          <cell r="U1618">
            <v>152.21</v>
          </cell>
        </row>
        <row r="1619">
          <cell r="L1619" t="str">
            <v>Quy Nhơn Tây - CA Công an tỉnh</v>
          </cell>
          <cell r="M1619" t="str">
            <v>207.63</v>
          </cell>
          <cell r="N1619" t="str">
            <v>111.78</v>
          </cell>
          <cell r="O1619" t="str">
            <v>13.794098</v>
          </cell>
          <cell r="P1619" t="str">
            <v>109.157620</v>
          </cell>
          <cell r="Q1619" t="str">
            <v>95.85</v>
          </cell>
          <cell r="R1619" t="str">
            <v>13.748125</v>
          </cell>
          <cell r="S1619" t="str">
            <v>109.151713</v>
          </cell>
          <cell r="T1619" t="str">
            <v>full_h04/Gia Lai/GE Mạng cấp III-IV Gia Lai Full v6.kmz/GE Mạng cấp III-IV Gia Lai Full/Mạng cấp IV  Gia Lai Full/Mạng 4 BD - Ring 2/Quy Nhơn Tây - CA Công an tỉnh/trung thế</v>
          </cell>
          <cell r="U1619">
            <v>207.63</v>
          </cell>
        </row>
        <row r="1620">
          <cell r="L1620" t="str">
            <v>PC08 - PC11B</v>
          </cell>
          <cell r="M1620" t="str">
            <v>451.96</v>
          </cell>
          <cell r="N1620" t="str">
            <v>310.54</v>
          </cell>
          <cell r="O1620" t="str">
            <v>13.748995</v>
          </cell>
          <cell r="P1620" t="str">
            <v>109.159849</v>
          </cell>
          <cell r="Q1620" t="str">
            <v>141.42</v>
          </cell>
          <cell r="R1620" t="str">
            <v>13.793902</v>
          </cell>
          <cell r="S1620" t="str">
            <v>109.152803</v>
          </cell>
          <cell r="T1620" t="str">
            <v>full_h04/Gia Lai/GE Mạng cấp III-IV Gia Lai Full v6.kmz/GE Mạng cấp III-IV Gia Lai Full/Mạng cấp III Gia Lai Full/Cấp Phòng-Ban/PC08 - PC11B/Trung thế</v>
          </cell>
          <cell r="U1620">
            <v>451.96</v>
          </cell>
        </row>
        <row r="1621">
          <cell r="L1621" t="str">
            <v>PC08 - PC11B</v>
          </cell>
          <cell r="M1621" t="str">
            <v>1481.16</v>
          </cell>
          <cell r="N1621" t="str">
            <v>677.58</v>
          </cell>
          <cell r="O1621" t="str">
            <v>13.748989</v>
          </cell>
          <cell r="P1621" t="str">
            <v>109.159845</v>
          </cell>
          <cell r="Q1621" t="str">
            <v>803.57</v>
          </cell>
          <cell r="R1621" t="str">
            <v>13.788163</v>
          </cell>
          <cell r="S1621" t="str">
            <v>109.147704</v>
          </cell>
          <cell r="T1621" t="str">
            <v>full_h04/Gia Lai/GE Mạng cấp III-IV Gia Lai Full v6.kmz/GE Mạng cấp III-IV Gia Lai Full/Mạng cấp III Gia Lai Full/Cấp Phòng-Ban/PC08 - PC11B/Trung thế</v>
          </cell>
          <cell r="U1621">
            <v>1481.16</v>
          </cell>
        </row>
        <row r="1622">
          <cell r="L1622" t="str">
            <v>An Nhơn Bắc - TTCMKV An Nhơn</v>
          </cell>
          <cell r="M1622" t="str">
            <v>6987.97</v>
          </cell>
          <cell r="N1622" t="str">
            <v>2127.31</v>
          </cell>
          <cell r="O1622" t="str">
            <v>13.947566</v>
          </cell>
          <cell r="P1622" t="str">
            <v>109.066828</v>
          </cell>
          <cell r="Q1622" t="str">
            <v>4860.65</v>
          </cell>
          <cell r="R1622" t="str">
            <v>13.902282</v>
          </cell>
          <cell r="S1622" t="str">
            <v>109.114161</v>
          </cell>
          <cell r="T1622" t="str">
            <v>full_h04/Gia Lai/GE Mạng cấp III-IV Gia Lai Full v6.kmz/GE Mạng cấp III-IV Gia Lai Full/Mạng cấp IV  Gia Lai Full/Mạng 4 BD - Ring 5/An Nhơn Bắc - TTCMKV An Nhơn/trung thế</v>
          </cell>
          <cell r="U1622">
            <v>6987.97</v>
          </cell>
        </row>
        <row r="1623">
          <cell r="L1623" t="str">
            <v>Cơ sở cai nghiện ma tuý (PC04) - TT1 Gia Lai (Quy nhơn)_v1</v>
          </cell>
          <cell r="M1623" t="str">
            <v>323.24</v>
          </cell>
          <cell r="N1623" t="str">
            <v>11.23</v>
          </cell>
          <cell r="O1623" t="str">
            <v>13.749268</v>
          </cell>
          <cell r="P1623" t="str">
            <v>109.147871</v>
          </cell>
          <cell r="Q1623" t="str">
            <v>312.01</v>
          </cell>
          <cell r="R1623" t="str">
            <v>13.745321</v>
          </cell>
          <cell r="S1623" t="str">
            <v>109.152135</v>
          </cell>
          <cell r="T1623" t="str">
            <v>full_h04/Gia Lai/GE Mạng cấp III-IV Gia Lai Full v6.kmz/GE Mạng cấp III-IV Gia Lai Full/Mạng cấp III Gia Lai Full/Cấp Phòng-Ban/Cơ sở cai nghiện ma tuý (PC04) - TT1 Gia Lai (Quy nhơn)_v1/Trung thế</v>
          </cell>
          <cell r="U1623">
            <v>323.24</v>
          </cell>
        </row>
        <row r="1624">
          <cell r="L1624" t="str">
            <v>PX05 - Khối CQ CSĐT</v>
          </cell>
          <cell r="M1624" t="str">
            <v>608.79</v>
          </cell>
          <cell r="N1624" t="str">
            <v>543.43</v>
          </cell>
          <cell r="O1624" t="str">
            <v>13.762913</v>
          </cell>
          <cell r="P1624" t="str">
            <v>109.220394</v>
          </cell>
          <cell r="Q1624" t="str">
            <v>65.36</v>
          </cell>
          <cell r="R1624" t="str">
            <v>13.760818</v>
          </cell>
          <cell r="S1624" t="str">
            <v>109.215995</v>
          </cell>
          <cell r="T1624" t="str">
            <v>full_h04/Gia Lai/GE Mạng cấp III-IV Gia Lai Full v6.kmz/GE Mạng cấp III-IV Gia Lai Full/Mạng cấp III Gia Lai Full/Cấp Phòng-Ban/PX05 - Khối CQ CSĐT/Trung thế</v>
          </cell>
          <cell r="U1624">
            <v>608.79</v>
          </cell>
        </row>
        <row r="1625">
          <cell r="L1625" t="str">
            <v>Quy Nhơn Nam - Quy Nhơn</v>
          </cell>
          <cell r="M1625" t="str">
            <v>1255.91</v>
          </cell>
          <cell r="N1625" t="str">
            <v>3.07</v>
          </cell>
          <cell r="O1625" t="str">
            <v>13.755448</v>
          </cell>
          <cell r="P1625" t="str">
            <v>109.207408</v>
          </cell>
          <cell r="Q1625" t="str">
            <v>1252.83</v>
          </cell>
          <cell r="R1625" t="str">
            <v>13.755341</v>
          </cell>
          <cell r="S1625" t="str">
            <v>109.207690</v>
          </cell>
          <cell r="T1625" t="str">
            <v>full_h04/Gia Lai/GE Mạng cấp III-IV Gia Lai Full v6.kmz/GE Mạng cấp III-IV Gia Lai Full/Mạng cấp IV  Gia Lai Full/Mạng 4 BD - Ring 1/Quy Nhơn Nam - Quy Nhơn/tự trồng</v>
          </cell>
          <cell r="U1625">
            <v>1255.9100000000001</v>
          </cell>
        </row>
        <row r="1626">
          <cell r="L1626" t="str">
            <v>Quy Nhơn Tây - CA Công an tỉnh</v>
          </cell>
          <cell r="M1626" t="str">
            <v>146.41</v>
          </cell>
          <cell r="N1626" t="str">
            <v>138.49</v>
          </cell>
          <cell r="O1626" t="str">
            <v>13.784830</v>
          </cell>
          <cell r="P1626" t="str">
            <v>109.148399</v>
          </cell>
          <cell r="Q1626" t="str">
            <v>7.91</v>
          </cell>
          <cell r="R1626" t="str">
            <v>13.794009</v>
          </cell>
          <cell r="S1626" t="str">
            <v>109.154094</v>
          </cell>
          <cell r="T1626" t="str">
            <v>full_h04/Gia Lai/GE Mạng cấp III-IV Gia Lai Full v6.kmz/GE Mạng cấp III-IV Gia Lai Full/Mạng cấp IV  Gia Lai Full/Mạng 4 BD - Ring 2/Quy Nhơn Tây - CA Công an tỉnh/trung thế</v>
          </cell>
          <cell r="U1626">
            <v>146.41</v>
          </cell>
        </row>
        <row r="1627">
          <cell r="L1627" t="str">
            <v>Vân Canh-TT1 Gia Lai</v>
          </cell>
          <cell r="M1627" t="str">
            <v>119.00</v>
          </cell>
          <cell r="N1627" t="str">
            <v>22.62</v>
          </cell>
          <cell r="O1627" t="str">
            <v>13.746686</v>
          </cell>
          <cell r="P1627" t="str">
            <v>109.151917</v>
          </cell>
          <cell r="Q1627" t="str">
            <v>96.37</v>
          </cell>
          <cell r="R1627" t="str">
            <v>13.780240</v>
          </cell>
          <cell r="S1627" t="str">
            <v>109.148710</v>
          </cell>
          <cell r="T1627" t="str">
            <v>full_h04/Gia Lai/GE Mạng cấp III-IV Gia Lai Full v6.kmz/GE Mạng cấp III-IV Gia Lai Full/Mạng cấp III Gia Lai Full/Ring 2/Vân Canh-TT1 Gia Lai/Trung Thế</v>
          </cell>
          <cell r="U1627">
            <v>119</v>
          </cell>
        </row>
        <row r="1628">
          <cell r="L1628" t="str">
            <v>CA Tỉnh - Quy Nhơn Đông</v>
          </cell>
          <cell r="M1628" t="str">
            <v>306.56</v>
          </cell>
          <cell r="N1628" t="str">
            <v>83.37</v>
          </cell>
          <cell r="O1628" t="str">
            <v>13.823164</v>
          </cell>
          <cell r="P1628" t="str">
            <v>109.259561</v>
          </cell>
          <cell r="Q1628" t="str">
            <v>223.20</v>
          </cell>
          <cell r="R1628" t="str">
            <v>13.789206</v>
          </cell>
          <cell r="S1628" t="str">
            <v>109.219835</v>
          </cell>
          <cell r="T1628" t="str">
            <v>full_h04/Gia Lai/GE Mạng cấp III-IV Gia Lai Full v6.kmz/GE Mạng cấp III-IV Gia Lai Full/Mạng cấp IV  Gia Lai Full/Mạng 4 BD - Ring 4/CA Tỉnh - Quy Nhơn Đông/trung thế</v>
          </cell>
          <cell r="U1628">
            <v>306.56</v>
          </cell>
        </row>
        <row r="1629">
          <cell r="L1629" t="str">
            <v>An Nhơn Đông - An Nhơn</v>
          </cell>
          <cell r="M1629" t="str">
            <v>256.69</v>
          </cell>
          <cell r="N1629" t="str">
            <v>29.70</v>
          </cell>
          <cell r="O1629" t="str">
            <v>13.914106</v>
          </cell>
          <cell r="P1629" t="str">
            <v>109.066563</v>
          </cell>
          <cell r="Q1629" t="str">
            <v>226.98</v>
          </cell>
          <cell r="R1629" t="str">
            <v>13.911273</v>
          </cell>
          <cell r="S1629" t="str">
            <v>109.098121</v>
          </cell>
          <cell r="T1629" t="str">
            <v>full_h04/Gia Lai/GE Mạng cấp III-IV Gia Lai Full v6.kmz/GE Mạng cấp III-IV Gia Lai Full/Mạng cấp IV  Gia Lai Full/Mạng 4 BD - Ring 5/An Nhơn Đông - An Nhơn/trung thế</v>
          </cell>
          <cell r="U1629">
            <v>256.69</v>
          </cell>
        </row>
        <row r="1630">
          <cell r="L1630" t="str">
            <v>Bình Hiệp - Hội Sơn</v>
          </cell>
          <cell r="M1630" t="str">
            <v>8774.63</v>
          </cell>
          <cell r="N1630" t="str">
            <v>8403.49</v>
          </cell>
          <cell r="O1630" t="str">
            <v>13.981185</v>
          </cell>
          <cell r="P1630" t="str">
            <v>108.995521</v>
          </cell>
          <cell r="Q1630" t="str">
            <v>371.14</v>
          </cell>
          <cell r="R1630" t="str">
            <v>14.017836</v>
          </cell>
          <cell r="S1630" t="str">
            <v>108.986736</v>
          </cell>
          <cell r="T1630" t="str">
            <v>full_h04/Gia Lai/GE Mạng cấp III-IV Gia Lai Full v6.kmz/GE Mạng cấp III-IV Gia Lai Full/Mạng cấp IV  Gia Lai Full/Mạng 4 BD - Ring 9/Bình Hiệp - Hội Sơn/Trung thế</v>
          </cell>
          <cell r="U1630">
            <v>8774.6299999999992</v>
          </cell>
        </row>
        <row r="1631">
          <cell r="L1631" t="str">
            <v>Tây Sơn- An Nhơn</v>
          </cell>
          <cell r="M1631" t="str">
            <v>621.34</v>
          </cell>
          <cell r="N1631" t="str">
            <v>93.54</v>
          </cell>
          <cell r="O1631" t="str">
            <v>13.863291</v>
          </cell>
          <cell r="P1631" t="str">
            <v>109.098259</v>
          </cell>
          <cell r="Q1631" t="str">
            <v>527.79</v>
          </cell>
          <cell r="R1631" t="str">
            <v>13.878803</v>
          </cell>
          <cell r="S1631" t="str">
            <v>109.106636</v>
          </cell>
          <cell r="T1631" t="str">
            <v>full_h04/Gia Lai/GE Mạng cấp III-IV Gia Lai Full v6.kmz/GE Mạng cấp III-IV Gia Lai Full/Mạng cấp III Gia Lai Full/Ring 1/Tây Sơn- An Nhơn/Hạ Thế</v>
          </cell>
          <cell r="U1631">
            <v>621.34</v>
          </cell>
        </row>
        <row r="1632">
          <cell r="L1632" t="str">
            <v>An Nhơn Tây - An Nhơn Đông</v>
          </cell>
          <cell r="M1632" t="str">
            <v>4864.49</v>
          </cell>
          <cell r="N1632" t="str">
            <v>99.98</v>
          </cell>
          <cell r="O1632" t="str">
            <v>13.868950</v>
          </cell>
          <cell r="P1632" t="str">
            <v>109.042419</v>
          </cell>
          <cell r="Q1632" t="str">
            <v>4764.51</v>
          </cell>
          <cell r="R1632" t="str">
            <v>13.874242</v>
          </cell>
          <cell r="S1632" t="str">
            <v>109.043166</v>
          </cell>
          <cell r="T1632" t="str">
            <v>full_h04/Gia Lai/GE Mạng cấp III-IV Gia Lai Full v6.kmz/GE Mạng cấp III-IV Gia Lai Full/Mạng cấp IV  Gia Lai Full/Mạng 4 BD - Ring 5/An Nhơn Tây - An Nhơn Đông/trung thế</v>
          </cell>
          <cell r="U1632">
            <v>4864.49</v>
          </cell>
        </row>
        <row r="1633">
          <cell r="L1633" t="str">
            <v>TTCMKV Hoài Ân - Hoài Nhơn Nam</v>
          </cell>
          <cell r="M1633" t="str">
            <v>313.87</v>
          </cell>
          <cell r="N1633" t="str">
            <v>277.56</v>
          </cell>
          <cell r="O1633" t="str">
            <v>14.431192</v>
          </cell>
          <cell r="P1633" t="str">
            <v>109.017210</v>
          </cell>
          <cell r="Q1633" t="str">
            <v>36.32</v>
          </cell>
          <cell r="R1633" t="str">
            <v>14.433858</v>
          </cell>
          <cell r="S1633" t="str">
            <v>109.020138</v>
          </cell>
          <cell r="T1633" t="str">
            <v>full_h04/Gia Lai/GE Mạng cấp III-IV Gia Lai Full v6.kmz/GE Mạng cấp III-IV Gia Lai Full/Mạng cấp IV  Gia Lai Full/Mạng 4 BD - Ring 12/TTCMKV Hoài Ân - Hoài Nhơn Nam/TTCMKV Hoài Ân - Hoài Nhơn Nam_Trung thếTrung thế</v>
          </cell>
          <cell r="U1633">
            <v>313.87</v>
          </cell>
        </row>
        <row r="1634">
          <cell r="L1634" t="str">
            <v>Hoài Nhơn Nam - Hoài Nhơn</v>
          </cell>
          <cell r="M1634" t="str">
            <v>239.29</v>
          </cell>
          <cell r="N1634" t="str">
            <v>4.66</v>
          </cell>
          <cell r="O1634" t="str">
            <v>14.451541</v>
          </cell>
          <cell r="P1634" t="str">
            <v>109.042601</v>
          </cell>
          <cell r="Q1634" t="str">
            <v>234.63</v>
          </cell>
          <cell r="R1634" t="str">
            <v>14.493835</v>
          </cell>
          <cell r="S1634" t="str">
            <v>109.034745</v>
          </cell>
          <cell r="T1634" t="str">
            <v>full_h04/Gia Lai/GE Mạng cấp III-IV Gia Lai Full v6.kmz/GE Mạng cấp III-IV Gia Lai Full/Mạng cấp IV  Gia Lai Full/Mạng 4 BD - Ring 12/Hoài Nhơn Nam - Hoài Nhơn/Hoài Nhơn Nam - Hoài Nhơn_Trung thế</v>
          </cell>
          <cell r="U1634">
            <v>239.29</v>
          </cell>
        </row>
        <row r="1635">
          <cell r="L1635" t="str">
            <v>Hoài Nhơn Đông - TTCMKV Hoài Ân</v>
          </cell>
          <cell r="M1635" t="str">
            <v>16926.65</v>
          </cell>
          <cell r="N1635" t="str">
            <v>631.32</v>
          </cell>
          <cell r="O1635" t="str">
            <v>14.481538</v>
          </cell>
          <cell r="P1635" t="str">
            <v>109.085034</v>
          </cell>
          <cell r="Q1635" t="str">
            <v>16295.33</v>
          </cell>
          <cell r="R1635" t="str">
            <v>14.428409</v>
          </cell>
          <cell r="S1635" t="str">
            <v>109.041093</v>
          </cell>
          <cell r="T1635" t="str">
            <v>full_h04/Gia Lai/GE Mạng cấp III-IV Gia Lai Full v6.kmz/GE Mạng cấp III-IV Gia Lai Full/Mạng cấp IV  Gia Lai Full/Mạng 4 BD - Ring 12/Hoài Nhơn Đông - TTCMKV Hoài Ân/Hoài Nhơn Đông - TTCMKV Hoài Ân_Trung thế</v>
          </cell>
          <cell r="U1635">
            <v>16926.650000000001</v>
          </cell>
        </row>
        <row r="1636">
          <cell r="L1636" t="str">
            <v>Hoài Nhơn Bắc - Hoài Nhơn Đông</v>
          </cell>
          <cell r="M1636" t="str">
            <v>4444.46</v>
          </cell>
          <cell r="N1636" t="str">
            <v>1985.02</v>
          </cell>
          <cell r="O1636" t="str">
            <v>14.537016</v>
          </cell>
          <cell r="P1636" t="str">
            <v>109.073596</v>
          </cell>
          <cell r="Q1636" t="str">
            <v>2459.43</v>
          </cell>
          <cell r="R1636" t="str">
            <v>14.486994</v>
          </cell>
          <cell r="S1636" t="str">
            <v>109.086661</v>
          </cell>
          <cell r="T1636" t="str">
            <v>full_h04/Gia Lai/GE Mạng cấp III-IV Gia Lai Full v6.kmz/GE Mạng cấp III-IV Gia Lai Full/Mạng cấp IV  Gia Lai Full/Mạng 4 BD - Ring 12/Hoài Nhơn Bắc - Hoài Nhơn Đông/Hoài Nhơn Bắc - Hoài Nhơn Đông_Trung thế</v>
          </cell>
          <cell r="U1636">
            <v>4444.46</v>
          </cell>
        </row>
        <row r="1637">
          <cell r="L1637" t="str">
            <v>Hoài Nhơn Tây - Tam Quan</v>
          </cell>
          <cell r="M1637" t="str">
            <v>4449.31</v>
          </cell>
          <cell r="N1637" t="str">
            <v>4.62</v>
          </cell>
          <cell r="O1637" t="str">
            <v>14.544753</v>
          </cell>
          <cell r="P1637" t="str">
            <v>109.004719</v>
          </cell>
          <cell r="Q1637" t="str">
            <v>4444.69</v>
          </cell>
          <cell r="R1637" t="str">
            <v>14.552025</v>
          </cell>
          <cell r="S1637" t="str">
            <v>109.026380</v>
          </cell>
          <cell r="T1637" t="str">
            <v>full_h04/Gia Lai/GE Mạng cấp III-IV Gia Lai Full v6.kmz/GE Mạng cấp III-IV Gia Lai Full/Mạng cấp IV  Gia Lai Full/Mạng 4 BD - Ring 12/Hoài Nhơn Tây - Tam Quan/Hoài Nhơn Tây - Tam Quan_Trung thế</v>
          </cell>
          <cell r="U1637">
            <v>4449.3100000000004</v>
          </cell>
        </row>
        <row r="1638">
          <cell r="L1638" t="str">
            <v>Tam Quan-Hoài Nhơn Bắc_Trung thế.kmz</v>
          </cell>
          <cell r="M1638" t="str">
            <v>261.30</v>
          </cell>
          <cell r="N1638" t="str">
            <v>1.32</v>
          </cell>
          <cell r="O1638" t="str">
            <v>14.546173</v>
          </cell>
          <cell r="P1638" t="str">
            <v>109.042854</v>
          </cell>
          <cell r="Q1638" t="str">
            <v>259.98</v>
          </cell>
          <cell r="R1638" t="str">
            <v>14.554744</v>
          </cell>
          <cell r="S1638" t="str">
            <v>109.046795</v>
          </cell>
          <cell r="T1638" t="str">
            <v>full_h04/Gia Lai/GE Mạng cấp III-IV Gia Lai Full v6.kmz/GE Mạng cấp III-IV Gia Lai Full/Mạng cấp IV  Gia Lai Full/Mạng 4 BD - Ring 12/Tam Quan-Hoài Nhơn Bắc_Trung thế.kmz/Tam Quan-Hoài Nhơn Bắc_Trung thế</v>
          </cell>
          <cell r="U1638">
            <v>261.3</v>
          </cell>
        </row>
        <row r="1639">
          <cell r="L1639" t="str">
            <v>Hoài Nhơn Bắc - Hoài Nhơn Đông</v>
          </cell>
          <cell r="M1639" t="str">
            <v>74.66</v>
          </cell>
          <cell r="N1639" t="str">
            <v>1.44</v>
          </cell>
          <cell r="O1639" t="str">
            <v>14.558479</v>
          </cell>
          <cell r="P1639" t="str">
            <v>109.053930</v>
          </cell>
          <cell r="Q1639" t="str">
            <v>73.23</v>
          </cell>
          <cell r="R1639" t="str">
            <v>14.521064</v>
          </cell>
          <cell r="S1639" t="str">
            <v>109.076480</v>
          </cell>
          <cell r="T1639" t="str">
            <v>full_h04/Gia Lai/GE Mạng cấp III-IV Gia Lai Full v6.kmz/GE Mạng cấp III-IV Gia Lai Full/Mạng cấp IV  Gia Lai Full/Mạng 4 BD - Ring 12/Hoài Nhơn Bắc - Hoài Nhơn Đông/Hoài Nhơn Bắc - Hoài Nhơn Đông_Trung thế</v>
          </cell>
          <cell r="U1639">
            <v>74.66</v>
          </cell>
        </row>
        <row r="1640">
          <cell r="L1640" t="str">
            <v>Phù Cát - Xuân An</v>
          </cell>
          <cell r="M1640" t="str">
            <v>345.13</v>
          </cell>
          <cell r="N1640" t="str">
            <v>36.36</v>
          </cell>
          <cell r="O1640" t="str">
            <v>13.982818</v>
          </cell>
          <cell r="P1640" t="str">
            <v>109.061607</v>
          </cell>
          <cell r="Q1640" t="str">
            <v>308.77</v>
          </cell>
          <cell r="R1640" t="str">
            <v>13.978631</v>
          </cell>
          <cell r="S1640" t="str">
            <v>109.093690</v>
          </cell>
          <cell r="T1640" t="str">
            <v>full_h04/Gia Lai/GE Mạng cấp III-IV Gia Lai Full v6.kmz/GE Mạng cấp III-IV Gia Lai Full/Mạng cấp IV  Gia Lai Full/Mạng 4 BD - Ring 9/Phù Cát - Xuân An/Trung thế</v>
          </cell>
          <cell r="U1640">
            <v>345.13</v>
          </cell>
        </row>
        <row r="1641">
          <cell r="L1641" t="str">
            <v>Xuân An - Ngô Mây</v>
          </cell>
          <cell r="M1641" t="str">
            <v>681.94</v>
          </cell>
          <cell r="N1641" t="str">
            <v>144.44</v>
          </cell>
          <cell r="O1641" t="str">
            <v>13.972188</v>
          </cell>
          <cell r="P1641" t="str">
            <v>109.106329</v>
          </cell>
          <cell r="Q1641" t="str">
            <v>537.50</v>
          </cell>
          <cell r="R1641" t="str">
            <v>13.961294</v>
          </cell>
          <cell r="S1641" t="str">
            <v>109.177709</v>
          </cell>
          <cell r="T1641" t="str">
            <v>full_h04/Gia Lai/GE Mạng cấp III-IV Gia Lai Full v6.kmz/GE Mạng cấp III-IV Gia Lai Full/Mạng cấp IV  Gia Lai Full/Mạng 4 BD - Ring 9/Xuân An - Ngô Mây/Trung thế</v>
          </cell>
          <cell r="U1641">
            <v>681.94</v>
          </cell>
        </row>
        <row r="1642">
          <cell r="L1642" t="str">
            <v>Cát Tiến - Đề Gi</v>
          </cell>
          <cell r="M1642" t="str">
            <v>6553.40</v>
          </cell>
          <cell r="N1642" t="str">
            <v>6064.69</v>
          </cell>
          <cell r="O1642" t="str">
            <v>13.949178</v>
          </cell>
          <cell r="P1642" t="str">
            <v>109.236220</v>
          </cell>
          <cell r="Q1642" t="str">
            <v>488.70</v>
          </cell>
          <cell r="R1642" t="str">
            <v>14.008333</v>
          </cell>
          <cell r="S1642" t="str">
            <v>109.242718</v>
          </cell>
          <cell r="T1642" t="str">
            <v>full_h04/Gia Lai/GE Mạng cấp III-IV Gia Lai Full v6.kmz/GE Mạng cấp III-IV Gia Lai Full/Mạng cấp IV  Gia Lai Full/Mạng 4 BD - Ring 4/Cát Tiến - Đề Gi/trung thế 1</v>
          </cell>
          <cell r="U1642">
            <v>6553.4</v>
          </cell>
        </row>
        <row r="1643">
          <cell r="L1643" t="str">
            <v>TT1 Gia Lai- Cát Tiến</v>
          </cell>
          <cell r="M1643" t="str">
            <v>8136.36</v>
          </cell>
          <cell r="N1643" t="str">
            <v>101.51</v>
          </cell>
          <cell r="O1643" t="str">
            <v>13.949802</v>
          </cell>
          <cell r="P1643" t="str">
            <v>109.236842</v>
          </cell>
          <cell r="Q1643" t="str">
            <v>8034.86</v>
          </cell>
          <cell r="R1643" t="str">
            <v>13.878728</v>
          </cell>
          <cell r="S1643" t="str">
            <v>109.260770</v>
          </cell>
          <cell r="T1643" t="str">
            <v>full_h04/Gia Lai/GE Mạng cấp III-IV Gia Lai Full v6.kmz/GE Mạng cấp III-IV Gia Lai Full/Mạng cấp III Gia Lai Full/Ring 1/TT1 Gia Lai- Cát Tiến/Trung Thế</v>
          </cell>
          <cell r="U1643">
            <v>8136.36</v>
          </cell>
        </row>
        <row r="1644">
          <cell r="L1644" t="str">
            <v>Hoài Ân- Vĩnh Kim</v>
          </cell>
          <cell r="M1644" t="str">
            <v>307.48</v>
          </cell>
          <cell r="N1644" t="str">
            <v>36.79</v>
          </cell>
          <cell r="O1644" t="str">
            <v>14.068851</v>
          </cell>
          <cell r="P1644" t="str">
            <v>109.045178</v>
          </cell>
          <cell r="Q1644" t="str">
            <v>270.69</v>
          </cell>
          <cell r="R1644" t="str">
            <v>13.987775</v>
          </cell>
          <cell r="S1644" t="str">
            <v>109.056546</v>
          </cell>
          <cell r="T1644" t="str">
            <v>full_h04/Gia Lai/GE Mạng cấp III-IV Gia Lai Full v6.kmz/GE Mạng cấp III-IV Gia Lai Full/Mạng cấp III Gia Lai Full/Ring 1/Hoài Ân- Vĩnh Kim/Trung Thế</v>
          </cell>
          <cell r="U1644">
            <v>307.48</v>
          </cell>
        </row>
        <row r="1645">
          <cell r="L1645" t="str">
            <v>Hội Sơn - Hòa Hội</v>
          </cell>
          <cell r="M1645" t="str">
            <v>423.70</v>
          </cell>
          <cell r="N1645" t="str">
            <v>150.73</v>
          </cell>
          <cell r="O1645" t="str">
            <v>14.075605</v>
          </cell>
          <cell r="P1645" t="str">
            <v>108.987718</v>
          </cell>
          <cell r="Q1645" t="str">
            <v>272.97</v>
          </cell>
          <cell r="R1645" t="str">
            <v>14.048271</v>
          </cell>
          <cell r="S1645" t="str">
            <v>109.051085</v>
          </cell>
          <cell r="T1645" t="str">
            <v>full_h04/Gia Lai/GE Mạng cấp III-IV Gia Lai Full v6.kmz/GE Mạng cấp III-IV Gia Lai Full/Mạng cấp IV  Gia Lai Full/Mạng 4 BD - Ring 9/Hội Sơn - Hòa Hội/Trung thế</v>
          </cell>
          <cell r="U1645">
            <v>423.7</v>
          </cell>
        </row>
        <row r="1646">
          <cell r="L1646" t="str">
            <v>Phù Mỹ-  Hoài Ân</v>
          </cell>
          <cell r="M1646" t="str">
            <v>9386.01</v>
          </cell>
          <cell r="N1646" t="str">
            <v>25.09</v>
          </cell>
          <cell r="O1646" t="str">
            <v>14.168985</v>
          </cell>
          <cell r="P1646" t="str">
            <v>109.048852</v>
          </cell>
          <cell r="Q1646" t="str">
            <v>9360.93</v>
          </cell>
          <cell r="R1646" t="str">
            <v>14.358561</v>
          </cell>
          <cell r="S1646" t="str">
            <v>108.961426</v>
          </cell>
          <cell r="T1646" t="str">
            <v>full_h04/Gia Lai/GE Mạng cấp III-IV Gia Lai Full v6.kmz/GE Mạng cấp III-IV Gia Lai Full/Mạng cấp III Gia Lai Full/Ring 1/Phù Mỹ-  Hoài Ân/Trung Thế</v>
          </cell>
          <cell r="U1646">
            <v>9386.01</v>
          </cell>
        </row>
        <row r="1647">
          <cell r="L1647" t="str">
            <v>Phù Mỹ Tây - Phù Mỹ Đông</v>
          </cell>
          <cell r="M1647" t="str">
            <v>355.50</v>
          </cell>
          <cell r="N1647" t="str">
            <v>224.18</v>
          </cell>
          <cell r="O1647" t="str">
            <v>14.216287</v>
          </cell>
          <cell r="P1647" t="str">
            <v>109.044033</v>
          </cell>
          <cell r="Q1647" t="str">
            <v>131.32</v>
          </cell>
          <cell r="R1647" t="str">
            <v>14.242266</v>
          </cell>
          <cell r="S1647" t="str">
            <v>109.073301</v>
          </cell>
          <cell r="T1647" t="str">
            <v>full_h04/Gia Lai/GE Mạng cấp III-IV Gia Lai Full v6.kmz/GE Mạng cấp III-IV Gia Lai Full/Mạng cấp IV  Gia Lai Full/Mạng 4 BD - Ring 10/Phù Mỹ Tây - Phù Mỹ Đông/Trung thế</v>
          </cell>
          <cell r="U1647">
            <v>355.5</v>
          </cell>
        </row>
        <row r="1648">
          <cell r="L1648" t="str">
            <v>Phù Mỹ Nam - TTCMKV Phù Mỹ</v>
          </cell>
          <cell r="M1648" t="str">
            <v>500.90</v>
          </cell>
          <cell r="N1648" t="str">
            <v>65.54</v>
          </cell>
          <cell r="O1648" t="str">
            <v>14.120287</v>
          </cell>
          <cell r="P1648" t="str">
            <v>109.044600</v>
          </cell>
          <cell r="Q1648" t="str">
            <v>435.36</v>
          </cell>
          <cell r="R1648" t="str">
            <v>14.137073</v>
          </cell>
          <cell r="S1648" t="str">
            <v>109.045729</v>
          </cell>
          <cell r="T1648" t="str">
            <v>full_h04/Gia Lai/GE Mạng cấp III-IV Gia Lai Full v6.kmz/GE Mạng cấp III-IV Gia Lai Full/Mạng cấp IV  Gia Lai Full/Mạng 4 BD - Ring 4/Phù Mỹ Nam - TTCMKV Phù Mỹ/trung thế</v>
          </cell>
          <cell r="U1648">
            <v>500.9</v>
          </cell>
        </row>
        <row r="1649">
          <cell r="L1649" t="str">
            <v>Đề Gi - An Lương</v>
          </cell>
          <cell r="M1649" t="str">
            <v>358.79</v>
          </cell>
          <cell r="N1649" t="str">
            <v>40.74</v>
          </cell>
          <cell r="O1649" t="str">
            <v>14.158225</v>
          </cell>
          <cell r="P1649" t="str">
            <v>109.118562</v>
          </cell>
          <cell r="Q1649" t="str">
            <v>318.04</v>
          </cell>
          <cell r="R1649" t="str">
            <v>14.132201</v>
          </cell>
          <cell r="S1649" t="str">
            <v>109.167291</v>
          </cell>
          <cell r="T1649" t="str">
            <v>full_h04/Gia Lai/GE Mạng cấp III-IV Gia Lai Full v6.kmz/GE Mạng cấp III-IV Gia Lai Full/Mạng cấp IV  Gia Lai Full/Mạng 4 BD - Ring 4/Đề Gi - An Lương/trung thế</v>
          </cell>
          <cell r="U1649">
            <v>358.79</v>
          </cell>
        </row>
        <row r="1650">
          <cell r="L1650" t="str">
            <v>Phù Mỹ Tây - Phù Mỹ Đông</v>
          </cell>
          <cell r="M1650" t="str">
            <v>5882.33</v>
          </cell>
          <cell r="N1650" t="str">
            <v>64.14</v>
          </cell>
          <cell r="O1650" t="str">
            <v>14.275063</v>
          </cell>
          <cell r="P1650" t="str">
            <v>109.175537</v>
          </cell>
          <cell r="Q1650" t="str">
            <v>5818.19</v>
          </cell>
          <cell r="R1650" t="str">
            <v>14.268643</v>
          </cell>
          <cell r="S1650" t="str">
            <v>109.159313</v>
          </cell>
          <cell r="T1650" t="str">
            <v>full_h04/Gia Lai/GE Mạng cấp III-IV Gia Lai Full v6.kmz/GE Mạng cấp III-IV Gia Lai Full/Mạng cấp IV  Gia Lai Full/Mạng 4 BD - Ring 10/Phù Mỹ Tây - Phù Mỹ Đông/Trung thê</v>
          </cell>
          <cell r="U1650">
            <v>5882.33</v>
          </cell>
        </row>
        <row r="1651">
          <cell r="L1651" t="str">
            <v>Phù Mỹ Đông - Bình Dương</v>
          </cell>
          <cell r="M1651" t="str">
            <v>804.51</v>
          </cell>
          <cell r="N1651" t="str">
            <v>5.92</v>
          </cell>
          <cell r="O1651" t="str">
            <v>14.294584</v>
          </cell>
          <cell r="P1651" t="str">
            <v>109.078653</v>
          </cell>
          <cell r="Q1651" t="str">
            <v>798.60</v>
          </cell>
          <cell r="R1651" t="str">
            <v>14.294165</v>
          </cell>
          <cell r="S1651" t="str">
            <v>109.078492</v>
          </cell>
          <cell r="T1651" t="str">
            <v>full_h04/Gia Lai/GE Mạng cấp III-IV Gia Lai Full v6.kmz/GE Mạng cấp III-IV Gia Lai Full/Mạng cấp IV  Gia Lai Full/Mạng 4 BD - Ring 10/Phù Mỹ Đông - Bình Dương/Trồng mới</v>
          </cell>
          <cell r="U1651">
            <v>804.51</v>
          </cell>
        </row>
        <row r="1652">
          <cell r="L1652" t="str">
            <v>Phù Mỹ Bắc - TTCMKV Hoài Ân</v>
          </cell>
          <cell r="M1652" t="str">
            <v>2200.53</v>
          </cell>
          <cell r="N1652" t="str">
            <v>20.12</v>
          </cell>
          <cell r="O1652" t="str">
            <v>14.306751</v>
          </cell>
          <cell r="P1652" t="str">
            <v>109.072732</v>
          </cell>
          <cell r="Q1652" t="str">
            <v>2180.41</v>
          </cell>
          <cell r="R1652" t="str">
            <v>14.408849</v>
          </cell>
          <cell r="S1652" t="str">
            <v>109.007193</v>
          </cell>
          <cell r="T1652" t="str">
            <v>full_h04/Gia Lai/GE Mạng cấp III-IV Gia Lai Full v6.kmz/GE Mạng cấp III-IV Gia Lai Full/Mạng cấp IV  Gia Lai Full/Mạng 4 BD - Ring 10/Phù Mỹ Bắc - TTCMKV Hoài Ân/Trung thế</v>
          </cell>
          <cell r="U1652">
            <v>2200.5300000000002</v>
          </cell>
        </row>
        <row r="1653">
          <cell r="L1653" t="str">
            <v>CA Tỉnh - Tuy Phước Tây</v>
          </cell>
          <cell r="M1653" t="str">
            <v>526.49</v>
          </cell>
          <cell r="N1653" t="str">
            <v>35.77</v>
          </cell>
          <cell r="O1653" t="str">
            <v>13.774164</v>
          </cell>
          <cell r="P1653" t="str">
            <v>109.112600</v>
          </cell>
          <cell r="Q1653" t="str">
            <v>490.71</v>
          </cell>
          <cell r="R1653" t="str">
            <v>13.802215</v>
          </cell>
          <cell r="S1653" t="str">
            <v>109.147507</v>
          </cell>
          <cell r="T1653" t="str">
            <v>full_h04/Gia Lai/GE Mạng cấp III-IV Gia Lai Full v6.kmz/GE Mạng cấp III-IV Gia Lai Full/Mạng cấp IV  Gia Lai Full/Mạng 4 BD - Ring 5/CA Tỉnh - Tuy Phước Tây/trung thế</v>
          </cell>
          <cell r="U1653">
            <v>526.49</v>
          </cell>
        </row>
        <row r="1654">
          <cell r="L1654" t="str">
            <v>An Nhơn-TT1 Gia Lai</v>
          </cell>
          <cell r="M1654" t="str">
            <v>66.37</v>
          </cell>
          <cell r="N1654" t="str">
            <v>29.69</v>
          </cell>
          <cell r="O1654" t="str">
            <v>13.826838</v>
          </cell>
          <cell r="P1654" t="str">
            <v>109.166605</v>
          </cell>
          <cell r="Q1654" t="str">
            <v>36.68</v>
          </cell>
          <cell r="R1654" t="str">
            <v>13.831367</v>
          </cell>
          <cell r="S1654" t="str">
            <v>109.157695</v>
          </cell>
          <cell r="T1654" t="str">
            <v>full_h04/Gia Lai/GE Mạng cấp III-IV Gia Lai Full v6.kmz/GE Mạng cấp III-IV Gia Lai Full/Mạng cấp III Gia Lai Full/Ring 1/An Nhơn-TT1 Gia Lai/Trung Thế</v>
          </cell>
          <cell r="U1654">
            <v>66.37</v>
          </cell>
        </row>
        <row r="1655">
          <cell r="L1655" t="str">
            <v>Tuy Phước Bắc - Bình Định</v>
          </cell>
          <cell r="M1655" t="str">
            <v>516.43</v>
          </cell>
          <cell r="N1655" t="str">
            <v>80.21</v>
          </cell>
          <cell r="O1655" t="str">
            <v>13.889744</v>
          </cell>
          <cell r="P1655" t="str">
            <v>109.146405</v>
          </cell>
          <cell r="Q1655" t="str">
            <v>436.21</v>
          </cell>
          <cell r="R1655" t="str">
            <v>13.886571</v>
          </cell>
          <cell r="S1655" t="str">
            <v>109.109367</v>
          </cell>
          <cell r="T1655" t="str">
            <v>full_h04/Gia Lai/GE Mạng cấp III-IV Gia Lai Full v6.kmz/GE Mạng cấp III-IV Gia Lai Full/Mạng cấp IV  Gia Lai Full/Mạng 4 BD - Ring 6/Tuy Phước Bắc - Bình Định/trung thế</v>
          </cell>
          <cell r="U1655">
            <v>516.42999999999995</v>
          </cell>
        </row>
        <row r="1656">
          <cell r="L1656" t="str">
            <v>TT1 Gia Lai - TT2 Gia Lai (ring 1)</v>
          </cell>
          <cell r="M1656" t="str">
            <v>104.22</v>
          </cell>
          <cell r="N1656" t="str">
            <v>64.17</v>
          </cell>
          <cell r="O1656" t="str">
            <v>13.866576</v>
          </cell>
          <cell r="P1656" t="str">
            <v>109.187514</v>
          </cell>
          <cell r="Q1656" t="str">
            <v>40.06</v>
          </cell>
          <cell r="R1656" t="str">
            <v>13.784080</v>
          </cell>
          <cell r="S1656" t="str">
            <v>109.215170</v>
          </cell>
          <cell r="T1656" t="str">
            <v>full_h04/Gia Lai/Mạng cấp 2 Gia Lai.kmz/Mạng cấp 2 Gia Lai/TT1 Gia Lai - TT2 Gia Lai (ring 1)/Trung thế</v>
          </cell>
          <cell r="U1656">
            <v>104.22</v>
          </cell>
        </row>
        <row r="1657">
          <cell r="L1657" t="str">
            <v>TT1 Gia Lai - TT2 Gia Lai (ring 1)</v>
          </cell>
          <cell r="M1657" t="str">
            <v>5044.80</v>
          </cell>
          <cell r="N1657" t="str">
            <v>2528.87</v>
          </cell>
          <cell r="O1657" t="str">
            <v>13.930639</v>
          </cell>
          <cell r="P1657" t="str">
            <v>108.999550</v>
          </cell>
          <cell r="Q1657" t="str">
            <v>2515.93</v>
          </cell>
          <cell r="R1657" t="str">
            <v>13.914198</v>
          </cell>
          <cell r="S1657" t="str">
            <v>109.077694</v>
          </cell>
          <cell r="T1657" t="str">
            <v>full_h04/Gia Lai/Mạng cấp 2 Gia Lai.kmz/Mạng cấp 2 Gia Lai/TT1 Gia Lai - TT2 Gia Lai (ring 1)/Trung thế 2</v>
          </cell>
          <cell r="U1657">
            <v>5044.8</v>
          </cell>
        </row>
        <row r="1658">
          <cell r="L1658" t="str">
            <v>TTCMKV Hoài Ân - An Vinh</v>
          </cell>
          <cell r="M1658" t="str">
            <v>1400.68</v>
          </cell>
          <cell r="N1658" t="str">
            <v>156.43</v>
          </cell>
          <cell r="O1658" t="str">
            <v>14.430155</v>
          </cell>
          <cell r="P1658" t="str">
            <v>108.963980</v>
          </cell>
          <cell r="Q1658" t="str">
            <v>1244.25</v>
          </cell>
          <cell r="R1658" t="str">
            <v>14.376309</v>
          </cell>
          <cell r="S1658" t="str">
            <v>108.979447</v>
          </cell>
          <cell r="T1658" t="str">
            <v>full_h04/Gia Lai/GE Mạng cấp III-IV Gia Lai Full v6.kmz/GE Mạng cấp III-IV Gia Lai Full/Mạng cấp IV  Gia Lai Full/Mạng 4 BD - Ring 13/TTCMKV Hoài Ân - An Vinh/TTCMKV Hoài Ân - An Vinh_Trung thế</v>
          </cell>
          <cell r="U1658">
            <v>1400.68</v>
          </cell>
        </row>
        <row r="1659">
          <cell r="L1659" t="str">
            <v>Canh Vinh - Quy Nhơn Tây</v>
          </cell>
          <cell r="M1659" t="str">
            <v>466.11</v>
          </cell>
          <cell r="N1659" t="str">
            <v>288.72</v>
          </cell>
          <cell r="O1659" t="str">
            <v>13.735918</v>
          </cell>
          <cell r="P1659" t="str">
            <v>109.083359</v>
          </cell>
          <cell r="Q1659" t="str">
            <v>177.40</v>
          </cell>
          <cell r="R1659" t="str">
            <v>13.746636</v>
          </cell>
          <cell r="S1659" t="str">
            <v>109.151925</v>
          </cell>
          <cell r="T1659" t="str">
            <v>full_h04/Gia Lai/GE Mạng cấp III-IV Gia Lai Full v6.kmz/GE Mạng cấp III-IV Gia Lai Full/Mạng cấp IV  Gia Lai Full/Mạng 4 BD - Ring 2/Canh Vinh - Quy Nhơn Tây/trung thế</v>
          </cell>
          <cell r="U1659">
            <v>466.11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659"/>
  <sheetViews>
    <sheetView tabSelected="1" topLeftCell="I488" zoomScale="85" zoomScaleNormal="85" workbookViewId="0">
      <selection activeCell="M539" sqref="M539"/>
    </sheetView>
  </sheetViews>
  <sheetFormatPr defaultRowHeight="15" x14ac:dyDescent="0.25"/>
  <cols>
    <col min="1" max="1" width="46.42578125" customWidth="1"/>
    <col min="6" max="9" width="31.140625" customWidth="1"/>
    <col min="11" max="11" width="22.140625" customWidth="1"/>
    <col min="12" max="14" width="56" customWidth="1"/>
    <col min="15" max="15" width="28" hidden="1" customWidth="1"/>
    <col min="16" max="16" width="13.85546875" hidden="1" customWidth="1"/>
    <col min="17" max="17" width="14.140625" hidden="1" customWidth="1"/>
    <col min="18" max="18" width="14.85546875" hidden="1" customWidth="1"/>
    <col min="19" max="19" width="13.85546875" hidden="1" customWidth="1"/>
    <col min="20" max="20" width="14.140625" hidden="1" customWidth="1"/>
    <col min="21" max="21" width="14.85546875" hidden="1" customWidth="1"/>
    <col min="22" max="22" width="14.85546875" style="10" customWidth="1"/>
    <col min="23" max="23" width="80.85546875" customWidth="1"/>
    <col min="24" max="24" width="28" customWidth="1"/>
    <col min="25" max="25" width="20.140625" customWidth="1"/>
    <col min="26" max="26" width="11.42578125" customWidth="1"/>
    <col min="27" max="27" width="14.28515625" customWidth="1"/>
    <col min="28" max="29" width="9.140625" customWidth="1"/>
    <col min="30" max="30" width="15.7109375" customWidth="1"/>
    <col min="31" max="32" width="13.7109375" customWidth="1"/>
    <col min="33" max="33" width="21.5703125" customWidth="1"/>
    <col min="34" max="34" width="65.42578125" bestFit="1" customWidth="1"/>
    <col min="38" max="38" width="16.140625" customWidth="1"/>
    <col min="39" max="39" width="25.140625" customWidth="1"/>
    <col min="40" max="40" width="57.140625" bestFit="1" customWidth="1"/>
    <col min="41" max="41" width="20.5703125" customWidth="1"/>
    <col min="42" max="42" width="14" customWidth="1"/>
    <col min="43" max="43" width="14.28515625" customWidth="1"/>
  </cols>
  <sheetData>
    <row r="1" spans="1:39" s="4" customFormat="1" ht="6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15585</v>
      </c>
      <c r="H1" s="3" t="s">
        <v>15586</v>
      </c>
      <c r="I1" s="3" t="s">
        <v>15587</v>
      </c>
      <c r="J1" s="2" t="s">
        <v>6</v>
      </c>
      <c r="K1" s="2" t="s">
        <v>7</v>
      </c>
      <c r="L1" s="2" t="s">
        <v>8</v>
      </c>
      <c r="M1" s="2" t="s">
        <v>15700</v>
      </c>
      <c r="N1" s="2"/>
      <c r="O1" s="2" t="s">
        <v>9</v>
      </c>
      <c r="P1" s="2" t="s">
        <v>10</v>
      </c>
      <c r="Q1" s="2" t="s">
        <v>11</v>
      </c>
      <c r="R1" s="2" t="s">
        <v>12</v>
      </c>
      <c r="S1" s="2" t="s">
        <v>13</v>
      </c>
      <c r="T1" s="2" t="s">
        <v>14</v>
      </c>
      <c r="U1" s="2" t="s">
        <v>15</v>
      </c>
      <c r="V1" s="2"/>
      <c r="W1" s="2" t="s">
        <v>16</v>
      </c>
      <c r="X1" s="3" t="s">
        <v>9</v>
      </c>
      <c r="Y1" s="3" t="s">
        <v>10</v>
      </c>
      <c r="Z1" s="3" t="s">
        <v>11</v>
      </c>
      <c r="AA1" s="3" t="s">
        <v>12</v>
      </c>
      <c r="AB1" s="3" t="s">
        <v>13</v>
      </c>
      <c r="AC1" s="3" t="s">
        <v>14</v>
      </c>
      <c r="AD1" s="3" t="s">
        <v>15</v>
      </c>
      <c r="AE1" s="3" t="s">
        <v>15591</v>
      </c>
      <c r="AF1" s="3" t="s">
        <v>15592</v>
      </c>
      <c r="AG1" s="2" t="s">
        <v>15588</v>
      </c>
      <c r="AH1" s="2" t="s">
        <v>15589</v>
      </c>
      <c r="AI1" s="2" t="s">
        <v>15590</v>
      </c>
      <c r="AL1" s="4" t="s">
        <v>15593</v>
      </c>
      <c r="AM1" s="4" t="s">
        <v>15594</v>
      </c>
    </row>
    <row r="2" spans="1:39" x14ac:dyDescent="0.25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1" t="s">
        <v>14129</v>
      </c>
      <c r="H2" s="1" t="s">
        <v>14130</v>
      </c>
      <c r="I2" s="1" t="s">
        <v>14131</v>
      </c>
      <c r="J2" s="1" t="s">
        <v>23</v>
      </c>
      <c r="K2" s="1"/>
      <c r="L2" s="1" t="s">
        <v>24</v>
      </c>
      <c r="M2" s="8" t="s">
        <v>24</v>
      </c>
      <c r="N2" s="1" t="b">
        <f>L2=M2</f>
        <v>1</v>
      </c>
      <c r="O2" s="1" t="s">
        <v>25</v>
      </c>
      <c r="P2" s="1" t="s">
        <v>26</v>
      </c>
      <c r="Q2" s="1" t="s">
        <v>27</v>
      </c>
      <c r="R2" s="1" t="s">
        <v>28</v>
      </c>
      <c r="S2" s="1" t="s">
        <v>29</v>
      </c>
      <c r="T2" s="1" t="s">
        <v>30</v>
      </c>
      <c r="U2" s="1" t="s">
        <v>31</v>
      </c>
      <c r="V2" s="13">
        <f>COUNTIF(L2:$M$1659,L2)</f>
        <v>10</v>
      </c>
      <c r="W2" s="1" t="s">
        <v>32</v>
      </c>
      <c r="X2">
        <v>344.49</v>
      </c>
      <c r="Y2">
        <v>160.66999999999999</v>
      </c>
      <c r="Z2">
        <v>12.249511999999999</v>
      </c>
      <c r="AA2">
        <v>109.185703</v>
      </c>
      <c r="AB2">
        <v>183.82</v>
      </c>
      <c r="AC2">
        <v>12.249510000000001</v>
      </c>
      <c r="AD2">
        <v>109.18827899999999</v>
      </c>
      <c r="AE2" s="5">
        <f>Y2*1.5/1000</f>
        <v>0.241005</v>
      </c>
      <c r="AF2" s="5">
        <f>AB2*1.5/1000</f>
        <v>0.27573000000000003</v>
      </c>
      <c r="AG2" s="1" t="str">
        <f>TRIM(LEFT(L2,FIND("-",L2)-1))</f>
        <v>5.PA06 cs1</v>
      </c>
      <c r="AH2" s="1" t="str">
        <f>TRIM(RIGHT(L2, LEN(L2) - FIND("-", L2)))</f>
        <v>PC08 csc_Cột trung thế</v>
      </c>
      <c r="AJ2">
        <f>Y2/1000</f>
        <v>0.16066999999999998</v>
      </c>
      <c r="AK2">
        <f>AB2/1000</f>
        <v>0.18381999999999998</v>
      </c>
      <c r="AL2" t="e">
        <f>VLOOKUP(L2,'[1]Tuyến cáp H04'!$B:$E,3,0)/1000</f>
        <v>#N/A</v>
      </c>
      <c r="AM2" t="e">
        <f>VLOOKUP(L2,'[1]Tuyến cáp H04'!$B:$E,4,0)</f>
        <v>#N/A</v>
      </c>
    </row>
    <row r="3" spans="1:39" x14ac:dyDescent="0.25">
      <c r="A3" s="1" t="s">
        <v>33</v>
      </c>
      <c r="B3" s="1" t="s">
        <v>34</v>
      </c>
      <c r="C3" s="1" t="s">
        <v>35</v>
      </c>
      <c r="D3" s="1" t="s">
        <v>36</v>
      </c>
      <c r="E3" s="1" t="s">
        <v>37</v>
      </c>
      <c r="F3" s="1" t="s">
        <v>38</v>
      </c>
      <c r="G3" s="1" t="s">
        <v>14129</v>
      </c>
      <c r="H3" s="1" t="s">
        <v>14130</v>
      </c>
      <c r="I3" s="1" t="s">
        <v>14132</v>
      </c>
      <c r="J3" s="1" t="s">
        <v>23</v>
      </c>
      <c r="K3" s="1"/>
      <c r="L3" s="1" t="s">
        <v>39</v>
      </c>
      <c r="M3" s="8" t="s">
        <v>39</v>
      </c>
      <c r="N3" s="1" t="b">
        <f t="shared" ref="N3:N66" si="0">L3=M3</f>
        <v>1</v>
      </c>
      <c r="O3" s="1" t="s">
        <v>40</v>
      </c>
      <c r="P3" s="1" t="s">
        <v>41</v>
      </c>
      <c r="Q3" s="1" t="s">
        <v>42</v>
      </c>
      <c r="R3" s="1" t="s">
        <v>43</v>
      </c>
      <c r="S3" s="1" t="s">
        <v>44</v>
      </c>
      <c r="T3" s="1" t="s">
        <v>45</v>
      </c>
      <c r="U3" s="1" t="s">
        <v>46</v>
      </c>
      <c r="V3" s="13">
        <f>COUNTIF(L3:$M$1659,L3)</f>
        <v>21</v>
      </c>
      <c r="W3" s="1" t="s">
        <v>47</v>
      </c>
      <c r="X3">
        <v>633.88</v>
      </c>
      <c r="Y3">
        <v>206.48</v>
      </c>
      <c r="Z3">
        <v>12.278732</v>
      </c>
      <c r="AA3">
        <v>109.188858</v>
      </c>
      <c r="AB3">
        <v>427.4</v>
      </c>
      <c r="AC3">
        <v>12.27483</v>
      </c>
      <c r="AD3">
        <v>109.198125</v>
      </c>
      <c r="AE3" s="5">
        <f t="shared" ref="AE3:AE66" si="1">Y3*1.5/1000</f>
        <v>0.30972</v>
      </c>
      <c r="AF3" s="5">
        <f t="shared" ref="AF3:AF66" si="2">AB3*1.5/1000</f>
        <v>0.64109999999999989</v>
      </c>
      <c r="AG3" s="1" t="str">
        <f>TRIM(LEFT(L3,FIND("-",L3)-1))</f>
        <v>1.CAT Khánh Hòa</v>
      </c>
      <c r="AH3" s="1" t="str">
        <f>TRIM(RIGHT(L3, LEN(L3) - FIND("-", L3)))</f>
        <v>PK02 cs1</v>
      </c>
      <c r="AJ3">
        <f t="shared" ref="AJ3:AJ66" si="3">Y3/1000</f>
        <v>0.20648</v>
      </c>
      <c r="AK3">
        <f t="shared" ref="AK3:AK66" si="4">AB3/1000</f>
        <v>0.4274</v>
      </c>
      <c r="AL3" t="e">
        <f>VLOOKUP(L3,'[1]Tuyến cáp H04'!$B:$E,3,0)/1000</f>
        <v>#N/A</v>
      </c>
      <c r="AM3" t="e">
        <f>VLOOKUP(L3,'[1]Tuyến cáp H04'!$B:$E,4,0)</f>
        <v>#N/A</v>
      </c>
    </row>
    <row r="4" spans="1:39" x14ac:dyDescent="0.25">
      <c r="A4" s="1" t="s">
        <v>48</v>
      </c>
      <c r="B4" s="1" t="s">
        <v>49</v>
      </c>
      <c r="C4" s="1" t="s">
        <v>50</v>
      </c>
      <c r="D4" s="1" t="s">
        <v>51</v>
      </c>
      <c r="E4" s="1" t="s">
        <v>52</v>
      </c>
      <c r="F4" s="1" t="s">
        <v>53</v>
      </c>
      <c r="G4" s="1" t="s">
        <v>14129</v>
      </c>
      <c r="H4" s="1" t="s">
        <v>14133</v>
      </c>
      <c r="I4" s="1" t="s">
        <v>14134</v>
      </c>
      <c r="J4" s="1" t="s">
        <v>23</v>
      </c>
      <c r="K4" s="1"/>
      <c r="L4" s="1" t="s">
        <v>54</v>
      </c>
      <c r="M4" s="8" t="s">
        <v>54</v>
      </c>
      <c r="N4" s="1" t="b">
        <f t="shared" si="0"/>
        <v>1</v>
      </c>
      <c r="O4" s="1" t="s">
        <v>55</v>
      </c>
      <c r="P4" s="1" t="s">
        <v>56</v>
      </c>
      <c r="Q4" s="1" t="s">
        <v>57</v>
      </c>
      <c r="R4" s="1" t="s">
        <v>58</v>
      </c>
      <c r="S4" s="1" t="s">
        <v>59</v>
      </c>
      <c r="T4" s="1" t="s">
        <v>60</v>
      </c>
      <c r="U4" s="1" t="s">
        <v>61</v>
      </c>
      <c r="V4" s="13">
        <f>COUNTIF(L4:$M$1659,L4)</f>
        <v>14</v>
      </c>
      <c r="W4" s="1" t="s">
        <v>62</v>
      </c>
      <c r="X4">
        <v>2420.9299999999998</v>
      </c>
      <c r="Y4">
        <v>2236.48</v>
      </c>
      <c r="Z4">
        <v>12.243274</v>
      </c>
      <c r="AA4">
        <v>109.093239</v>
      </c>
      <c r="AB4">
        <v>184.45</v>
      </c>
      <c r="AC4">
        <v>12.222536</v>
      </c>
      <c r="AD4">
        <v>109.084489</v>
      </c>
      <c r="AE4" s="5">
        <f t="shared" si="1"/>
        <v>3.3547200000000004</v>
      </c>
      <c r="AF4" s="5">
        <f t="shared" si="2"/>
        <v>0.27667499999999995</v>
      </c>
      <c r="AG4" s="1" t="str">
        <f>TRIM(LEFT(L4,FIND("-",L4)-1))</f>
        <v>1.CA Diên Khánh</v>
      </c>
      <c r="AH4" s="1" t="str">
        <f>TRIM(RIGHT(L4, LEN(L4) - FIND("-", L4)))</f>
        <v>CA Suối Hiệp</v>
      </c>
      <c r="AJ4">
        <f t="shared" si="3"/>
        <v>2.2364799999999998</v>
      </c>
      <c r="AK4">
        <f t="shared" si="4"/>
        <v>0.18444999999999998</v>
      </c>
      <c r="AL4" t="e">
        <f>VLOOKUP(L4,'[1]Tuyến cáp H04'!$B:$E,3,0)/1000</f>
        <v>#N/A</v>
      </c>
      <c r="AM4" t="e">
        <f>VLOOKUP(L4,'[1]Tuyến cáp H04'!$B:$E,4,0)</f>
        <v>#N/A</v>
      </c>
    </row>
    <row r="5" spans="1:39" x14ac:dyDescent="0.25">
      <c r="A5" s="1" t="s">
        <v>63</v>
      </c>
      <c r="B5" s="1" t="s">
        <v>51</v>
      </c>
      <c r="C5" s="1" t="s">
        <v>52</v>
      </c>
      <c r="D5" s="1" t="s">
        <v>64</v>
      </c>
      <c r="E5" s="1" t="s">
        <v>65</v>
      </c>
      <c r="F5" s="1" t="s">
        <v>66</v>
      </c>
      <c r="G5" s="1" t="s">
        <v>14129</v>
      </c>
      <c r="H5" s="1" t="s">
        <v>14133</v>
      </c>
      <c r="I5" s="1" t="s">
        <v>14135</v>
      </c>
      <c r="J5" s="1" t="s">
        <v>23</v>
      </c>
      <c r="K5" s="1"/>
      <c r="L5" s="1" t="s">
        <v>67</v>
      </c>
      <c r="M5" s="8" t="s">
        <v>67</v>
      </c>
      <c r="N5" s="1" t="b">
        <f t="shared" si="0"/>
        <v>1</v>
      </c>
      <c r="O5" s="1" t="s">
        <v>68</v>
      </c>
      <c r="P5" s="1" t="s">
        <v>69</v>
      </c>
      <c r="Q5" s="1" t="s">
        <v>70</v>
      </c>
      <c r="R5" s="1" t="s">
        <v>71</v>
      </c>
      <c r="S5" s="1" t="s">
        <v>72</v>
      </c>
      <c r="T5" s="1" t="s">
        <v>73</v>
      </c>
      <c r="U5" s="1" t="s">
        <v>74</v>
      </c>
      <c r="V5" s="13">
        <f>COUNTIF(L5:$M$1659,L5)</f>
        <v>8</v>
      </c>
      <c r="W5" s="1" t="s">
        <v>75</v>
      </c>
      <c r="X5">
        <v>4356.92</v>
      </c>
      <c r="Y5">
        <v>153.9</v>
      </c>
      <c r="Z5">
        <v>12.220518999999999</v>
      </c>
      <c r="AA5">
        <v>109.08248</v>
      </c>
      <c r="AB5">
        <v>4203.0200000000004</v>
      </c>
      <c r="AC5">
        <v>12.191492</v>
      </c>
      <c r="AD5">
        <v>109.066221</v>
      </c>
      <c r="AE5" s="5">
        <f t="shared" si="1"/>
        <v>0.23085000000000003</v>
      </c>
      <c r="AF5" s="5">
        <f t="shared" si="2"/>
        <v>6.3045300000000006</v>
      </c>
      <c r="AG5" s="1" t="str">
        <f>TRIM(LEFT(L5,FIND("-",L5)-1))</f>
        <v>2.CA Suối Hiệp</v>
      </c>
      <c r="AH5" s="1" t="str">
        <f>TRIM(RIGHT(L5, LEN(L5) - FIND("-", L5)))</f>
        <v>CA Suối Dầu</v>
      </c>
      <c r="AJ5">
        <f t="shared" si="3"/>
        <v>0.15390000000000001</v>
      </c>
      <c r="AK5">
        <f t="shared" si="4"/>
        <v>4.2030200000000004</v>
      </c>
      <c r="AL5" t="e">
        <f>VLOOKUP(L5,'[1]Tuyến cáp H04'!$B:$E,3,0)/1000</f>
        <v>#N/A</v>
      </c>
      <c r="AM5" t="e">
        <f>VLOOKUP(L5,'[1]Tuyến cáp H04'!$B:$E,4,0)</f>
        <v>#N/A</v>
      </c>
    </row>
    <row r="6" spans="1:39" x14ac:dyDescent="0.25">
      <c r="A6" s="1" t="s">
        <v>76</v>
      </c>
      <c r="B6" s="1" t="s">
        <v>77</v>
      </c>
      <c r="C6" s="1" t="s">
        <v>78</v>
      </c>
      <c r="D6" s="1" t="s">
        <v>79</v>
      </c>
      <c r="E6" s="1" t="s">
        <v>80</v>
      </c>
      <c r="F6" s="1" t="s">
        <v>81</v>
      </c>
      <c r="G6" s="1" t="s">
        <v>14129</v>
      </c>
      <c r="H6" s="1" t="s">
        <v>14133</v>
      </c>
      <c r="I6" s="1" t="s">
        <v>14136</v>
      </c>
      <c r="J6" s="1" t="s">
        <v>23</v>
      </c>
      <c r="K6" s="1"/>
      <c r="L6" s="1" t="s">
        <v>82</v>
      </c>
      <c r="M6" s="8" t="s">
        <v>82</v>
      </c>
      <c r="N6" s="1" t="b">
        <f t="shared" si="0"/>
        <v>1</v>
      </c>
      <c r="O6" s="1" t="s">
        <v>83</v>
      </c>
      <c r="P6" s="1" t="s">
        <v>84</v>
      </c>
      <c r="Q6" s="1" t="s">
        <v>85</v>
      </c>
      <c r="R6" s="1" t="s">
        <v>86</v>
      </c>
      <c r="S6" s="1" t="s">
        <v>87</v>
      </c>
      <c r="T6" s="1" t="s">
        <v>88</v>
      </c>
      <c r="U6" s="1" t="s">
        <v>89</v>
      </c>
      <c r="V6" s="13">
        <f>COUNTIF(L6:$M$1659,L6)</f>
        <v>15</v>
      </c>
      <c r="W6" s="1" t="s">
        <v>90</v>
      </c>
      <c r="X6">
        <v>51.3</v>
      </c>
      <c r="Y6">
        <v>9.18</v>
      </c>
      <c r="Z6">
        <v>12.175753</v>
      </c>
      <c r="AA6">
        <v>109.173635</v>
      </c>
      <c r="AB6">
        <v>42.11</v>
      </c>
      <c r="AC6">
        <v>12.210642999999999</v>
      </c>
      <c r="AD6">
        <v>109.188391</v>
      </c>
      <c r="AE6" s="5">
        <f t="shared" si="1"/>
        <v>1.3769999999999999E-2</v>
      </c>
      <c r="AF6" s="5">
        <f t="shared" si="2"/>
        <v>6.3164999999999999E-2</v>
      </c>
      <c r="AG6" s="1" t="str">
        <f>TRIM(LEFT(L6,FIND("-",L6)-1))</f>
        <v>3.PA06 cs2</v>
      </c>
      <c r="AH6" s="1" t="str">
        <f>TRIM(RIGHT(L6, LEN(L6) - FIND("-", L6)))</f>
        <v>PC11a</v>
      </c>
      <c r="AJ6">
        <f t="shared" si="3"/>
        <v>9.1799999999999989E-3</v>
      </c>
      <c r="AK6">
        <f t="shared" si="4"/>
        <v>4.2110000000000002E-2</v>
      </c>
      <c r="AL6" t="e">
        <f>VLOOKUP(L6,'[1]Tuyến cáp H04'!$B:$E,3,0)/1000</f>
        <v>#N/A</v>
      </c>
      <c r="AM6" t="e">
        <f>VLOOKUP(L6,'[1]Tuyến cáp H04'!$B:$E,4,0)</f>
        <v>#N/A</v>
      </c>
    </row>
    <row r="7" spans="1:39" x14ac:dyDescent="0.25">
      <c r="A7" s="1" t="s">
        <v>91</v>
      </c>
      <c r="B7" s="1" t="s">
        <v>92</v>
      </c>
      <c r="C7" s="1" t="s">
        <v>93</v>
      </c>
      <c r="D7" s="1" t="s">
        <v>94</v>
      </c>
      <c r="E7" s="1" t="s">
        <v>95</v>
      </c>
      <c r="F7" s="1" t="s">
        <v>96</v>
      </c>
      <c r="G7" s="1" t="s">
        <v>14129</v>
      </c>
      <c r="H7" s="1" t="s">
        <v>14133</v>
      </c>
      <c r="I7" s="1" t="s">
        <v>14137</v>
      </c>
      <c r="J7" s="1" t="s">
        <v>23</v>
      </c>
      <c r="K7" s="1"/>
      <c r="L7" s="1" t="s">
        <v>97</v>
      </c>
      <c r="M7" s="8" t="s">
        <v>97</v>
      </c>
      <c r="N7" s="1" t="b">
        <f t="shared" si="0"/>
        <v>1</v>
      </c>
      <c r="O7" s="1" t="s">
        <v>98</v>
      </c>
      <c r="P7" s="1" t="s">
        <v>99</v>
      </c>
      <c r="Q7" s="1" t="s">
        <v>100</v>
      </c>
      <c r="R7" s="1" t="s">
        <v>101</v>
      </c>
      <c r="S7" s="1" t="s">
        <v>102</v>
      </c>
      <c r="T7" s="1" t="s">
        <v>103</v>
      </c>
      <c r="U7" s="1" t="s">
        <v>104</v>
      </c>
      <c r="V7" s="13">
        <f>COUNTIF(L7:$M$1659,L7)</f>
        <v>2</v>
      </c>
      <c r="W7" s="1" t="s">
        <v>105</v>
      </c>
      <c r="X7">
        <v>297.18</v>
      </c>
      <c r="Y7">
        <v>227.08</v>
      </c>
      <c r="Z7">
        <v>12.247764</v>
      </c>
      <c r="AA7">
        <v>109.191017</v>
      </c>
      <c r="AB7">
        <v>70.099999999999994</v>
      </c>
      <c r="AC7">
        <v>12.252644</v>
      </c>
      <c r="AD7">
        <v>109.193242</v>
      </c>
      <c r="AE7" s="5">
        <f t="shared" si="1"/>
        <v>0.34061999999999998</v>
      </c>
      <c r="AF7" s="5">
        <f t="shared" si="2"/>
        <v>0.10514999999999999</v>
      </c>
      <c r="AG7" s="1" t="str">
        <f>TRIM(LEFT(L7,FIND("-",L7)-1))</f>
        <v>4.PA08</v>
      </c>
      <c r="AH7" s="1" t="str">
        <f>TRIM(RIGHT(L7, LEN(L7) - FIND("-", L7)))</f>
        <v>PA06 cs1</v>
      </c>
      <c r="AJ7">
        <f t="shared" si="3"/>
        <v>0.22708</v>
      </c>
      <c r="AK7">
        <f t="shared" si="4"/>
        <v>7.0099999999999996E-2</v>
      </c>
      <c r="AL7" t="e">
        <f>VLOOKUP(L7,'[1]Tuyến cáp H04'!$B:$E,3,0)/1000</f>
        <v>#N/A</v>
      </c>
      <c r="AM7" t="e">
        <f>VLOOKUP(L7,'[1]Tuyến cáp H04'!$B:$E,4,0)</f>
        <v>#N/A</v>
      </c>
    </row>
    <row r="8" spans="1:39" x14ac:dyDescent="0.25">
      <c r="A8" s="1" t="s">
        <v>106</v>
      </c>
      <c r="B8" s="1" t="s">
        <v>77</v>
      </c>
      <c r="C8" s="1" t="s">
        <v>78</v>
      </c>
      <c r="D8" s="1" t="s">
        <v>107</v>
      </c>
      <c r="E8" s="1" t="s">
        <v>108</v>
      </c>
      <c r="F8" s="1" t="s">
        <v>109</v>
      </c>
      <c r="G8" s="1" t="s">
        <v>14129</v>
      </c>
      <c r="H8" s="1" t="s">
        <v>14133</v>
      </c>
      <c r="I8" s="1" t="s">
        <v>14138</v>
      </c>
      <c r="J8" s="1" t="s">
        <v>23</v>
      </c>
      <c r="K8" s="1"/>
      <c r="L8" s="1" t="s">
        <v>110</v>
      </c>
      <c r="M8" s="8" t="s">
        <v>110</v>
      </c>
      <c r="N8" s="1" t="b">
        <f t="shared" si="0"/>
        <v>1</v>
      </c>
      <c r="O8" s="1" t="s">
        <v>111</v>
      </c>
      <c r="P8" s="1" t="s">
        <v>112</v>
      </c>
      <c r="Q8" s="1" t="s">
        <v>113</v>
      </c>
      <c r="R8" s="1" t="s">
        <v>114</v>
      </c>
      <c r="S8" s="1" t="s">
        <v>115</v>
      </c>
      <c r="T8" s="1" t="s">
        <v>116</v>
      </c>
      <c r="U8" s="1" t="s">
        <v>117</v>
      </c>
      <c r="V8" s="13">
        <f>COUNTIF(L8:$M$1659,L8)</f>
        <v>18</v>
      </c>
      <c r="W8" s="1" t="s">
        <v>118</v>
      </c>
      <c r="X8">
        <v>792.9</v>
      </c>
      <c r="Y8">
        <v>3.34</v>
      </c>
      <c r="Z8">
        <v>12.175723</v>
      </c>
      <c r="AA8">
        <v>109.17368</v>
      </c>
      <c r="AB8">
        <v>789.55</v>
      </c>
      <c r="AC8">
        <v>12.204105</v>
      </c>
      <c r="AD8">
        <v>109.188574</v>
      </c>
      <c r="AE8" s="5">
        <f t="shared" si="1"/>
        <v>5.0099999999999997E-3</v>
      </c>
      <c r="AF8" s="5">
        <f t="shared" si="2"/>
        <v>1.1843249999999999</v>
      </c>
      <c r="AG8" s="1" t="str">
        <f>TRIM(LEFT(L8,FIND("-",L8)-1))</f>
        <v>4.PC11a</v>
      </c>
      <c r="AH8" s="1" t="str">
        <f>TRIM(RIGHT(L8, LEN(L8) - FIND("-", L8)))</f>
        <v>PC02_Đoạn cột trung thế</v>
      </c>
      <c r="AJ8">
        <f t="shared" si="3"/>
        <v>3.3399999999999997E-3</v>
      </c>
      <c r="AK8">
        <f t="shared" si="4"/>
        <v>0.78954999999999997</v>
      </c>
      <c r="AL8" t="e">
        <f>VLOOKUP(L8,'[1]Tuyến cáp H04'!$B:$E,3,0)/1000</f>
        <v>#N/A</v>
      </c>
      <c r="AM8" t="e">
        <f>VLOOKUP(L8,'[1]Tuyến cáp H04'!$B:$E,4,0)</f>
        <v>#N/A</v>
      </c>
    </row>
    <row r="9" spans="1:39" x14ac:dyDescent="0.25">
      <c r="A9" s="1" t="s">
        <v>119</v>
      </c>
      <c r="B9" s="1" t="s">
        <v>77</v>
      </c>
      <c r="C9" s="1" t="s">
        <v>78</v>
      </c>
      <c r="D9" s="1" t="s">
        <v>120</v>
      </c>
      <c r="E9" s="1" t="s">
        <v>121</v>
      </c>
      <c r="F9" s="1" t="s">
        <v>122</v>
      </c>
      <c r="G9" s="1" t="s">
        <v>14129</v>
      </c>
      <c r="H9" s="1" t="s">
        <v>14133</v>
      </c>
      <c r="I9" s="1" t="s">
        <v>14139</v>
      </c>
      <c r="J9" s="1" t="s">
        <v>23</v>
      </c>
      <c r="K9" s="1"/>
      <c r="L9" s="1" t="s">
        <v>82</v>
      </c>
      <c r="M9" s="8" t="s">
        <v>82</v>
      </c>
      <c r="N9" s="1" t="b">
        <f t="shared" si="0"/>
        <v>1</v>
      </c>
      <c r="O9" s="1" t="s">
        <v>123</v>
      </c>
      <c r="P9" s="1" t="s">
        <v>84</v>
      </c>
      <c r="Q9" s="1" t="s">
        <v>85</v>
      </c>
      <c r="R9" s="1" t="s">
        <v>86</v>
      </c>
      <c r="S9" s="1" t="s">
        <v>124</v>
      </c>
      <c r="T9" s="1" t="s">
        <v>125</v>
      </c>
      <c r="U9" s="1" t="s">
        <v>126</v>
      </c>
      <c r="V9" s="13">
        <f>COUNTIF(L9:$M$1659,L9)</f>
        <v>13</v>
      </c>
      <c r="W9" s="1" t="s">
        <v>90</v>
      </c>
      <c r="X9">
        <v>60.34</v>
      </c>
      <c r="Y9">
        <v>9.18</v>
      </c>
      <c r="Z9">
        <v>12.175753</v>
      </c>
      <c r="AA9">
        <v>109.173635</v>
      </c>
      <c r="AB9">
        <v>51.16</v>
      </c>
      <c r="AC9">
        <v>12.225636</v>
      </c>
      <c r="AD9">
        <v>109.183539</v>
      </c>
      <c r="AE9" s="5">
        <f t="shared" si="1"/>
        <v>1.3769999999999999E-2</v>
      </c>
      <c r="AF9" s="5">
        <f t="shared" si="2"/>
        <v>7.6739999999999989E-2</v>
      </c>
      <c r="AG9" s="1" t="str">
        <f>TRIM(LEFT(L9,FIND("-",L9)-1))</f>
        <v>3.PA06 cs2</v>
      </c>
      <c r="AH9" s="1" t="str">
        <f>TRIM(RIGHT(L9, LEN(L9) - FIND("-", L9)))</f>
        <v>PC11a</v>
      </c>
      <c r="AJ9">
        <f t="shared" si="3"/>
        <v>9.1799999999999989E-3</v>
      </c>
      <c r="AK9">
        <f t="shared" si="4"/>
        <v>5.1159999999999997E-2</v>
      </c>
      <c r="AL9" t="e">
        <f>VLOOKUP(L9,'[1]Tuyến cáp H04'!$B:$E,3,0)/1000</f>
        <v>#N/A</v>
      </c>
      <c r="AM9" t="e">
        <f>VLOOKUP(L9,'[1]Tuyến cáp H04'!$B:$E,4,0)</f>
        <v>#N/A</v>
      </c>
    </row>
    <row r="10" spans="1:39" x14ac:dyDescent="0.25">
      <c r="A10" s="1" t="s">
        <v>127</v>
      </c>
      <c r="B10" s="1" t="s">
        <v>128</v>
      </c>
      <c r="C10" s="1" t="s">
        <v>129</v>
      </c>
      <c r="D10" s="1" t="s">
        <v>130</v>
      </c>
      <c r="E10" s="1" t="s">
        <v>131</v>
      </c>
      <c r="F10" s="1" t="s">
        <v>132</v>
      </c>
      <c r="G10" s="1" t="s">
        <v>14129</v>
      </c>
      <c r="H10" s="1" t="s">
        <v>14133</v>
      </c>
      <c r="I10" s="1" t="s">
        <v>14140</v>
      </c>
      <c r="J10" s="1" t="s">
        <v>23</v>
      </c>
      <c r="K10" s="1"/>
      <c r="L10" s="1" t="s">
        <v>133</v>
      </c>
      <c r="M10" s="8" t="s">
        <v>15694</v>
      </c>
      <c r="N10" s="12" t="b">
        <f t="shared" si="0"/>
        <v>0</v>
      </c>
      <c r="O10" s="1" t="s">
        <v>134</v>
      </c>
      <c r="P10" s="1" t="s">
        <v>135</v>
      </c>
      <c r="Q10" s="1" t="s">
        <v>136</v>
      </c>
      <c r="R10" s="1" t="s">
        <v>137</v>
      </c>
      <c r="S10" s="1" t="s">
        <v>138</v>
      </c>
      <c r="T10" s="1" t="s">
        <v>139</v>
      </c>
      <c r="U10" s="1" t="s">
        <v>140</v>
      </c>
      <c r="V10" s="13">
        <f>COUNTIF(L10:$M$1659,L10)</f>
        <v>25</v>
      </c>
      <c r="W10" s="1" t="s">
        <v>141</v>
      </c>
      <c r="X10">
        <v>169460.33</v>
      </c>
      <c r="Y10">
        <v>131244.19</v>
      </c>
      <c r="Z10">
        <v>15.875012999999999</v>
      </c>
      <c r="AA10">
        <v>107.880808</v>
      </c>
      <c r="AB10">
        <v>38216.129999999997</v>
      </c>
      <c r="AC10">
        <v>15.822844</v>
      </c>
      <c r="AD10">
        <v>108.24684600000001</v>
      </c>
      <c r="AE10" s="5">
        <f t="shared" si="1"/>
        <v>196.866285</v>
      </c>
      <c r="AF10" s="5">
        <f t="shared" si="2"/>
        <v>57.324194999999989</v>
      </c>
      <c r="AG10" s="1" t="str">
        <f>TRIM(LEFT(L10,FIND("-",L10)-1))</f>
        <v>Trại giam An Điềm (C10)</v>
      </c>
      <c r="AH10" s="1" t="str">
        <f>TRIM(RIGHT(L10, LEN(L10) - FIND("-", L10)))</f>
        <v>Duy Xuyên</v>
      </c>
      <c r="AJ10">
        <f t="shared" si="3"/>
        <v>131.24419</v>
      </c>
      <c r="AK10">
        <f t="shared" si="4"/>
        <v>38.21613</v>
      </c>
      <c r="AL10">
        <f>VLOOKUP(L10,'[1]Tuyến cáp H04'!$B:$E,3,0)/1000</f>
        <v>48.999000000000002</v>
      </c>
      <c r="AM10" t="str">
        <f>VLOOKUP(L10,'[1]Tuyến cáp H04'!$B:$E,4,0)</f>
        <v>Mạng cấp 3</v>
      </c>
    </row>
    <row r="11" spans="1:39" x14ac:dyDescent="0.25">
      <c r="A11" s="1" t="s">
        <v>142</v>
      </c>
      <c r="B11" s="1" t="s">
        <v>130</v>
      </c>
      <c r="C11" s="1" t="s">
        <v>131</v>
      </c>
      <c r="D11" s="1" t="s">
        <v>18</v>
      </c>
      <c r="E11" s="1" t="s">
        <v>19</v>
      </c>
      <c r="F11" s="1" t="s">
        <v>143</v>
      </c>
      <c r="G11" s="1" t="s">
        <v>14129</v>
      </c>
      <c r="H11" s="1" t="s">
        <v>14133</v>
      </c>
      <c r="I11" s="1" t="s">
        <v>14141</v>
      </c>
      <c r="J11" s="1" t="s">
        <v>23</v>
      </c>
      <c r="K11" s="1"/>
      <c r="L11" s="1" t="s">
        <v>144</v>
      </c>
      <c r="M11" s="8" t="s">
        <v>296</v>
      </c>
      <c r="N11" s="12" t="b">
        <f t="shared" si="0"/>
        <v>0</v>
      </c>
      <c r="O11" s="1" t="s">
        <v>145</v>
      </c>
      <c r="P11" s="1" t="s">
        <v>146</v>
      </c>
      <c r="Q11" s="1" t="s">
        <v>147</v>
      </c>
      <c r="R11" s="1" t="s">
        <v>148</v>
      </c>
      <c r="S11" s="1" t="s">
        <v>149</v>
      </c>
      <c r="T11" s="1" t="s">
        <v>150</v>
      </c>
      <c r="U11" s="1" t="s">
        <v>151</v>
      </c>
      <c r="V11" s="13">
        <f>COUNTIF(L11:$M$1659,L11)</f>
        <v>6</v>
      </c>
      <c r="W11" s="1" t="s">
        <v>152</v>
      </c>
      <c r="X11">
        <v>335568.19</v>
      </c>
      <c r="Y11">
        <v>143782.79999999999</v>
      </c>
      <c r="Z11">
        <v>14.360149</v>
      </c>
      <c r="AA11">
        <v>108.97062</v>
      </c>
      <c r="AB11">
        <v>191785.39</v>
      </c>
      <c r="AC11">
        <v>13.966175</v>
      </c>
      <c r="AD11">
        <v>109.030287</v>
      </c>
      <c r="AE11" s="5">
        <f t="shared" si="1"/>
        <v>215.67419999999998</v>
      </c>
      <c r="AF11" s="5">
        <f t="shared" si="2"/>
        <v>287.67808500000001</v>
      </c>
      <c r="AG11" s="1" t="str">
        <f>TRIM(LEFT(L11,FIND("-",L11)-1))</f>
        <v>Hoài Ân</v>
      </c>
      <c r="AH11" s="1" t="str">
        <f>TRIM(RIGHT(L11, LEN(L11) - FIND("-", L11)))</f>
        <v>Vĩnh Kim</v>
      </c>
      <c r="AJ11">
        <f t="shared" si="3"/>
        <v>143.78279999999998</v>
      </c>
      <c r="AK11">
        <f t="shared" si="4"/>
        <v>191.78539000000001</v>
      </c>
      <c r="AL11" t="e">
        <f>VLOOKUP(L11,'[1]Tuyến cáp H04'!$B:$E,3,0)/1000</f>
        <v>#N/A</v>
      </c>
      <c r="AM11" t="e">
        <f>VLOOKUP(L11,'[1]Tuyến cáp H04'!$B:$E,4,0)</f>
        <v>#N/A</v>
      </c>
    </row>
    <row r="12" spans="1:39" x14ac:dyDescent="0.25">
      <c r="A12" s="1" t="s">
        <v>153</v>
      </c>
      <c r="B12" s="1" t="s">
        <v>18</v>
      </c>
      <c r="C12" s="1" t="s">
        <v>19</v>
      </c>
      <c r="D12" s="1" t="s">
        <v>94</v>
      </c>
      <c r="E12" s="1" t="s">
        <v>95</v>
      </c>
      <c r="F12" s="1" t="s">
        <v>154</v>
      </c>
      <c r="G12" s="1" t="s">
        <v>14129</v>
      </c>
      <c r="H12" s="1" t="s">
        <v>14133</v>
      </c>
      <c r="I12" s="1" t="s">
        <v>14142</v>
      </c>
      <c r="J12" s="1" t="s">
        <v>23</v>
      </c>
      <c r="K12" s="1"/>
      <c r="L12" s="1" t="s">
        <v>24</v>
      </c>
      <c r="M12" s="8" t="s">
        <v>24</v>
      </c>
      <c r="N12" s="1" t="b">
        <f t="shared" si="0"/>
        <v>1</v>
      </c>
      <c r="O12" s="1" t="s">
        <v>155</v>
      </c>
      <c r="P12" s="1" t="s">
        <v>26</v>
      </c>
      <c r="Q12" s="1" t="s">
        <v>27</v>
      </c>
      <c r="R12" s="1" t="s">
        <v>28</v>
      </c>
      <c r="S12" s="1" t="s">
        <v>156</v>
      </c>
      <c r="T12" s="1" t="s">
        <v>157</v>
      </c>
      <c r="U12" s="1" t="s">
        <v>158</v>
      </c>
      <c r="V12" s="13">
        <f>COUNTIF(L12:$M$1659,L12)</f>
        <v>8</v>
      </c>
      <c r="W12" s="1" t="s">
        <v>32</v>
      </c>
      <c r="X12">
        <v>277.70999999999998</v>
      </c>
      <c r="Y12">
        <v>160.66999999999999</v>
      </c>
      <c r="Z12">
        <v>12.249511999999999</v>
      </c>
      <c r="AA12">
        <v>109.185703</v>
      </c>
      <c r="AB12">
        <v>117.04</v>
      </c>
      <c r="AC12">
        <v>12.253</v>
      </c>
      <c r="AD12">
        <v>109.193</v>
      </c>
      <c r="AE12" s="5">
        <f t="shared" si="1"/>
        <v>0.241005</v>
      </c>
      <c r="AF12" s="5">
        <f t="shared" si="2"/>
        <v>0.17555999999999999</v>
      </c>
      <c r="AG12" s="1" t="str">
        <f>TRIM(LEFT(L12,FIND("-",L12)-1))</f>
        <v>5.PA06 cs1</v>
      </c>
      <c r="AH12" s="1" t="str">
        <f>TRIM(RIGHT(L12, LEN(L12) - FIND("-", L12)))</f>
        <v>PC08 csc_Cột trung thế</v>
      </c>
      <c r="AJ12">
        <f t="shared" si="3"/>
        <v>0.16066999999999998</v>
      </c>
      <c r="AK12">
        <f t="shared" si="4"/>
        <v>0.11704000000000001</v>
      </c>
      <c r="AL12" t="e">
        <f>VLOOKUP(L12,'[1]Tuyến cáp H04'!$B:$E,3,0)/1000</f>
        <v>#N/A</v>
      </c>
      <c r="AM12" t="e">
        <f>VLOOKUP(L12,'[1]Tuyến cáp H04'!$B:$E,4,0)</f>
        <v>#N/A</v>
      </c>
    </row>
    <row r="13" spans="1:39" x14ac:dyDescent="0.25">
      <c r="A13" s="1" t="s">
        <v>159</v>
      </c>
      <c r="B13" s="1" t="s">
        <v>160</v>
      </c>
      <c r="C13" s="1" t="s">
        <v>161</v>
      </c>
      <c r="D13" s="1" t="s">
        <v>34</v>
      </c>
      <c r="E13" s="1" t="s">
        <v>35</v>
      </c>
      <c r="F13" s="1" t="s">
        <v>162</v>
      </c>
      <c r="G13" s="1" t="s">
        <v>14129</v>
      </c>
      <c r="H13" s="1" t="s">
        <v>14133</v>
      </c>
      <c r="I13" s="1" t="s">
        <v>14143</v>
      </c>
      <c r="J13" s="1" t="s">
        <v>23</v>
      </c>
      <c r="K13" s="1"/>
      <c r="L13" s="1" t="s">
        <v>163</v>
      </c>
      <c r="M13" s="8" t="s">
        <v>163</v>
      </c>
      <c r="N13" s="1" t="b">
        <f t="shared" si="0"/>
        <v>1</v>
      </c>
      <c r="O13" s="1" t="s">
        <v>164</v>
      </c>
      <c r="P13" s="1" t="s">
        <v>165</v>
      </c>
      <c r="Q13" s="1" t="s">
        <v>166</v>
      </c>
      <c r="R13" s="1" t="s">
        <v>167</v>
      </c>
      <c r="S13" s="1" t="s">
        <v>168</v>
      </c>
      <c r="T13" s="1" t="s">
        <v>169</v>
      </c>
      <c r="U13" s="1" t="s">
        <v>170</v>
      </c>
      <c r="V13" s="13">
        <f>COUNTIF(L13:$M$1659,L13)</f>
        <v>6</v>
      </c>
      <c r="W13" s="1" t="s">
        <v>171</v>
      </c>
      <c r="X13">
        <v>3.53</v>
      </c>
      <c r="Y13">
        <v>1.27</v>
      </c>
      <c r="Z13">
        <v>12.278760999999999</v>
      </c>
      <c r="AA13">
        <v>109.188896</v>
      </c>
      <c r="AB13">
        <v>2.2599999999999998</v>
      </c>
      <c r="AC13">
        <v>12.276948000000001</v>
      </c>
      <c r="AD13">
        <v>109.18840899999999</v>
      </c>
      <c r="AE13" s="5">
        <f t="shared" si="1"/>
        <v>1.905E-3</v>
      </c>
      <c r="AF13" s="5">
        <f t="shared" si="2"/>
        <v>3.3899999999999998E-3</v>
      </c>
      <c r="AG13" s="1" t="str">
        <f>TRIM(LEFT(L13,FIND("-",L13)-1))</f>
        <v>Tuyến nhánh PK02 cs1</v>
      </c>
      <c r="AH13" s="1" t="str">
        <f>TRIM(RIGHT(L13, LEN(L13) - FIND("-", L13)))</f>
        <v>NTG Nha Trang cũ_Cột hạ thế</v>
      </c>
      <c r="AJ13">
        <f t="shared" si="3"/>
        <v>1.2700000000000001E-3</v>
      </c>
      <c r="AK13">
        <f t="shared" si="4"/>
        <v>2.2599999999999999E-3</v>
      </c>
      <c r="AL13" t="e">
        <f>VLOOKUP(L13,'[1]Tuyến cáp H04'!$B:$E,3,0)/1000</f>
        <v>#N/A</v>
      </c>
      <c r="AM13" t="e">
        <f>VLOOKUP(L13,'[1]Tuyến cáp H04'!$B:$E,4,0)</f>
        <v>#N/A</v>
      </c>
    </row>
    <row r="14" spans="1:39" x14ac:dyDescent="0.25">
      <c r="A14" s="1" t="s">
        <v>172</v>
      </c>
      <c r="B14" s="1" t="s">
        <v>34</v>
      </c>
      <c r="C14" s="1" t="s">
        <v>35</v>
      </c>
      <c r="D14" s="1" t="s">
        <v>173</v>
      </c>
      <c r="E14" s="1" t="s">
        <v>174</v>
      </c>
      <c r="F14" s="1" t="s">
        <v>175</v>
      </c>
      <c r="G14" s="1" t="s">
        <v>14129</v>
      </c>
      <c r="H14" s="1" t="s">
        <v>14133</v>
      </c>
      <c r="I14" s="1" t="s">
        <v>14144</v>
      </c>
      <c r="J14" s="1" t="s">
        <v>23</v>
      </c>
      <c r="K14" s="1"/>
      <c r="L14" s="1" t="s">
        <v>39</v>
      </c>
      <c r="M14" s="8" t="s">
        <v>39</v>
      </c>
      <c r="N14" s="1" t="b">
        <f t="shared" si="0"/>
        <v>1</v>
      </c>
      <c r="O14" s="1" t="s">
        <v>176</v>
      </c>
      <c r="P14" s="1" t="s">
        <v>41</v>
      </c>
      <c r="Q14" s="1" t="s">
        <v>42</v>
      </c>
      <c r="R14" s="1" t="s">
        <v>43</v>
      </c>
      <c r="S14" s="1" t="s">
        <v>177</v>
      </c>
      <c r="T14" s="1" t="s">
        <v>178</v>
      </c>
      <c r="U14" s="1" t="s">
        <v>179</v>
      </c>
      <c r="V14" s="13">
        <f>COUNTIF(L14:$M$1659,L14)</f>
        <v>19</v>
      </c>
      <c r="W14" s="1" t="s">
        <v>47</v>
      </c>
      <c r="X14">
        <v>292.88</v>
      </c>
      <c r="Y14">
        <v>206.48</v>
      </c>
      <c r="Z14">
        <v>12.278732</v>
      </c>
      <c r="AA14">
        <v>109.188858</v>
      </c>
      <c r="AB14">
        <v>86.4</v>
      </c>
      <c r="AC14">
        <v>12.265396000000001</v>
      </c>
      <c r="AD14">
        <v>109.196152</v>
      </c>
      <c r="AE14" s="5">
        <f t="shared" si="1"/>
        <v>0.30972</v>
      </c>
      <c r="AF14" s="5">
        <f t="shared" si="2"/>
        <v>0.12960000000000002</v>
      </c>
      <c r="AG14" s="1" t="str">
        <f>TRIM(LEFT(L14,FIND("-",L14)-1))</f>
        <v>1.CAT Khánh Hòa</v>
      </c>
      <c r="AH14" s="1" t="str">
        <f>TRIM(RIGHT(L14, LEN(L14) - FIND("-", L14)))</f>
        <v>PK02 cs1</v>
      </c>
      <c r="AJ14">
        <f t="shared" si="3"/>
        <v>0.20648</v>
      </c>
      <c r="AK14">
        <f t="shared" si="4"/>
        <v>8.6400000000000005E-2</v>
      </c>
      <c r="AL14" t="e">
        <f>VLOOKUP(L14,'[1]Tuyến cáp H04'!$B:$E,3,0)/1000</f>
        <v>#N/A</v>
      </c>
      <c r="AM14" t="e">
        <f>VLOOKUP(L14,'[1]Tuyến cáp H04'!$B:$E,4,0)</f>
        <v>#N/A</v>
      </c>
    </row>
    <row r="15" spans="1:39" x14ac:dyDescent="0.25">
      <c r="A15" s="1" t="s">
        <v>180</v>
      </c>
      <c r="B15" s="1" t="s">
        <v>181</v>
      </c>
      <c r="C15" s="1" t="s">
        <v>182</v>
      </c>
      <c r="D15" s="1" t="s">
        <v>183</v>
      </c>
      <c r="E15" s="1" t="s">
        <v>184</v>
      </c>
      <c r="F15" s="1" t="s">
        <v>185</v>
      </c>
      <c r="G15" s="1" t="s">
        <v>14129</v>
      </c>
      <c r="H15" s="1" t="s">
        <v>14133</v>
      </c>
      <c r="I15" s="1" t="s">
        <v>14145</v>
      </c>
      <c r="J15" s="1" t="s">
        <v>23</v>
      </c>
      <c r="K15" s="1"/>
      <c r="L15" s="1" t="s">
        <v>186</v>
      </c>
      <c r="M15" s="8" t="s">
        <v>186</v>
      </c>
      <c r="N15" s="1" t="b">
        <f t="shared" si="0"/>
        <v>1</v>
      </c>
      <c r="O15" s="1" t="s">
        <v>187</v>
      </c>
      <c r="P15" s="1" t="s">
        <v>188</v>
      </c>
      <c r="Q15" s="1" t="s">
        <v>189</v>
      </c>
      <c r="R15" s="1" t="s">
        <v>190</v>
      </c>
      <c r="S15" s="1" t="s">
        <v>191</v>
      </c>
      <c r="T15" s="1" t="s">
        <v>192</v>
      </c>
      <c r="U15" s="1" t="s">
        <v>193</v>
      </c>
      <c r="V15" s="13">
        <f>COUNTIF(L15:$M$1659,L15)</f>
        <v>16</v>
      </c>
      <c r="W15" s="1" t="s">
        <v>194</v>
      </c>
      <c r="X15">
        <v>2904.54</v>
      </c>
      <c r="Y15">
        <v>6.07</v>
      </c>
      <c r="Z15">
        <v>12.276066999999999</v>
      </c>
      <c r="AA15">
        <v>109.120259</v>
      </c>
      <c r="AB15">
        <v>2898.47</v>
      </c>
      <c r="AC15">
        <v>12.288600000000001</v>
      </c>
      <c r="AD15">
        <v>109.147541</v>
      </c>
      <c r="AE15" s="5">
        <f t="shared" si="1"/>
        <v>9.1050000000000002E-3</v>
      </c>
      <c r="AF15" s="5">
        <f t="shared" si="2"/>
        <v>4.3477049999999995</v>
      </c>
      <c r="AG15" s="1" t="str">
        <f>TRIM(LEFT(L15,FIND("-",L15)-1))</f>
        <v>2.CA Diên Điền</v>
      </c>
      <c r="AH15" s="1" t="str">
        <f>TRIM(RIGHT(L15, LEN(L15) - FIND("-", L15)))</f>
        <v>CA Bắc Nha Trang</v>
      </c>
      <c r="AJ15">
        <f t="shared" si="3"/>
        <v>6.0699999999999999E-3</v>
      </c>
      <c r="AK15">
        <f t="shared" si="4"/>
        <v>2.8984699999999997</v>
      </c>
      <c r="AL15" t="e">
        <f>VLOOKUP(L15,'[1]Tuyến cáp H04'!$B:$E,3,0)/1000</f>
        <v>#N/A</v>
      </c>
      <c r="AM15" t="e">
        <f>VLOOKUP(L15,'[1]Tuyến cáp H04'!$B:$E,4,0)</f>
        <v>#N/A</v>
      </c>
    </row>
    <row r="16" spans="1:39" x14ac:dyDescent="0.25">
      <c r="A16" s="1" t="s">
        <v>195</v>
      </c>
      <c r="B16" s="1" t="s">
        <v>196</v>
      </c>
      <c r="C16" s="1" t="s">
        <v>197</v>
      </c>
      <c r="D16" s="1" t="s">
        <v>198</v>
      </c>
      <c r="E16" s="1" t="s">
        <v>199</v>
      </c>
      <c r="F16" s="1" t="s">
        <v>200</v>
      </c>
      <c r="G16" s="1" t="s">
        <v>14129</v>
      </c>
      <c r="H16" s="1" t="s">
        <v>14133</v>
      </c>
      <c r="I16" s="1" t="s">
        <v>14146</v>
      </c>
      <c r="J16" s="1" t="s">
        <v>23</v>
      </c>
      <c r="K16" s="1"/>
      <c r="L16" s="1" t="s">
        <v>201</v>
      </c>
      <c r="M16" s="8" t="s">
        <v>201</v>
      </c>
      <c r="N16" s="1" t="b">
        <f t="shared" si="0"/>
        <v>1</v>
      </c>
      <c r="O16" s="1" t="s">
        <v>202</v>
      </c>
      <c r="P16" s="1" t="s">
        <v>203</v>
      </c>
      <c r="Q16" s="1" t="s">
        <v>204</v>
      </c>
      <c r="R16" s="1" t="s">
        <v>205</v>
      </c>
      <c r="S16" s="1" t="s">
        <v>206</v>
      </c>
      <c r="T16" s="1" t="s">
        <v>207</v>
      </c>
      <c r="U16" s="1" t="s">
        <v>208</v>
      </c>
      <c r="V16" s="13">
        <f>COUNTIF(L16:$M$1659,L16)</f>
        <v>12</v>
      </c>
      <c r="W16" s="1" t="s">
        <v>209</v>
      </c>
      <c r="X16">
        <v>1388.96</v>
      </c>
      <c r="Y16">
        <v>414.08</v>
      </c>
      <c r="Z16">
        <v>12.280430000000001</v>
      </c>
      <c r="AA16">
        <v>109.194828</v>
      </c>
      <c r="AB16">
        <v>974.88</v>
      </c>
      <c r="AC16">
        <v>12.265409</v>
      </c>
      <c r="AD16">
        <v>109.196133</v>
      </c>
      <c r="AE16" s="5">
        <f t="shared" si="1"/>
        <v>0.62112000000000001</v>
      </c>
      <c r="AF16" s="5">
        <f t="shared" si="2"/>
        <v>1.4623199999999998</v>
      </c>
      <c r="AG16" s="1" t="str">
        <f>TRIM(LEFT(L16,FIND("-",L16)-1))</f>
        <v>3.CA Bắc Nha Trang</v>
      </c>
      <c r="AH16" s="1" t="str">
        <f>TRIM(RIGHT(L16, LEN(L16) - FIND("-", L16)))</f>
        <v>CAT Khánh Hòa</v>
      </c>
      <c r="AJ16">
        <f t="shared" si="3"/>
        <v>0.41408</v>
      </c>
      <c r="AK16">
        <f t="shared" si="4"/>
        <v>0.97487999999999997</v>
      </c>
      <c r="AL16" t="e">
        <f>VLOOKUP(L16,'[1]Tuyến cáp H04'!$B:$E,3,0)/1000</f>
        <v>#N/A</v>
      </c>
      <c r="AM16" t="e">
        <f>VLOOKUP(L16,'[1]Tuyến cáp H04'!$B:$E,4,0)</f>
        <v>#N/A</v>
      </c>
    </row>
    <row r="17" spans="1:39" x14ac:dyDescent="0.25">
      <c r="A17" s="1" t="s">
        <v>210</v>
      </c>
      <c r="B17" s="1" t="s">
        <v>198</v>
      </c>
      <c r="C17" s="1" t="s">
        <v>199</v>
      </c>
      <c r="D17" s="1" t="s">
        <v>211</v>
      </c>
      <c r="E17" s="1" t="s">
        <v>212</v>
      </c>
      <c r="F17" s="1" t="s">
        <v>213</v>
      </c>
      <c r="G17" s="1" t="s">
        <v>14129</v>
      </c>
      <c r="H17" s="1" t="s">
        <v>14133</v>
      </c>
      <c r="I17" s="1" t="s">
        <v>14147</v>
      </c>
      <c r="J17" s="1" t="s">
        <v>23</v>
      </c>
      <c r="K17" s="1"/>
      <c r="L17" s="1" t="s">
        <v>214</v>
      </c>
      <c r="M17" s="8" t="s">
        <v>214</v>
      </c>
      <c r="N17" s="1" t="b">
        <f t="shared" si="0"/>
        <v>1</v>
      </c>
      <c r="O17" s="1" t="s">
        <v>215</v>
      </c>
      <c r="P17" s="1" t="s">
        <v>216</v>
      </c>
      <c r="Q17" s="1" t="s">
        <v>217</v>
      </c>
      <c r="R17" s="1" t="s">
        <v>218</v>
      </c>
      <c r="S17" s="1" t="s">
        <v>219</v>
      </c>
      <c r="T17" s="1" t="s">
        <v>220</v>
      </c>
      <c r="U17" s="1" t="s">
        <v>221</v>
      </c>
      <c r="V17" s="13">
        <f>COUNTIF(L17:$M$1659,L17)</f>
        <v>6</v>
      </c>
      <c r="W17" s="1" t="s">
        <v>222</v>
      </c>
      <c r="X17">
        <v>663.74</v>
      </c>
      <c r="Y17">
        <v>659.73</v>
      </c>
      <c r="Z17">
        <v>12.252942000000001</v>
      </c>
      <c r="AA17">
        <v>109.192953</v>
      </c>
      <c r="AB17">
        <v>4</v>
      </c>
      <c r="AC17">
        <v>12.251158999999999</v>
      </c>
      <c r="AD17">
        <v>109.186369</v>
      </c>
      <c r="AE17" s="5">
        <f t="shared" si="1"/>
        <v>0.989595</v>
      </c>
      <c r="AF17" s="5">
        <f t="shared" si="2"/>
        <v>6.0000000000000001E-3</v>
      </c>
      <c r="AG17" s="1" t="str">
        <f>TRIM(LEFT(L17,FIND("-",L17)-1))</f>
        <v>3.CA Nha Trang</v>
      </c>
      <c r="AH17" s="1" t="str">
        <f>TRIM(RIGHT(L17, LEN(L17) - FIND("-", L17)))</f>
        <v>CA Tây Nha Trang_Cột trung thế</v>
      </c>
      <c r="AJ17">
        <f t="shared" si="3"/>
        <v>0.65973000000000004</v>
      </c>
      <c r="AK17">
        <f t="shared" si="4"/>
        <v>4.0000000000000001E-3</v>
      </c>
      <c r="AL17" t="e">
        <f>VLOOKUP(L17,'[1]Tuyến cáp H04'!$B:$E,3,0)/1000</f>
        <v>#N/A</v>
      </c>
      <c r="AM17" t="e">
        <f>VLOOKUP(L17,'[1]Tuyến cáp H04'!$B:$E,4,0)</f>
        <v>#N/A</v>
      </c>
    </row>
    <row r="18" spans="1:39" x14ac:dyDescent="0.25">
      <c r="A18" s="1" t="s">
        <v>223</v>
      </c>
      <c r="B18" s="1" t="s">
        <v>211</v>
      </c>
      <c r="C18" s="1" t="s">
        <v>212</v>
      </c>
      <c r="D18" s="1" t="s">
        <v>94</v>
      </c>
      <c r="E18" s="1" t="s">
        <v>95</v>
      </c>
      <c r="F18" s="1" t="s">
        <v>224</v>
      </c>
      <c r="G18" s="1" t="s">
        <v>14129</v>
      </c>
      <c r="H18" s="1" t="s">
        <v>14133</v>
      </c>
      <c r="I18" s="1" t="s">
        <v>14148</v>
      </c>
      <c r="J18" s="1" t="s">
        <v>23</v>
      </c>
      <c r="K18" s="1"/>
      <c r="L18" s="1" t="s">
        <v>214</v>
      </c>
      <c r="M18" s="8" t="s">
        <v>214</v>
      </c>
      <c r="N18" s="1" t="b">
        <f t="shared" si="0"/>
        <v>1</v>
      </c>
      <c r="O18" s="1" t="s">
        <v>225</v>
      </c>
      <c r="P18" s="1" t="s">
        <v>219</v>
      </c>
      <c r="Q18" s="1" t="s">
        <v>220</v>
      </c>
      <c r="R18" s="1" t="s">
        <v>221</v>
      </c>
      <c r="S18" s="1" t="s">
        <v>226</v>
      </c>
      <c r="T18" s="1" t="s">
        <v>217</v>
      </c>
      <c r="U18" s="1" t="s">
        <v>218</v>
      </c>
      <c r="V18" s="13">
        <f>COUNTIF(L18:$M$1659,L18)</f>
        <v>4</v>
      </c>
      <c r="W18" s="1" t="s">
        <v>222</v>
      </c>
      <c r="X18">
        <v>119.8</v>
      </c>
      <c r="Y18">
        <v>4</v>
      </c>
      <c r="Z18">
        <v>12.251158999999999</v>
      </c>
      <c r="AA18">
        <v>109.186369</v>
      </c>
      <c r="AB18">
        <v>115.79</v>
      </c>
      <c r="AC18">
        <v>12.252942000000001</v>
      </c>
      <c r="AD18">
        <v>109.192953</v>
      </c>
      <c r="AE18" s="5">
        <f t="shared" si="1"/>
        <v>6.0000000000000001E-3</v>
      </c>
      <c r="AF18" s="5">
        <f t="shared" si="2"/>
        <v>0.17368500000000001</v>
      </c>
      <c r="AG18" s="1" t="str">
        <f>TRIM(LEFT(L18,FIND("-",L18)-1))</f>
        <v>3.CA Nha Trang</v>
      </c>
      <c r="AH18" s="1" t="str">
        <f>TRIM(RIGHT(L18, LEN(L18) - FIND("-", L18)))</f>
        <v>CA Tây Nha Trang_Cột trung thế</v>
      </c>
      <c r="AJ18">
        <f t="shared" si="3"/>
        <v>4.0000000000000001E-3</v>
      </c>
      <c r="AK18">
        <f t="shared" si="4"/>
        <v>0.11579</v>
      </c>
      <c r="AL18" t="e">
        <f>VLOOKUP(L18,'[1]Tuyến cáp H04'!$B:$E,3,0)/1000</f>
        <v>#N/A</v>
      </c>
      <c r="AM18" t="e">
        <f>VLOOKUP(L18,'[1]Tuyến cáp H04'!$B:$E,4,0)</f>
        <v>#N/A</v>
      </c>
    </row>
    <row r="19" spans="1:39" x14ac:dyDescent="0.25">
      <c r="A19" s="1" t="s">
        <v>227</v>
      </c>
      <c r="B19" s="1" t="s">
        <v>196</v>
      </c>
      <c r="C19" s="1" t="s">
        <v>197</v>
      </c>
      <c r="D19" s="1" t="s">
        <v>228</v>
      </c>
      <c r="E19" s="1" t="s">
        <v>229</v>
      </c>
      <c r="F19" s="1" t="s">
        <v>230</v>
      </c>
      <c r="G19" s="1" t="s">
        <v>14129</v>
      </c>
      <c r="H19" s="1" t="s">
        <v>14133</v>
      </c>
      <c r="I19" s="1" t="s">
        <v>14149</v>
      </c>
      <c r="J19" s="1" t="s">
        <v>23</v>
      </c>
      <c r="K19" s="1"/>
      <c r="L19" s="1" t="s">
        <v>201</v>
      </c>
      <c r="M19" s="8" t="s">
        <v>201</v>
      </c>
      <c r="N19" s="1" t="b">
        <f t="shared" si="0"/>
        <v>1</v>
      </c>
      <c r="O19" s="1" t="s">
        <v>231</v>
      </c>
      <c r="P19" s="1" t="s">
        <v>232</v>
      </c>
      <c r="Q19" s="1" t="s">
        <v>233</v>
      </c>
      <c r="R19" s="1" t="s">
        <v>234</v>
      </c>
      <c r="S19" s="1" t="s">
        <v>235</v>
      </c>
      <c r="T19" s="1" t="s">
        <v>236</v>
      </c>
      <c r="U19" s="1" t="s">
        <v>237</v>
      </c>
      <c r="V19" s="13">
        <f>COUNTIF(L19:$M$1659,L19)</f>
        <v>10</v>
      </c>
      <c r="W19" s="1" t="s">
        <v>238</v>
      </c>
      <c r="X19">
        <v>1169.78</v>
      </c>
      <c r="Y19">
        <v>0.85</v>
      </c>
      <c r="Z19">
        <v>12.282332</v>
      </c>
      <c r="AA19">
        <v>109.19810099999999</v>
      </c>
      <c r="AB19">
        <v>1168.93</v>
      </c>
      <c r="AC19">
        <v>12.282302</v>
      </c>
      <c r="AD19">
        <v>109.19833800000001</v>
      </c>
      <c r="AE19" s="5">
        <f t="shared" si="1"/>
        <v>1.2749999999999999E-3</v>
      </c>
      <c r="AF19" s="5">
        <f t="shared" si="2"/>
        <v>1.753395</v>
      </c>
      <c r="AG19" s="1" t="str">
        <f>TRIM(LEFT(L19,FIND("-",L19)-1))</f>
        <v>3.CA Bắc Nha Trang</v>
      </c>
      <c r="AH19" s="1" t="str">
        <f>TRIM(RIGHT(L19, LEN(L19) - FIND("-", L19)))</f>
        <v>CAT Khánh Hòa</v>
      </c>
      <c r="AJ19">
        <f t="shared" si="3"/>
        <v>8.4999999999999995E-4</v>
      </c>
      <c r="AK19">
        <f t="shared" si="4"/>
        <v>1.16893</v>
      </c>
      <c r="AL19" t="e">
        <f>VLOOKUP(L19,'[1]Tuyến cáp H04'!$B:$E,3,0)/1000</f>
        <v>#N/A</v>
      </c>
      <c r="AM19" t="e">
        <f>VLOOKUP(L19,'[1]Tuyến cáp H04'!$B:$E,4,0)</f>
        <v>#N/A</v>
      </c>
    </row>
    <row r="20" spans="1:39" x14ac:dyDescent="0.25">
      <c r="A20" s="1" t="s">
        <v>239</v>
      </c>
      <c r="B20" s="1" t="s">
        <v>240</v>
      </c>
      <c r="C20" s="1" t="s">
        <v>241</v>
      </c>
      <c r="D20" s="1" t="s">
        <v>242</v>
      </c>
      <c r="E20" s="1" t="s">
        <v>243</v>
      </c>
      <c r="F20" s="1" t="s">
        <v>244</v>
      </c>
      <c r="G20" s="1" t="s">
        <v>14129</v>
      </c>
      <c r="H20" s="1" t="s">
        <v>14133</v>
      </c>
      <c r="I20" s="1" t="s">
        <v>14150</v>
      </c>
      <c r="J20" s="1" t="s">
        <v>23</v>
      </c>
      <c r="K20" s="1"/>
      <c r="L20" s="1" t="s">
        <v>245</v>
      </c>
      <c r="M20" s="8" t="s">
        <v>245</v>
      </c>
      <c r="N20" s="1" t="b">
        <f t="shared" si="0"/>
        <v>1</v>
      </c>
      <c r="O20" s="1" t="s">
        <v>246</v>
      </c>
      <c r="P20" s="1" t="s">
        <v>247</v>
      </c>
      <c r="Q20" s="1" t="s">
        <v>248</v>
      </c>
      <c r="R20" s="1" t="s">
        <v>249</v>
      </c>
      <c r="S20" s="1" t="s">
        <v>250</v>
      </c>
      <c r="T20" s="1" t="s">
        <v>251</v>
      </c>
      <c r="U20" s="1" t="s">
        <v>252</v>
      </c>
      <c r="V20" s="13">
        <f>COUNTIF(L20:$M$1659,L20)</f>
        <v>17</v>
      </c>
      <c r="W20" s="1" t="s">
        <v>253</v>
      </c>
      <c r="X20">
        <v>613.92999999999995</v>
      </c>
      <c r="Y20">
        <v>173.2</v>
      </c>
      <c r="Z20">
        <v>12.235393999999999</v>
      </c>
      <c r="AA20">
        <v>109.18575199999999</v>
      </c>
      <c r="AB20">
        <v>440.74</v>
      </c>
      <c r="AC20">
        <v>12.235808</v>
      </c>
      <c r="AD20">
        <v>109.176413</v>
      </c>
      <c r="AE20" s="5">
        <f t="shared" si="1"/>
        <v>0.25979999999999998</v>
      </c>
      <c r="AF20" s="5">
        <f t="shared" si="2"/>
        <v>0.66110999999999998</v>
      </c>
      <c r="AG20" s="1" t="str">
        <f>TRIM(LEFT(L20,FIND("-",L20)-1))</f>
        <v>5. Cam Phước Đông</v>
      </c>
      <c r="AH20" s="1" t="str">
        <f>TRIM(RIGHT(L20, LEN(L20) - FIND("-", L20)))</f>
        <v>CAT Khánh Hòa</v>
      </c>
      <c r="AJ20">
        <f t="shared" si="3"/>
        <v>0.17319999999999999</v>
      </c>
      <c r="AK20">
        <f t="shared" si="4"/>
        <v>0.44074000000000002</v>
      </c>
      <c r="AL20" t="e">
        <f>VLOOKUP(L20,'[1]Tuyến cáp H04'!$B:$E,3,0)/1000</f>
        <v>#N/A</v>
      </c>
      <c r="AM20" t="e">
        <f>VLOOKUP(L20,'[1]Tuyến cáp H04'!$B:$E,4,0)</f>
        <v>#N/A</v>
      </c>
    </row>
    <row r="21" spans="1:39" x14ac:dyDescent="0.25">
      <c r="A21" s="1" t="s">
        <v>254</v>
      </c>
      <c r="B21" s="1" t="s">
        <v>34</v>
      </c>
      <c r="C21" s="1" t="s">
        <v>35</v>
      </c>
      <c r="D21" s="1" t="s">
        <v>255</v>
      </c>
      <c r="E21" s="1" t="s">
        <v>256</v>
      </c>
      <c r="F21" s="1" t="s">
        <v>257</v>
      </c>
      <c r="G21" s="1" t="s">
        <v>14129</v>
      </c>
      <c r="H21" s="1" t="s">
        <v>14133</v>
      </c>
      <c r="I21" s="1" t="s">
        <v>14151</v>
      </c>
      <c r="J21" s="1" t="s">
        <v>23</v>
      </c>
      <c r="K21" s="1"/>
      <c r="L21" s="1" t="s">
        <v>39</v>
      </c>
      <c r="M21" s="8" t="s">
        <v>39</v>
      </c>
      <c r="N21" s="1" t="b">
        <f t="shared" si="0"/>
        <v>1</v>
      </c>
      <c r="O21" s="1" t="s">
        <v>258</v>
      </c>
      <c r="P21" s="1" t="s">
        <v>41</v>
      </c>
      <c r="Q21" s="1" t="s">
        <v>42</v>
      </c>
      <c r="R21" s="1" t="s">
        <v>43</v>
      </c>
      <c r="S21" s="1" t="s">
        <v>259</v>
      </c>
      <c r="T21" s="1" t="s">
        <v>260</v>
      </c>
      <c r="U21" s="1" t="s">
        <v>261</v>
      </c>
      <c r="V21" s="13">
        <f>COUNTIF(L21:$M$1659,L21)</f>
        <v>17</v>
      </c>
      <c r="W21" s="1" t="s">
        <v>47</v>
      </c>
      <c r="X21">
        <v>538.41999999999996</v>
      </c>
      <c r="Y21">
        <v>206.48</v>
      </c>
      <c r="Z21">
        <v>12.278732</v>
      </c>
      <c r="AA21">
        <v>109.188858</v>
      </c>
      <c r="AB21">
        <v>331.94</v>
      </c>
      <c r="AC21">
        <v>12.276457000000001</v>
      </c>
      <c r="AD21">
        <v>109.197368</v>
      </c>
      <c r="AE21" s="5">
        <f t="shared" si="1"/>
        <v>0.30972</v>
      </c>
      <c r="AF21" s="5">
        <f t="shared" si="2"/>
        <v>0.49790999999999996</v>
      </c>
      <c r="AG21" s="1" t="str">
        <f>TRIM(LEFT(L21,FIND("-",L21)-1))</f>
        <v>1.CAT Khánh Hòa</v>
      </c>
      <c r="AH21" s="1" t="str">
        <f>TRIM(RIGHT(L21, LEN(L21) - FIND("-", L21)))</f>
        <v>PK02 cs1</v>
      </c>
      <c r="AJ21">
        <f t="shared" si="3"/>
        <v>0.20648</v>
      </c>
      <c r="AK21">
        <f t="shared" si="4"/>
        <v>0.33194000000000001</v>
      </c>
      <c r="AL21" t="e">
        <f>VLOOKUP(L21,'[1]Tuyến cáp H04'!$B:$E,3,0)/1000</f>
        <v>#N/A</v>
      </c>
      <c r="AM21" t="e">
        <f>VLOOKUP(L21,'[1]Tuyến cáp H04'!$B:$E,4,0)</f>
        <v>#N/A</v>
      </c>
    </row>
    <row r="22" spans="1:39" x14ac:dyDescent="0.25">
      <c r="A22" s="1" t="s">
        <v>262</v>
      </c>
      <c r="B22" s="1" t="s">
        <v>263</v>
      </c>
      <c r="C22" s="1" t="s">
        <v>264</v>
      </c>
      <c r="D22" s="1" t="s">
        <v>265</v>
      </c>
      <c r="E22" s="1" t="s">
        <v>266</v>
      </c>
      <c r="F22" s="1" t="s">
        <v>267</v>
      </c>
      <c r="G22" s="1" t="s">
        <v>14129</v>
      </c>
      <c r="H22" s="1" t="s">
        <v>14133</v>
      </c>
      <c r="I22" s="1" t="s">
        <v>14152</v>
      </c>
      <c r="J22" s="1" t="s">
        <v>23</v>
      </c>
      <c r="K22" s="1"/>
      <c r="L22" s="1" t="s">
        <v>268</v>
      </c>
      <c r="M22" s="8" t="s">
        <v>268</v>
      </c>
      <c r="N22" s="1" t="b">
        <f t="shared" si="0"/>
        <v>1</v>
      </c>
      <c r="O22" s="1" t="s">
        <v>269</v>
      </c>
      <c r="P22" s="1" t="s">
        <v>270</v>
      </c>
      <c r="Q22" s="1" t="s">
        <v>271</v>
      </c>
      <c r="R22" s="1" t="s">
        <v>272</v>
      </c>
      <c r="S22" s="1" t="s">
        <v>273</v>
      </c>
      <c r="T22" s="1" t="s">
        <v>274</v>
      </c>
      <c r="U22" s="1" t="s">
        <v>275</v>
      </c>
      <c r="V22" s="13">
        <f>COUNTIF(L22:$M$1659,L22)</f>
        <v>16</v>
      </c>
      <c r="W22" s="1" t="s">
        <v>276</v>
      </c>
      <c r="X22">
        <v>510.41</v>
      </c>
      <c r="Y22">
        <v>191.02</v>
      </c>
      <c r="Z22">
        <v>12.250641</v>
      </c>
      <c r="AA22">
        <v>109.18473899999999</v>
      </c>
      <c r="AB22">
        <v>319.39</v>
      </c>
      <c r="AC22">
        <v>12.254597</v>
      </c>
      <c r="AD22">
        <v>109.180751</v>
      </c>
      <c r="AE22" s="5">
        <f t="shared" si="1"/>
        <v>0.28653000000000001</v>
      </c>
      <c r="AF22" s="5">
        <f t="shared" si="2"/>
        <v>0.47908499999999998</v>
      </c>
      <c r="AG22" s="1" t="str">
        <f>TRIM(LEFT(L22,FIND("-",L22)-1))</f>
        <v>4.CA Tây Nha Trang</v>
      </c>
      <c r="AH22" s="1" t="str">
        <f>TRIM(RIGHT(L22, LEN(L22) - FIND("-", L22)))</f>
        <v>TTCMKV Diên Khánh</v>
      </c>
      <c r="AJ22">
        <f t="shared" si="3"/>
        <v>0.19102000000000002</v>
      </c>
      <c r="AK22">
        <f t="shared" si="4"/>
        <v>0.31939000000000001</v>
      </c>
      <c r="AL22" t="e">
        <f>VLOOKUP(L22,'[1]Tuyến cáp H04'!$B:$E,3,0)/1000</f>
        <v>#N/A</v>
      </c>
      <c r="AM22" t="e">
        <f>VLOOKUP(L22,'[1]Tuyến cáp H04'!$B:$E,4,0)</f>
        <v>#N/A</v>
      </c>
    </row>
    <row r="23" spans="1:39" x14ac:dyDescent="0.25">
      <c r="A23" s="1" t="s">
        <v>277</v>
      </c>
      <c r="B23" s="1" t="s">
        <v>278</v>
      </c>
      <c r="C23" s="1" t="s">
        <v>279</v>
      </c>
      <c r="D23" s="1" t="s">
        <v>280</v>
      </c>
      <c r="E23" s="1" t="s">
        <v>281</v>
      </c>
      <c r="F23" s="1" t="s">
        <v>282</v>
      </c>
      <c r="G23" s="1" t="s">
        <v>14129</v>
      </c>
      <c r="H23" s="1" t="s">
        <v>14133</v>
      </c>
      <c r="I23" s="1" t="s">
        <v>14153</v>
      </c>
      <c r="J23" s="1" t="s">
        <v>23</v>
      </c>
      <c r="K23" s="1"/>
      <c r="L23" s="1" t="s">
        <v>283</v>
      </c>
      <c r="M23" s="8" t="s">
        <v>2441</v>
      </c>
      <c r="N23" s="12" t="b">
        <f t="shared" si="0"/>
        <v>0</v>
      </c>
      <c r="O23" s="1" t="s">
        <v>284</v>
      </c>
      <c r="P23" s="1" t="s">
        <v>285</v>
      </c>
      <c r="Q23" s="1" t="s">
        <v>286</v>
      </c>
      <c r="R23" s="1" t="s">
        <v>287</v>
      </c>
      <c r="S23" s="1" t="s">
        <v>288</v>
      </c>
      <c r="T23" s="1" t="s">
        <v>289</v>
      </c>
      <c r="U23" s="1" t="s">
        <v>290</v>
      </c>
      <c r="V23" s="13">
        <f>COUNTIF(L23:$M$1659,L23)</f>
        <v>37</v>
      </c>
      <c r="W23" s="1" t="s">
        <v>291</v>
      </c>
      <c r="X23">
        <v>519260.73</v>
      </c>
      <c r="Y23">
        <v>252584.19</v>
      </c>
      <c r="Z23">
        <v>14.659686000000001</v>
      </c>
      <c r="AA23">
        <v>107.839439</v>
      </c>
      <c r="AB23">
        <v>266676.53000000003</v>
      </c>
      <c r="AC23">
        <v>14.352316999999999</v>
      </c>
      <c r="AD23">
        <v>108.007831</v>
      </c>
      <c r="AE23" s="5">
        <f t="shared" si="1"/>
        <v>378.87628500000005</v>
      </c>
      <c r="AF23" s="5">
        <f t="shared" si="2"/>
        <v>400.01479500000005</v>
      </c>
      <c r="AG23" s="1" t="str">
        <f>TRIM(LEFT(L23,FIND("-",L23)-1))</f>
        <v>Đăk Tô</v>
      </c>
      <c r="AH23" s="1" t="str">
        <f>TRIM(RIGHT(L23, LEN(L23) - FIND("-", L23)))</f>
        <v>TT2 Kon Tum</v>
      </c>
      <c r="AJ23">
        <f t="shared" si="3"/>
        <v>252.58419000000001</v>
      </c>
      <c r="AK23">
        <f t="shared" si="4"/>
        <v>266.67653000000001</v>
      </c>
      <c r="AL23">
        <f>VLOOKUP(L23,'[1]Tuyến cáp H04'!$B:$E,3,0)/1000</f>
        <v>43.9602</v>
      </c>
      <c r="AM23" t="str">
        <f>VLOOKUP(L23,'[1]Tuyến cáp H04'!$B:$E,4,0)</f>
        <v>Mạng cấp 3</v>
      </c>
    </row>
    <row r="24" spans="1:39" x14ac:dyDescent="0.25">
      <c r="A24" s="1" t="s">
        <v>292</v>
      </c>
      <c r="B24" s="1" t="s">
        <v>49</v>
      </c>
      <c r="C24" s="1" t="s">
        <v>50</v>
      </c>
      <c r="D24" s="1" t="s">
        <v>293</v>
      </c>
      <c r="E24" s="1" t="s">
        <v>294</v>
      </c>
      <c r="F24" s="1" t="s">
        <v>295</v>
      </c>
      <c r="G24" s="1" t="s">
        <v>14129</v>
      </c>
      <c r="H24" s="1" t="s">
        <v>14133</v>
      </c>
      <c r="I24" s="1" t="s">
        <v>14154</v>
      </c>
      <c r="J24" s="1" t="s">
        <v>23</v>
      </c>
      <c r="K24" s="1"/>
      <c r="L24" s="1" t="s">
        <v>296</v>
      </c>
      <c r="M24" s="8" t="s">
        <v>296</v>
      </c>
      <c r="N24" s="1" t="b">
        <f t="shared" si="0"/>
        <v>1</v>
      </c>
      <c r="O24" s="1" t="s">
        <v>297</v>
      </c>
      <c r="P24" s="1" t="s">
        <v>298</v>
      </c>
      <c r="Q24" s="1" t="s">
        <v>299</v>
      </c>
      <c r="R24" s="1" t="s">
        <v>300</v>
      </c>
      <c r="S24" s="1" t="s">
        <v>301</v>
      </c>
      <c r="T24" s="1" t="s">
        <v>302</v>
      </c>
      <c r="U24" s="1" t="s">
        <v>303</v>
      </c>
      <c r="V24" s="13">
        <f>COUNTIF(L24:$M$1659,L24)</f>
        <v>15</v>
      </c>
      <c r="W24" s="1" t="s">
        <v>304</v>
      </c>
      <c r="X24">
        <v>1484.17</v>
      </c>
      <c r="Y24">
        <v>1058.3900000000001</v>
      </c>
      <c r="Z24">
        <v>12.251106999999999</v>
      </c>
      <c r="AA24">
        <v>109.08133599999999</v>
      </c>
      <c r="AB24">
        <v>425.79</v>
      </c>
      <c r="AC24">
        <v>12.243822</v>
      </c>
      <c r="AD24">
        <v>109.09366300000001</v>
      </c>
      <c r="AE24" s="5">
        <f t="shared" si="1"/>
        <v>1.587585</v>
      </c>
      <c r="AF24" s="5">
        <f t="shared" si="2"/>
        <v>0.63868500000000006</v>
      </c>
      <c r="AG24" s="1" t="str">
        <f>TRIM(LEFT(L24,FIND("-",L24)-1))</f>
        <v>3. Trại giam A2</v>
      </c>
      <c r="AH24" s="1" t="str">
        <f>TRIM(RIGHT(L24, LEN(L24) - FIND("-", L24)))</f>
        <v>CATP Nha trang cũ</v>
      </c>
      <c r="AJ24">
        <f t="shared" si="3"/>
        <v>1.0583900000000002</v>
      </c>
      <c r="AK24">
        <f t="shared" si="4"/>
        <v>0.42579</v>
      </c>
      <c r="AL24" t="e">
        <f>VLOOKUP(L24,'[1]Tuyến cáp H04'!$B:$E,3,0)/1000</f>
        <v>#N/A</v>
      </c>
      <c r="AM24" t="e">
        <f>VLOOKUP(L24,'[1]Tuyến cáp H04'!$B:$E,4,0)</f>
        <v>#N/A</v>
      </c>
    </row>
    <row r="25" spans="1:39" x14ac:dyDescent="0.25">
      <c r="A25" s="1" t="s">
        <v>305</v>
      </c>
      <c r="B25" s="1" t="s">
        <v>181</v>
      </c>
      <c r="C25" s="1" t="s">
        <v>182</v>
      </c>
      <c r="D25" s="1" t="s">
        <v>306</v>
      </c>
      <c r="E25" s="1" t="s">
        <v>307</v>
      </c>
      <c r="F25" s="1" t="s">
        <v>308</v>
      </c>
      <c r="G25" s="1" t="s">
        <v>14129</v>
      </c>
      <c r="H25" s="1" t="s">
        <v>14133</v>
      </c>
      <c r="I25" s="1" t="s">
        <v>14155</v>
      </c>
      <c r="J25" s="1" t="s">
        <v>23</v>
      </c>
      <c r="K25" s="1"/>
      <c r="L25" s="1" t="s">
        <v>186</v>
      </c>
      <c r="M25" s="8" t="s">
        <v>186</v>
      </c>
      <c r="N25" s="1" t="b">
        <f t="shared" si="0"/>
        <v>1</v>
      </c>
      <c r="O25" s="1" t="s">
        <v>309</v>
      </c>
      <c r="P25" s="1" t="s">
        <v>188</v>
      </c>
      <c r="Q25" s="1" t="s">
        <v>189</v>
      </c>
      <c r="R25" s="1" t="s">
        <v>190</v>
      </c>
      <c r="S25" s="1" t="s">
        <v>310</v>
      </c>
      <c r="T25" s="1" t="s">
        <v>311</v>
      </c>
      <c r="U25" s="1" t="s">
        <v>312</v>
      </c>
      <c r="V25" s="13">
        <f>COUNTIF(L25:$M$1659,L25)</f>
        <v>14</v>
      </c>
      <c r="W25" s="1" t="s">
        <v>194</v>
      </c>
      <c r="X25">
        <v>265.61</v>
      </c>
      <c r="Y25">
        <v>6.07</v>
      </c>
      <c r="Z25">
        <v>12.276066999999999</v>
      </c>
      <c r="AA25">
        <v>109.120259</v>
      </c>
      <c r="AB25">
        <v>259.54000000000002</v>
      </c>
      <c r="AC25">
        <v>12.278650000000001</v>
      </c>
      <c r="AD25">
        <v>109.12745</v>
      </c>
      <c r="AE25" s="5">
        <f t="shared" si="1"/>
        <v>9.1050000000000002E-3</v>
      </c>
      <c r="AF25" s="5">
        <f t="shared" si="2"/>
        <v>0.38931000000000004</v>
      </c>
      <c r="AG25" s="1" t="str">
        <f>TRIM(LEFT(L25,FIND("-",L25)-1))</f>
        <v>2.CA Diên Điền</v>
      </c>
      <c r="AH25" s="1" t="str">
        <f>TRIM(RIGHT(L25, LEN(L25) - FIND("-", L25)))</f>
        <v>CA Bắc Nha Trang</v>
      </c>
      <c r="AJ25">
        <f t="shared" si="3"/>
        <v>6.0699999999999999E-3</v>
      </c>
      <c r="AK25">
        <f t="shared" si="4"/>
        <v>0.25953999999999999</v>
      </c>
      <c r="AL25" t="e">
        <f>VLOOKUP(L25,'[1]Tuyến cáp H04'!$B:$E,3,0)/1000</f>
        <v>#N/A</v>
      </c>
      <c r="AM25" t="e">
        <f>VLOOKUP(L25,'[1]Tuyến cáp H04'!$B:$E,4,0)</f>
        <v>#N/A</v>
      </c>
    </row>
    <row r="26" spans="1:39" x14ac:dyDescent="0.25">
      <c r="A26" s="1" t="s">
        <v>313</v>
      </c>
      <c r="B26" s="1" t="s">
        <v>49</v>
      </c>
      <c r="C26" s="1" t="s">
        <v>50</v>
      </c>
      <c r="D26" s="1" t="s">
        <v>314</v>
      </c>
      <c r="E26" s="1" t="s">
        <v>315</v>
      </c>
      <c r="F26" s="1" t="s">
        <v>316</v>
      </c>
      <c r="G26" s="1" t="s">
        <v>14129</v>
      </c>
      <c r="H26" s="1" t="s">
        <v>14133</v>
      </c>
      <c r="I26" s="1" t="s">
        <v>14156</v>
      </c>
      <c r="J26" s="1" t="s">
        <v>23</v>
      </c>
      <c r="K26" s="1"/>
      <c r="L26" s="1" t="s">
        <v>317</v>
      </c>
      <c r="M26" s="8" t="s">
        <v>317</v>
      </c>
      <c r="N26" s="1" t="b">
        <f t="shared" si="0"/>
        <v>1</v>
      </c>
      <c r="O26" s="1" t="s">
        <v>318</v>
      </c>
      <c r="P26" s="1" t="s">
        <v>319</v>
      </c>
      <c r="Q26" s="1" t="s">
        <v>320</v>
      </c>
      <c r="R26" s="1" t="s">
        <v>321</v>
      </c>
      <c r="S26" s="1" t="s">
        <v>322</v>
      </c>
      <c r="T26" s="1" t="s">
        <v>323</v>
      </c>
      <c r="U26" s="1" t="s">
        <v>324</v>
      </c>
      <c r="V26" s="13">
        <f>COUNTIF(L26:$M$1659,L26)</f>
        <v>10</v>
      </c>
      <c r="W26" s="1" t="s">
        <v>325</v>
      </c>
      <c r="X26">
        <v>337.64</v>
      </c>
      <c r="Y26">
        <v>7.22</v>
      </c>
      <c r="Z26">
        <v>12.246371</v>
      </c>
      <c r="AA26">
        <v>109.072963</v>
      </c>
      <c r="AB26">
        <v>330.42</v>
      </c>
      <c r="AC26">
        <v>12.256955</v>
      </c>
      <c r="AD26">
        <v>109.071253</v>
      </c>
      <c r="AE26" s="5">
        <f t="shared" si="1"/>
        <v>1.0829999999999999E-2</v>
      </c>
      <c r="AF26" s="5">
        <f t="shared" si="2"/>
        <v>0.49563000000000001</v>
      </c>
      <c r="AG26" s="1" t="str">
        <f>TRIM(LEFT(L26,FIND("-",L26)-1))</f>
        <v>2.Nhà tạm giam Diên Khánh</v>
      </c>
      <c r="AH26" s="1" t="str">
        <f>TRIM(RIGHT(L26, LEN(L26) - FIND("-", L26)))</f>
        <v>Trại giam A2</v>
      </c>
      <c r="AJ26">
        <f t="shared" si="3"/>
        <v>7.2199999999999999E-3</v>
      </c>
      <c r="AK26">
        <f t="shared" si="4"/>
        <v>0.33041999999999999</v>
      </c>
      <c r="AL26" t="e">
        <f>VLOOKUP(L26,'[1]Tuyến cáp H04'!$B:$E,3,0)/1000</f>
        <v>#N/A</v>
      </c>
      <c r="AM26" t="e">
        <f>VLOOKUP(L26,'[1]Tuyến cáp H04'!$B:$E,4,0)</f>
        <v>#N/A</v>
      </c>
    </row>
    <row r="27" spans="1:39" x14ac:dyDescent="0.25">
      <c r="A27" s="1" t="s">
        <v>326</v>
      </c>
      <c r="B27" s="1" t="s">
        <v>77</v>
      </c>
      <c r="C27" s="1" t="s">
        <v>78</v>
      </c>
      <c r="D27" s="1" t="s">
        <v>327</v>
      </c>
      <c r="E27" s="1" t="s">
        <v>328</v>
      </c>
      <c r="F27" s="1" t="s">
        <v>329</v>
      </c>
      <c r="G27" s="1" t="s">
        <v>14129</v>
      </c>
      <c r="H27" s="1" t="s">
        <v>14133</v>
      </c>
      <c r="I27" s="1" t="s">
        <v>14157</v>
      </c>
      <c r="J27" s="1" t="s">
        <v>23</v>
      </c>
      <c r="K27" s="1"/>
      <c r="L27" s="1" t="s">
        <v>110</v>
      </c>
      <c r="M27" s="8" t="s">
        <v>110</v>
      </c>
      <c r="N27" s="1" t="b">
        <f t="shared" si="0"/>
        <v>1</v>
      </c>
      <c r="O27" s="1" t="s">
        <v>330</v>
      </c>
      <c r="P27" s="1" t="s">
        <v>112</v>
      </c>
      <c r="Q27" s="1" t="s">
        <v>113</v>
      </c>
      <c r="R27" s="1" t="s">
        <v>114</v>
      </c>
      <c r="S27" s="1" t="s">
        <v>331</v>
      </c>
      <c r="T27" s="1" t="s">
        <v>332</v>
      </c>
      <c r="U27" s="1" t="s">
        <v>333</v>
      </c>
      <c r="V27" s="13">
        <f>COUNTIF(L27:$M$1659,L27)</f>
        <v>16</v>
      </c>
      <c r="W27" s="1" t="s">
        <v>118</v>
      </c>
      <c r="X27">
        <v>1703.55</v>
      </c>
      <c r="Y27">
        <v>3.34</v>
      </c>
      <c r="Z27">
        <v>12.175723</v>
      </c>
      <c r="AA27">
        <v>109.17368</v>
      </c>
      <c r="AB27">
        <v>1700.2</v>
      </c>
      <c r="AC27">
        <v>12.196674</v>
      </c>
      <c r="AD27">
        <v>109.174234</v>
      </c>
      <c r="AE27" s="5">
        <f t="shared" si="1"/>
        <v>5.0099999999999997E-3</v>
      </c>
      <c r="AF27" s="5">
        <f t="shared" si="2"/>
        <v>2.5503</v>
      </c>
      <c r="AG27" s="1" t="str">
        <f>TRIM(LEFT(L27,FIND("-",L27)-1))</f>
        <v>4.PC11a</v>
      </c>
      <c r="AH27" s="1" t="str">
        <f>TRIM(RIGHT(L27, LEN(L27) - FIND("-", L27)))</f>
        <v>PC02_Đoạn cột trung thế</v>
      </c>
      <c r="AJ27">
        <f t="shared" si="3"/>
        <v>3.3399999999999997E-3</v>
      </c>
      <c r="AK27">
        <f t="shared" si="4"/>
        <v>1.7002000000000002</v>
      </c>
      <c r="AL27" t="e">
        <f>VLOOKUP(L27,'[1]Tuyến cáp H04'!$B:$E,3,0)/1000</f>
        <v>#N/A</v>
      </c>
      <c r="AM27" t="e">
        <f>VLOOKUP(L27,'[1]Tuyến cáp H04'!$B:$E,4,0)</f>
        <v>#N/A</v>
      </c>
    </row>
    <row r="28" spans="1:39" x14ac:dyDescent="0.25">
      <c r="A28" s="1" t="s">
        <v>334</v>
      </c>
      <c r="B28" s="1" t="s">
        <v>196</v>
      </c>
      <c r="C28" s="1" t="s">
        <v>197</v>
      </c>
      <c r="D28" s="1" t="s">
        <v>335</v>
      </c>
      <c r="E28" s="1" t="s">
        <v>336</v>
      </c>
      <c r="F28" s="1" t="s">
        <v>337</v>
      </c>
      <c r="G28" s="1" t="s">
        <v>14129</v>
      </c>
      <c r="H28" s="1" t="s">
        <v>14133</v>
      </c>
      <c r="I28" s="1" t="s">
        <v>14158</v>
      </c>
      <c r="J28" s="1" t="s">
        <v>23</v>
      </c>
      <c r="K28" s="1"/>
      <c r="L28" s="1" t="s">
        <v>186</v>
      </c>
      <c r="M28" s="8" t="s">
        <v>186</v>
      </c>
      <c r="N28" s="1" t="b">
        <f t="shared" si="0"/>
        <v>1</v>
      </c>
      <c r="O28" s="1" t="s">
        <v>338</v>
      </c>
      <c r="P28" s="1" t="s">
        <v>339</v>
      </c>
      <c r="Q28" s="1" t="s">
        <v>340</v>
      </c>
      <c r="R28" s="1" t="s">
        <v>341</v>
      </c>
      <c r="S28" s="1" t="s">
        <v>342</v>
      </c>
      <c r="T28" s="1" t="s">
        <v>343</v>
      </c>
      <c r="U28" s="1" t="s">
        <v>344</v>
      </c>
      <c r="V28" s="13">
        <f>COUNTIF(L28:$M$1659,L28)</f>
        <v>12</v>
      </c>
      <c r="W28" s="1" t="s">
        <v>345</v>
      </c>
      <c r="X28">
        <v>574.64</v>
      </c>
      <c r="Y28">
        <v>0.89</v>
      </c>
      <c r="Z28">
        <v>12.282335</v>
      </c>
      <c r="AA28">
        <v>109.198106</v>
      </c>
      <c r="AB28">
        <v>573.75</v>
      </c>
      <c r="AC28">
        <v>12.288899000000001</v>
      </c>
      <c r="AD28">
        <v>109.18953</v>
      </c>
      <c r="AE28" s="5">
        <f t="shared" si="1"/>
        <v>1.335E-3</v>
      </c>
      <c r="AF28" s="5">
        <f t="shared" si="2"/>
        <v>0.86062499999999997</v>
      </c>
      <c r="AG28" s="1" t="str">
        <f>TRIM(LEFT(L28,FIND("-",L28)-1))</f>
        <v>2.CA Diên Điền</v>
      </c>
      <c r="AH28" s="1" t="str">
        <f>TRIM(RIGHT(L28, LEN(L28) - FIND("-", L28)))</f>
        <v>CA Bắc Nha Trang</v>
      </c>
      <c r="AJ28">
        <f t="shared" si="3"/>
        <v>8.9000000000000006E-4</v>
      </c>
      <c r="AK28">
        <f t="shared" si="4"/>
        <v>0.57374999999999998</v>
      </c>
      <c r="AL28" t="e">
        <f>VLOOKUP(L28,'[1]Tuyến cáp H04'!$B:$E,3,0)/1000</f>
        <v>#N/A</v>
      </c>
      <c r="AM28" t="e">
        <f>VLOOKUP(L28,'[1]Tuyến cáp H04'!$B:$E,4,0)</f>
        <v>#N/A</v>
      </c>
    </row>
    <row r="29" spans="1:39" x14ac:dyDescent="0.25">
      <c r="A29" s="1" t="s">
        <v>346</v>
      </c>
      <c r="B29" s="1" t="s">
        <v>347</v>
      </c>
      <c r="C29" s="1" t="s">
        <v>348</v>
      </c>
      <c r="D29" s="1" t="s">
        <v>349</v>
      </c>
      <c r="E29" s="1" t="s">
        <v>350</v>
      </c>
      <c r="F29" s="1" t="s">
        <v>351</v>
      </c>
      <c r="G29" s="1" t="s">
        <v>14129</v>
      </c>
      <c r="H29" s="1" t="s">
        <v>14133</v>
      </c>
      <c r="I29" s="1" t="s">
        <v>14159</v>
      </c>
      <c r="J29" s="1" t="s">
        <v>23</v>
      </c>
      <c r="K29" s="1"/>
      <c r="L29" s="1" t="s">
        <v>352</v>
      </c>
      <c r="M29" s="8" t="s">
        <v>352</v>
      </c>
      <c r="N29" s="1" t="b">
        <f t="shared" si="0"/>
        <v>1</v>
      </c>
      <c r="O29" s="1" t="s">
        <v>353</v>
      </c>
      <c r="P29" s="1" t="s">
        <v>354</v>
      </c>
      <c r="Q29" s="1" t="s">
        <v>355</v>
      </c>
      <c r="R29" s="1" t="s">
        <v>356</v>
      </c>
      <c r="S29" s="1" t="s">
        <v>357</v>
      </c>
      <c r="T29" s="1" t="s">
        <v>358</v>
      </c>
      <c r="U29" s="1" t="s">
        <v>359</v>
      </c>
      <c r="V29" s="13">
        <f>COUNTIF(L29:$M$1659,L29)</f>
        <v>18</v>
      </c>
      <c r="W29" s="1" t="s">
        <v>360</v>
      </c>
      <c r="X29">
        <v>1461.62</v>
      </c>
      <c r="Y29">
        <v>100</v>
      </c>
      <c r="Z29">
        <v>11.941592</v>
      </c>
      <c r="AA29">
        <v>109.11218100000001</v>
      </c>
      <c r="AB29">
        <v>1361.62</v>
      </c>
      <c r="AC29">
        <v>11.955189000000001</v>
      </c>
      <c r="AD29">
        <v>109.101417</v>
      </c>
      <c r="AE29" s="5">
        <f t="shared" si="1"/>
        <v>0.15</v>
      </c>
      <c r="AF29" s="5">
        <f t="shared" si="2"/>
        <v>2.04243</v>
      </c>
      <c r="AG29" s="1" t="str">
        <f>TRIM(LEFT(L29,FIND("-",L29)-1))</f>
        <v>3.Cam Ranh</v>
      </c>
      <c r="AH29" s="1" t="str">
        <f>TRIM(RIGHT(L29, LEN(L29) - FIND("-", L29)))</f>
        <v>Khánh Sơn</v>
      </c>
      <c r="AJ29">
        <f t="shared" si="3"/>
        <v>0.1</v>
      </c>
      <c r="AK29">
        <f t="shared" si="4"/>
        <v>1.3616199999999998</v>
      </c>
      <c r="AL29" t="e">
        <f>VLOOKUP(L29,'[1]Tuyến cáp H04'!$B:$E,3,0)/1000</f>
        <v>#N/A</v>
      </c>
      <c r="AM29" t="e">
        <f>VLOOKUP(L29,'[1]Tuyến cáp H04'!$B:$E,4,0)</f>
        <v>#N/A</v>
      </c>
    </row>
    <row r="30" spans="1:39" x14ac:dyDescent="0.25">
      <c r="A30" s="1" t="s">
        <v>361</v>
      </c>
      <c r="B30" s="1" t="s">
        <v>362</v>
      </c>
      <c r="C30" s="1" t="s">
        <v>363</v>
      </c>
      <c r="D30" s="1" t="s">
        <v>364</v>
      </c>
      <c r="E30" s="1" t="s">
        <v>365</v>
      </c>
      <c r="F30" s="1" t="s">
        <v>366</v>
      </c>
      <c r="G30" s="1" t="s">
        <v>14129</v>
      </c>
      <c r="H30" s="1" t="s">
        <v>14133</v>
      </c>
      <c r="I30" s="1" t="s">
        <v>14160</v>
      </c>
      <c r="J30" s="1" t="s">
        <v>23</v>
      </c>
      <c r="K30" s="1"/>
      <c r="L30" s="1" t="s">
        <v>367</v>
      </c>
      <c r="M30" s="8" t="s">
        <v>367</v>
      </c>
      <c r="N30" s="1" t="b">
        <f t="shared" si="0"/>
        <v>1</v>
      </c>
      <c r="O30" s="1" t="s">
        <v>368</v>
      </c>
      <c r="P30" s="1" t="s">
        <v>369</v>
      </c>
      <c r="Q30" s="1" t="s">
        <v>370</v>
      </c>
      <c r="R30" s="1" t="s">
        <v>371</v>
      </c>
      <c r="S30" s="1" t="s">
        <v>372</v>
      </c>
      <c r="T30" s="1" t="s">
        <v>373</v>
      </c>
      <c r="U30" s="1" t="s">
        <v>374</v>
      </c>
      <c r="V30" s="13">
        <f>COUNTIF(L30:$M$1659,L30)</f>
        <v>10</v>
      </c>
      <c r="W30" s="1" t="s">
        <v>375</v>
      </c>
      <c r="X30">
        <v>672.88</v>
      </c>
      <c r="Y30">
        <v>125</v>
      </c>
      <c r="Z30">
        <v>11.976645</v>
      </c>
      <c r="AA30">
        <v>109.19567600000001</v>
      </c>
      <c r="AB30">
        <v>547.88</v>
      </c>
      <c r="AC30">
        <v>11.977448000000001</v>
      </c>
      <c r="AD30">
        <v>109.19279899999999</v>
      </c>
      <c r="AE30" s="5">
        <f t="shared" si="1"/>
        <v>0.1875</v>
      </c>
      <c r="AF30" s="5">
        <f t="shared" si="2"/>
        <v>0.82181999999999988</v>
      </c>
      <c r="AG30" s="1" t="str">
        <f>TRIM(LEFT(L30,FIND("-",L30)-1))</f>
        <v>2.CA Bắc Cam Ranh</v>
      </c>
      <c r="AH30" s="1" t="str">
        <f>TRIM(RIGHT(L30, LEN(L30) - FIND("-", L30)))</f>
        <v>CA Cam An</v>
      </c>
      <c r="AJ30">
        <f t="shared" si="3"/>
        <v>0.125</v>
      </c>
      <c r="AK30">
        <f t="shared" si="4"/>
        <v>0.54788000000000003</v>
      </c>
      <c r="AL30" t="e">
        <f>VLOOKUP(L30,'[1]Tuyến cáp H04'!$B:$E,3,0)/1000</f>
        <v>#N/A</v>
      </c>
      <c r="AM30" t="e">
        <f>VLOOKUP(L30,'[1]Tuyến cáp H04'!$B:$E,4,0)</f>
        <v>#N/A</v>
      </c>
    </row>
    <row r="31" spans="1:39" x14ac:dyDescent="0.25">
      <c r="A31" s="1" t="s">
        <v>376</v>
      </c>
      <c r="B31" s="1" t="s">
        <v>49</v>
      </c>
      <c r="C31" s="1" t="s">
        <v>50</v>
      </c>
      <c r="D31" s="1" t="s">
        <v>377</v>
      </c>
      <c r="E31" s="1" t="s">
        <v>378</v>
      </c>
      <c r="F31" s="1" t="s">
        <v>379</v>
      </c>
      <c r="G31" s="1" t="s">
        <v>14129</v>
      </c>
      <c r="H31" s="1" t="s">
        <v>14133</v>
      </c>
      <c r="I31" s="1" t="s">
        <v>14161</v>
      </c>
      <c r="J31" s="1" t="s">
        <v>23</v>
      </c>
      <c r="K31" s="1"/>
      <c r="L31" s="1" t="s">
        <v>317</v>
      </c>
      <c r="M31" s="8" t="s">
        <v>317</v>
      </c>
      <c r="N31" s="1" t="b">
        <f t="shared" si="0"/>
        <v>1</v>
      </c>
      <c r="O31" s="1" t="s">
        <v>380</v>
      </c>
      <c r="P31" s="1" t="s">
        <v>319</v>
      </c>
      <c r="Q31" s="1" t="s">
        <v>320</v>
      </c>
      <c r="R31" s="1" t="s">
        <v>321</v>
      </c>
      <c r="S31" s="1" t="s">
        <v>381</v>
      </c>
      <c r="T31" s="1" t="s">
        <v>382</v>
      </c>
      <c r="U31" s="1" t="s">
        <v>383</v>
      </c>
      <c r="V31" s="13">
        <f>COUNTIF(L31:$M$1659,L31)</f>
        <v>8</v>
      </c>
      <c r="W31" s="1" t="s">
        <v>325</v>
      </c>
      <c r="X31">
        <v>2076.33</v>
      </c>
      <c r="Y31">
        <v>7.22</v>
      </c>
      <c r="Z31">
        <v>12.246371</v>
      </c>
      <c r="AA31">
        <v>109.072963</v>
      </c>
      <c r="AB31">
        <v>2069.11</v>
      </c>
      <c r="AC31">
        <v>12.246168000000001</v>
      </c>
      <c r="AD31">
        <v>109.073882</v>
      </c>
      <c r="AE31" s="5">
        <f t="shared" si="1"/>
        <v>1.0829999999999999E-2</v>
      </c>
      <c r="AF31" s="5">
        <f t="shared" si="2"/>
        <v>3.1036649999999999</v>
      </c>
      <c r="AG31" s="1" t="str">
        <f>TRIM(LEFT(L31,FIND("-",L31)-1))</f>
        <v>2.Nhà tạm giam Diên Khánh</v>
      </c>
      <c r="AH31" s="1" t="str">
        <f>TRIM(RIGHT(L31, LEN(L31) - FIND("-", L31)))</f>
        <v>Trại giam A2</v>
      </c>
      <c r="AJ31">
        <f t="shared" si="3"/>
        <v>7.2199999999999999E-3</v>
      </c>
      <c r="AK31">
        <f t="shared" si="4"/>
        <v>2.0691100000000002</v>
      </c>
      <c r="AL31" t="e">
        <f>VLOOKUP(L31,'[1]Tuyến cáp H04'!$B:$E,3,0)/1000</f>
        <v>#N/A</v>
      </c>
      <c r="AM31" t="e">
        <f>VLOOKUP(L31,'[1]Tuyến cáp H04'!$B:$E,4,0)</f>
        <v>#N/A</v>
      </c>
    </row>
    <row r="32" spans="1:39" x14ac:dyDescent="0.25">
      <c r="A32" s="1" t="s">
        <v>384</v>
      </c>
      <c r="B32" s="1" t="s">
        <v>49</v>
      </c>
      <c r="C32" s="1" t="s">
        <v>50</v>
      </c>
      <c r="D32" s="1" t="s">
        <v>385</v>
      </c>
      <c r="E32" s="1" t="s">
        <v>386</v>
      </c>
      <c r="F32" s="1" t="s">
        <v>387</v>
      </c>
      <c r="G32" s="1" t="s">
        <v>14129</v>
      </c>
      <c r="H32" s="1" t="s">
        <v>14133</v>
      </c>
      <c r="I32" s="1" t="s">
        <v>14162</v>
      </c>
      <c r="J32" s="1" t="s">
        <v>23</v>
      </c>
      <c r="K32" s="1"/>
      <c r="L32" s="1" t="s">
        <v>296</v>
      </c>
      <c r="M32" s="8" t="s">
        <v>296</v>
      </c>
      <c r="N32" s="1" t="b">
        <f t="shared" si="0"/>
        <v>1</v>
      </c>
      <c r="O32" s="1" t="s">
        <v>388</v>
      </c>
      <c r="P32" s="1" t="s">
        <v>298</v>
      </c>
      <c r="Q32" s="1" t="s">
        <v>299</v>
      </c>
      <c r="R32" s="1" t="s">
        <v>300</v>
      </c>
      <c r="S32" s="1" t="s">
        <v>389</v>
      </c>
      <c r="T32" s="1" t="s">
        <v>390</v>
      </c>
      <c r="U32" s="1" t="s">
        <v>391</v>
      </c>
      <c r="V32" s="13">
        <f>COUNTIF(L32:$M$1659,L32)</f>
        <v>13</v>
      </c>
      <c r="W32" s="1" t="s">
        <v>304</v>
      </c>
      <c r="X32">
        <v>1249.28</v>
      </c>
      <c r="Y32">
        <v>1058.3900000000001</v>
      </c>
      <c r="Z32">
        <v>12.251106999999999</v>
      </c>
      <c r="AA32">
        <v>109.08133599999999</v>
      </c>
      <c r="AB32">
        <v>190.9</v>
      </c>
      <c r="AC32">
        <v>12.251051</v>
      </c>
      <c r="AD32">
        <v>109.09642599999999</v>
      </c>
      <c r="AE32" s="5">
        <f t="shared" si="1"/>
        <v>1.587585</v>
      </c>
      <c r="AF32" s="5">
        <f t="shared" si="2"/>
        <v>0.28635000000000005</v>
      </c>
      <c r="AG32" s="1" t="str">
        <f>TRIM(LEFT(L32,FIND("-",L32)-1))</f>
        <v>3. Trại giam A2</v>
      </c>
      <c r="AH32" s="1" t="str">
        <f>TRIM(RIGHT(L32, LEN(L32) - FIND("-", L32)))</f>
        <v>CATP Nha trang cũ</v>
      </c>
      <c r="AJ32">
        <f t="shared" si="3"/>
        <v>1.0583900000000002</v>
      </c>
      <c r="AK32">
        <f t="shared" si="4"/>
        <v>0.19090000000000001</v>
      </c>
      <c r="AL32" t="e">
        <f>VLOOKUP(L32,'[1]Tuyến cáp H04'!$B:$E,3,0)/1000</f>
        <v>#N/A</v>
      </c>
      <c r="AM32" t="e">
        <f>VLOOKUP(L32,'[1]Tuyến cáp H04'!$B:$E,4,0)</f>
        <v>#N/A</v>
      </c>
    </row>
    <row r="33" spans="1:39" x14ac:dyDescent="0.25">
      <c r="A33" s="1" t="s">
        <v>392</v>
      </c>
      <c r="B33" s="1" t="s">
        <v>393</v>
      </c>
      <c r="C33" s="1" t="s">
        <v>394</v>
      </c>
      <c r="D33" s="1" t="s">
        <v>395</v>
      </c>
      <c r="E33" s="1" t="s">
        <v>396</v>
      </c>
      <c r="F33" s="1" t="s">
        <v>397</v>
      </c>
      <c r="G33" s="1" t="s">
        <v>14129</v>
      </c>
      <c r="H33" s="1" t="s">
        <v>14133</v>
      </c>
      <c r="I33" s="1" t="s">
        <v>14163</v>
      </c>
      <c r="J33" s="1" t="s">
        <v>23</v>
      </c>
      <c r="K33" s="1"/>
      <c r="L33" s="1" t="s">
        <v>398</v>
      </c>
      <c r="M33" s="8" t="s">
        <v>398</v>
      </c>
      <c r="N33" s="1" t="b">
        <f t="shared" si="0"/>
        <v>1</v>
      </c>
      <c r="O33" s="1" t="s">
        <v>399</v>
      </c>
      <c r="P33" s="1" t="s">
        <v>400</v>
      </c>
      <c r="Q33" s="1" t="s">
        <v>401</v>
      </c>
      <c r="R33" s="1" t="s">
        <v>402</v>
      </c>
      <c r="S33" s="1" t="s">
        <v>403</v>
      </c>
      <c r="T33" s="1" t="s">
        <v>404</v>
      </c>
      <c r="U33" s="1" t="s">
        <v>405</v>
      </c>
      <c r="V33" s="13">
        <f>COUNTIF(L33:$M$1659,L33)</f>
        <v>4</v>
      </c>
      <c r="W33" s="1" t="s">
        <v>406</v>
      </c>
      <c r="X33">
        <v>1182.1500000000001</v>
      </c>
      <c r="Y33">
        <v>3.39</v>
      </c>
      <c r="Z33">
        <v>12.269048</v>
      </c>
      <c r="AA33">
        <v>109.03337000000001</v>
      </c>
      <c r="AB33">
        <v>1178.76</v>
      </c>
      <c r="AC33">
        <v>12.267571999999999</v>
      </c>
      <c r="AD33">
        <v>109.03755200000001</v>
      </c>
      <c r="AE33" s="5">
        <f t="shared" si="1"/>
        <v>5.0850000000000001E-3</v>
      </c>
      <c r="AF33" s="5">
        <f t="shared" si="2"/>
        <v>1.7681399999999998</v>
      </c>
      <c r="AG33" s="1" t="str">
        <f>TRIM(LEFT(L33,FIND("-",L33)-1))</f>
        <v>2.CA Diên Lạc</v>
      </c>
      <c r="AH33" s="1" t="str">
        <f>TRIM(RIGHT(L33, LEN(L33) - FIND("-", L33)))</f>
        <v>CA Diên Lâm</v>
      </c>
      <c r="AJ33">
        <f t="shared" si="3"/>
        <v>3.3900000000000002E-3</v>
      </c>
      <c r="AK33">
        <f t="shared" si="4"/>
        <v>1.17876</v>
      </c>
      <c r="AL33" t="e">
        <f>VLOOKUP(L33,'[1]Tuyến cáp H04'!$B:$E,3,0)/1000</f>
        <v>#N/A</v>
      </c>
      <c r="AM33" t="e">
        <f>VLOOKUP(L33,'[1]Tuyến cáp H04'!$B:$E,4,0)</f>
        <v>#N/A</v>
      </c>
    </row>
    <row r="34" spans="1:39" x14ac:dyDescent="0.25">
      <c r="A34" s="1" t="s">
        <v>407</v>
      </c>
      <c r="B34" s="1" t="s">
        <v>51</v>
      </c>
      <c r="C34" s="1" t="s">
        <v>52</v>
      </c>
      <c r="D34" s="1" t="s">
        <v>408</v>
      </c>
      <c r="E34" s="1" t="s">
        <v>409</v>
      </c>
      <c r="F34" s="1" t="s">
        <v>410</v>
      </c>
      <c r="G34" s="1" t="s">
        <v>14129</v>
      </c>
      <c r="H34" s="1" t="s">
        <v>14133</v>
      </c>
      <c r="I34" s="1" t="s">
        <v>14164</v>
      </c>
      <c r="J34" s="1" t="s">
        <v>23</v>
      </c>
      <c r="K34" s="1"/>
      <c r="L34" s="1" t="s">
        <v>54</v>
      </c>
      <c r="M34" s="8" t="s">
        <v>54</v>
      </c>
      <c r="N34" s="1" t="b">
        <f t="shared" si="0"/>
        <v>1</v>
      </c>
      <c r="O34" s="1" t="s">
        <v>411</v>
      </c>
      <c r="P34" s="1" t="s">
        <v>412</v>
      </c>
      <c r="Q34" s="1" t="s">
        <v>413</v>
      </c>
      <c r="R34" s="1" t="s">
        <v>414</v>
      </c>
      <c r="S34" s="1" t="s">
        <v>415</v>
      </c>
      <c r="T34" s="1" t="s">
        <v>416</v>
      </c>
      <c r="U34" s="1" t="s">
        <v>417</v>
      </c>
      <c r="V34" s="13">
        <f>COUNTIF(L34:$M$1659,L34)</f>
        <v>12</v>
      </c>
      <c r="W34" s="1" t="s">
        <v>418</v>
      </c>
      <c r="X34">
        <v>174.07</v>
      </c>
      <c r="Y34">
        <v>2.33</v>
      </c>
      <c r="Z34">
        <v>12.221002</v>
      </c>
      <c r="AA34">
        <v>109.083788</v>
      </c>
      <c r="AB34">
        <v>171.74</v>
      </c>
      <c r="AC34">
        <v>12.222557999999999</v>
      </c>
      <c r="AD34">
        <v>109.08448300000001</v>
      </c>
      <c r="AE34" s="5">
        <f t="shared" si="1"/>
        <v>3.4950000000000003E-3</v>
      </c>
      <c r="AF34" s="5">
        <f t="shared" si="2"/>
        <v>0.25761000000000001</v>
      </c>
      <c r="AG34" s="1" t="str">
        <f>TRIM(LEFT(L34,FIND("-",L34)-1))</f>
        <v>1.CA Diên Khánh</v>
      </c>
      <c r="AH34" s="1" t="str">
        <f>TRIM(RIGHT(L34, LEN(L34) - FIND("-", L34)))</f>
        <v>CA Suối Hiệp</v>
      </c>
      <c r="AJ34">
        <f t="shared" si="3"/>
        <v>2.33E-3</v>
      </c>
      <c r="AK34">
        <f t="shared" si="4"/>
        <v>0.17174</v>
      </c>
      <c r="AL34" t="e">
        <f>VLOOKUP(L34,'[1]Tuyến cáp H04'!$B:$E,3,0)/1000</f>
        <v>#N/A</v>
      </c>
      <c r="AM34" t="e">
        <f>VLOOKUP(L34,'[1]Tuyến cáp H04'!$B:$E,4,0)</f>
        <v>#N/A</v>
      </c>
    </row>
    <row r="35" spans="1:39" x14ac:dyDescent="0.25">
      <c r="A35" s="1" t="s">
        <v>419</v>
      </c>
      <c r="B35" s="1" t="s">
        <v>393</v>
      </c>
      <c r="C35" s="1" t="s">
        <v>394</v>
      </c>
      <c r="D35" s="1" t="s">
        <v>420</v>
      </c>
      <c r="E35" s="1" t="s">
        <v>421</v>
      </c>
      <c r="F35" s="1" t="s">
        <v>422</v>
      </c>
      <c r="G35" s="1" t="s">
        <v>14129</v>
      </c>
      <c r="H35" s="1" t="s">
        <v>14133</v>
      </c>
      <c r="I35" s="1" t="s">
        <v>14165</v>
      </c>
      <c r="J35" s="1" t="s">
        <v>23</v>
      </c>
      <c r="K35" s="1"/>
      <c r="L35" s="1" t="s">
        <v>317</v>
      </c>
      <c r="M35" s="8" t="s">
        <v>317</v>
      </c>
      <c r="N35" s="1" t="b">
        <f t="shared" si="0"/>
        <v>1</v>
      </c>
      <c r="O35" s="1" t="s">
        <v>423</v>
      </c>
      <c r="P35" s="1" t="s">
        <v>424</v>
      </c>
      <c r="Q35" s="1" t="s">
        <v>425</v>
      </c>
      <c r="R35" s="1" t="s">
        <v>426</v>
      </c>
      <c r="S35" s="1" t="s">
        <v>427</v>
      </c>
      <c r="T35" s="1" t="s">
        <v>428</v>
      </c>
      <c r="U35" s="1" t="s">
        <v>429</v>
      </c>
      <c r="V35" s="13">
        <f>COUNTIF(L35:$M$1659,L35)</f>
        <v>6</v>
      </c>
      <c r="W35" s="1" t="s">
        <v>325</v>
      </c>
      <c r="X35">
        <v>894.46</v>
      </c>
      <c r="Y35">
        <v>646.36</v>
      </c>
      <c r="Z35">
        <v>12.263232</v>
      </c>
      <c r="AA35">
        <v>109.033157</v>
      </c>
      <c r="AB35">
        <v>248.11</v>
      </c>
      <c r="AC35">
        <v>12.255091</v>
      </c>
      <c r="AD35">
        <v>109.05873699999999</v>
      </c>
      <c r="AE35" s="5">
        <f t="shared" si="1"/>
        <v>0.96953999999999996</v>
      </c>
      <c r="AF35" s="5">
        <f t="shared" si="2"/>
        <v>0.37216500000000002</v>
      </c>
      <c r="AG35" s="1" t="str">
        <f>TRIM(LEFT(L35,FIND("-",L35)-1))</f>
        <v>2.Nhà tạm giam Diên Khánh</v>
      </c>
      <c r="AH35" s="1" t="str">
        <f>TRIM(RIGHT(L35, LEN(L35) - FIND("-", L35)))</f>
        <v>Trại giam A2</v>
      </c>
      <c r="AJ35">
        <f t="shared" si="3"/>
        <v>0.64636000000000005</v>
      </c>
      <c r="AK35">
        <f t="shared" si="4"/>
        <v>0.24811000000000002</v>
      </c>
      <c r="AL35" t="e">
        <f>VLOOKUP(L35,'[1]Tuyến cáp H04'!$B:$E,3,0)/1000</f>
        <v>#N/A</v>
      </c>
      <c r="AM35" t="e">
        <f>VLOOKUP(L35,'[1]Tuyến cáp H04'!$B:$E,4,0)</f>
        <v>#N/A</v>
      </c>
    </row>
    <row r="36" spans="1:39" x14ac:dyDescent="0.25">
      <c r="A36" s="1" t="s">
        <v>430</v>
      </c>
      <c r="B36" s="1" t="s">
        <v>393</v>
      </c>
      <c r="C36" s="1" t="s">
        <v>394</v>
      </c>
      <c r="D36" s="1" t="s">
        <v>431</v>
      </c>
      <c r="E36" s="1" t="s">
        <v>432</v>
      </c>
      <c r="F36" s="1" t="s">
        <v>433</v>
      </c>
      <c r="G36" s="1" t="s">
        <v>14129</v>
      </c>
      <c r="H36" s="1" t="s">
        <v>14133</v>
      </c>
      <c r="I36" s="1" t="s">
        <v>14166</v>
      </c>
      <c r="J36" s="1" t="s">
        <v>23</v>
      </c>
      <c r="K36" s="1"/>
      <c r="L36" s="1" t="s">
        <v>434</v>
      </c>
      <c r="M36" s="8" t="s">
        <v>434</v>
      </c>
      <c r="N36" s="1" t="b">
        <f t="shared" si="0"/>
        <v>1</v>
      </c>
      <c r="O36" s="1" t="s">
        <v>435</v>
      </c>
      <c r="P36" s="1" t="s">
        <v>436</v>
      </c>
      <c r="Q36" s="1" t="s">
        <v>437</v>
      </c>
      <c r="R36" s="1" t="s">
        <v>438</v>
      </c>
      <c r="S36" s="1" t="s">
        <v>439</v>
      </c>
      <c r="T36" s="1" t="s">
        <v>440</v>
      </c>
      <c r="U36" s="1" t="s">
        <v>441</v>
      </c>
      <c r="V36" s="13">
        <f>COUNTIF(L36:$M$1659,L36)</f>
        <v>8</v>
      </c>
      <c r="W36" s="1" t="s">
        <v>442</v>
      </c>
      <c r="X36">
        <v>545.69000000000005</v>
      </c>
      <c r="Y36">
        <v>3.2</v>
      </c>
      <c r="Z36">
        <v>12.269061000000001</v>
      </c>
      <c r="AA36">
        <v>109.03337999999999</v>
      </c>
      <c r="AB36">
        <v>542.49</v>
      </c>
      <c r="AC36">
        <v>12.274528999999999</v>
      </c>
      <c r="AD36">
        <v>109.01911</v>
      </c>
      <c r="AE36" s="5">
        <f t="shared" si="1"/>
        <v>4.8000000000000004E-3</v>
      </c>
      <c r="AF36" s="5">
        <f t="shared" si="2"/>
        <v>0.81373499999999999</v>
      </c>
      <c r="AG36" s="1" t="str">
        <f>TRIM(LEFT(L36,FIND("-",L36)-1))</f>
        <v>3.CA Diên Lâm</v>
      </c>
      <c r="AH36" s="1" t="str">
        <f>TRIM(RIGHT(L36, LEN(L36) - FIND("-", L36)))</f>
        <v>CA Bắc Khánh Vĩnh_Cột trung thế</v>
      </c>
      <c r="AJ36">
        <f t="shared" si="3"/>
        <v>3.2000000000000002E-3</v>
      </c>
      <c r="AK36">
        <f t="shared" si="4"/>
        <v>0.54249000000000003</v>
      </c>
      <c r="AL36" t="e">
        <f>VLOOKUP(L36,'[1]Tuyến cáp H04'!$B:$E,3,0)/1000</f>
        <v>#N/A</v>
      </c>
      <c r="AM36" t="e">
        <f>VLOOKUP(L36,'[1]Tuyến cáp H04'!$B:$E,4,0)</f>
        <v>#N/A</v>
      </c>
    </row>
    <row r="37" spans="1:39" x14ac:dyDescent="0.25">
      <c r="A37" s="1" t="s">
        <v>443</v>
      </c>
      <c r="B37" s="1" t="s">
        <v>181</v>
      </c>
      <c r="C37" s="1" t="s">
        <v>182</v>
      </c>
      <c r="D37" s="1" t="s">
        <v>444</v>
      </c>
      <c r="E37" s="1" t="s">
        <v>445</v>
      </c>
      <c r="F37" s="1" t="s">
        <v>446</v>
      </c>
      <c r="G37" s="1" t="s">
        <v>14129</v>
      </c>
      <c r="H37" s="1" t="s">
        <v>14133</v>
      </c>
      <c r="I37" s="1" t="s">
        <v>14167</v>
      </c>
      <c r="J37" s="1" t="s">
        <v>23</v>
      </c>
      <c r="K37" s="1"/>
      <c r="L37" s="1" t="s">
        <v>447</v>
      </c>
      <c r="M37" s="8" t="s">
        <v>447</v>
      </c>
      <c r="N37" s="1" t="b">
        <f t="shared" si="0"/>
        <v>1</v>
      </c>
      <c r="O37" s="1" t="s">
        <v>448</v>
      </c>
      <c r="P37" s="1" t="s">
        <v>449</v>
      </c>
      <c r="Q37" s="1" t="s">
        <v>450</v>
      </c>
      <c r="R37" s="1" t="s">
        <v>451</v>
      </c>
      <c r="S37" s="1" t="s">
        <v>452</v>
      </c>
      <c r="T37" s="1" t="s">
        <v>453</v>
      </c>
      <c r="U37" s="1" t="s">
        <v>454</v>
      </c>
      <c r="V37" s="13">
        <f>COUNTIF(L37:$M$1659,L37)</f>
        <v>14</v>
      </c>
      <c r="W37" s="1" t="s">
        <v>455</v>
      </c>
      <c r="X37">
        <v>1324.18</v>
      </c>
      <c r="Y37">
        <v>5.44</v>
      </c>
      <c r="Z37">
        <v>12.276033999999999</v>
      </c>
      <c r="AA37">
        <v>109.12025</v>
      </c>
      <c r="AB37">
        <v>1318.74</v>
      </c>
      <c r="AC37">
        <v>12.273351999999999</v>
      </c>
      <c r="AD37">
        <v>109.11435899999999</v>
      </c>
      <c r="AE37" s="5">
        <f t="shared" si="1"/>
        <v>8.1600000000000006E-3</v>
      </c>
      <c r="AF37" s="5">
        <f t="shared" si="2"/>
        <v>1.97811</v>
      </c>
      <c r="AG37" s="1" t="str">
        <f>TRIM(LEFT(L37,FIND("-",L37)-1))</f>
        <v>1.CA Diên Khánh</v>
      </c>
      <c r="AH37" s="1" t="str">
        <f>TRIM(RIGHT(L37, LEN(L37) - FIND("-", L37)))</f>
        <v>CA Diên Điền_Cột trung thế</v>
      </c>
      <c r="AJ37">
        <f t="shared" si="3"/>
        <v>5.4400000000000004E-3</v>
      </c>
      <c r="AK37">
        <f t="shared" si="4"/>
        <v>1.31874</v>
      </c>
      <c r="AL37" t="e">
        <f>VLOOKUP(L37,'[1]Tuyến cáp H04'!$B:$E,3,0)/1000</f>
        <v>#N/A</v>
      </c>
      <c r="AM37" t="e">
        <f>VLOOKUP(L37,'[1]Tuyến cáp H04'!$B:$E,4,0)</f>
        <v>#N/A</v>
      </c>
    </row>
    <row r="38" spans="1:39" x14ac:dyDescent="0.25">
      <c r="A38" s="1" t="s">
        <v>456</v>
      </c>
      <c r="B38" s="1" t="s">
        <v>196</v>
      </c>
      <c r="C38" s="1" t="s">
        <v>197</v>
      </c>
      <c r="D38" s="1" t="s">
        <v>457</v>
      </c>
      <c r="E38" s="1" t="s">
        <v>458</v>
      </c>
      <c r="F38" s="1" t="s">
        <v>459</v>
      </c>
      <c r="G38" s="1" t="s">
        <v>14129</v>
      </c>
      <c r="H38" s="1" t="s">
        <v>14133</v>
      </c>
      <c r="I38" s="1" t="s">
        <v>14168</v>
      </c>
      <c r="J38" s="1" t="s">
        <v>23</v>
      </c>
      <c r="K38" s="1"/>
      <c r="L38" s="1" t="s">
        <v>201</v>
      </c>
      <c r="M38" s="8" t="s">
        <v>201</v>
      </c>
      <c r="N38" s="1" t="b">
        <f t="shared" si="0"/>
        <v>1</v>
      </c>
      <c r="O38" s="1" t="s">
        <v>460</v>
      </c>
      <c r="P38" s="1" t="s">
        <v>232</v>
      </c>
      <c r="Q38" s="1" t="s">
        <v>233</v>
      </c>
      <c r="R38" s="1" t="s">
        <v>234</v>
      </c>
      <c r="S38" s="1" t="s">
        <v>461</v>
      </c>
      <c r="T38" s="1" t="s">
        <v>462</v>
      </c>
      <c r="U38" s="1" t="s">
        <v>463</v>
      </c>
      <c r="V38" s="13">
        <f>COUNTIF(L38:$M$1659,L38)</f>
        <v>8</v>
      </c>
      <c r="W38" s="1" t="s">
        <v>238</v>
      </c>
      <c r="X38">
        <v>764.16</v>
      </c>
      <c r="Y38">
        <v>0.85</v>
      </c>
      <c r="Z38">
        <v>12.282332</v>
      </c>
      <c r="AA38">
        <v>109.19810099999999</v>
      </c>
      <c r="AB38">
        <v>763.31</v>
      </c>
      <c r="AC38">
        <v>12.282397</v>
      </c>
      <c r="AD38">
        <v>109.198201</v>
      </c>
      <c r="AE38" s="5">
        <f t="shared" si="1"/>
        <v>1.2749999999999999E-3</v>
      </c>
      <c r="AF38" s="5">
        <f t="shared" si="2"/>
        <v>1.144965</v>
      </c>
      <c r="AG38" s="1" t="str">
        <f>TRIM(LEFT(L38,FIND("-",L38)-1))</f>
        <v>3.CA Bắc Nha Trang</v>
      </c>
      <c r="AH38" s="1" t="str">
        <f>TRIM(RIGHT(L38, LEN(L38) - FIND("-", L38)))</f>
        <v>CAT Khánh Hòa</v>
      </c>
      <c r="AJ38">
        <f t="shared" si="3"/>
        <v>8.4999999999999995E-4</v>
      </c>
      <c r="AK38">
        <f t="shared" si="4"/>
        <v>0.76330999999999993</v>
      </c>
      <c r="AL38" t="e">
        <f>VLOOKUP(L38,'[1]Tuyến cáp H04'!$B:$E,3,0)/1000</f>
        <v>#N/A</v>
      </c>
      <c r="AM38" t="e">
        <f>VLOOKUP(L38,'[1]Tuyến cáp H04'!$B:$E,4,0)</f>
        <v>#N/A</v>
      </c>
    </row>
    <row r="39" spans="1:39" x14ac:dyDescent="0.25">
      <c r="A39" s="1" t="s">
        <v>464</v>
      </c>
      <c r="B39" s="1" t="s">
        <v>77</v>
      </c>
      <c r="C39" s="1" t="s">
        <v>78</v>
      </c>
      <c r="D39" s="1" t="s">
        <v>465</v>
      </c>
      <c r="E39" s="1" t="s">
        <v>466</v>
      </c>
      <c r="F39" s="1" t="s">
        <v>467</v>
      </c>
      <c r="G39" s="1" t="s">
        <v>14129</v>
      </c>
      <c r="H39" s="1" t="s">
        <v>14133</v>
      </c>
      <c r="I39" s="1" t="s">
        <v>14169</v>
      </c>
      <c r="J39" s="1" t="s">
        <v>23</v>
      </c>
      <c r="K39" s="1"/>
      <c r="L39" s="1" t="s">
        <v>110</v>
      </c>
      <c r="M39" s="8" t="s">
        <v>110</v>
      </c>
      <c r="N39" s="1" t="b">
        <f t="shared" si="0"/>
        <v>1</v>
      </c>
      <c r="O39" s="1" t="s">
        <v>468</v>
      </c>
      <c r="P39" s="1" t="s">
        <v>112</v>
      </c>
      <c r="Q39" s="1" t="s">
        <v>113</v>
      </c>
      <c r="R39" s="1" t="s">
        <v>114</v>
      </c>
      <c r="S39" s="1" t="s">
        <v>469</v>
      </c>
      <c r="T39" s="1" t="s">
        <v>470</v>
      </c>
      <c r="U39" s="1" t="s">
        <v>471</v>
      </c>
      <c r="V39" s="13">
        <f>COUNTIF(L39:$M$1659,L39)</f>
        <v>14</v>
      </c>
      <c r="W39" s="1" t="s">
        <v>118</v>
      </c>
      <c r="X39">
        <v>1246.56</v>
      </c>
      <c r="Y39">
        <v>3.34</v>
      </c>
      <c r="Z39">
        <v>12.175723</v>
      </c>
      <c r="AA39">
        <v>109.17368</v>
      </c>
      <c r="AB39">
        <v>1243.22</v>
      </c>
      <c r="AC39">
        <v>12.189206</v>
      </c>
      <c r="AD39">
        <v>109.169819</v>
      </c>
      <c r="AE39" s="5">
        <f t="shared" si="1"/>
        <v>5.0099999999999997E-3</v>
      </c>
      <c r="AF39" s="5">
        <f t="shared" si="2"/>
        <v>1.86483</v>
      </c>
      <c r="AG39" s="1" t="str">
        <f>TRIM(LEFT(L39,FIND("-",L39)-1))</f>
        <v>4.PC11a</v>
      </c>
      <c r="AH39" s="1" t="str">
        <f>TRIM(RIGHT(L39, LEN(L39) - FIND("-", L39)))</f>
        <v>PC02_Đoạn cột trung thế</v>
      </c>
      <c r="AJ39">
        <f t="shared" si="3"/>
        <v>3.3399999999999997E-3</v>
      </c>
      <c r="AK39">
        <f t="shared" si="4"/>
        <v>1.24322</v>
      </c>
      <c r="AL39" t="e">
        <f>VLOOKUP(L39,'[1]Tuyến cáp H04'!$B:$E,3,0)/1000</f>
        <v>#N/A</v>
      </c>
      <c r="AM39" t="e">
        <f>VLOOKUP(L39,'[1]Tuyến cáp H04'!$B:$E,4,0)</f>
        <v>#N/A</v>
      </c>
    </row>
    <row r="40" spans="1:39" x14ac:dyDescent="0.25">
      <c r="A40" s="1" t="s">
        <v>472</v>
      </c>
      <c r="B40" s="1" t="s">
        <v>160</v>
      </c>
      <c r="C40" s="1" t="s">
        <v>161</v>
      </c>
      <c r="D40" s="1" t="s">
        <v>473</v>
      </c>
      <c r="E40" s="1" t="s">
        <v>474</v>
      </c>
      <c r="F40" s="1" t="s">
        <v>475</v>
      </c>
      <c r="G40" s="1" t="s">
        <v>14129</v>
      </c>
      <c r="H40" s="1" t="s">
        <v>14133</v>
      </c>
      <c r="I40" s="1" t="s">
        <v>14170</v>
      </c>
      <c r="J40" s="1" t="s">
        <v>23</v>
      </c>
      <c r="K40" s="1"/>
      <c r="L40" s="1" t="s">
        <v>163</v>
      </c>
      <c r="M40" s="8" t="s">
        <v>163</v>
      </c>
      <c r="N40" s="1" t="b">
        <f t="shared" si="0"/>
        <v>1</v>
      </c>
      <c r="O40" s="1" t="s">
        <v>476</v>
      </c>
      <c r="P40" s="1" t="s">
        <v>165</v>
      </c>
      <c r="Q40" s="1" t="s">
        <v>166</v>
      </c>
      <c r="R40" s="1" t="s">
        <v>167</v>
      </c>
      <c r="S40" s="1" t="s">
        <v>477</v>
      </c>
      <c r="T40" s="1" t="s">
        <v>169</v>
      </c>
      <c r="U40" s="1" t="s">
        <v>170</v>
      </c>
      <c r="V40" s="13">
        <f>COUNTIF(L40:$M$1659,L40)</f>
        <v>4</v>
      </c>
      <c r="W40" s="1" t="s">
        <v>171</v>
      </c>
      <c r="X40">
        <v>1024.07</v>
      </c>
      <c r="Y40">
        <v>1.27</v>
      </c>
      <c r="Z40">
        <v>12.278760999999999</v>
      </c>
      <c r="AA40">
        <v>109.188896</v>
      </c>
      <c r="AB40">
        <v>1022.79</v>
      </c>
      <c r="AC40">
        <v>12.276948000000001</v>
      </c>
      <c r="AD40">
        <v>109.18840899999999</v>
      </c>
      <c r="AE40" s="5">
        <f t="shared" si="1"/>
        <v>1.905E-3</v>
      </c>
      <c r="AF40" s="5">
        <f t="shared" si="2"/>
        <v>1.5341849999999999</v>
      </c>
      <c r="AG40" s="1" t="str">
        <f>TRIM(LEFT(L40,FIND("-",L40)-1))</f>
        <v>Tuyến nhánh PK02 cs1</v>
      </c>
      <c r="AH40" s="1" t="str">
        <f>TRIM(RIGHT(L40, LEN(L40) - FIND("-", L40)))</f>
        <v>NTG Nha Trang cũ_Cột hạ thế</v>
      </c>
      <c r="AJ40">
        <f t="shared" si="3"/>
        <v>1.2700000000000001E-3</v>
      </c>
      <c r="AK40">
        <f t="shared" si="4"/>
        <v>1.0227899999999999</v>
      </c>
      <c r="AL40" t="e">
        <f>VLOOKUP(L40,'[1]Tuyến cáp H04'!$B:$E,3,0)/1000</f>
        <v>#N/A</v>
      </c>
      <c r="AM40" t="e">
        <f>VLOOKUP(L40,'[1]Tuyến cáp H04'!$B:$E,4,0)</f>
        <v>#N/A</v>
      </c>
    </row>
    <row r="41" spans="1:39" x14ac:dyDescent="0.25">
      <c r="A41" s="1" t="s">
        <v>478</v>
      </c>
      <c r="B41" s="1" t="s">
        <v>196</v>
      </c>
      <c r="C41" s="1" t="s">
        <v>197</v>
      </c>
      <c r="D41" s="1" t="s">
        <v>479</v>
      </c>
      <c r="E41" s="1" t="s">
        <v>480</v>
      </c>
      <c r="F41" s="1" t="s">
        <v>481</v>
      </c>
      <c r="G41" s="1" t="s">
        <v>14129</v>
      </c>
      <c r="H41" s="1" t="s">
        <v>14133</v>
      </c>
      <c r="I41" s="1" t="s">
        <v>14171</v>
      </c>
      <c r="J41" s="1" t="s">
        <v>23</v>
      </c>
      <c r="K41" s="1"/>
      <c r="L41" s="1" t="s">
        <v>186</v>
      </c>
      <c r="M41" s="8" t="s">
        <v>186</v>
      </c>
      <c r="N41" s="1" t="b">
        <f t="shared" si="0"/>
        <v>1</v>
      </c>
      <c r="O41" s="1" t="s">
        <v>482</v>
      </c>
      <c r="P41" s="1" t="s">
        <v>339</v>
      </c>
      <c r="Q41" s="1" t="s">
        <v>340</v>
      </c>
      <c r="R41" s="1" t="s">
        <v>341</v>
      </c>
      <c r="S41" s="1" t="s">
        <v>483</v>
      </c>
      <c r="T41" s="1" t="s">
        <v>484</v>
      </c>
      <c r="U41" s="1" t="s">
        <v>485</v>
      </c>
      <c r="V41" s="13">
        <f>COUNTIF(L41:$M$1659,L41)</f>
        <v>10</v>
      </c>
      <c r="W41" s="1" t="s">
        <v>345</v>
      </c>
      <c r="X41">
        <v>234.94</v>
      </c>
      <c r="Y41">
        <v>0.89</v>
      </c>
      <c r="Z41">
        <v>12.282335</v>
      </c>
      <c r="AA41">
        <v>109.198106</v>
      </c>
      <c r="AB41">
        <v>234.06</v>
      </c>
      <c r="AC41">
        <v>12.282329000000001</v>
      </c>
      <c r="AD41">
        <v>109.19565299999999</v>
      </c>
      <c r="AE41" s="5">
        <f t="shared" si="1"/>
        <v>1.335E-3</v>
      </c>
      <c r="AF41" s="5">
        <f t="shared" si="2"/>
        <v>0.35109000000000001</v>
      </c>
      <c r="AG41" s="1" t="str">
        <f>TRIM(LEFT(L41,FIND("-",L41)-1))</f>
        <v>2.CA Diên Điền</v>
      </c>
      <c r="AH41" s="1" t="str">
        <f>TRIM(RIGHT(L41, LEN(L41) - FIND("-", L41)))</f>
        <v>CA Bắc Nha Trang</v>
      </c>
      <c r="AJ41">
        <f t="shared" si="3"/>
        <v>8.9000000000000006E-4</v>
      </c>
      <c r="AK41">
        <f t="shared" si="4"/>
        <v>0.23405999999999999</v>
      </c>
      <c r="AL41" t="e">
        <f>VLOOKUP(L41,'[1]Tuyến cáp H04'!$B:$E,3,0)/1000</f>
        <v>#N/A</v>
      </c>
      <c r="AM41" t="e">
        <f>VLOOKUP(L41,'[1]Tuyến cáp H04'!$B:$E,4,0)</f>
        <v>#N/A</v>
      </c>
    </row>
    <row r="42" spans="1:39" x14ac:dyDescent="0.25">
      <c r="A42" s="1" t="s">
        <v>486</v>
      </c>
      <c r="B42" s="1" t="s">
        <v>77</v>
      </c>
      <c r="C42" s="1" t="s">
        <v>78</v>
      </c>
      <c r="D42" s="1" t="s">
        <v>487</v>
      </c>
      <c r="E42" s="1" t="s">
        <v>488</v>
      </c>
      <c r="F42" s="1" t="s">
        <v>489</v>
      </c>
      <c r="G42" s="1" t="s">
        <v>14129</v>
      </c>
      <c r="H42" s="1" t="s">
        <v>14133</v>
      </c>
      <c r="I42" s="1" t="s">
        <v>14172</v>
      </c>
      <c r="J42" s="1" t="s">
        <v>23</v>
      </c>
      <c r="K42" s="1"/>
      <c r="L42" s="1" t="s">
        <v>490</v>
      </c>
      <c r="M42" s="8" t="s">
        <v>490</v>
      </c>
      <c r="N42" s="1" t="b">
        <f t="shared" si="0"/>
        <v>1</v>
      </c>
      <c r="O42" s="1" t="s">
        <v>491</v>
      </c>
      <c r="P42" s="1" t="s">
        <v>492</v>
      </c>
      <c r="Q42" s="1" t="s">
        <v>493</v>
      </c>
      <c r="R42" s="1" t="s">
        <v>494</v>
      </c>
      <c r="S42" s="1" t="s">
        <v>495</v>
      </c>
      <c r="T42" s="1" t="s">
        <v>496</v>
      </c>
      <c r="U42" s="1" t="s">
        <v>497</v>
      </c>
      <c r="V42" s="13">
        <f>COUNTIF(L42:$M$1659,L42)</f>
        <v>24</v>
      </c>
      <c r="W42" s="1" t="s">
        <v>498</v>
      </c>
      <c r="X42">
        <v>536.66999999999996</v>
      </c>
      <c r="Y42">
        <v>136.09</v>
      </c>
      <c r="Z42">
        <v>12.175768</v>
      </c>
      <c r="AA42">
        <v>109.17495</v>
      </c>
      <c r="AB42">
        <v>400.58</v>
      </c>
      <c r="AC42">
        <v>12.170889000000001</v>
      </c>
      <c r="AD42">
        <v>109.187518</v>
      </c>
      <c r="AE42" s="5">
        <f t="shared" si="1"/>
        <v>0.20413499999999998</v>
      </c>
      <c r="AF42" s="5">
        <f t="shared" si="2"/>
        <v>0.60087000000000002</v>
      </c>
      <c r="AG42" s="1" t="str">
        <f>TRIM(LEFT(L42,FIND("-",L42)-1))</f>
        <v>1.CAT Khánh Hòa</v>
      </c>
      <c r="AH42" s="1" t="str">
        <f>TRIM(RIGHT(L42, LEN(L42) - FIND("-", L42)))</f>
        <v>Cam Lâm</v>
      </c>
      <c r="AJ42">
        <f t="shared" si="3"/>
        <v>0.13609000000000002</v>
      </c>
      <c r="AK42">
        <f t="shared" si="4"/>
        <v>0.40057999999999999</v>
      </c>
      <c r="AL42" t="e">
        <f>VLOOKUP(L42,'[1]Tuyến cáp H04'!$B:$E,3,0)/1000</f>
        <v>#N/A</v>
      </c>
      <c r="AM42" t="e">
        <f>VLOOKUP(L42,'[1]Tuyến cáp H04'!$B:$E,4,0)</f>
        <v>#N/A</v>
      </c>
    </row>
    <row r="43" spans="1:39" x14ac:dyDescent="0.25">
      <c r="A43" s="1" t="s">
        <v>499</v>
      </c>
      <c r="B43" s="1" t="s">
        <v>211</v>
      </c>
      <c r="C43" s="1" t="s">
        <v>212</v>
      </c>
      <c r="D43" s="1" t="s">
        <v>500</v>
      </c>
      <c r="E43" s="1" t="s">
        <v>501</v>
      </c>
      <c r="F43" s="1" t="s">
        <v>502</v>
      </c>
      <c r="G43" s="1" t="s">
        <v>14129</v>
      </c>
      <c r="H43" s="1" t="s">
        <v>14133</v>
      </c>
      <c r="I43" s="1" t="s">
        <v>14173</v>
      </c>
      <c r="J43" s="1" t="s">
        <v>23</v>
      </c>
      <c r="K43" s="1"/>
      <c r="L43" s="1" t="s">
        <v>39</v>
      </c>
      <c r="M43" s="8" t="s">
        <v>39</v>
      </c>
      <c r="N43" s="1" t="b">
        <f t="shared" si="0"/>
        <v>1</v>
      </c>
      <c r="O43" s="1" t="s">
        <v>503</v>
      </c>
      <c r="P43" s="1" t="s">
        <v>504</v>
      </c>
      <c r="Q43" s="1" t="s">
        <v>505</v>
      </c>
      <c r="R43" s="1" t="s">
        <v>506</v>
      </c>
      <c r="S43" s="1" t="s">
        <v>507</v>
      </c>
      <c r="T43" s="1" t="s">
        <v>508</v>
      </c>
      <c r="U43" s="1" t="s">
        <v>509</v>
      </c>
      <c r="V43" s="13">
        <f>COUNTIF(L43:$M$1659,L43)</f>
        <v>15</v>
      </c>
      <c r="W43" s="1" t="s">
        <v>510</v>
      </c>
      <c r="X43">
        <v>633.82000000000005</v>
      </c>
      <c r="Y43">
        <v>424.42</v>
      </c>
      <c r="Z43">
        <v>12.253059</v>
      </c>
      <c r="AA43">
        <v>109.18977700000001</v>
      </c>
      <c r="AB43">
        <v>209.39</v>
      </c>
      <c r="AC43">
        <v>12.259029999999999</v>
      </c>
      <c r="AD43">
        <v>109.189052</v>
      </c>
      <c r="AE43" s="5">
        <f t="shared" si="1"/>
        <v>0.63663000000000003</v>
      </c>
      <c r="AF43" s="5">
        <f t="shared" si="2"/>
        <v>0.314085</v>
      </c>
      <c r="AG43" s="1" t="str">
        <f>TRIM(LEFT(L43,FIND("-",L43)-1))</f>
        <v>1.CAT Khánh Hòa</v>
      </c>
      <c r="AH43" s="1" t="str">
        <f>TRIM(RIGHT(L43, LEN(L43) - FIND("-", L43)))</f>
        <v>PK02 cs1</v>
      </c>
      <c r="AJ43">
        <f t="shared" si="3"/>
        <v>0.42442000000000002</v>
      </c>
      <c r="AK43">
        <f t="shared" si="4"/>
        <v>0.20938999999999999</v>
      </c>
      <c r="AL43" t="e">
        <f>VLOOKUP(L43,'[1]Tuyến cáp H04'!$B:$E,3,0)/1000</f>
        <v>#N/A</v>
      </c>
      <c r="AM43" t="e">
        <f>VLOOKUP(L43,'[1]Tuyến cáp H04'!$B:$E,4,0)</f>
        <v>#N/A</v>
      </c>
    </row>
    <row r="44" spans="1:39" x14ac:dyDescent="0.25">
      <c r="A44" s="1" t="s">
        <v>511</v>
      </c>
      <c r="B44" s="1" t="s">
        <v>34</v>
      </c>
      <c r="C44" s="1" t="s">
        <v>35</v>
      </c>
      <c r="D44" s="1" t="s">
        <v>512</v>
      </c>
      <c r="E44" s="1" t="s">
        <v>513</v>
      </c>
      <c r="F44" s="1" t="s">
        <v>514</v>
      </c>
      <c r="G44" s="1" t="s">
        <v>14129</v>
      </c>
      <c r="H44" s="1" t="s">
        <v>14133</v>
      </c>
      <c r="I44" s="1" t="s">
        <v>14174</v>
      </c>
      <c r="J44" s="1" t="s">
        <v>23</v>
      </c>
      <c r="K44" s="1"/>
      <c r="L44" s="1" t="s">
        <v>39</v>
      </c>
      <c r="M44" s="8" t="s">
        <v>39</v>
      </c>
      <c r="N44" s="1" t="b">
        <f t="shared" si="0"/>
        <v>1</v>
      </c>
      <c r="O44" s="1" t="s">
        <v>515</v>
      </c>
      <c r="P44" s="1" t="s">
        <v>41</v>
      </c>
      <c r="Q44" s="1" t="s">
        <v>42</v>
      </c>
      <c r="R44" s="1" t="s">
        <v>43</v>
      </c>
      <c r="S44" s="1" t="s">
        <v>516</v>
      </c>
      <c r="T44" s="1" t="s">
        <v>517</v>
      </c>
      <c r="U44" s="1" t="s">
        <v>518</v>
      </c>
      <c r="V44" s="13">
        <f>COUNTIF(L44:$M$1659,L44)</f>
        <v>13</v>
      </c>
      <c r="W44" s="1" t="s">
        <v>47</v>
      </c>
      <c r="X44">
        <v>331.83</v>
      </c>
      <c r="Y44">
        <v>206.48</v>
      </c>
      <c r="Z44">
        <v>12.278732</v>
      </c>
      <c r="AA44">
        <v>109.188858</v>
      </c>
      <c r="AB44">
        <v>125.35</v>
      </c>
      <c r="AC44">
        <v>12.279657</v>
      </c>
      <c r="AD44">
        <v>109.194971</v>
      </c>
      <c r="AE44" s="5">
        <f t="shared" si="1"/>
        <v>0.30972</v>
      </c>
      <c r="AF44" s="5">
        <f t="shared" si="2"/>
        <v>0.18802499999999997</v>
      </c>
      <c r="AG44" s="1" t="str">
        <f>TRIM(LEFT(L44,FIND("-",L44)-1))</f>
        <v>1.CAT Khánh Hòa</v>
      </c>
      <c r="AH44" s="1" t="str">
        <f>TRIM(RIGHT(L44, LEN(L44) - FIND("-", L44)))</f>
        <v>PK02 cs1</v>
      </c>
      <c r="AJ44">
        <f t="shared" si="3"/>
        <v>0.20648</v>
      </c>
      <c r="AK44">
        <f t="shared" si="4"/>
        <v>0.12534999999999999</v>
      </c>
      <c r="AL44" t="e">
        <f>VLOOKUP(L44,'[1]Tuyến cáp H04'!$B:$E,3,0)/1000</f>
        <v>#N/A</v>
      </c>
      <c r="AM44" t="e">
        <f>VLOOKUP(L44,'[1]Tuyến cáp H04'!$B:$E,4,0)</f>
        <v>#N/A</v>
      </c>
    </row>
    <row r="45" spans="1:39" x14ac:dyDescent="0.25">
      <c r="A45" s="1" t="s">
        <v>519</v>
      </c>
      <c r="B45" s="1" t="s">
        <v>278</v>
      </c>
      <c r="C45" s="1" t="s">
        <v>279</v>
      </c>
      <c r="D45" s="1" t="s">
        <v>520</v>
      </c>
      <c r="E45" s="1" t="s">
        <v>521</v>
      </c>
      <c r="F45" s="1" t="s">
        <v>522</v>
      </c>
      <c r="G45" s="1" t="s">
        <v>14129</v>
      </c>
      <c r="H45" s="1" t="s">
        <v>14133</v>
      </c>
      <c r="I45" s="1" t="s">
        <v>14175</v>
      </c>
      <c r="J45" s="1" t="s">
        <v>23</v>
      </c>
      <c r="K45" s="1"/>
      <c r="L45" s="1" t="s">
        <v>283</v>
      </c>
      <c r="M45" s="8" t="s">
        <v>681</v>
      </c>
      <c r="N45" s="12" t="b">
        <f t="shared" si="0"/>
        <v>0</v>
      </c>
      <c r="O45" s="1" t="s">
        <v>523</v>
      </c>
      <c r="P45" s="1" t="s">
        <v>285</v>
      </c>
      <c r="Q45" s="1" t="s">
        <v>286</v>
      </c>
      <c r="R45" s="1" t="s">
        <v>287</v>
      </c>
      <c r="S45" s="1" t="s">
        <v>524</v>
      </c>
      <c r="T45" s="1" t="s">
        <v>289</v>
      </c>
      <c r="U45" s="1" t="s">
        <v>290</v>
      </c>
      <c r="V45" s="13">
        <f>COUNTIF(L45:$M$1659,L45)</f>
        <v>36</v>
      </c>
      <c r="W45" s="1" t="s">
        <v>291</v>
      </c>
      <c r="X45">
        <v>520087.22</v>
      </c>
      <c r="Y45">
        <v>252584.19</v>
      </c>
      <c r="Z45">
        <v>14.659686000000001</v>
      </c>
      <c r="AA45">
        <v>107.839439</v>
      </c>
      <c r="AB45">
        <v>267503.03000000003</v>
      </c>
      <c r="AC45">
        <v>14.352316999999999</v>
      </c>
      <c r="AD45">
        <v>108.007831</v>
      </c>
      <c r="AE45" s="5">
        <f t="shared" si="1"/>
        <v>378.87628500000005</v>
      </c>
      <c r="AF45" s="5">
        <f t="shared" si="2"/>
        <v>401.25454500000006</v>
      </c>
      <c r="AG45" s="1" t="str">
        <f>TRIM(LEFT(L45,FIND("-",L45)-1))</f>
        <v>Đăk Tô</v>
      </c>
      <c r="AH45" s="1" t="str">
        <f>TRIM(RIGHT(L45, LEN(L45) - FIND("-", L45)))</f>
        <v>TT2 Kon Tum</v>
      </c>
      <c r="AJ45">
        <f t="shared" si="3"/>
        <v>252.58419000000001</v>
      </c>
      <c r="AK45">
        <f t="shared" si="4"/>
        <v>267.50303000000002</v>
      </c>
      <c r="AL45">
        <f>VLOOKUP(L45,'[1]Tuyến cáp H04'!$B:$E,3,0)/1000</f>
        <v>43.9602</v>
      </c>
      <c r="AM45" t="str">
        <f>VLOOKUP(L45,'[1]Tuyến cáp H04'!$B:$E,4,0)</f>
        <v>Mạng cấp 3</v>
      </c>
    </row>
    <row r="46" spans="1:39" x14ac:dyDescent="0.25">
      <c r="A46" s="1" t="s">
        <v>525</v>
      </c>
      <c r="B46" s="1" t="s">
        <v>77</v>
      </c>
      <c r="C46" s="1" t="s">
        <v>78</v>
      </c>
      <c r="D46" s="1" t="s">
        <v>526</v>
      </c>
      <c r="E46" s="1" t="s">
        <v>527</v>
      </c>
      <c r="F46" s="1" t="s">
        <v>528</v>
      </c>
      <c r="G46" s="1" t="s">
        <v>14129</v>
      </c>
      <c r="H46" s="1" t="s">
        <v>14133</v>
      </c>
      <c r="I46" s="1" t="s">
        <v>14176</v>
      </c>
      <c r="J46" s="1" t="s">
        <v>23</v>
      </c>
      <c r="K46" s="1"/>
      <c r="L46" s="1" t="s">
        <v>110</v>
      </c>
      <c r="M46" s="8" t="s">
        <v>110</v>
      </c>
      <c r="N46" s="1" t="b">
        <f t="shared" si="0"/>
        <v>1</v>
      </c>
      <c r="O46" s="1" t="s">
        <v>529</v>
      </c>
      <c r="P46" s="1" t="s">
        <v>112</v>
      </c>
      <c r="Q46" s="1" t="s">
        <v>113</v>
      </c>
      <c r="R46" s="1" t="s">
        <v>114</v>
      </c>
      <c r="S46" s="1" t="s">
        <v>530</v>
      </c>
      <c r="T46" s="1" t="s">
        <v>531</v>
      </c>
      <c r="U46" s="1" t="s">
        <v>532</v>
      </c>
      <c r="V46" s="13">
        <f>COUNTIF(L46:$M$1659,L46)</f>
        <v>12</v>
      </c>
      <c r="W46" s="1" t="s">
        <v>118</v>
      </c>
      <c r="X46">
        <v>147.68</v>
      </c>
      <c r="Y46">
        <v>3.34</v>
      </c>
      <c r="Z46">
        <v>12.175723</v>
      </c>
      <c r="AA46">
        <v>109.17368</v>
      </c>
      <c r="AB46">
        <v>144.34</v>
      </c>
      <c r="AC46">
        <v>12.1988</v>
      </c>
      <c r="AD46">
        <v>109.176728</v>
      </c>
      <c r="AE46" s="5">
        <f t="shared" si="1"/>
        <v>5.0099999999999997E-3</v>
      </c>
      <c r="AF46" s="5">
        <f t="shared" si="2"/>
        <v>0.21650999999999998</v>
      </c>
      <c r="AG46" s="1" t="str">
        <f>TRIM(LEFT(L46,FIND("-",L46)-1))</f>
        <v>4.PC11a</v>
      </c>
      <c r="AH46" s="1" t="str">
        <f>TRIM(RIGHT(L46, LEN(L46) - FIND("-", L46)))</f>
        <v>PC02_Đoạn cột trung thế</v>
      </c>
      <c r="AJ46">
        <f t="shared" si="3"/>
        <v>3.3399999999999997E-3</v>
      </c>
      <c r="AK46">
        <f t="shared" si="4"/>
        <v>0.14434</v>
      </c>
      <c r="AL46" t="e">
        <f>VLOOKUP(L46,'[1]Tuyến cáp H04'!$B:$E,3,0)/1000</f>
        <v>#N/A</v>
      </c>
      <c r="AM46" t="e">
        <f>VLOOKUP(L46,'[1]Tuyến cáp H04'!$B:$E,4,0)</f>
        <v>#N/A</v>
      </c>
    </row>
    <row r="47" spans="1:39" x14ac:dyDescent="0.25">
      <c r="A47" s="1" t="s">
        <v>533</v>
      </c>
      <c r="B47" s="1" t="s">
        <v>211</v>
      </c>
      <c r="C47" s="1" t="s">
        <v>212</v>
      </c>
      <c r="D47" s="1" t="s">
        <v>534</v>
      </c>
      <c r="E47" s="1" t="s">
        <v>535</v>
      </c>
      <c r="F47" s="1" t="s">
        <v>536</v>
      </c>
      <c r="G47" s="1" t="s">
        <v>14129</v>
      </c>
      <c r="H47" s="1" t="s">
        <v>14133</v>
      </c>
      <c r="I47" s="1" t="s">
        <v>14177</v>
      </c>
      <c r="J47" s="1" t="s">
        <v>23</v>
      </c>
      <c r="K47" s="1"/>
      <c r="L47" s="1" t="s">
        <v>268</v>
      </c>
      <c r="M47" s="8" t="s">
        <v>268</v>
      </c>
      <c r="N47" s="1" t="b">
        <f t="shared" si="0"/>
        <v>1</v>
      </c>
      <c r="O47" s="1" t="s">
        <v>537</v>
      </c>
      <c r="P47" s="1" t="s">
        <v>538</v>
      </c>
      <c r="Q47" s="1" t="s">
        <v>539</v>
      </c>
      <c r="R47" s="1" t="s">
        <v>540</v>
      </c>
      <c r="S47" s="1" t="s">
        <v>541</v>
      </c>
      <c r="T47" s="1" t="s">
        <v>274</v>
      </c>
      <c r="U47" s="1" t="s">
        <v>275</v>
      </c>
      <c r="V47" s="13">
        <f>COUNTIF(L47:$M$1659,L47)</f>
        <v>14</v>
      </c>
      <c r="W47" s="1" t="s">
        <v>276</v>
      </c>
      <c r="X47">
        <v>1012.35</v>
      </c>
      <c r="Y47">
        <v>2.37</v>
      </c>
      <c r="Z47">
        <v>12.251134</v>
      </c>
      <c r="AA47">
        <v>109.186421</v>
      </c>
      <c r="AB47">
        <v>1009.98</v>
      </c>
      <c r="AC47">
        <v>12.254597</v>
      </c>
      <c r="AD47">
        <v>109.180751</v>
      </c>
      <c r="AE47" s="5">
        <f t="shared" si="1"/>
        <v>3.555E-3</v>
      </c>
      <c r="AF47" s="5">
        <f t="shared" si="2"/>
        <v>1.5149699999999999</v>
      </c>
      <c r="AG47" s="1" t="str">
        <f>TRIM(LEFT(L47,FIND("-",L47)-1))</f>
        <v>4.CA Tây Nha Trang</v>
      </c>
      <c r="AH47" s="1" t="str">
        <f>TRIM(RIGHT(L47, LEN(L47) - FIND("-", L47)))</f>
        <v>TTCMKV Diên Khánh</v>
      </c>
      <c r="AJ47">
        <f t="shared" si="3"/>
        <v>2.3700000000000001E-3</v>
      </c>
      <c r="AK47">
        <f t="shared" si="4"/>
        <v>1.0099800000000001</v>
      </c>
      <c r="AL47" t="e">
        <f>VLOOKUP(L47,'[1]Tuyến cáp H04'!$B:$E,3,0)/1000</f>
        <v>#N/A</v>
      </c>
      <c r="AM47" t="e">
        <f>VLOOKUP(L47,'[1]Tuyến cáp H04'!$B:$E,4,0)</f>
        <v>#N/A</v>
      </c>
    </row>
    <row r="48" spans="1:39" x14ac:dyDescent="0.25">
      <c r="A48" s="1" t="s">
        <v>542</v>
      </c>
      <c r="B48" s="1" t="s">
        <v>51</v>
      </c>
      <c r="C48" s="1" t="s">
        <v>52</v>
      </c>
      <c r="D48" s="1" t="s">
        <v>393</v>
      </c>
      <c r="E48" s="1" t="s">
        <v>394</v>
      </c>
      <c r="F48" s="1" t="s">
        <v>543</v>
      </c>
      <c r="G48" s="1" t="s">
        <v>14129</v>
      </c>
      <c r="H48" s="1" t="s">
        <v>14133</v>
      </c>
      <c r="I48" s="1" t="s">
        <v>14178</v>
      </c>
      <c r="J48" s="1" t="s">
        <v>23</v>
      </c>
      <c r="K48" s="1"/>
      <c r="L48" s="1" t="s">
        <v>317</v>
      </c>
      <c r="M48" s="8" t="s">
        <v>317</v>
      </c>
      <c r="N48" s="1" t="b">
        <f t="shared" si="0"/>
        <v>1</v>
      </c>
      <c r="O48" s="1" t="s">
        <v>544</v>
      </c>
      <c r="P48" s="1" t="s">
        <v>545</v>
      </c>
      <c r="Q48" s="1" t="s">
        <v>382</v>
      </c>
      <c r="R48" s="1" t="s">
        <v>383</v>
      </c>
      <c r="S48" s="1" t="s">
        <v>424</v>
      </c>
      <c r="T48" s="1" t="s">
        <v>425</v>
      </c>
      <c r="U48" s="1" t="s">
        <v>426</v>
      </c>
      <c r="V48" s="13">
        <f>COUNTIF(L48:$M$1659,L48)</f>
        <v>4</v>
      </c>
      <c r="W48" s="1" t="s">
        <v>325</v>
      </c>
      <c r="X48">
        <v>3643.19</v>
      </c>
      <c r="Y48">
        <v>2996.83</v>
      </c>
      <c r="Z48">
        <v>12.246168000000001</v>
      </c>
      <c r="AA48">
        <v>109.073882</v>
      </c>
      <c r="AB48">
        <v>646.36</v>
      </c>
      <c r="AC48">
        <v>12.263232</v>
      </c>
      <c r="AD48">
        <v>109.033157</v>
      </c>
      <c r="AE48" s="5">
        <f t="shared" si="1"/>
        <v>4.4952449999999997</v>
      </c>
      <c r="AF48" s="5">
        <f t="shared" si="2"/>
        <v>0.96953999999999996</v>
      </c>
      <c r="AG48" s="1" t="str">
        <f>TRIM(LEFT(L48,FIND("-",L48)-1))</f>
        <v>2.Nhà tạm giam Diên Khánh</v>
      </c>
      <c r="AH48" s="1" t="str">
        <f>TRIM(RIGHT(L48, LEN(L48) - FIND("-", L48)))</f>
        <v>Trại giam A2</v>
      </c>
      <c r="AJ48">
        <f t="shared" si="3"/>
        <v>2.9968300000000001</v>
      </c>
      <c r="AK48">
        <f t="shared" si="4"/>
        <v>0.64636000000000005</v>
      </c>
      <c r="AL48" t="e">
        <f>VLOOKUP(L48,'[1]Tuyến cáp H04'!$B:$E,3,0)/1000</f>
        <v>#N/A</v>
      </c>
      <c r="AM48" t="e">
        <f>VLOOKUP(L48,'[1]Tuyến cáp H04'!$B:$E,4,0)</f>
        <v>#N/A</v>
      </c>
    </row>
    <row r="49" spans="1:39" x14ac:dyDescent="0.25">
      <c r="A49" s="1" t="s">
        <v>546</v>
      </c>
      <c r="B49" s="1" t="s">
        <v>77</v>
      </c>
      <c r="C49" s="1" t="s">
        <v>78</v>
      </c>
      <c r="D49" s="1" t="s">
        <v>51</v>
      </c>
      <c r="E49" s="1" t="s">
        <v>52</v>
      </c>
      <c r="F49" s="1" t="s">
        <v>547</v>
      </c>
      <c r="G49" s="1" t="s">
        <v>14129</v>
      </c>
      <c r="H49" s="1" t="s">
        <v>14133</v>
      </c>
      <c r="I49" s="1" t="s">
        <v>14179</v>
      </c>
      <c r="J49" s="1" t="s">
        <v>23</v>
      </c>
      <c r="K49" s="1"/>
      <c r="L49" s="1" t="s">
        <v>245</v>
      </c>
      <c r="M49" s="8" t="s">
        <v>245</v>
      </c>
      <c r="N49" s="1" t="b">
        <f t="shared" si="0"/>
        <v>1</v>
      </c>
      <c r="O49" s="1" t="s">
        <v>548</v>
      </c>
      <c r="P49" s="1" t="s">
        <v>549</v>
      </c>
      <c r="Q49" s="1" t="s">
        <v>550</v>
      </c>
      <c r="R49" s="1" t="s">
        <v>551</v>
      </c>
      <c r="S49" s="1" t="s">
        <v>552</v>
      </c>
      <c r="T49" s="1" t="s">
        <v>553</v>
      </c>
      <c r="U49" s="1" t="s">
        <v>554</v>
      </c>
      <c r="V49" s="13">
        <f>COUNTIF(L49:$M$1659,L49)</f>
        <v>15</v>
      </c>
      <c r="W49" s="1" t="s">
        <v>555</v>
      </c>
      <c r="X49">
        <v>9316.2800000000007</v>
      </c>
      <c r="Y49">
        <v>4830.5600000000004</v>
      </c>
      <c r="Z49">
        <v>12.209825</v>
      </c>
      <c r="AA49">
        <v>109.146196</v>
      </c>
      <c r="AB49">
        <v>4485.72</v>
      </c>
      <c r="AC49">
        <v>12.183759</v>
      </c>
      <c r="AD49">
        <v>109.099619</v>
      </c>
      <c r="AE49" s="5">
        <f t="shared" si="1"/>
        <v>7.2458400000000003</v>
      </c>
      <c r="AF49" s="5">
        <f t="shared" si="2"/>
        <v>6.72858</v>
      </c>
      <c r="AG49" s="1" t="str">
        <f>TRIM(LEFT(L49,FIND("-",L49)-1))</f>
        <v>5. Cam Phước Đông</v>
      </c>
      <c r="AH49" s="1" t="str">
        <f>TRIM(RIGHT(L49, LEN(L49) - FIND("-", L49)))</f>
        <v>CAT Khánh Hòa</v>
      </c>
      <c r="AJ49">
        <f t="shared" si="3"/>
        <v>4.8305600000000002</v>
      </c>
      <c r="AK49">
        <f t="shared" si="4"/>
        <v>4.4857200000000006</v>
      </c>
      <c r="AL49" t="e">
        <f>VLOOKUP(L49,'[1]Tuyến cáp H04'!$B:$E,3,0)/1000</f>
        <v>#N/A</v>
      </c>
      <c r="AM49" t="e">
        <f>VLOOKUP(L49,'[1]Tuyến cáp H04'!$B:$E,4,0)</f>
        <v>#N/A</v>
      </c>
    </row>
    <row r="50" spans="1:39" x14ac:dyDescent="0.25">
      <c r="A50" s="1" t="s">
        <v>556</v>
      </c>
      <c r="B50" s="1" t="s">
        <v>557</v>
      </c>
      <c r="C50" s="1" t="s">
        <v>558</v>
      </c>
      <c r="D50" s="1" t="s">
        <v>559</v>
      </c>
      <c r="E50" s="1" t="s">
        <v>560</v>
      </c>
      <c r="F50" s="1" t="s">
        <v>561</v>
      </c>
      <c r="G50" s="1" t="s">
        <v>14129</v>
      </c>
      <c r="H50" s="1" t="s">
        <v>14133</v>
      </c>
      <c r="I50" s="1" t="s">
        <v>14180</v>
      </c>
      <c r="J50" s="1" t="s">
        <v>23</v>
      </c>
      <c r="K50" s="1"/>
      <c r="L50" s="1" t="s">
        <v>562</v>
      </c>
      <c r="M50" s="8" t="s">
        <v>562</v>
      </c>
      <c r="N50" s="1" t="b">
        <f t="shared" si="0"/>
        <v>1</v>
      </c>
      <c r="O50" s="1" t="s">
        <v>563</v>
      </c>
      <c r="P50" s="1" t="s">
        <v>564</v>
      </c>
      <c r="Q50" s="1" t="s">
        <v>565</v>
      </c>
      <c r="R50" s="1" t="s">
        <v>566</v>
      </c>
      <c r="S50" s="1" t="s">
        <v>567</v>
      </c>
      <c r="T50" s="1" t="s">
        <v>568</v>
      </c>
      <c r="U50" s="1" t="s">
        <v>569</v>
      </c>
      <c r="V50" s="13">
        <f>COUNTIF(L50:$M$1659,L50)</f>
        <v>2</v>
      </c>
      <c r="W50" s="1" t="s">
        <v>570</v>
      </c>
      <c r="X50">
        <v>145.04</v>
      </c>
      <c r="Y50">
        <v>5.08</v>
      </c>
      <c r="Z50">
        <v>12.540853</v>
      </c>
      <c r="AA50">
        <v>109.00745999999999</v>
      </c>
      <c r="AB50">
        <v>139.96</v>
      </c>
      <c r="AC50">
        <v>12.550335</v>
      </c>
      <c r="AD50">
        <v>109.021041</v>
      </c>
      <c r="AE50" s="5">
        <f t="shared" si="1"/>
        <v>7.62E-3</v>
      </c>
      <c r="AF50" s="5">
        <f t="shared" si="2"/>
        <v>0.20993999999999999</v>
      </c>
      <c r="AG50" s="1" t="str">
        <f>TRIM(LEFT(L50,FIND("-",L50)-1))</f>
        <v>3.CA Tây Ninh Hòa</v>
      </c>
      <c r="AH50" s="1" t="str">
        <f>TRIM(RIGHT(L50, LEN(L50) - FIND("-", L50)))</f>
        <v>CA Hòa Trí</v>
      </c>
      <c r="AJ50">
        <f t="shared" si="3"/>
        <v>5.0800000000000003E-3</v>
      </c>
      <c r="AK50">
        <f t="shared" si="4"/>
        <v>0.13996</v>
      </c>
      <c r="AL50" t="e">
        <f>VLOOKUP(L50,'[1]Tuyến cáp H04'!$B:$E,3,0)/1000</f>
        <v>#N/A</v>
      </c>
      <c r="AM50" t="e">
        <f>VLOOKUP(L50,'[1]Tuyến cáp H04'!$B:$E,4,0)</f>
        <v>#N/A</v>
      </c>
    </row>
    <row r="51" spans="1:39" x14ac:dyDescent="0.25">
      <c r="A51" s="1" t="s">
        <v>571</v>
      </c>
      <c r="B51" s="1" t="s">
        <v>572</v>
      </c>
      <c r="C51" s="1" t="s">
        <v>573</v>
      </c>
      <c r="D51" s="1" t="s">
        <v>574</v>
      </c>
      <c r="E51" s="1" t="s">
        <v>575</v>
      </c>
      <c r="F51" s="1" t="s">
        <v>576</v>
      </c>
      <c r="G51" s="1" t="s">
        <v>14129</v>
      </c>
      <c r="H51" s="1" t="s">
        <v>14133</v>
      </c>
      <c r="I51" s="1" t="s">
        <v>14181</v>
      </c>
      <c r="J51" s="1" t="s">
        <v>23</v>
      </c>
      <c r="K51" s="1"/>
      <c r="L51" s="1" t="s">
        <v>577</v>
      </c>
      <c r="M51" s="8" t="s">
        <v>577</v>
      </c>
      <c r="N51" s="1" t="b">
        <f t="shared" si="0"/>
        <v>1</v>
      </c>
      <c r="O51" s="1" t="s">
        <v>578</v>
      </c>
      <c r="P51" s="1" t="s">
        <v>579</v>
      </c>
      <c r="Q51" s="1" t="s">
        <v>580</v>
      </c>
      <c r="R51" s="1" t="s">
        <v>581</v>
      </c>
      <c r="S51" s="1" t="s">
        <v>582</v>
      </c>
      <c r="T51" s="1" t="s">
        <v>583</v>
      </c>
      <c r="U51" s="1" t="s">
        <v>584</v>
      </c>
      <c r="V51" s="13">
        <f>COUNTIF(L51:$M$1659,L51)</f>
        <v>16</v>
      </c>
      <c r="W51" s="1" t="s">
        <v>585</v>
      </c>
      <c r="X51">
        <v>411.22</v>
      </c>
      <c r="Y51">
        <v>297.85000000000002</v>
      </c>
      <c r="Z51">
        <v>12.507178</v>
      </c>
      <c r="AA51">
        <v>109.13666499999999</v>
      </c>
      <c r="AB51">
        <v>113.37</v>
      </c>
      <c r="AC51">
        <v>12.500529</v>
      </c>
      <c r="AD51">
        <v>109.13312000000001</v>
      </c>
      <c r="AE51" s="5">
        <f t="shared" si="1"/>
        <v>0.44677500000000003</v>
      </c>
      <c r="AF51" s="5">
        <f t="shared" si="2"/>
        <v>0.17005500000000001</v>
      </c>
      <c r="AG51" s="1" t="str">
        <f>TRIM(LEFT(L51,FIND("-",L51)-1))</f>
        <v>3.CA Tân Định</v>
      </c>
      <c r="AH51" s="1" t="str">
        <f>TRIM(RIGHT(L51, LEN(L51) - FIND("-", L51)))</f>
        <v>CA Ninh Hòa</v>
      </c>
      <c r="AJ51">
        <f t="shared" si="3"/>
        <v>0.29785</v>
      </c>
      <c r="AK51">
        <f t="shared" si="4"/>
        <v>0.11337</v>
      </c>
      <c r="AL51" t="e">
        <f>VLOOKUP(L51,'[1]Tuyến cáp H04'!$B:$E,3,0)/1000</f>
        <v>#N/A</v>
      </c>
      <c r="AM51" t="e">
        <f>VLOOKUP(L51,'[1]Tuyến cáp H04'!$B:$E,4,0)</f>
        <v>#N/A</v>
      </c>
    </row>
    <row r="52" spans="1:39" x14ac:dyDescent="0.25">
      <c r="A52" s="1" t="s">
        <v>586</v>
      </c>
      <c r="B52" s="1" t="s">
        <v>572</v>
      </c>
      <c r="C52" s="1" t="s">
        <v>573</v>
      </c>
      <c r="D52" s="1" t="s">
        <v>587</v>
      </c>
      <c r="E52" s="1" t="s">
        <v>588</v>
      </c>
      <c r="F52" s="1" t="s">
        <v>589</v>
      </c>
      <c r="G52" s="1" t="s">
        <v>14129</v>
      </c>
      <c r="H52" s="1" t="s">
        <v>14133</v>
      </c>
      <c r="I52" s="1" t="s">
        <v>14182</v>
      </c>
      <c r="J52" s="1" t="s">
        <v>23</v>
      </c>
      <c r="K52" s="1"/>
      <c r="L52" s="1" t="s">
        <v>590</v>
      </c>
      <c r="M52" s="8" t="s">
        <v>590</v>
      </c>
      <c r="N52" s="1" t="b">
        <f t="shared" si="0"/>
        <v>1</v>
      </c>
      <c r="O52" s="1" t="s">
        <v>591</v>
      </c>
      <c r="P52" s="1" t="s">
        <v>592</v>
      </c>
      <c r="Q52" s="1" t="s">
        <v>593</v>
      </c>
      <c r="R52" s="1" t="s">
        <v>594</v>
      </c>
      <c r="S52" s="1" t="s">
        <v>595</v>
      </c>
      <c r="T52" s="1" t="s">
        <v>596</v>
      </c>
      <c r="U52" s="1" t="s">
        <v>597</v>
      </c>
      <c r="V52" s="13">
        <f>COUNTIF(L52:$M$1659,L52)</f>
        <v>12</v>
      </c>
      <c r="W52" s="1" t="s">
        <v>598</v>
      </c>
      <c r="X52">
        <v>1582.27</v>
      </c>
      <c r="Y52">
        <v>2.77</v>
      </c>
      <c r="Z52">
        <v>12.509724</v>
      </c>
      <c r="AA52">
        <v>109.13747499999999</v>
      </c>
      <c r="AB52">
        <v>1579.51</v>
      </c>
      <c r="AC52">
        <v>12.481318999999999</v>
      </c>
      <c r="AD52">
        <v>109.13125100000001</v>
      </c>
      <c r="AE52" s="5">
        <f t="shared" si="1"/>
        <v>4.1549999999999998E-3</v>
      </c>
      <c r="AF52" s="5">
        <f t="shared" si="2"/>
        <v>2.369265</v>
      </c>
      <c r="AG52" s="1" t="str">
        <f>TRIM(LEFT(L52,FIND("-",L52)-1))</f>
        <v>1.CA Ninh Hòa</v>
      </c>
      <c r="AH52" s="1" t="str">
        <f>TRIM(RIGHT(L52, LEN(L52) - FIND("-", L52)))</f>
        <v>CA Hòa Thắng_Cột trung thế</v>
      </c>
      <c r="AJ52">
        <f t="shared" si="3"/>
        <v>2.7699999999999999E-3</v>
      </c>
      <c r="AK52">
        <f t="shared" si="4"/>
        <v>1.57951</v>
      </c>
      <c r="AL52" t="e">
        <f>VLOOKUP(L52,'[1]Tuyến cáp H04'!$B:$E,3,0)/1000</f>
        <v>#N/A</v>
      </c>
      <c r="AM52" t="e">
        <f>VLOOKUP(L52,'[1]Tuyến cáp H04'!$B:$E,4,0)</f>
        <v>#N/A</v>
      </c>
    </row>
    <row r="53" spans="1:39" x14ac:dyDescent="0.25">
      <c r="A53" s="1" t="s">
        <v>599</v>
      </c>
      <c r="B53" s="1" t="s">
        <v>600</v>
      </c>
      <c r="C53" s="1" t="s">
        <v>601</v>
      </c>
      <c r="D53" s="1" t="s">
        <v>602</v>
      </c>
      <c r="E53" s="1" t="s">
        <v>603</v>
      </c>
      <c r="F53" s="1" t="s">
        <v>604</v>
      </c>
      <c r="G53" s="1" t="s">
        <v>14129</v>
      </c>
      <c r="H53" s="1" t="s">
        <v>14133</v>
      </c>
      <c r="I53" s="1" t="s">
        <v>14183</v>
      </c>
      <c r="J53" s="1" t="s">
        <v>23</v>
      </c>
      <c r="K53" s="1"/>
      <c r="L53" s="1" t="s">
        <v>367</v>
      </c>
      <c r="M53" s="8" t="s">
        <v>367</v>
      </c>
      <c r="N53" s="1" t="b">
        <f t="shared" si="0"/>
        <v>1</v>
      </c>
      <c r="O53" s="1" t="s">
        <v>605</v>
      </c>
      <c r="P53" s="1" t="s">
        <v>606</v>
      </c>
      <c r="Q53" s="1" t="s">
        <v>607</v>
      </c>
      <c r="R53" s="1" t="s">
        <v>608</v>
      </c>
      <c r="S53" s="1" t="s">
        <v>609</v>
      </c>
      <c r="T53" s="1" t="s">
        <v>607</v>
      </c>
      <c r="U53" s="1" t="s">
        <v>608</v>
      </c>
      <c r="V53" s="13">
        <f>COUNTIF(L53:$M$1659,L53)</f>
        <v>8</v>
      </c>
      <c r="W53" s="1" t="s">
        <v>610</v>
      </c>
      <c r="X53">
        <v>325.75</v>
      </c>
      <c r="Y53">
        <v>3.61</v>
      </c>
      <c r="Z53">
        <v>11.962966</v>
      </c>
      <c r="AA53">
        <v>109.09502000000001</v>
      </c>
      <c r="AB53">
        <v>322.14</v>
      </c>
      <c r="AC53">
        <v>11.962966</v>
      </c>
      <c r="AD53">
        <v>109.09502000000001</v>
      </c>
      <c r="AE53" s="5">
        <f t="shared" si="1"/>
        <v>5.4149999999999997E-3</v>
      </c>
      <c r="AF53" s="5">
        <f t="shared" si="2"/>
        <v>0.48320999999999997</v>
      </c>
      <c r="AG53" s="1" t="str">
        <f>TRIM(LEFT(L53,FIND("-",L53)-1))</f>
        <v>2.CA Bắc Cam Ranh</v>
      </c>
      <c r="AH53" s="1" t="str">
        <f>TRIM(RIGHT(L53, LEN(L53) - FIND("-", L53)))</f>
        <v>CA Cam An</v>
      </c>
      <c r="AJ53">
        <f t="shared" si="3"/>
        <v>3.6099999999999999E-3</v>
      </c>
      <c r="AK53">
        <f t="shared" si="4"/>
        <v>0.32213999999999998</v>
      </c>
      <c r="AL53" t="e">
        <f>VLOOKUP(L53,'[1]Tuyến cáp H04'!$B:$E,3,0)/1000</f>
        <v>#N/A</v>
      </c>
      <c r="AM53" t="e">
        <f>VLOOKUP(L53,'[1]Tuyến cáp H04'!$B:$E,4,0)</f>
        <v>#N/A</v>
      </c>
    </row>
    <row r="54" spans="1:39" x14ac:dyDescent="0.25">
      <c r="A54" s="1" t="s">
        <v>611</v>
      </c>
      <c r="B54" s="1" t="s">
        <v>612</v>
      </c>
      <c r="C54" s="1" t="s">
        <v>613</v>
      </c>
      <c r="D54" s="1" t="s">
        <v>614</v>
      </c>
      <c r="E54" s="1" t="s">
        <v>615</v>
      </c>
      <c r="F54" s="1" t="s">
        <v>616</v>
      </c>
      <c r="G54" s="1" t="s">
        <v>14129</v>
      </c>
      <c r="H54" s="1" t="s">
        <v>14133</v>
      </c>
      <c r="I54" s="1" t="s">
        <v>14184</v>
      </c>
      <c r="J54" s="1" t="s">
        <v>23</v>
      </c>
      <c r="K54" s="1"/>
      <c r="L54" s="1" t="s">
        <v>617</v>
      </c>
      <c r="M54" s="8" t="s">
        <v>617</v>
      </c>
      <c r="N54" s="1" t="b">
        <f t="shared" si="0"/>
        <v>1</v>
      </c>
      <c r="O54" s="1" t="s">
        <v>618</v>
      </c>
      <c r="P54" s="1" t="s">
        <v>619</v>
      </c>
      <c r="Q54" s="1" t="s">
        <v>620</v>
      </c>
      <c r="R54" s="1" t="s">
        <v>621</v>
      </c>
      <c r="S54" s="1" t="s">
        <v>622</v>
      </c>
      <c r="T54" s="1" t="s">
        <v>623</v>
      </c>
      <c r="U54" s="1" t="s">
        <v>624</v>
      </c>
      <c r="V54" s="13">
        <f>COUNTIF(L54:$M$1659,L54)</f>
        <v>12</v>
      </c>
      <c r="W54" s="1" t="s">
        <v>625</v>
      </c>
      <c r="X54">
        <v>754.89</v>
      </c>
      <c r="Y54">
        <v>313.88</v>
      </c>
      <c r="Z54">
        <v>11.923</v>
      </c>
      <c r="AA54">
        <v>109.16500000000001</v>
      </c>
      <c r="AB54">
        <v>441.01</v>
      </c>
      <c r="AC54">
        <v>11.911315999999999</v>
      </c>
      <c r="AD54">
        <v>109.152038</v>
      </c>
      <c r="AE54" s="5">
        <f t="shared" si="1"/>
        <v>0.47082000000000002</v>
      </c>
      <c r="AF54" s="5">
        <f t="shared" si="2"/>
        <v>0.66151499999999996</v>
      </c>
      <c r="AG54" s="1" t="str">
        <f>TRIM(LEFT(L54,FIND("-",L54)-1))</f>
        <v>1.CA Cam Ranh</v>
      </c>
      <c r="AH54" s="1" t="str">
        <f>TRIM(RIGHT(L54, LEN(L54) - FIND("-", L54)))</f>
        <v>CA Cam Linh</v>
      </c>
      <c r="AJ54">
        <f t="shared" si="3"/>
        <v>0.31387999999999999</v>
      </c>
      <c r="AK54">
        <f t="shared" si="4"/>
        <v>0.44101000000000001</v>
      </c>
      <c r="AL54" t="e">
        <f>VLOOKUP(L54,'[1]Tuyến cáp H04'!$B:$E,3,0)/1000</f>
        <v>#N/A</v>
      </c>
      <c r="AM54" t="e">
        <f>VLOOKUP(L54,'[1]Tuyến cáp H04'!$B:$E,4,0)</f>
        <v>#N/A</v>
      </c>
    </row>
    <row r="55" spans="1:39" x14ac:dyDescent="0.25">
      <c r="A55" s="1" t="s">
        <v>626</v>
      </c>
      <c r="B55" s="1" t="s">
        <v>572</v>
      </c>
      <c r="C55" s="1" t="s">
        <v>573</v>
      </c>
      <c r="D55" s="1" t="s">
        <v>627</v>
      </c>
      <c r="E55" s="1" t="s">
        <v>628</v>
      </c>
      <c r="F55" s="1" t="s">
        <v>629</v>
      </c>
      <c r="G55" s="1" t="s">
        <v>14129</v>
      </c>
      <c r="H55" s="1" t="s">
        <v>14133</v>
      </c>
      <c r="I55" s="1" t="s">
        <v>14185</v>
      </c>
      <c r="J55" s="1" t="s">
        <v>23</v>
      </c>
      <c r="K55" s="1"/>
      <c r="L55" s="1" t="s">
        <v>590</v>
      </c>
      <c r="M55" s="8" t="s">
        <v>590</v>
      </c>
      <c r="N55" s="1" t="b">
        <f t="shared" si="0"/>
        <v>1</v>
      </c>
      <c r="O55" s="1" t="s">
        <v>630</v>
      </c>
      <c r="P55" s="1" t="s">
        <v>592</v>
      </c>
      <c r="Q55" s="1" t="s">
        <v>593</v>
      </c>
      <c r="R55" s="1" t="s">
        <v>594</v>
      </c>
      <c r="S55" s="1" t="s">
        <v>631</v>
      </c>
      <c r="T55" s="1" t="s">
        <v>632</v>
      </c>
      <c r="U55" s="1" t="s">
        <v>633</v>
      </c>
      <c r="V55" s="13">
        <f>COUNTIF(L55:$M$1659,L55)</f>
        <v>10</v>
      </c>
      <c r="W55" s="1" t="s">
        <v>598</v>
      </c>
      <c r="X55">
        <v>273.39</v>
      </c>
      <c r="Y55">
        <v>2.77</v>
      </c>
      <c r="Z55">
        <v>12.509724</v>
      </c>
      <c r="AA55">
        <v>109.13747499999999</v>
      </c>
      <c r="AB55">
        <v>270.63</v>
      </c>
      <c r="AC55">
        <v>12.486466</v>
      </c>
      <c r="AD55">
        <v>109.134191</v>
      </c>
      <c r="AE55" s="5">
        <f t="shared" si="1"/>
        <v>4.1549999999999998E-3</v>
      </c>
      <c r="AF55" s="5">
        <f t="shared" si="2"/>
        <v>0.405945</v>
      </c>
      <c r="AG55" s="1" t="str">
        <f>TRIM(LEFT(L55,FIND("-",L55)-1))</f>
        <v>1.CA Ninh Hòa</v>
      </c>
      <c r="AH55" s="1" t="str">
        <f>TRIM(RIGHT(L55, LEN(L55) - FIND("-", L55)))</f>
        <v>CA Hòa Thắng_Cột trung thế</v>
      </c>
      <c r="AJ55">
        <f t="shared" si="3"/>
        <v>2.7699999999999999E-3</v>
      </c>
      <c r="AK55">
        <f t="shared" si="4"/>
        <v>0.27062999999999998</v>
      </c>
      <c r="AL55" t="e">
        <f>VLOOKUP(L55,'[1]Tuyến cáp H04'!$B:$E,3,0)/1000</f>
        <v>#N/A</v>
      </c>
      <c r="AM55" t="e">
        <f>VLOOKUP(L55,'[1]Tuyến cáp H04'!$B:$E,4,0)</f>
        <v>#N/A</v>
      </c>
    </row>
    <row r="56" spans="1:39" x14ac:dyDescent="0.25">
      <c r="A56" s="1" t="s">
        <v>634</v>
      </c>
      <c r="B56" s="1" t="s">
        <v>278</v>
      </c>
      <c r="C56" s="1" t="s">
        <v>279</v>
      </c>
      <c r="D56" s="1" t="s">
        <v>635</v>
      </c>
      <c r="E56" s="1" t="s">
        <v>636</v>
      </c>
      <c r="F56" s="1" t="s">
        <v>637</v>
      </c>
      <c r="G56" s="1" t="s">
        <v>14129</v>
      </c>
      <c r="H56" s="1" t="s">
        <v>14133</v>
      </c>
      <c r="I56" s="1" t="s">
        <v>14186</v>
      </c>
      <c r="J56" s="1" t="s">
        <v>23</v>
      </c>
      <c r="K56" s="1"/>
      <c r="L56" s="1" t="s">
        <v>283</v>
      </c>
      <c r="M56" s="8" t="s">
        <v>2441</v>
      </c>
      <c r="N56" s="12" t="b">
        <f t="shared" si="0"/>
        <v>0</v>
      </c>
      <c r="O56" s="1" t="s">
        <v>638</v>
      </c>
      <c r="P56" s="1" t="s">
        <v>285</v>
      </c>
      <c r="Q56" s="1" t="s">
        <v>286</v>
      </c>
      <c r="R56" s="1" t="s">
        <v>287</v>
      </c>
      <c r="S56" s="1" t="s">
        <v>639</v>
      </c>
      <c r="T56" s="1" t="s">
        <v>289</v>
      </c>
      <c r="U56" s="1" t="s">
        <v>290</v>
      </c>
      <c r="V56" s="13">
        <f>COUNTIF(L56:$M$1659,L56)</f>
        <v>35</v>
      </c>
      <c r="W56" s="1" t="s">
        <v>291</v>
      </c>
      <c r="X56">
        <v>519936.28</v>
      </c>
      <c r="Y56">
        <v>252584.19</v>
      </c>
      <c r="Z56">
        <v>14.659686000000001</v>
      </c>
      <c r="AA56">
        <v>107.839439</v>
      </c>
      <c r="AB56">
        <v>267352.08</v>
      </c>
      <c r="AC56">
        <v>14.352316999999999</v>
      </c>
      <c r="AD56">
        <v>108.007831</v>
      </c>
      <c r="AE56" s="5">
        <f t="shared" si="1"/>
        <v>378.87628500000005</v>
      </c>
      <c r="AF56" s="5">
        <f t="shared" si="2"/>
        <v>401.02812</v>
      </c>
      <c r="AG56" s="1" t="str">
        <f>TRIM(LEFT(L56,FIND("-",L56)-1))</f>
        <v>Đăk Tô</v>
      </c>
      <c r="AH56" s="1" t="str">
        <f>TRIM(RIGHT(L56, LEN(L56) - FIND("-", L56)))</f>
        <v>TT2 Kon Tum</v>
      </c>
      <c r="AJ56">
        <f t="shared" si="3"/>
        <v>252.58419000000001</v>
      </c>
      <c r="AK56">
        <f t="shared" si="4"/>
        <v>267.35208</v>
      </c>
      <c r="AL56">
        <f>VLOOKUP(L56,'[1]Tuyến cáp H04'!$B:$E,3,0)/1000</f>
        <v>43.9602</v>
      </c>
      <c r="AM56" t="str">
        <f>VLOOKUP(L56,'[1]Tuyến cáp H04'!$B:$E,4,0)</f>
        <v>Mạng cấp 3</v>
      </c>
    </row>
    <row r="57" spans="1:39" x14ac:dyDescent="0.25">
      <c r="A57" s="1" t="s">
        <v>640</v>
      </c>
      <c r="B57" s="1" t="s">
        <v>278</v>
      </c>
      <c r="C57" s="1" t="s">
        <v>279</v>
      </c>
      <c r="D57" s="1" t="s">
        <v>641</v>
      </c>
      <c r="E57" s="1" t="s">
        <v>642</v>
      </c>
      <c r="F57" s="1" t="s">
        <v>643</v>
      </c>
      <c r="G57" s="1" t="s">
        <v>14129</v>
      </c>
      <c r="H57" s="1" t="s">
        <v>14133</v>
      </c>
      <c r="I57" s="1" t="s">
        <v>14187</v>
      </c>
      <c r="J57" s="1" t="s">
        <v>23</v>
      </c>
      <c r="K57" s="1"/>
      <c r="L57" s="1" t="s">
        <v>283</v>
      </c>
      <c r="M57" s="8" t="s">
        <v>2441</v>
      </c>
      <c r="N57" s="12" t="b">
        <f t="shared" si="0"/>
        <v>0</v>
      </c>
      <c r="O57" s="1" t="s">
        <v>644</v>
      </c>
      <c r="P57" s="1" t="s">
        <v>285</v>
      </c>
      <c r="Q57" s="1" t="s">
        <v>286</v>
      </c>
      <c r="R57" s="1" t="s">
        <v>287</v>
      </c>
      <c r="S57" s="1" t="s">
        <v>645</v>
      </c>
      <c r="T57" s="1" t="s">
        <v>289</v>
      </c>
      <c r="U57" s="1" t="s">
        <v>290</v>
      </c>
      <c r="V57" s="13">
        <f>COUNTIF(L57:$M$1659,L57)</f>
        <v>34</v>
      </c>
      <c r="W57" s="1" t="s">
        <v>291</v>
      </c>
      <c r="X57">
        <v>519909.29</v>
      </c>
      <c r="Y57">
        <v>252584.19</v>
      </c>
      <c r="Z57">
        <v>14.659686000000001</v>
      </c>
      <c r="AA57">
        <v>107.839439</v>
      </c>
      <c r="AB57">
        <v>267325.09000000003</v>
      </c>
      <c r="AC57">
        <v>14.352316999999999</v>
      </c>
      <c r="AD57">
        <v>108.007831</v>
      </c>
      <c r="AE57" s="5">
        <f t="shared" si="1"/>
        <v>378.87628500000005</v>
      </c>
      <c r="AF57" s="5">
        <f t="shared" si="2"/>
        <v>400.98763500000001</v>
      </c>
      <c r="AG57" s="1" t="str">
        <f>TRIM(LEFT(L57,FIND("-",L57)-1))</f>
        <v>Đăk Tô</v>
      </c>
      <c r="AH57" s="1" t="str">
        <f>TRIM(RIGHT(L57, LEN(L57) - FIND("-", L57)))</f>
        <v>TT2 Kon Tum</v>
      </c>
      <c r="AJ57">
        <f t="shared" si="3"/>
        <v>252.58419000000001</v>
      </c>
      <c r="AK57">
        <f t="shared" si="4"/>
        <v>267.32509000000005</v>
      </c>
      <c r="AL57">
        <f>VLOOKUP(L57,'[1]Tuyến cáp H04'!$B:$E,3,0)/1000</f>
        <v>43.9602</v>
      </c>
      <c r="AM57" t="str">
        <f>VLOOKUP(L57,'[1]Tuyến cáp H04'!$B:$E,4,0)</f>
        <v>Mạng cấp 3</v>
      </c>
    </row>
    <row r="58" spans="1:39" x14ac:dyDescent="0.25">
      <c r="A58" s="1" t="s">
        <v>646</v>
      </c>
      <c r="B58" s="1" t="s">
        <v>278</v>
      </c>
      <c r="C58" s="1" t="s">
        <v>279</v>
      </c>
      <c r="D58" s="1" t="s">
        <v>647</v>
      </c>
      <c r="E58" s="1" t="s">
        <v>648</v>
      </c>
      <c r="F58" s="1" t="s">
        <v>649</v>
      </c>
      <c r="G58" s="1" t="s">
        <v>14129</v>
      </c>
      <c r="H58" s="1" t="s">
        <v>14133</v>
      </c>
      <c r="I58" s="1" t="s">
        <v>14188</v>
      </c>
      <c r="J58" s="1" t="s">
        <v>23</v>
      </c>
      <c r="K58" s="1"/>
      <c r="L58" s="1" t="s">
        <v>283</v>
      </c>
      <c r="M58" s="8" t="s">
        <v>2196</v>
      </c>
      <c r="N58" s="12" t="b">
        <f t="shared" si="0"/>
        <v>0</v>
      </c>
      <c r="O58" s="1" t="s">
        <v>650</v>
      </c>
      <c r="P58" s="1" t="s">
        <v>285</v>
      </c>
      <c r="Q58" s="1" t="s">
        <v>286</v>
      </c>
      <c r="R58" s="1" t="s">
        <v>287</v>
      </c>
      <c r="S58" s="1" t="s">
        <v>651</v>
      </c>
      <c r="T58" s="1" t="s">
        <v>289</v>
      </c>
      <c r="U58" s="1" t="s">
        <v>290</v>
      </c>
      <c r="V58" s="13">
        <f>COUNTIF(L58:$M$1659,L58)</f>
        <v>33</v>
      </c>
      <c r="W58" s="1" t="s">
        <v>291</v>
      </c>
      <c r="X58">
        <v>520201.97</v>
      </c>
      <c r="Y58">
        <v>252584.19</v>
      </c>
      <c r="Z58">
        <v>14.659686000000001</v>
      </c>
      <c r="AA58">
        <v>107.839439</v>
      </c>
      <c r="AB58">
        <v>267617.77</v>
      </c>
      <c r="AC58">
        <v>14.352316999999999</v>
      </c>
      <c r="AD58">
        <v>108.007831</v>
      </c>
      <c r="AE58" s="5">
        <f t="shared" si="1"/>
        <v>378.87628500000005</v>
      </c>
      <c r="AF58" s="5">
        <f t="shared" si="2"/>
        <v>401.42665500000004</v>
      </c>
      <c r="AG58" s="1" t="str">
        <f>TRIM(LEFT(L58,FIND("-",L58)-1))</f>
        <v>Đăk Tô</v>
      </c>
      <c r="AH58" s="1" t="str">
        <f>TRIM(RIGHT(L58, LEN(L58) - FIND("-", L58)))</f>
        <v>TT2 Kon Tum</v>
      </c>
      <c r="AJ58">
        <f t="shared" si="3"/>
        <v>252.58419000000001</v>
      </c>
      <c r="AK58">
        <f t="shared" si="4"/>
        <v>267.61777000000001</v>
      </c>
      <c r="AL58">
        <f>VLOOKUP(L58,'[1]Tuyến cáp H04'!$B:$E,3,0)/1000</f>
        <v>43.9602</v>
      </c>
      <c r="AM58" t="str">
        <f>VLOOKUP(L58,'[1]Tuyến cáp H04'!$B:$E,4,0)</f>
        <v>Mạng cấp 3</v>
      </c>
    </row>
    <row r="59" spans="1:39" x14ac:dyDescent="0.25">
      <c r="A59" s="1" t="s">
        <v>652</v>
      </c>
      <c r="B59" s="1" t="s">
        <v>128</v>
      </c>
      <c r="C59" s="1" t="s">
        <v>129</v>
      </c>
      <c r="D59" s="1" t="s">
        <v>653</v>
      </c>
      <c r="E59" s="1" t="s">
        <v>654</v>
      </c>
      <c r="F59" s="1" t="s">
        <v>655</v>
      </c>
      <c r="G59" s="1" t="s">
        <v>14129</v>
      </c>
      <c r="H59" s="1" t="s">
        <v>14133</v>
      </c>
      <c r="I59" s="1" t="s">
        <v>14189</v>
      </c>
      <c r="J59" s="1" t="s">
        <v>23</v>
      </c>
      <c r="K59" s="1"/>
      <c r="L59" s="1" t="s">
        <v>283</v>
      </c>
      <c r="M59" s="8" t="s">
        <v>2441</v>
      </c>
      <c r="N59" s="12" t="b">
        <f t="shared" si="0"/>
        <v>0</v>
      </c>
      <c r="O59" s="1" t="s">
        <v>656</v>
      </c>
      <c r="P59" s="1" t="s">
        <v>657</v>
      </c>
      <c r="Q59" s="1" t="s">
        <v>286</v>
      </c>
      <c r="R59" s="1" t="s">
        <v>287</v>
      </c>
      <c r="S59" s="1" t="s">
        <v>658</v>
      </c>
      <c r="T59" s="1" t="s">
        <v>289</v>
      </c>
      <c r="U59" s="1" t="s">
        <v>290</v>
      </c>
      <c r="V59" s="13">
        <f>COUNTIF(L59:$M$1659,L59)</f>
        <v>32</v>
      </c>
      <c r="W59" s="1" t="s">
        <v>291</v>
      </c>
      <c r="X59">
        <v>516735.24</v>
      </c>
      <c r="Y59">
        <v>249642.72</v>
      </c>
      <c r="Z59">
        <v>14.659686000000001</v>
      </c>
      <c r="AA59">
        <v>107.839439</v>
      </c>
      <c r="AB59">
        <v>267092.52</v>
      </c>
      <c r="AC59">
        <v>14.352316999999999</v>
      </c>
      <c r="AD59">
        <v>108.007831</v>
      </c>
      <c r="AE59" s="5">
        <f t="shared" si="1"/>
        <v>374.46408000000002</v>
      </c>
      <c r="AF59" s="5">
        <f t="shared" si="2"/>
        <v>400.63878000000005</v>
      </c>
      <c r="AG59" s="1" t="str">
        <f>TRIM(LEFT(L59,FIND("-",L59)-1))</f>
        <v>Đăk Tô</v>
      </c>
      <c r="AH59" s="1" t="str">
        <f>TRIM(RIGHT(L59, LEN(L59) - FIND("-", L59)))</f>
        <v>TT2 Kon Tum</v>
      </c>
      <c r="AJ59">
        <f t="shared" si="3"/>
        <v>249.64272</v>
      </c>
      <c r="AK59">
        <f t="shared" si="4"/>
        <v>267.09252000000004</v>
      </c>
      <c r="AL59">
        <f>VLOOKUP(L59,'[1]Tuyến cáp H04'!$B:$E,3,0)/1000</f>
        <v>43.9602</v>
      </c>
      <c r="AM59" t="str">
        <f>VLOOKUP(L59,'[1]Tuyến cáp H04'!$B:$E,4,0)</f>
        <v>Mạng cấp 3</v>
      </c>
    </row>
    <row r="60" spans="1:39" x14ac:dyDescent="0.25">
      <c r="A60" s="1" t="s">
        <v>659</v>
      </c>
      <c r="B60" s="1" t="s">
        <v>128</v>
      </c>
      <c r="C60" s="1" t="s">
        <v>129</v>
      </c>
      <c r="D60" s="1" t="s">
        <v>660</v>
      </c>
      <c r="E60" s="1" t="s">
        <v>661</v>
      </c>
      <c r="F60" s="1" t="s">
        <v>662</v>
      </c>
      <c r="G60" s="1" t="s">
        <v>14129</v>
      </c>
      <c r="H60" s="1" t="s">
        <v>14133</v>
      </c>
      <c r="I60" s="1" t="s">
        <v>14190</v>
      </c>
      <c r="J60" s="1" t="s">
        <v>23</v>
      </c>
      <c r="K60" s="1"/>
      <c r="L60" s="1" t="s">
        <v>283</v>
      </c>
      <c r="M60" s="8" t="s">
        <v>1328</v>
      </c>
      <c r="N60" s="12" t="b">
        <f t="shared" si="0"/>
        <v>0</v>
      </c>
      <c r="O60" s="1" t="s">
        <v>663</v>
      </c>
      <c r="P60" s="1" t="s">
        <v>657</v>
      </c>
      <c r="Q60" s="1" t="s">
        <v>286</v>
      </c>
      <c r="R60" s="1" t="s">
        <v>287</v>
      </c>
      <c r="S60" s="1" t="s">
        <v>664</v>
      </c>
      <c r="T60" s="1" t="s">
        <v>289</v>
      </c>
      <c r="U60" s="1" t="s">
        <v>290</v>
      </c>
      <c r="V60" s="13">
        <f>COUNTIF(L60:$M$1659,L60)</f>
        <v>31</v>
      </c>
      <c r="W60" s="1" t="s">
        <v>291</v>
      </c>
      <c r="X60">
        <v>516210.17</v>
      </c>
      <c r="Y60">
        <v>249642.72</v>
      </c>
      <c r="Z60">
        <v>14.659686000000001</v>
      </c>
      <c r="AA60">
        <v>107.839439</v>
      </c>
      <c r="AB60">
        <v>266567.44</v>
      </c>
      <c r="AC60">
        <v>14.352316999999999</v>
      </c>
      <c r="AD60">
        <v>108.007831</v>
      </c>
      <c r="AE60" s="5">
        <f t="shared" si="1"/>
        <v>374.46408000000002</v>
      </c>
      <c r="AF60" s="5">
        <f t="shared" si="2"/>
        <v>399.85116000000005</v>
      </c>
      <c r="AG60" s="1" t="str">
        <f>TRIM(LEFT(L60,FIND("-",L60)-1))</f>
        <v>Đăk Tô</v>
      </c>
      <c r="AH60" s="1" t="str">
        <f>TRIM(RIGHT(L60, LEN(L60) - FIND("-", L60)))</f>
        <v>TT2 Kon Tum</v>
      </c>
      <c r="AJ60">
        <f t="shared" si="3"/>
        <v>249.64272</v>
      </c>
      <c r="AK60">
        <f t="shared" si="4"/>
        <v>266.56743999999998</v>
      </c>
      <c r="AL60">
        <f>VLOOKUP(L60,'[1]Tuyến cáp H04'!$B:$E,3,0)/1000</f>
        <v>43.9602</v>
      </c>
      <c r="AM60" t="str">
        <f>VLOOKUP(L60,'[1]Tuyến cáp H04'!$B:$E,4,0)</f>
        <v>Mạng cấp 3</v>
      </c>
    </row>
    <row r="61" spans="1:39" x14ac:dyDescent="0.25">
      <c r="A61" s="1" t="s">
        <v>665</v>
      </c>
      <c r="B61" s="1" t="s">
        <v>263</v>
      </c>
      <c r="C61" s="1" t="s">
        <v>264</v>
      </c>
      <c r="D61" s="1" t="s">
        <v>666</v>
      </c>
      <c r="E61" s="1" t="s">
        <v>667</v>
      </c>
      <c r="F61" s="1" t="s">
        <v>668</v>
      </c>
      <c r="G61" s="1" t="s">
        <v>14129</v>
      </c>
      <c r="H61" s="1" t="s">
        <v>14133</v>
      </c>
      <c r="I61" s="1" t="s">
        <v>14191</v>
      </c>
      <c r="J61" s="1" t="s">
        <v>23</v>
      </c>
      <c r="K61" s="1"/>
      <c r="L61" s="1" t="s">
        <v>296</v>
      </c>
      <c r="M61" s="8" t="s">
        <v>296</v>
      </c>
      <c r="N61" s="1" t="b">
        <f t="shared" si="0"/>
        <v>1</v>
      </c>
      <c r="O61" s="1" t="s">
        <v>669</v>
      </c>
      <c r="P61" s="1" t="s">
        <v>670</v>
      </c>
      <c r="Q61" s="1" t="s">
        <v>671</v>
      </c>
      <c r="R61" s="1" t="s">
        <v>672</v>
      </c>
      <c r="S61" s="1" t="s">
        <v>673</v>
      </c>
      <c r="T61" s="1" t="s">
        <v>674</v>
      </c>
      <c r="U61" s="1" t="s">
        <v>675</v>
      </c>
      <c r="V61" s="13">
        <f>COUNTIF(L61:$M$1659,L61)</f>
        <v>11</v>
      </c>
      <c r="W61" s="1" t="s">
        <v>676</v>
      </c>
      <c r="X61">
        <v>94.89</v>
      </c>
      <c r="Y61">
        <v>80.62</v>
      </c>
      <c r="Z61">
        <v>12.249428</v>
      </c>
      <c r="AA61">
        <v>109.184727</v>
      </c>
      <c r="AB61">
        <v>14.27</v>
      </c>
      <c r="AC61">
        <v>12.250778</v>
      </c>
      <c r="AD61">
        <v>109.17798000000001</v>
      </c>
      <c r="AE61" s="5">
        <f t="shared" si="1"/>
        <v>0.12093000000000001</v>
      </c>
      <c r="AF61" s="5">
        <f t="shared" si="2"/>
        <v>2.1405E-2</v>
      </c>
      <c r="AG61" s="1" t="str">
        <f>TRIM(LEFT(L61,FIND("-",L61)-1))</f>
        <v>3. Trại giam A2</v>
      </c>
      <c r="AH61" s="1" t="str">
        <f>TRIM(RIGHT(L61, LEN(L61) - FIND("-", L61)))</f>
        <v>CATP Nha trang cũ</v>
      </c>
      <c r="AJ61">
        <f t="shared" si="3"/>
        <v>8.0620000000000011E-2</v>
      </c>
      <c r="AK61">
        <f t="shared" si="4"/>
        <v>1.427E-2</v>
      </c>
      <c r="AL61" t="e">
        <f>VLOOKUP(L61,'[1]Tuyến cáp H04'!$B:$E,3,0)/1000</f>
        <v>#N/A</v>
      </c>
      <c r="AM61" t="e">
        <f>VLOOKUP(L61,'[1]Tuyến cáp H04'!$B:$E,4,0)</f>
        <v>#N/A</v>
      </c>
    </row>
    <row r="62" spans="1:39" x14ac:dyDescent="0.25">
      <c r="A62" s="1" t="s">
        <v>677</v>
      </c>
      <c r="B62" s="1" t="s">
        <v>240</v>
      </c>
      <c r="C62" s="1" t="s">
        <v>241</v>
      </c>
      <c r="D62" s="1" t="s">
        <v>678</v>
      </c>
      <c r="E62" s="1" t="s">
        <v>679</v>
      </c>
      <c r="F62" s="1" t="s">
        <v>680</v>
      </c>
      <c r="G62" s="1" t="s">
        <v>14129</v>
      </c>
      <c r="H62" s="1" t="s">
        <v>14133</v>
      </c>
      <c r="I62" s="1" t="s">
        <v>14192</v>
      </c>
      <c r="J62" s="1" t="s">
        <v>23</v>
      </c>
      <c r="K62" s="1"/>
      <c r="L62" s="1" t="s">
        <v>681</v>
      </c>
      <c r="M62" s="8" t="s">
        <v>681</v>
      </c>
      <c r="N62" s="1" t="b">
        <f t="shared" si="0"/>
        <v>1</v>
      </c>
      <c r="O62" s="1" t="s">
        <v>682</v>
      </c>
      <c r="P62" s="1" t="s">
        <v>683</v>
      </c>
      <c r="Q62" s="1" t="s">
        <v>684</v>
      </c>
      <c r="R62" s="1" t="s">
        <v>685</v>
      </c>
      <c r="S62" s="1" t="s">
        <v>686</v>
      </c>
      <c r="T62" s="1" t="s">
        <v>687</v>
      </c>
      <c r="U62" s="1" t="s">
        <v>688</v>
      </c>
      <c r="V62" s="13">
        <f>COUNTIF(L62:$M$1659,L62)</f>
        <v>3</v>
      </c>
      <c r="W62" s="1" t="s">
        <v>689</v>
      </c>
      <c r="X62">
        <v>134.29</v>
      </c>
      <c r="Y62">
        <v>4.67</v>
      </c>
      <c r="Z62">
        <v>12.236451000000001</v>
      </c>
      <c r="AA62">
        <v>109.184562</v>
      </c>
      <c r="AB62">
        <v>129.63</v>
      </c>
      <c r="AC62">
        <v>12.236749</v>
      </c>
      <c r="AD62">
        <v>109.185765</v>
      </c>
      <c r="AE62" s="5">
        <f t="shared" si="1"/>
        <v>7.0049999999999999E-3</v>
      </c>
      <c r="AF62" s="5">
        <f t="shared" si="2"/>
        <v>0.19444500000000001</v>
      </c>
      <c r="AG62" s="1" t="str">
        <f>TRIM(LEFT(L62,FIND("-",L62)-1))</f>
        <v>2.PC07</v>
      </c>
      <c r="AH62" s="1" t="str">
        <f>TRIM(RIGHT(L62, LEN(L62) - FIND("-", L62)))</f>
        <v>PA06 cs2_Cột hạ thế</v>
      </c>
      <c r="AJ62">
        <f t="shared" si="3"/>
        <v>4.6699999999999997E-3</v>
      </c>
      <c r="AK62">
        <f t="shared" si="4"/>
        <v>0.12963</v>
      </c>
      <c r="AL62" t="e">
        <f>VLOOKUP(L62,'[1]Tuyến cáp H04'!$B:$E,3,0)/1000</f>
        <v>#N/A</v>
      </c>
      <c r="AM62" t="e">
        <f>VLOOKUP(L62,'[1]Tuyến cáp H04'!$B:$E,4,0)</f>
        <v>#N/A</v>
      </c>
    </row>
    <row r="63" spans="1:39" x14ac:dyDescent="0.25">
      <c r="A63" s="1" t="s">
        <v>690</v>
      </c>
      <c r="B63" s="1" t="s">
        <v>128</v>
      </c>
      <c r="C63" s="1" t="s">
        <v>129</v>
      </c>
      <c r="D63" s="1" t="s">
        <v>691</v>
      </c>
      <c r="E63" s="1" t="s">
        <v>692</v>
      </c>
      <c r="F63" s="1" t="s">
        <v>693</v>
      </c>
      <c r="G63" s="1" t="s">
        <v>14129</v>
      </c>
      <c r="H63" s="1" t="s">
        <v>14133</v>
      </c>
      <c r="I63" s="1" t="s">
        <v>14193</v>
      </c>
      <c r="J63" s="1" t="s">
        <v>23</v>
      </c>
      <c r="K63" s="1"/>
      <c r="L63" s="1" t="s">
        <v>283</v>
      </c>
      <c r="M63" s="8" t="s">
        <v>2441</v>
      </c>
      <c r="N63" s="12" t="b">
        <f t="shared" si="0"/>
        <v>0</v>
      </c>
      <c r="O63" s="1" t="s">
        <v>694</v>
      </c>
      <c r="P63" s="1" t="s">
        <v>657</v>
      </c>
      <c r="Q63" s="1" t="s">
        <v>286</v>
      </c>
      <c r="R63" s="1" t="s">
        <v>287</v>
      </c>
      <c r="S63" s="1" t="s">
        <v>695</v>
      </c>
      <c r="T63" s="1" t="s">
        <v>289</v>
      </c>
      <c r="U63" s="1" t="s">
        <v>290</v>
      </c>
      <c r="V63" s="13">
        <f>COUNTIF(L63:$M$1659,L63)</f>
        <v>30</v>
      </c>
      <c r="W63" s="1" t="s">
        <v>291</v>
      </c>
      <c r="X63">
        <v>516789.8</v>
      </c>
      <c r="Y63">
        <v>249642.72</v>
      </c>
      <c r="Z63">
        <v>14.659686000000001</v>
      </c>
      <c r="AA63">
        <v>107.839439</v>
      </c>
      <c r="AB63">
        <v>267147.08</v>
      </c>
      <c r="AC63">
        <v>14.352316999999999</v>
      </c>
      <c r="AD63">
        <v>108.007831</v>
      </c>
      <c r="AE63" s="5">
        <f t="shared" si="1"/>
        <v>374.46408000000002</v>
      </c>
      <c r="AF63" s="5">
        <f t="shared" si="2"/>
        <v>400.72062</v>
      </c>
      <c r="AG63" s="1" t="str">
        <f>TRIM(LEFT(L63,FIND("-",L63)-1))</f>
        <v>Đăk Tô</v>
      </c>
      <c r="AH63" s="1" t="str">
        <f>TRIM(RIGHT(L63, LEN(L63) - FIND("-", L63)))</f>
        <v>TT2 Kon Tum</v>
      </c>
      <c r="AJ63">
        <f t="shared" si="3"/>
        <v>249.64272</v>
      </c>
      <c r="AK63">
        <f t="shared" si="4"/>
        <v>267.14708000000002</v>
      </c>
      <c r="AL63">
        <f>VLOOKUP(L63,'[1]Tuyến cáp H04'!$B:$E,3,0)/1000</f>
        <v>43.9602</v>
      </c>
      <c r="AM63" t="str">
        <f>VLOOKUP(L63,'[1]Tuyến cáp H04'!$B:$E,4,0)</f>
        <v>Mạng cấp 3</v>
      </c>
    </row>
    <row r="64" spans="1:39" x14ac:dyDescent="0.25">
      <c r="A64" s="1" t="s">
        <v>696</v>
      </c>
      <c r="B64" s="1" t="s">
        <v>128</v>
      </c>
      <c r="C64" s="1" t="s">
        <v>129</v>
      </c>
      <c r="D64" s="1" t="s">
        <v>697</v>
      </c>
      <c r="E64" s="1" t="s">
        <v>698</v>
      </c>
      <c r="F64" s="1" t="s">
        <v>699</v>
      </c>
      <c r="G64" s="1" t="s">
        <v>14129</v>
      </c>
      <c r="H64" s="1" t="s">
        <v>14133</v>
      </c>
      <c r="I64" s="1" t="s">
        <v>14194</v>
      </c>
      <c r="J64" s="1" t="s">
        <v>23</v>
      </c>
      <c r="K64" s="1"/>
      <c r="L64" s="1" t="s">
        <v>283</v>
      </c>
      <c r="M64" s="8" t="s">
        <v>1328</v>
      </c>
      <c r="N64" s="12" t="b">
        <f t="shared" si="0"/>
        <v>0</v>
      </c>
      <c r="O64" s="1" t="s">
        <v>700</v>
      </c>
      <c r="P64" s="1" t="s">
        <v>657</v>
      </c>
      <c r="Q64" s="1" t="s">
        <v>286</v>
      </c>
      <c r="R64" s="1" t="s">
        <v>287</v>
      </c>
      <c r="S64" s="1" t="s">
        <v>701</v>
      </c>
      <c r="T64" s="1" t="s">
        <v>289</v>
      </c>
      <c r="U64" s="1" t="s">
        <v>290</v>
      </c>
      <c r="V64" s="13">
        <f>COUNTIF(L64:$M$1659,L64)</f>
        <v>29</v>
      </c>
      <c r="W64" s="1" t="s">
        <v>291</v>
      </c>
      <c r="X64">
        <v>516266.32</v>
      </c>
      <c r="Y64">
        <v>249642.72</v>
      </c>
      <c r="Z64">
        <v>14.659686000000001</v>
      </c>
      <c r="AA64">
        <v>107.839439</v>
      </c>
      <c r="AB64">
        <v>266623.59000000003</v>
      </c>
      <c r="AC64">
        <v>14.352316999999999</v>
      </c>
      <c r="AD64">
        <v>108.007831</v>
      </c>
      <c r="AE64" s="5">
        <f t="shared" si="1"/>
        <v>374.46408000000002</v>
      </c>
      <c r="AF64" s="5">
        <f t="shared" si="2"/>
        <v>399.935385</v>
      </c>
      <c r="AG64" s="1" t="str">
        <f>TRIM(LEFT(L64,FIND("-",L64)-1))</f>
        <v>Đăk Tô</v>
      </c>
      <c r="AH64" s="1" t="str">
        <f>TRIM(RIGHT(L64, LEN(L64) - FIND("-", L64)))</f>
        <v>TT2 Kon Tum</v>
      </c>
      <c r="AJ64">
        <f t="shared" si="3"/>
        <v>249.64272</v>
      </c>
      <c r="AK64">
        <f t="shared" si="4"/>
        <v>266.62359000000004</v>
      </c>
      <c r="AL64">
        <f>VLOOKUP(L64,'[1]Tuyến cáp H04'!$B:$E,3,0)/1000</f>
        <v>43.9602</v>
      </c>
      <c r="AM64" t="str">
        <f>VLOOKUP(L64,'[1]Tuyến cáp H04'!$B:$E,4,0)</f>
        <v>Mạng cấp 3</v>
      </c>
    </row>
    <row r="65" spans="1:39" x14ac:dyDescent="0.25">
      <c r="A65" s="1" t="s">
        <v>702</v>
      </c>
      <c r="B65" s="1" t="s">
        <v>240</v>
      </c>
      <c r="C65" s="1" t="s">
        <v>241</v>
      </c>
      <c r="D65" s="1" t="s">
        <v>703</v>
      </c>
      <c r="E65" s="1" t="s">
        <v>704</v>
      </c>
      <c r="F65" s="1" t="s">
        <v>705</v>
      </c>
      <c r="G65" s="1" t="s">
        <v>14129</v>
      </c>
      <c r="H65" s="1" t="s">
        <v>14133</v>
      </c>
      <c r="I65" s="1" t="s">
        <v>14195</v>
      </c>
      <c r="J65" s="1" t="s">
        <v>23</v>
      </c>
      <c r="K65" s="1"/>
      <c r="L65" s="1" t="s">
        <v>82</v>
      </c>
      <c r="M65" s="8" t="s">
        <v>82</v>
      </c>
      <c r="N65" s="1" t="b">
        <f t="shared" si="0"/>
        <v>1</v>
      </c>
      <c r="O65" s="1" t="s">
        <v>706</v>
      </c>
      <c r="P65" s="1" t="s">
        <v>707</v>
      </c>
      <c r="Q65" s="1" t="s">
        <v>708</v>
      </c>
      <c r="R65" s="1" t="s">
        <v>709</v>
      </c>
      <c r="S65" s="1" t="s">
        <v>710</v>
      </c>
      <c r="T65" s="1" t="s">
        <v>711</v>
      </c>
      <c r="U65" s="1" t="s">
        <v>712</v>
      </c>
      <c r="V65" s="13">
        <f>COUNTIF(L65:$M$1659,L65)</f>
        <v>11</v>
      </c>
      <c r="W65" s="1" t="s">
        <v>713</v>
      </c>
      <c r="X65">
        <v>609.57000000000005</v>
      </c>
      <c r="Y65">
        <v>15.81</v>
      </c>
      <c r="Z65">
        <v>12.236330000000001</v>
      </c>
      <c r="AA65">
        <v>109.18457600000001</v>
      </c>
      <c r="AB65">
        <v>593.76</v>
      </c>
      <c r="AC65">
        <v>12.235099999999999</v>
      </c>
      <c r="AD65">
        <v>109.183842</v>
      </c>
      <c r="AE65" s="5">
        <f t="shared" si="1"/>
        <v>2.3715E-2</v>
      </c>
      <c r="AF65" s="5">
        <f t="shared" si="2"/>
        <v>0.89063999999999999</v>
      </c>
      <c r="AG65" s="1" t="str">
        <f>TRIM(LEFT(L65,FIND("-",L65)-1))</f>
        <v>3.PA06 cs2</v>
      </c>
      <c r="AH65" s="1" t="str">
        <f>TRIM(RIGHT(L65, LEN(L65) - FIND("-", L65)))</f>
        <v>PC11a</v>
      </c>
      <c r="AJ65">
        <f t="shared" si="3"/>
        <v>1.5810000000000001E-2</v>
      </c>
      <c r="AK65">
        <f t="shared" si="4"/>
        <v>0.59375999999999995</v>
      </c>
      <c r="AL65" t="e">
        <f>VLOOKUP(L65,'[1]Tuyến cáp H04'!$B:$E,3,0)/1000</f>
        <v>#N/A</v>
      </c>
      <c r="AM65" t="e">
        <f>VLOOKUP(L65,'[1]Tuyến cáp H04'!$B:$E,4,0)</f>
        <v>#N/A</v>
      </c>
    </row>
    <row r="66" spans="1:39" x14ac:dyDescent="0.25">
      <c r="A66" s="1" t="s">
        <v>714</v>
      </c>
      <c r="B66" s="1" t="s">
        <v>34</v>
      </c>
      <c r="C66" s="1" t="s">
        <v>35</v>
      </c>
      <c r="D66" s="1" t="s">
        <v>715</v>
      </c>
      <c r="E66" s="1" t="s">
        <v>716</v>
      </c>
      <c r="F66" s="1" t="s">
        <v>717</v>
      </c>
      <c r="G66" s="1" t="s">
        <v>14129</v>
      </c>
      <c r="H66" s="1" t="s">
        <v>14133</v>
      </c>
      <c r="I66" s="1" t="s">
        <v>14196</v>
      </c>
      <c r="J66" s="1" t="s">
        <v>23</v>
      </c>
      <c r="K66" s="1"/>
      <c r="L66" s="1" t="s">
        <v>39</v>
      </c>
      <c r="M66" s="8" t="s">
        <v>39</v>
      </c>
      <c r="N66" s="1" t="b">
        <f t="shared" si="0"/>
        <v>1</v>
      </c>
      <c r="O66" s="1" t="s">
        <v>718</v>
      </c>
      <c r="P66" s="1" t="s">
        <v>41</v>
      </c>
      <c r="Q66" s="1" t="s">
        <v>42</v>
      </c>
      <c r="R66" s="1" t="s">
        <v>43</v>
      </c>
      <c r="S66" s="1" t="s">
        <v>719</v>
      </c>
      <c r="T66" s="1" t="s">
        <v>720</v>
      </c>
      <c r="U66" s="1" t="s">
        <v>721</v>
      </c>
      <c r="V66" s="13">
        <f>COUNTIF(L66:$M$1659,L66)</f>
        <v>11</v>
      </c>
      <c r="W66" s="1" t="s">
        <v>47</v>
      </c>
      <c r="X66">
        <v>478.09</v>
      </c>
      <c r="Y66">
        <v>206.48</v>
      </c>
      <c r="Z66">
        <v>12.278732</v>
      </c>
      <c r="AA66">
        <v>109.188858</v>
      </c>
      <c r="AB66">
        <v>271.61</v>
      </c>
      <c r="AC66">
        <v>12.279788999999999</v>
      </c>
      <c r="AD66">
        <v>109.195205</v>
      </c>
      <c r="AE66" s="5">
        <f t="shared" si="1"/>
        <v>0.30972</v>
      </c>
      <c r="AF66" s="5">
        <f t="shared" si="2"/>
        <v>0.40741500000000003</v>
      </c>
      <c r="AG66" s="1" t="str">
        <f>TRIM(LEFT(L66,FIND("-",L66)-1))</f>
        <v>1.CAT Khánh Hòa</v>
      </c>
      <c r="AH66" s="1" t="str">
        <f>TRIM(RIGHT(L66, LEN(L66) - FIND("-", L66)))</f>
        <v>PK02 cs1</v>
      </c>
      <c r="AJ66">
        <f t="shared" si="3"/>
        <v>0.20648</v>
      </c>
      <c r="AK66">
        <f t="shared" si="4"/>
        <v>0.27161000000000002</v>
      </c>
      <c r="AL66" t="e">
        <f>VLOOKUP(L66,'[1]Tuyến cáp H04'!$B:$E,3,0)/1000</f>
        <v>#N/A</v>
      </c>
      <c r="AM66" t="e">
        <f>VLOOKUP(L66,'[1]Tuyến cáp H04'!$B:$E,4,0)</f>
        <v>#N/A</v>
      </c>
    </row>
    <row r="67" spans="1:39" x14ac:dyDescent="0.25">
      <c r="A67" s="1" t="s">
        <v>722</v>
      </c>
      <c r="B67" s="1" t="s">
        <v>723</v>
      </c>
      <c r="C67" s="1" t="s">
        <v>724</v>
      </c>
      <c r="D67" s="1" t="s">
        <v>725</v>
      </c>
      <c r="E67" s="1" t="s">
        <v>726</v>
      </c>
      <c r="F67" s="1" t="s">
        <v>727</v>
      </c>
      <c r="G67" s="1" t="s">
        <v>14129</v>
      </c>
      <c r="H67" s="1" t="s">
        <v>14133</v>
      </c>
      <c r="I67" s="1" t="s">
        <v>14197</v>
      </c>
      <c r="J67" s="1" t="s">
        <v>23</v>
      </c>
      <c r="K67" s="1"/>
      <c r="L67" s="1" t="s">
        <v>728</v>
      </c>
      <c r="M67" s="8" t="s">
        <v>728</v>
      </c>
      <c r="N67" s="1" t="b">
        <f t="shared" ref="N67:N130" si="5">L67=M67</f>
        <v>1</v>
      </c>
      <c r="O67" s="1" t="s">
        <v>729</v>
      </c>
      <c r="P67" s="1" t="s">
        <v>730</v>
      </c>
      <c r="Q67" s="1" t="s">
        <v>731</v>
      </c>
      <c r="R67" s="1" t="s">
        <v>732</v>
      </c>
      <c r="S67" s="1" t="s">
        <v>733</v>
      </c>
      <c r="T67" s="1" t="s">
        <v>734</v>
      </c>
      <c r="U67" s="1" t="s">
        <v>735</v>
      </c>
      <c r="V67" s="13">
        <f>COUNTIF(L67:$M$1659,L67)</f>
        <v>4</v>
      </c>
      <c r="W67" s="1" t="s">
        <v>736</v>
      </c>
      <c r="X67">
        <v>140.83000000000001</v>
      </c>
      <c r="Y67">
        <v>1.04</v>
      </c>
      <c r="Z67">
        <v>12.031929</v>
      </c>
      <c r="AA67">
        <v>109.128201</v>
      </c>
      <c r="AB67">
        <v>139.79</v>
      </c>
      <c r="AC67">
        <v>12.047109000000001</v>
      </c>
      <c r="AD67">
        <v>109.12705800000001</v>
      </c>
      <c r="AE67" s="5">
        <f t="shared" ref="AE67:AE130" si="6">Y67*1.5/1000</f>
        <v>1.56E-3</v>
      </c>
      <c r="AF67" s="5">
        <f t="shared" ref="AF67:AF130" si="7">AB67*1.5/1000</f>
        <v>0.20968500000000001</v>
      </c>
      <c r="AG67" s="1" t="str">
        <f>TRIM(LEFT(L67,FIND("-",L67)-1))</f>
        <v>4.CA Cam Hiệp</v>
      </c>
      <c r="AH67" s="1" t="str">
        <f>TRIM(RIGHT(L67, LEN(L67) - FIND("-", L67)))</f>
        <v>CA Cam Lâm_Cột trung thế</v>
      </c>
      <c r="AJ67">
        <f t="shared" ref="AJ67:AJ130" si="8">Y67/1000</f>
        <v>1.0400000000000001E-3</v>
      </c>
      <c r="AK67">
        <f t="shared" ref="AK67:AK130" si="9">AB67/1000</f>
        <v>0.13979</v>
      </c>
      <c r="AL67" t="e">
        <f>VLOOKUP(L67,'[1]Tuyến cáp H04'!$B:$E,3,0)/1000</f>
        <v>#N/A</v>
      </c>
      <c r="AM67" t="e">
        <f>VLOOKUP(L67,'[1]Tuyến cáp H04'!$B:$E,4,0)</f>
        <v>#N/A</v>
      </c>
    </row>
    <row r="68" spans="1:39" x14ac:dyDescent="0.25">
      <c r="A68" s="1" t="s">
        <v>737</v>
      </c>
      <c r="B68" s="1" t="s">
        <v>572</v>
      </c>
      <c r="C68" s="1" t="s">
        <v>573</v>
      </c>
      <c r="D68" s="1" t="s">
        <v>738</v>
      </c>
      <c r="E68" s="1" t="s">
        <v>739</v>
      </c>
      <c r="F68" s="1" t="s">
        <v>740</v>
      </c>
      <c r="G68" s="1" t="s">
        <v>14129</v>
      </c>
      <c r="H68" s="1" t="s">
        <v>14133</v>
      </c>
      <c r="I68" s="1" t="s">
        <v>14198</v>
      </c>
      <c r="J68" s="1" t="s">
        <v>23</v>
      </c>
      <c r="K68" s="1"/>
      <c r="L68" s="1" t="s">
        <v>590</v>
      </c>
      <c r="M68" s="8" t="s">
        <v>590</v>
      </c>
      <c r="N68" s="1" t="b">
        <f t="shared" si="5"/>
        <v>1</v>
      </c>
      <c r="O68" s="1" t="s">
        <v>741</v>
      </c>
      <c r="P68" s="1" t="s">
        <v>592</v>
      </c>
      <c r="Q68" s="1" t="s">
        <v>593</v>
      </c>
      <c r="R68" s="1" t="s">
        <v>594</v>
      </c>
      <c r="S68" s="1" t="s">
        <v>742</v>
      </c>
      <c r="T68" s="1" t="s">
        <v>596</v>
      </c>
      <c r="U68" s="1" t="s">
        <v>597</v>
      </c>
      <c r="V68" s="13">
        <f>COUNTIF(L68:$M$1659,L68)</f>
        <v>8</v>
      </c>
      <c r="W68" s="1" t="s">
        <v>598</v>
      </c>
      <c r="X68">
        <v>571.13</v>
      </c>
      <c r="Y68">
        <v>2.77</v>
      </c>
      <c r="Z68">
        <v>12.509724</v>
      </c>
      <c r="AA68">
        <v>109.13747499999999</v>
      </c>
      <c r="AB68">
        <v>568.36</v>
      </c>
      <c r="AC68">
        <v>12.481318999999999</v>
      </c>
      <c r="AD68">
        <v>109.13125100000001</v>
      </c>
      <c r="AE68" s="5">
        <f t="shared" si="6"/>
        <v>4.1549999999999998E-3</v>
      </c>
      <c r="AF68" s="5">
        <f t="shared" si="7"/>
        <v>0.85253999999999996</v>
      </c>
      <c r="AG68" s="1" t="str">
        <f>TRIM(LEFT(L68,FIND("-",L68)-1))</f>
        <v>1.CA Ninh Hòa</v>
      </c>
      <c r="AH68" s="1" t="str">
        <f>TRIM(RIGHT(L68, LEN(L68) - FIND("-", L68)))</f>
        <v>CA Hòa Thắng_Cột trung thế</v>
      </c>
      <c r="AJ68">
        <f t="shared" si="8"/>
        <v>2.7699999999999999E-3</v>
      </c>
      <c r="AK68">
        <f t="shared" si="9"/>
        <v>0.56835999999999998</v>
      </c>
      <c r="AL68" t="e">
        <f>VLOOKUP(L68,'[1]Tuyến cáp H04'!$B:$E,3,0)/1000</f>
        <v>#N/A</v>
      </c>
      <c r="AM68" t="e">
        <f>VLOOKUP(L68,'[1]Tuyến cáp H04'!$B:$E,4,0)</f>
        <v>#N/A</v>
      </c>
    </row>
    <row r="69" spans="1:39" x14ac:dyDescent="0.25">
      <c r="A69" s="1" t="s">
        <v>743</v>
      </c>
      <c r="B69" s="1" t="s">
        <v>572</v>
      </c>
      <c r="C69" s="1" t="s">
        <v>573</v>
      </c>
      <c r="D69" s="1" t="s">
        <v>744</v>
      </c>
      <c r="E69" s="1" t="s">
        <v>745</v>
      </c>
      <c r="F69" s="1" t="s">
        <v>746</v>
      </c>
      <c r="G69" s="1" t="s">
        <v>14129</v>
      </c>
      <c r="H69" s="1" t="s">
        <v>14133</v>
      </c>
      <c r="I69" s="1" t="s">
        <v>14199</v>
      </c>
      <c r="J69" s="1" t="s">
        <v>23</v>
      </c>
      <c r="K69" s="1"/>
      <c r="L69" s="1" t="s">
        <v>747</v>
      </c>
      <c r="M69" s="8" t="s">
        <v>747</v>
      </c>
      <c r="N69" s="1" t="b">
        <f t="shared" si="5"/>
        <v>1</v>
      </c>
      <c r="O69" s="1" t="s">
        <v>748</v>
      </c>
      <c r="P69" s="1" t="s">
        <v>749</v>
      </c>
      <c r="Q69" s="1" t="s">
        <v>750</v>
      </c>
      <c r="R69" s="1" t="s">
        <v>594</v>
      </c>
      <c r="S69" s="1" t="s">
        <v>751</v>
      </c>
      <c r="T69" s="1" t="s">
        <v>752</v>
      </c>
      <c r="U69" s="1" t="s">
        <v>753</v>
      </c>
      <c r="V69" s="13">
        <f>COUNTIF(L69:$M$1659,L69)</f>
        <v>4</v>
      </c>
      <c r="W69" s="1" t="s">
        <v>754</v>
      </c>
      <c r="X69">
        <v>626.52</v>
      </c>
      <c r="Y69">
        <v>2.76</v>
      </c>
      <c r="Z69">
        <v>12.509732</v>
      </c>
      <c r="AA69">
        <v>109.13747499999999</v>
      </c>
      <c r="AB69">
        <v>623.76</v>
      </c>
      <c r="AC69">
        <v>12.504678999999999</v>
      </c>
      <c r="AD69">
        <v>109.153633</v>
      </c>
      <c r="AE69" s="5">
        <f t="shared" si="6"/>
        <v>4.1399999999999996E-3</v>
      </c>
      <c r="AF69" s="5">
        <f t="shared" si="7"/>
        <v>0.93564000000000003</v>
      </c>
      <c r="AG69" s="1" t="str">
        <f>TRIM(LEFT(L69,FIND("-",L69)-1))</f>
        <v>5.Trạm CSGT Ninh An cũ</v>
      </c>
      <c r="AH69" s="1" t="str">
        <f>TRIM(RIGHT(L69, LEN(L69) - FIND("-", L69)))</f>
        <v>Ninh Hòa</v>
      </c>
      <c r="AJ69">
        <f t="shared" si="8"/>
        <v>2.7599999999999999E-3</v>
      </c>
      <c r="AK69">
        <f t="shared" si="9"/>
        <v>0.62375999999999998</v>
      </c>
      <c r="AL69" t="e">
        <f>VLOOKUP(L69,'[1]Tuyến cáp H04'!$B:$E,3,0)/1000</f>
        <v>#N/A</v>
      </c>
      <c r="AM69" t="e">
        <f>VLOOKUP(L69,'[1]Tuyến cáp H04'!$B:$E,4,0)</f>
        <v>#N/A</v>
      </c>
    </row>
    <row r="70" spans="1:39" x14ac:dyDescent="0.25">
      <c r="A70" s="1" t="s">
        <v>755</v>
      </c>
      <c r="B70" s="1" t="s">
        <v>756</v>
      </c>
      <c r="C70" s="1" t="s">
        <v>757</v>
      </c>
      <c r="D70" s="1" t="s">
        <v>758</v>
      </c>
      <c r="E70" s="1" t="s">
        <v>759</v>
      </c>
      <c r="F70" s="1" t="s">
        <v>760</v>
      </c>
      <c r="G70" s="1" t="s">
        <v>14129</v>
      </c>
      <c r="H70" s="1" t="s">
        <v>14133</v>
      </c>
      <c r="I70" s="1" t="s">
        <v>14200</v>
      </c>
      <c r="J70" s="1" t="s">
        <v>23</v>
      </c>
      <c r="K70" s="1"/>
      <c r="L70" s="1" t="s">
        <v>761</v>
      </c>
      <c r="M70" s="8" t="s">
        <v>761</v>
      </c>
      <c r="N70" s="1" t="b">
        <f t="shared" si="5"/>
        <v>1</v>
      </c>
      <c r="O70" s="1" t="s">
        <v>762</v>
      </c>
      <c r="P70" s="1" t="s">
        <v>763</v>
      </c>
      <c r="Q70" s="1" t="s">
        <v>764</v>
      </c>
      <c r="R70" s="1" t="s">
        <v>765</v>
      </c>
      <c r="S70" s="1" t="s">
        <v>766</v>
      </c>
      <c r="T70" s="1" t="s">
        <v>764</v>
      </c>
      <c r="U70" s="1" t="s">
        <v>765</v>
      </c>
      <c r="V70" s="13">
        <f>COUNTIF(L70:$M$1659,L70)</f>
        <v>4</v>
      </c>
      <c r="W70" s="1" t="s">
        <v>767</v>
      </c>
      <c r="X70">
        <v>431.92</v>
      </c>
      <c r="Y70">
        <v>3.45</v>
      </c>
      <c r="Z70">
        <v>12.690776</v>
      </c>
      <c r="AA70">
        <v>109.22086899999999</v>
      </c>
      <c r="AB70">
        <v>428.48</v>
      </c>
      <c r="AC70">
        <v>12.690776</v>
      </c>
      <c r="AD70">
        <v>109.22086899999999</v>
      </c>
      <c r="AE70" s="5">
        <f t="shared" si="6"/>
        <v>5.1750000000000008E-3</v>
      </c>
      <c r="AF70" s="5">
        <f t="shared" si="7"/>
        <v>0.64272000000000007</v>
      </c>
      <c r="AG70" s="1" t="str">
        <f>TRIM(LEFT(L70,FIND("-",L70)-1))</f>
        <v>4.CA Vạn Hưng</v>
      </c>
      <c r="AH70" s="1" t="str">
        <f>TRIM(RIGHT(L70, LEN(L70) - FIND("-", L70)))</f>
        <v>CA Vạn Ninh</v>
      </c>
      <c r="AJ70">
        <f t="shared" si="8"/>
        <v>3.4500000000000004E-3</v>
      </c>
      <c r="AK70">
        <f t="shared" si="9"/>
        <v>0.42848000000000003</v>
      </c>
      <c r="AL70" t="e">
        <f>VLOOKUP(L70,'[1]Tuyến cáp H04'!$B:$E,3,0)/1000</f>
        <v>#N/A</v>
      </c>
      <c r="AM70" t="e">
        <f>VLOOKUP(L70,'[1]Tuyến cáp H04'!$B:$E,4,0)</f>
        <v>#N/A</v>
      </c>
    </row>
    <row r="71" spans="1:39" x14ac:dyDescent="0.25">
      <c r="A71" s="1" t="s">
        <v>768</v>
      </c>
      <c r="B71" s="1" t="s">
        <v>612</v>
      </c>
      <c r="C71" s="1" t="s">
        <v>613</v>
      </c>
      <c r="D71" s="1" t="s">
        <v>769</v>
      </c>
      <c r="E71" s="1" t="s">
        <v>770</v>
      </c>
      <c r="F71" s="1" t="s">
        <v>771</v>
      </c>
      <c r="G71" s="1" t="s">
        <v>14129</v>
      </c>
      <c r="H71" s="1" t="s">
        <v>14133</v>
      </c>
      <c r="I71" s="1" t="s">
        <v>14201</v>
      </c>
      <c r="J71" s="1" t="s">
        <v>23</v>
      </c>
      <c r="K71" s="1"/>
      <c r="L71" s="1" t="s">
        <v>352</v>
      </c>
      <c r="M71" s="8" t="s">
        <v>352</v>
      </c>
      <c r="N71" s="1" t="b">
        <f t="shared" si="5"/>
        <v>1</v>
      </c>
      <c r="O71" s="1" t="s">
        <v>772</v>
      </c>
      <c r="P71" s="1" t="s">
        <v>773</v>
      </c>
      <c r="Q71" s="1" t="s">
        <v>774</v>
      </c>
      <c r="R71" s="1" t="s">
        <v>775</v>
      </c>
      <c r="S71" s="1" t="s">
        <v>776</v>
      </c>
      <c r="T71" s="1" t="s">
        <v>777</v>
      </c>
      <c r="U71" s="1" t="s">
        <v>778</v>
      </c>
      <c r="V71" s="13">
        <f>COUNTIF(L71:$M$1659,L71)</f>
        <v>16</v>
      </c>
      <c r="W71" s="1" t="s">
        <v>360</v>
      </c>
      <c r="X71">
        <v>5280.19</v>
      </c>
      <c r="Y71">
        <v>274.23</v>
      </c>
      <c r="Z71">
        <v>11.925938</v>
      </c>
      <c r="AA71">
        <v>109.161216</v>
      </c>
      <c r="AB71">
        <v>5005.96</v>
      </c>
      <c r="AC71">
        <v>11.960527000000001</v>
      </c>
      <c r="AD71">
        <v>109.097217</v>
      </c>
      <c r="AE71" s="5">
        <f t="shared" si="6"/>
        <v>0.41134500000000002</v>
      </c>
      <c r="AF71" s="5">
        <f t="shared" si="7"/>
        <v>7.5089400000000008</v>
      </c>
      <c r="AG71" s="1" t="str">
        <f>TRIM(LEFT(L71,FIND("-",L71)-1))</f>
        <v>3.Cam Ranh</v>
      </c>
      <c r="AH71" s="1" t="str">
        <f>TRIM(RIGHT(L71, LEN(L71) - FIND("-", L71)))</f>
        <v>Khánh Sơn</v>
      </c>
      <c r="AJ71">
        <f t="shared" si="8"/>
        <v>0.27423000000000003</v>
      </c>
      <c r="AK71">
        <f t="shared" si="9"/>
        <v>5.00596</v>
      </c>
      <c r="AL71" t="e">
        <f>VLOOKUP(L71,'[1]Tuyến cáp H04'!$B:$E,3,0)/1000</f>
        <v>#N/A</v>
      </c>
      <c r="AM71" t="e">
        <f>VLOOKUP(L71,'[1]Tuyến cáp H04'!$B:$E,4,0)</f>
        <v>#N/A</v>
      </c>
    </row>
    <row r="72" spans="1:39" x14ac:dyDescent="0.25">
      <c r="A72" s="1" t="s">
        <v>779</v>
      </c>
      <c r="B72" s="1" t="s">
        <v>77</v>
      </c>
      <c r="C72" s="1" t="s">
        <v>78</v>
      </c>
      <c r="D72" s="1" t="s">
        <v>780</v>
      </c>
      <c r="E72" s="1" t="s">
        <v>781</v>
      </c>
      <c r="F72" s="1" t="s">
        <v>782</v>
      </c>
      <c r="G72" s="1" t="s">
        <v>14129</v>
      </c>
      <c r="H72" s="1" t="s">
        <v>14133</v>
      </c>
      <c r="I72" s="1" t="s">
        <v>14202</v>
      </c>
      <c r="J72" s="1" t="s">
        <v>23</v>
      </c>
      <c r="K72" s="1"/>
      <c r="L72" s="1" t="s">
        <v>490</v>
      </c>
      <c r="M72" s="8" t="s">
        <v>490</v>
      </c>
      <c r="N72" s="1" t="b">
        <f t="shared" si="5"/>
        <v>1</v>
      </c>
      <c r="O72" s="1" t="s">
        <v>783</v>
      </c>
      <c r="P72" s="1" t="s">
        <v>492</v>
      </c>
      <c r="Q72" s="1" t="s">
        <v>493</v>
      </c>
      <c r="R72" s="1" t="s">
        <v>494</v>
      </c>
      <c r="S72" s="1" t="s">
        <v>784</v>
      </c>
      <c r="T72" s="1" t="s">
        <v>785</v>
      </c>
      <c r="U72" s="1" t="s">
        <v>786</v>
      </c>
      <c r="V72" s="13">
        <f>COUNTIF(L72:$M$1659,L72)</f>
        <v>22</v>
      </c>
      <c r="W72" s="1" t="s">
        <v>498</v>
      </c>
      <c r="X72">
        <v>138.12</v>
      </c>
      <c r="Y72">
        <v>136.09</v>
      </c>
      <c r="Z72">
        <v>12.175768</v>
      </c>
      <c r="AA72">
        <v>109.17495</v>
      </c>
      <c r="AB72">
        <v>2.0299999999999998</v>
      </c>
      <c r="AC72">
        <v>12.074439</v>
      </c>
      <c r="AD72">
        <v>109.168081</v>
      </c>
      <c r="AE72" s="5">
        <f t="shared" si="6"/>
        <v>0.20413499999999998</v>
      </c>
      <c r="AF72" s="5">
        <f t="shared" si="7"/>
        <v>3.045E-3</v>
      </c>
      <c r="AG72" s="1" t="str">
        <f>TRIM(LEFT(L72,FIND("-",L72)-1))</f>
        <v>1.CAT Khánh Hòa</v>
      </c>
      <c r="AH72" s="1" t="str">
        <f>TRIM(RIGHT(L72, LEN(L72) - FIND("-", L72)))</f>
        <v>Cam Lâm</v>
      </c>
      <c r="AJ72">
        <f t="shared" si="8"/>
        <v>0.13609000000000002</v>
      </c>
      <c r="AK72">
        <f t="shared" si="9"/>
        <v>2.0299999999999997E-3</v>
      </c>
      <c r="AL72" t="e">
        <f>VLOOKUP(L72,'[1]Tuyến cáp H04'!$B:$E,3,0)/1000</f>
        <v>#N/A</v>
      </c>
      <c r="AM72" t="e">
        <f>VLOOKUP(L72,'[1]Tuyến cáp H04'!$B:$E,4,0)</f>
        <v>#N/A</v>
      </c>
    </row>
    <row r="73" spans="1:39" x14ac:dyDescent="0.25">
      <c r="A73" s="1" t="s">
        <v>787</v>
      </c>
      <c r="B73" s="1" t="s">
        <v>347</v>
      </c>
      <c r="C73" s="1" t="s">
        <v>348</v>
      </c>
      <c r="D73" s="1" t="s">
        <v>788</v>
      </c>
      <c r="E73" s="1" t="s">
        <v>789</v>
      </c>
      <c r="F73" s="1" t="s">
        <v>790</v>
      </c>
      <c r="G73" s="1" t="s">
        <v>14129</v>
      </c>
      <c r="H73" s="1" t="s">
        <v>14133</v>
      </c>
      <c r="I73" s="1" t="s">
        <v>14203</v>
      </c>
      <c r="J73" s="1" t="s">
        <v>23</v>
      </c>
      <c r="K73" s="1"/>
      <c r="L73" s="1" t="s">
        <v>367</v>
      </c>
      <c r="M73" s="8" t="s">
        <v>367</v>
      </c>
      <c r="N73" s="1" t="b">
        <f t="shared" si="5"/>
        <v>1</v>
      </c>
      <c r="O73" s="1" t="s">
        <v>791</v>
      </c>
      <c r="P73" s="1" t="s">
        <v>792</v>
      </c>
      <c r="Q73" s="1" t="s">
        <v>793</v>
      </c>
      <c r="R73" s="1" t="s">
        <v>794</v>
      </c>
      <c r="S73" s="1" t="s">
        <v>795</v>
      </c>
      <c r="T73" s="1" t="s">
        <v>796</v>
      </c>
      <c r="U73" s="1" t="s">
        <v>797</v>
      </c>
      <c r="V73" s="13">
        <f>COUNTIF(L73:$M$1659,L73)</f>
        <v>6</v>
      </c>
      <c r="W73" s="1" t="s">
        <v>375</v>
      </c>
      <c r="X73">
        <v>4045.15</v>
      </c>
      <c r="Y73">
        <v>3421.38</v>
      </c>
      <c r="Z73">
        <v>11.972379</v>
      </c>
      <c r="AA73">
        <v>109.11288999999999</v>
      </c>
      <c r="AB73">
        <v>623.77</v>
      </c>
      <c r="AC73">
        <v>11.989046</v>
      </c>
      <c r="AD73">
        <v>109.151068</v>
      </c>
      <c r="AE73" s="5">
        <f t="shared" si="6"/>
        <v>5.1320699999999997</v>
      </c>
      <c r="AF73" s="5">
        <f t="shared" si="7"/>
        <v>0.93565500000000001</v>
      </c>
      <c r="AG73" s="1" t="str">
        <f>TRIM(LEFT(L73,FIND("-",L73)-1))</f>
        <v>2.CA Bắc Cam Ranh</v>
      </c>
      <c r="AH73" s="1" t="str">
        <f>TRIM(RIGHT(L73, LEN(L73) - FIND("-", L73)))</f>
        <v>CA Cam An</v>
      </c>
      <c r="AJ73">
        <f t="shared" si="8"/>
        <v>3.4213800000000001</v>
      </c>
      <c r="AK73">
        <f t="shared" si="9"/>
        <v>0.62376999999999994</v>
      </c>
      <c r="AL73" t="e">
        <f>VLOOKUP(L73,'[1]Tuyến cáp H04'!$B:$E,3,0)/1000</f>
        <v>#N/A</v>
      </c>
      <c r="AM73" t="e">
        <f>VLOOKUP(L73,'[1]Tuyến cáp H04'!$B:$E,4,0)</f>
        <v>#N/A</v>
      </c>
    </row>
    <row r="74" spans="1:39" x14ac:dyDescent="0.25">
      <c r="A74" s="1" t="s">
        <v>798</v>
      </c>
      <c r="B74" s="1" t="s">
        <v>612</v>
      </c>
      <c r="C74" s="1" t="s">
        <v>613</v>
      </c>
      <c r="D74" s="1" t="s">
        <v>799</v>
      </c>
      <c r="E74" s="1" t="s">
        <v>800</v>
      </c>
      <c r="F74" s="1" t="s">
        <v>801</v>
      </c>
      <c r="G74" s="1" t="s">
        <v>14129</v>
      </c>
      <c r="H74" s="1" t="s">
        <v>14133</v>
      </c>
      <c r="I74" s="1" t="s">
        <v>14204</v>
      </c>
      <c r="J74" s="1" t="s">
        <v>23</v>
      </c>
      <c r="K74" s="1"/>
      <c r="L74" s="1" t="s">
        <v>802</v>
      </c>
      <c r="M74" s="8" t="s">
        <v>802</v>
      </c>
      <c r="N74" s="1" t="b">
        <f t="shared" si="5"/>
        <v>1</v>
      </c>
      <c r="O74" s="1" t="s">
        <v>803</v>
      </c>
      <c r="P74" s="1" t="s">
        <v>804</v>
      </c>
      <c r="Q74" s="1" t="s">
        <v>805</v>
      </c>
      <c r="R74" s="1" t="s">
        <v>806</v>
      </c>
      <c r="S74" s="1" t="s">
        <v>807</v>
      </c>
      <c r="T74" s="1" t="s">
        <v>808</v>
      </c>
      <c r="U74" s="1" t="s">
        <v>809</v>
      </c>
      <c r="V74" s="13">
        <f>COUNTIF(L74:$M$1659,L74)</f>
        <v>8</v>
      </c>
      <c r="W74" s="1" t="s">
        <v>810</v>
      </c>
      <c r="X74">
        <v>476.19</v>
      </c>
      <c r="Y74">
        <v>271.76</v>
      </c>
      <c r="Z74">
        <v>11.925971000000001</v>
      </c>
      <c r="AA74">
        <v>109.16124499999999</v>
      </c>
      <c r="AB74">
        <v>204.42</v>
      </c>
      <c r="AC74">
        <v>11.920406</v>
      </c>
      <c r="AD74">
        <v>109.144291</v>
      </c>
      <c r="AE74" s="5">
        <f t="shared" si="6"/>
        <v>0.40764</v>
      </c>
      <c r="AF74" s="5">
        <f t="shared" si="7"/>
        <v>0.30663000000000001</v>
      </c>
      <c r="AG74" s="1" t="str">
        <f>TRIM(LEFT(L74,FIND("-",L74)-1))</f>
        <v>4.CA Nam Cam Ranh</v>
      </c>
      <c r="AH74" s="1" t="str">
        <f>TRIM(RIGHT(L74, LEN(L74) - FIND("-", L74)))</f>
        <v>CA Cam Ranh</v>
      </c>
      <c r="AJ74">
        <f t="shared" si="8"/>
        <v>0.27176</v>
      </c>
      <c r="AK74">
        <f t="shared" si="9"/>
        <v>0.20441999999999999</v>
      </c>
      <c r="AL74" t="e">
        <f>VLOOKUP(L74,'[1]Tuyến cáp H04'!$B:$E,3,0)/1000</f>
        <v>#N/A</v>
      </c>
      <c r="AM74" t="e">
        <f>VLOOKUP(L74,'[1]Tuyến cáp H04'!$B:$E,4,0)</f>
        <v>#N/A</v>
      </c>
    </row>
    <row r="75" spans="1:39" x14ac:dyDescent="0.25">
      <c r="A75" s="1" t="s">
        <v>811</v>
      </c>
      <c r="B75" s="1" t="s">
        <v>723</v>
      </c>
      <c r="C75" s="1" t="s">
        <v>724</v>
      </c>
      <c r="D75" s="1" t="s">
        <v>812</v>
      </c>
      <c r="E75" s="1" t="s">
        <v>813</v>
      </c>
      <c r="F75" s="1" t="s">
        <v>814</v>
      </c>
      <c r="G75" s="1" t="s">
        <v>14129</v>
      </c>
      <c r="H75" s="1" t="s">
        <v>14133</v>
      </c>
      <c r="I75" s="1" t="s">
        <v>14205</v>
      </c>
      <c r="J75" s="1" t="s">
        <v>23</v>
      </c>
      <c r="K75" s="1"/>
      <c r="L75" s="1" t="s">
        <v>728</v>
      </c>
      <c r="M75" s="8" t="s">
        <v>728</v>
      </c>
      <c r="N75" s="1" t="b">
        <f t="shared" si="5"/>
        <v>1</v>
      </c>
      <c r="O75" s="1" t="s">
        <v>815</v>
      </c>
      <c r="P75" s="1" t="s">
        <v>730</v>
      </c>
      <c r="Q75" s="1" t="s">
        <v>731</v>
      </c>
      <c r="R75" s="1" t="s">
        <v>732</v>
      </c>
      <c r="S75" s="1" t="s">
        <v>816</v>
      </c>
      <c r="T75" s="1" t="s">
        <v>817</v>
      </c>
      <c r="U75" s="1" t="s">
        <v>818</v>
      </c>
      <c r="V75" s="13">
        <f>COUNTIF(L75:$M$1659,L75)</f>
        <v>2</v>
      </c>
      <c r="W75" s="1" t="s">
        <v>736</v>
      </c>
      <c r="X75">
        <v>881.07</v>
      </c>
      <c r="Y75">
        <v>1.04</v>
      </c>
      <c r="Z75">
        <v>12.031929</v>
      </c>
      <c r="AA75">
        <v>109.128201</v>
      </c>
      <c r="AB75">
        <v>880.03</v>
      </c>
      <c r="AC75">
        <v>12.070831</v>
      </c>
      <c r="AD75">
        <v>109.157676</v>
      </c>
      <c r="AE75" s="5">
        <f t="shared" si="6"/>
        <v>1.56E-3</v>
      </c>
      <c r="AF75" s="5">
        <f t="shared" si="7"/>
        <v>1.3200450000000001</v>
      </c>
      <c r="AG75" s="1" t="str">
        <f>TRIM(LEFT(L75,FIND("-",L75)-1))</f>
        <v>4.CA Cam Hiệp</v>
      </c>
      <c r="AH75" s="1" t="str">
        <f>TRIM(RIGHT(L75, LEN(L75) - FIND("-", L75)))</f>
        <v>CA Cam Lâm_Cột trung thế</v>
      </c>
      <c r="AJ75">
        <f t="shared" si="8"/>
        <v>1.0400000000000001E-3</v>
      </c>
      <c r="AK75">
        <f t="shared" si="9"/>
        <v>0.88002999999999998</v>
      </c>
      <c r="AL75" t="e">
        <f>VLOOKUP(L75,'[1]Tuyến cáp H04'!$B:$E,3,0)/1000</f>
        <v>#N/A</v>
      </c>
      <c r="AM75" t="e">
        <f>VLOOKUP(L75,'[1]Tuyến cáp H04'!$B:$E,4,0)</f>
        <v>#N/A</v>
      </c>
    </row>
    <row r="76" spans="1:39" x14ac:dyDescent="0.25">
      <c r="A76" s="1" t="s">
        <v>819</v>
      </c>
      <c r="B76" s="1" t="s">
        <v>600</v>
      </c>
      <c r="C76" s="1" t="s">
        <v>601</v>
      </c>
      <c r="D76" s="1" t="s">
        <v>723</v>
      </c>
      <c r="E76" s="1" t="s">
        <v>724</v>
      </c>
      <c r="F76" s="1" t="s">
        <v>820</v>
      </c>
      <c r="G76" s="1" t="s">
        <v>14129</v>
      </c>
      <c r="H76" s="1" t="s">
        <v>14133</v>
      </c>
      <c r="I76" s="1" t="s">
        <v>14206</v>
      </c>
      <c r="J76" s="1" t="s">
        <v>23</v>
      </c>
      <c r="K76" s="1"/>
      <c r="L76" s="1" t="s">
        <v>821</v>
      </c>
      <c r="M76" s="8" t="s">
        <v>821</v>
      </c>
      <c r="N76" s="1" t="b">
        <f t="shared" si="5"/>
        <v>1</v>
      </c>
      <c r="O76" s="1" t="s">
        <v>822</v>
      </c>
      <c r="P76" s="1" t="s">
        <v>823</v>
      </c>
      <c r="Q76" s="1" t="s">
        <v>824</v>
      </c>
      <c r="R76" s="1" t="s">
        <v>825</v>
      </c>
      <c r="S76" s="1" t="s">
        <v>826</v>
      </c>
      <c r="T76" s="1" t="s">
        <v>827</v>
      </c>
      <c r="U76" s="1" t="s">
        <v>828</v>
      </c>
      <c r="V76" s="13">
        <f>COUNTIF(L76:$M$1659,L76)</f>
        <v>6</v>
      </c>
      <c r="W76" s="1" t="s">
        <v>829</v>
      </c>
      <c r="X76">
        <v>2215.62</v>
      </c>
      <c r="Y76">
        <v>2211.21</v>
      </c>
      <c r="Z76">
        <v>11.97236</v>
      </c>
      <c r="AA76">
        <v>109.11290200000001</v>
      </c>
      <c r="AB76">
        <v>4.41</v>
      </c>
      <c r="AC76">
        <v>12.031929999999999</v>
      </c>
      <c r="AD76">
        <v>109.12816100000001</v>
      </c>
      <c r="AE76" s="5">
        <f t="shared" si="6"/>
        <v>3.3168150000000001</v>
      </c>
      <c r="AF76" s="5">
        <f t="shared" si="7"/>
        <v>6.6150000000000002E-3</v>
      </c>
      <c r="AG76" s="1" t="str">
        <f>TRIM(LEFT(L76,FIND("-",L76)-1))</f>
        <v>3.CA Cam An</v>
      </c>
      <c r="AH76" s="1" t="str">
        <f>TRIM(RIGHT(L76, LEN(L76) - FIND("-", L76)))</f>
        <v>CA Cam Hiệp</v>
      </c>
      <c r="AJ76">
        <f t="shared" si="8"/>
        <v>2.2112099999999999</v>
      </c>
      <c r="AK76">
        <f t="shared" si="9"/>
        <v>4.4099999999999999E-3</v>
      </c>
      <c r="AL76" t="e">
        <f>VLOOKUP(L76,'[1]Tuyến cáp H04'!$B:$E,3,0)/1000</f>
        <v>#N/A</v>
      </c>
      <c r="AM76" t="e">
        <f>VLOOKUP(L76,'[1]Tuyến cáp H04'!$B:$E,4,0)</f>
        <v>#N/A</v>
      </c>
    </row>
    <row r="77" spans="1:39" x14ac:dyDescent="0.25">
      <c r="A77" s="1" t="s">
        <v>830</v>
      </c>
      <c r="B77" s="1" t="s">
        <v>612</v>
      </c>
      <c r="C77" s="1" t="s">
        <v>613</v>
      </c>
      <c r="D77" s="1" t="s">
        <v>831</v>
      </c>
      <c r="E77" s="1" t="s">
        <v>832</v>
      </c>
      <c r="F77" s="1" t="s">
        <v>833</v>
      </c>
      <c r="G77" s="1" t="s">
        <v>14129</v>
      </c>
      <c r="H77" s="1" t="s">
        <v>14133</v>
      </c>
      <c r="I77" s="1" t="s">
        <v>14207</v>
      </c>
      <c r="J77" s="1" t="s">
        <v>23</v>
      </c>
      <c r="K77" s="1"/>
      <c r="L77" s="1" t="s">
        <v>802</v>
      </c>
      <c r="M77" s="8" t="s">
        <v>802</v>
      </c>
      <c r="N77" s="1" t="b">
        <f t="shared" si="5"/>
        <v>1</v>
      </c>
      <c r="O77" s="1" t="s">
        <v>834</v>
      </c>
      <c r="P77" s="1" t="s">
        <v>804</v>
      </c>
      <c r="Q77" s="1" t="s">
        <v>805</v>
      </c>
      <c r="R77" s="1" t="s">
        <v>806</v>
      </c>
      <c r="S77" s="1" t="s">
        <v>835</v>
      </c>
      <c r="T77" s="1" t="s">
        <v>836</v>
      </c>
      <c r="U77" s="1" t="s">
        <v>837</v>
      </c>
      <c r="V77" s="13">
        <f>COUNTIF(L77:$M$1659,L77)</f>
        <v>6</v>
      </c>
      <c r="W77" s="1" t="s">
        <v>810</v>
      </c>
      <c r="X77">
        <v>370.23</v>
      </c>
      <c r="Y77">
        <v>271.76</v>
      </c>
      <c r="Z77">
        <v>11.925971000000001</v>
      </c>
      <c r="AA77">
        <v>109.16124499999999</v>
      </c>
      <c r="AB77">
        <v>98.47</v>
      </c>
      <c r="AC77">
        <v>11.908733</v>
      </c>
      <c r="AD77">
        <v>109.127402</v>
      </c>
      <c r="AE77" s="5">
        <f t="shared" si="6"/>
        <v>0.40764</v>
      </c>
      <c r="AF77" s="5">
        <f t="shared" si="7"/>
        <v>0.14770499999999998</v>
      </c>
      <c r="AG77" s="1" t="str">
        <f>TRIM(LEFT(L77,FIND("-",L77)-1))</f>
        <v>4.CA Nam Cam Ranh</v>
      </c>
      <c r="AH77" s="1" t="str">
        <f>TRIM(RIGHT(L77, LEN(L77) - FIND("-", L77)))</f>
        <v>CA Cam Ranh</v>
      </c>
      <c r="AJ77">
        <f t="shared" si="8"/>
        <v>0.27176</v>
      </c>
      <c r="AK77">
        <f t="shared" si="9"/>
        <v>9.8470000000000002E-2</v>
      </c>
      <c r="AL77" t="e">
        <f>VLOOKUP(L77,'[1]Tuyến cáp H04'!$B:$E,3,0)/1000</f>
        <v>#N/A</v>
      </c>
      <c r="AM77" t="e">
        <f>VLOOKUP(L77,'[1]Tuyến cáp H04'!$B:$E,4,0)</f>
        <v>#N/A</v>
      </c>
    </row>
    <row r="78" spans="1:39" x14ac:dyDescent="0.25">
      <c r="A78" s="1" t="s">
        <v>838</v>
      </c>
      <c r="B78" s="1" t="s">
        <v>839</v>
      </c>
      <c r="C78" s="1" t="s">
        <v>840</v>
      </c>
      <c r="D78" s="1" t="s">
        <v>841</v>
      </c>
      <c r="E78" s="1" t="s">
        <v>842</v>
      </c>
      <c r="F78" s="1" t="s">
        <v>843</v>
      </c>
      <c r="G78" s="1" t="s">
        <v>14129</v>
      </c>
      <c r="H78" s="1" t="s">
        <v>14133</v>
      </c>
      <c r="I78" s="1" t="s">
        <v>14208</v>
      </c>
      <c r="J78" s="1" t="s">
        <v>23</v>
      </c>
      <c r="K78" s="1"/>
      <c r="L78" s="1" t="s">
        <v>802</v>
      </c>
      <c r="M78" s="8" t="s">
        <v>802</v>
      </c>
      <c r="N78" s="1" t="b">
        <f t="shared" si="5"/>
        <v>1</v>
      </c>
      <c r="O78" s="1" t="s">
        <v>844</v>
      </c>
      <c r="P78" s="1" t="s">
        <v>845</v>
      </c>
      <c r="Q78" s="1" t="s">
        <v>846</v>
      </c>
      <c r="R78" s="1" t="s">
        <v>847</v>
      </c>
      <c r="S78" s="1" t="s">
        <v>848</v>
      </c>
      <c r="T78" s="1" t="s">
        <v>849</v>
      </c>
      <c r="U78" s="1" t="s">
        <v>850</v>
      </c>
      <c r="V78" s="13">
        <f>COUNTIF(L78:$M$1659,L78)</f>
        <v>4</v>
      </c>
      <c r="W78" s="1" t="s">
        <v>810</v>
      </c>
      <c r="X78">
        <v>5756.97</v>
      </c>
      <c r="Y78">
        <v>1211.77</v>
      </c>
      <c r="Z78">
        <v>11.915801999999999</v>
      </c>
      <c r="AA78">
        <v>109.140168</v>
      </c>
      <c r="AB78">
        <v>4545.2</v>
      </c>
      <c r="AC78">
        <v>11.878836</v>
      </c>
      <c r="AD78">
        <v>109.11086</v>
      </c>
      <c r="AE78" s="5">
        <f t="shared" si="6"/>
        <v>1.817655</v>
      </c>
      <c r="AF78" s="5">
        <f t="shared" si="7"/>
        <v>6.8177999999999992</v>
      </c>
      <c r="AG78" s="1" t="str">
        <f>TRIM(LEFT(L78,FIND("-",L78)-1))</f>
        <v>4.CA Nam Cam Ranh</v>
      </c>
      <c r="AH78" s="1" t="str">
        <f>TRIM(RIGHT(L78, LEN(L78) - FIND("-", L78)))</f>
        <v>CA Cam Ranh</v>
      </c>
      <c r="AJ78">
        <f t="shared" si="8"/>
        <v>1.21177</v>
      </c>
      <c r="AK78">
        <f t="shared" si="9"/>
        <v>4.5451999999999995</v>
      </c>
      <c r="AL78" t="e">
        <f>VLOOKUP(L78,'[1]Tuyến cáp H04'!$B:$E,3,0)/1000</f>
        <v>#N/A</v>
      </c>
      <c r="AM78" t="e">
        <f>VLOOKUP(L78,'[1]Tuyến cáp H04'!$B:$E,4,0)</f>
        <v>#N/A</v>
      </c>
    </row>
    <row r="79" spans="1:39" x14ac:dyDescent="0.25">
      <c r="A79" s="1" t="s">
        <v>851</v>
      </c>
      <c r="B79" s="1" t="s">
        <v>612</v>
      </c>
      <c r="C79" s="1" t="s">
        <v>613</v>
      </c>
      <c r="D79" s="1" t="s">
        <v>839</v>
      </c>
      <c r="E79" s="1" t="s">
        <v>840</v>
      </c>
      <c r="F79" s="1" t="s">
        <v>852</v>
      </c>
      <c r="G79" s="1" t="s">
        <v>14129</v>
      </c>
      <c r="H79" s="1" t="s">
        <v>14133</v>
      </c>
      <c r="I79" s="1" t="s">
        <v>14209</v>
      </c>
      <c r="J79" s="1" t="s">
        <v>23</v>
      </c>
      <c r="K79" s="1"/>
      <c r="L79" s="1" t="s">
        <v>617</v>
      </c>
      <c r="M79" s="8" t="s">
        <v>617</v>
      </c>
      <c r="N79" s="1" t="b">
        <f t="shared" si="5"/>
        <v>1</v>
      </c>
      <c r="O79" s="1" t="s">
        <v>853</v>
      </c>
      <c r="P79" s="1" t="s">
        <v>619</v>
      </c>
      <c r="Q79" s="1" t="s">
        <v>620</v>
      </c>
      <c r="R79" s="1" t="s">
        <v>621</v>
      </c>
      <c r="S79" s="1" t="s">
        <v>854</v>
      </c>
      <c r="T79" s="1" t="s">
        <v>855</v>
      </c>
      <c r="U79" s="1" t="s">
        <v>856</v>
      </c>
      <c r="V79" s="13">
        <f>COUNTIF(L79:$M$1659,L79)</f>
        <v>10</v>
      </c>
      <c r="W79" s="1" t="s">
        <v>625</v>
      </c>
      <c r="X79">
        <v>318.01</v>
      </c>
      <c r="Y79">
        <v>313.88</v>
      </c>
      <c r="Z79">
        <v>11.923</v>
      </c>
      <c r="AA79">
        <v>109.16500000000001</v>
      </c>
      <c r="AB79">
        <v>4.13</v>
      </c>
      <c r="AC79">
        <v>11.906758</v>
      </c>
      <c r="AD79">
        <v>109.14636400000001</v>
      </c>
      <c r="AE79" s="5">
        <f t="shared" si="6"/>
        <v>0.47082000000000002</v>
      </c>
      <c r="AF79" s="5">
        <f t="shared" si="7"/>
        <v>6.195E-3</v>
      </c>
      <c r="AG79" s="1" t="str">
        <f>TRIM(LEFT(L79,FIND("-",L79)-1))</f>
        <v>1.CA Cam Ranh</v>
      </c>
      <c r="AH79" s="1" t="str">
        <f>TRIM(RIGHT(L79, LEN(L79) - FIND("-", L79)))</f>
        <v>CA Cam Linh</v>
      </c>
      <c r="AJ79">
        <f t="shared" si="8"/>
        <v>0.31387999999999999</v>
      </c>
      <c r="AK79">
        <f t="shared" si="9"/>
        <v>4.13E-3</v>
      </c>
      <c r="AL79" t="e">
        <f>VLOOKUP(L79,'[1]Tuyến cáp H04'!$B:$E,3,0)/1000</f>
        <v>#N/A</v>
      </c>
      <c r="AM79" t="e">
        <f>VLOOKUP(L79,'[1]Tuyến cáp H04'!$B:$E,4,0)</f>
        <v>#N/A</v>
      </c>
    </row>
    <row r="80" spans="1:39" x14ac:dyDescent="0.25">
      <c r="A80" s="1" t="s">
        <v>857</v>
      </c>
      <c r="B80" s="1" t="s">
        <v>362</v>
      </c>
      <c r="C80" s="1" t="s">
        <v>363</v>
      </c>
      <c r="D80" s="1" t="s">
        <v>858</v>
      </c>
      <c r="E80" s="1" t="s">
        <v>859</v>
      </c>
      <c r="F80" s="1" t="s">
        <v>860</v>
      </c>
      <c r="G80" s="1" t="s">
        <v>14129</v>
      </c>
      <c r="H80" s="1" t="s">
        <v>14133</v>
      </c>
      <c r="I80" s="1" t="s">
        <v>14210</v>
      </c>
      <c r="J80" s="1" t="s">
        <v>23</v>
      </c>
      <c r="K80" s="1"/>
      <c r="L80" s="1" t="s">
        <v>861</v>
      </c>
      <c r="M80" s="8" t="s">
        <v>861</v>
      </c>
      <c r="N80" s="1" t="b">
        <f t="shared" si="5"/>
        <v>1</v>
      </c>
      <c r="O80" s="1" t="s">
        <v>862</v>
      </c>
      <c r="P80" s="1" t="s">
        <v>863</v>
      </c>
      <c r="Q80" s="1" t="s">
        <v>864</v>
      </c>
      <c r="R80" s="1" t="s">
        <v>865</v>
      </c>
      <c r="S80" s="1" t="s">
        <v>866</v>
      </c>
      <c r="T80" s="1" t="s">
        <v>867</v>
      </c>
      <c r="U80" s="1" t="s">
        <v>868</v>
      </c>
      <c r="V80" s="13">
        <f>COUNTIF(L80:$M$1659,L80)</f>
        <v>14</v>
      </c>
      <c r="W80" s="1" t="s">
        <v>869</v>
      </c>
      <c r="X80">
        <v>1218.6500000000001</v>
      </c>
      <c r="Y80">
        <v>674.9</v>
      </c>
      <c r="Z80">
        <v>11.970426</v>
      </c>
      <c r="AA80">
        <v>109.192857</v>
      </c>
      <c r="AB80">
        <v>543.75</v>
      </c>
      <c r="AC80">
        <v>12.034096999999999</v>
      </c>
      <c r="AD80">
        <v>109.174734</v>
      </c>
      <c r="AE80" s="5">
        <f t="shared" si="6"/>
        <v>1.0123499999999999</v>
      </c>
      <c r="AF80" s="5">
        <f t="shared" si="7"/>
        <v>0.81562500000000004</v>
      </c>
      <c r="AG80" s="1" t="str">
        <f>TRIM(LEFT(L80,FIND("-",L80)-1))</f>
        <v>2.Cam Lâm</v>
      </c>
      <c r="AH80" s="1" t="str">
        <f>TRIM(RIGHT(L80, LEN(L80) - FIND("-", L80)))</f>
        <v>Cam Ranh</v>
      </c>
      <c r="AJ80">
        <f t="shared" si="8"/>
        <v>0.67489999999999994</v>
      </c>
      <c r="AK80">
        <f t="shared" si="9"/>
        <v>0.54374999999999996</v>
      </c>
      <c r="AL80" t="e">
        <f>VLOOKUP(L80,'[1]Tuyến cáp H04'!$B:$E,3,0)/1000</f>
        <v>#N/A</v>
      </c>
      <c r="AM80" t="e">
        <f>VLOOKUP(L80,'[1]Tuyến cáp H04'!$B:$E,4,0)</f>
        <v>#N/A</v>
      </c>
    </row>
    <row r="81" spans="1:39" x14ac:dyDescent="0.25">
      <c r="A81" s="1" t="s">
        <v>870</v>
      </c>
      <c r="B81" s="1" t="s">
        <v>780</v>
      </c>
      <c r="C81" s="1" t="s">
        <v>781</v>
      </c>
      <c r="D81" s="1" t="s">
        <v>871</v>
      </c>
      <c r="E81" s="1" t="s">
        <v>872</v>
      </c>
      <c r="F81" s="1" t="s">
        <v>873</v>
      </c>
      <c r="G81" s="1" t="s">
        <v>14129</v>
      </c>
      <c r="H81" s="1" t="s">
        <v>14133</v>
      </c>
      <c r="I81" s="1" t="s">
        <v>14211</v>
      </c>
      <c r="J81" s="1" t="s">
        <v>23</v>
      </c>
      <c r="K81" s="1"/>
      <c r="L81" s="1" t="s">
        <v>245</v>
      </c>
      <c r="M81" s="8" t="s">
        <v>245</v>
      </c>
      <c r="N81" s="1" t="b">
        <f t="shared" si="5"/>
        <v>1</v>
      </c>
      <c r="O81" s="1" t="s">
        <v>874</v>
      </c>
      <c r="P81" s="1" t="s">
        <v>875</v>
      </c>
      <c r="Q81" s="1" t="s">
        <v>876</v>
      </c>
      <c r="R81" s="1" t="s">
        <v>877</v>
      </c>
      <c r="S81" s="1" t="s">
        <v>878</v>
      </c>
      <c r="T81" s="1" t="s">
        <v>879</v>
      </c>
      <c r="U81" s="1" t="s">
        <v>880</v>
      </c>
      <c r="V81" s="13">
        <f>COUNTIF(L81:$M$1659,L81)</f>
        <v>13</v>
      </c>
      <c r="W81" s="1" t="s">
        <v>881</v>
      </c>
      <c r="X81">
        <v>1833.46</v>
      </c>
      <c r="Y81">
        <v>1719.35</v>
      </c>
      <c r="Z81">
        <v>12.075379</v>
      </c>
      <c r="AA81">
        <v>109.152317</v>
      </c>
      <c r="AB81">
        <v>114.11</v>
      </c>
      <c r="AC81">
        <v>12.118789</v>
      </c>
      <c r="AD81">
        <v>109.11237</v>
      </c>
      <c r="AE81" s="5">
        <f t="shared" si="6"/>
        <v>2.5790249999999997</v>
      </c>
      <c r="AF81" s="5">
        <f t="shared" si="7"/>
        <v>0.17116499999999998</v>
      </c>
      <c r="AG81" s="1" t="str">
        <f>TRIM(LEFT(L81,FIND("-",L81)-1))</f>
        <v>5. Cam Phước Đông</v>
      </c>
      <c r="AH81" s="1" t="str">
        <f>TRIM(RIGHT(L81, LEN(L81) - FIND("-", L81)))</f>
        <v>CAT Khánh Hòa</v>
      </c>
      <c r="AJ81">
        <f t="shared" si="8"/>
        <v>1.7193499999999999</v>
      </c>
      <c r="AK81">
        <f t="shared" si="9"/>
        <v>0.11411</v>
      </c>
      <c r="AL81" t="e">
        <f>VLOOKUP(L81,'[1]Tuyến cáp H04'!$B:$E,3,0)/1000</f>
        <v>#N/A</v>
      </c>
      <c r="AM81" t="e">
        <f>VLOOKUP(L81,'[1]Tuyến cáp H04'!$B:$E,4,0)</f>
        <v>#N/A</v>
      </c>
    </row>
    <row r="82" spans="1:39" x14ac:dyDescent="0.25">
      <c r="A82" s="1" t="s">
        <v>882</v>
      </c>
      <c r="B82" s="1" t="s">
        <v>362</v>
      </c>
      <c r="C82" s="1" t="s">
        <v>363</v>
      </c>
      <c r="D82" s="1" t="s">
        <v>883</v>
      </c>
      <c r="E82" s="1" t="s">
        <v>884</v>
      </c>
      <c r="F82" s="1" t="s">
        <v>885</v>
      </c>
      <c r="G82" s="1" t="s">
        <v>14129</v>
      </c>
      <c r="H82" s="1" t="s">
        <v>14133</v>
      </c>
      <c r="I82" s="1" t="s">
        <v>14212</v>
      </c>
      <c r="J82" s="1" t="s">
        <v>23</v>
      </c>
      <c r="K82" s="1"/>
      <c r="L82" s="1" t="s">
        <v>886</v>
      </c>
      <c r="M82" s="8" t="s">
        <v>886</v>
      </c>
      <c r="N82" s="1" t="b">
        <f t="shared" si="5"/>
        <v>1</v>
      </c>
      <c r="O82" s="1" t="s">
        <v>887</v>
      </c>
      <c r="P82" s="1" t="s">
        <v>888</v>
      </c>
      <c r="Q82" s="1" t="s">
        <v>889</v>
      </c>
      <c r="R82" s="1" t="s">
        <v>890</v>
      </c>
      <c r="S82" s="1" t="s">
        <v>891</v>
      </c>
      <c r="T82" s="1" t="s">
        <v>892</v>
      </c>
      <c r="U82" s="1" t="s">
        <v>893</v>
      </c>
      <c r="V82" s="13">
        <f>COUNTIF(L82:$M$1659,L82)</f>
        <v>6</v>
      </c>
      <c r="W82" s="1" t="s">
        <v>894</v>
      </c>
      <c r="X82">
        <v>297.57</v>
      </c>
      <c r="Y82">
        <v>125.41</v>
      </c>
      <c r="Z82">
        <v>11.976637</v>
      </c>
      <c r="AA82">
        <v>109.19564699999999</v>
      </c>
      <c r="AB82">
        <v>172.16</v>
      </c>
      <c r="AC82">
        <v>11.94308</v>
      </c>
      <c r="AD82">
        <v>109.180499</v>
      </c>
      <c r="AE82" s="5">
        <f t="shared" si="6"/>
        <v>0.188115</v>
      </c>
      <c r="AF82" s="5">
        <f t="shared" si="7"/>
        <v>0.25824000000000003</v>
      </c>
      <c r="AG82" s="1" t="str">
        <f>TRIM(LEFT(L82,FIND("-",L82)-1))</f>
        <v>1.CA Cam Ranh</v>
      </c>
      <c r="AH82" s="1" t="str">
        <f>TRIM(RIGHT(L82, LEN(L82) - FIND("-", L82)))</f>
        <v>CA Bắc Cam Ranh</v>
      </c>
      <c r="AJ82">
        <f t="shared" si="8"/>
        <v>0.12540999999999999</v>
      </c>
      <c r="AK82">
        <f t="shared" si="9"/>
        <v>0.17216000000000001</v>
      </c>
      <c r="AL82" t="e">
        <f>VLOOKUP(L82,'[1]Tuyến cáp H04'!$B:$E,3,0)/1000</f>
        <v>#N/A</v>
      </c>
      <c r="AM82" t="e">
        <f>VLOOKUP(L82,'[1]Tuyến cáp H04'!$B:$E,4,0)</f>
        <v>#N/A</v>
      </c>
    </row>
    <row r="83" spans="1:39" x14ac:dyDescent="0.25">
      <c r="A83" s="1" t="s">
        <v>895</v>
      </c>
      <c r="B83" s="1" t="s">
        <v>896</v>
      </c>
      <c r="C83" s="1" t="s">
        <v>897</v>
      </c>
      <c r="D83" s="1" t="s">
        <v>362</v>
      </c>
      <c r="E83" s="1" t="s">
        <v>363</v>
      </c>
      <c r="F83" s="1" t="s">
        <v>898</v>
      </c>
      <c r="G83" s="1" t="s">
        <v>14129</v>
      </c>
      <c r="H83" s="1" t="s">
        <v>14133</v>
      </c>
      <c r="I83" s="1" t="s">
        <v>14213</v>
      </c>
      <c r="J83" s="1" t="s">
        <v>23</v>
      </c>
      <c r="K83" s="1"/>
      <c r="L83" s="1" t="s">
        <v>899</v>
      </c>
      <c r="M83" s="8" t="s">
        <v>899</v>
      </c>
      <c r="N83" s="1" t="b">
        <f t="shared" si="5"/>
        <v>1</v>
      </c>
      <c r="O83" s="1" t="s">
        <v>900</v>
      </c>
      <c r="P83" s="1" t="s">
        <v>901</v>
      </c>
      <c r="Q83" s="1" t="s">
        <v>902</v>
      </c>
      <c r="R83" s="1" t="s">
        <v>903</v>
      </c>
      <c r="S83" s="1" t="s">
        <v>904</v>
      </c>
      <c r="T83" s="1" t="s">
        <v>905</v>
      </c>
      <c r="U83" s="1" t="s">
        <v>906</v>
      </c>
      <c r="V83" s="13">
        <f>COUNTIF(L83:$M$1659,L83)</f>
        <v>10</v>
      </c>
      <c r="W83" s="1" t="s">
        <v>907</v>
      </c>
      <c r="X83">
        <v>2620.9299999999998</v>
      </c>
      <c r="Y83">
        <v>2497.87</v>
      </c>
      <c r="Z83">
        <v>11.984548999999999</v>
      </c>
      <c r="AA83">
        <v>109.20057</v>
      </c>
      <c r="AB83">
        <v>123.07</v>
      </c>
      <c r="AC83">
        <v>11.976625</v>
      </c>
      <c r="AD83">
        <v>109.195673</v>
      </c>
      <c r="AE83" s="5">
        <f t="shared" si="6"/>
        <v>3.7468049999999997</v>
      </c>
      <c r="AF83" s="5">
        <f t="shared" si="7"/>
        <v>0.18460499999999999</v>
      </c>
      <c r="AG83" s="1" t="str">
        <f>TRIM(LEFT(L83,FIND("-",L83)-1))</f>
        <v>Tuyến nhánh CA Bắc Cam Ranh</v>
      </c>
      <c r="AH83" s="1" t="str">
        <f>TRIM(RIGHT(L83, LEN(L83) - FIND("-", L83)))</f>
        <v>Cảng HKQT Cam Ranh</v>
      </c>
      <c r="AJ83">
        <f t="shared" si="8"/>
        <v>2.4978699999999998</v>
      </c>
      <c r="AK83">
        <f t="shared" si="9"/>
        <v>0.12307</v>
      </c>
      <c r="AL83" t="e">
        <f>VLOOKUP(L83,'[1]Tuyến cáp H04'!$B:$E,3,0)/1000</f>
        <v>#N/A</v>
      </c>
      <c r="AM83" t="e">
        <f>VLOOKUP(L83,'[1]Tuyến cáp H04'!$B:$E,4,0)</f>
        <v>#N/A</v>
      </c>
    </row>
    <row r="84" spans="1:39" x14ac:dyDescent="0.25">
      <c r="A84" s="1" t="s">
        <v>908</v>
      </c>
      <c r="B84" s="1" t="s">
        <v>780</v>
      </c>
      <c r="C84" s="1" t="s">
        <v>781</v>
      </c>
      <c r="D84" s="1" t="s">
        <v>896</v>
      </c>
      <c r="E84" s="1" t="s">
        <v>897</v>
      </c>
      <c r="F84" s="1" t="s">
        <v>909</v>
      </c>
      <c r="G84" s="1" t="s">
        <v>14129</v>
      </c>
      <c r="H84" s="1" t="s">
        <v>14133</v>
      </c>
      <c r="I84" s="1" t="s">
        <v>14214</v>
      </c>
      <c r="J84" s="1" t="s">
        <v>23</v>
      </c>
      <c r="K84" s="1"/>
      <c r="L84" s="1" t="s">
        <v>861</v>
      </c>
      <c r="M84" s="8" t="s">
        <v>861</v>
      </c>
      <c r="N84" s="1" t="b">
        <f t="shared" si="5"/>
        <v>1</v>
      </c>
      <c r="O84" s="1" t="s">
        <v>910</v>
      </c>
      <c r="P84" s="1" t="s">
        <v>911</v>
      </c>
      <c r="Q84" s="1" t="s">
        <v>912</v>
      </c>
      <c r="R84" s="1" t="s">
        <v>913</v>
      </c>
      <c r="S84" s="1" t="s">
        <v>914</v>
      </c>
      <c r="T84" s="1" t="s">
        <v>915</v>
      </c>
      <c r="U84" s="1" t="s">
        <v>916</v>
      </c>
      <c r="V84" s="13">
        <f>COUNTIF(L84:$M$1659,L84)</f>
        <v>12</v>
      </c>
      <c r="W84" s="1" t="s">
        <v>869</v>
      </c>
      <c r="X84">
        <v>3017.86</v>
      </c>
      <c r="Y84">
        <v>5.32</v>
      </c>
      <c r="Z84">
        <v>12.074472</v>
      </c>
      <c r="AA84">
        <v>109.168063</v>
      </c>
      <c r="AB84">
        <v>3012.54</v>
      </c>
      <c r="AC84">
        <v>11.992822</v>
      </c>
      <c r="AD84">
        <v>109.19165599999999</v>
      </c>
      <c r="AE84" s="5">
        <f t="shared" si="6"/>
        <v>7.980000000000001E-3</v>
      </c>
      <c r="AF84" s="5">
        <f t="shared" si="7"/>
        <v>4.5188099999999993</v>
      </c>
      <c r="AG84" s="1" t="str">
        <f>TRIM(LEFT(L84,FIND("-",L84)-1))</f>
        <v>2.Cam Lâm</v>
      </c>
      <c r="AH84" s="1" t="str">
        <f>TRIM(RIGHT(L84, LEN(L84) - FIND("-", L84)))</f>
        <v>Cam Ranh</v>
      </c>
      <c r="AJ84">
        <f t="shared" si="8"/>
        <v>5.3200000000000001E-3</v>
      </c>
      <c r="AK84">
        <f t="shared" si="9"/>
        <v>3.01254</v>
      </c>
      <c r="AL84" t="e">
        <f>VLOOKUP(L84,'[1]Tuyến cáp H04'!$B:$E,3,0)/1000</f>
        <v>#N/A</v>
      </c>
      <c r="AM84" t="e">
        <f>VLOOKUP(L84,'[1]Tuyến cáp H04'!$B:$E,4,0)</f>
        <v>#N/A</v>
      </c>
    </row>
    <row r="85" spans="1:39" x14ac:dyDescent="0.25">
      <c r="A85" s="1" t="s">
        <v>917</v>
      </c>
      <c r="B85" s="1" t="s">
        <v>896</v>
      </c>
      <c r="C85" s="1" t="s">
        <v>897</v>
      </c>
      <c r="D85" s="1" t="s">
        <v>918</v>
      </c>
      <c r="E85" s="1" t="s">
        <v>919</v>
      </c>
      <c r="F85" s="1" t="s">
        <v>920</v>
      </c>
      <c r="G85" s="1" t="s">
        <v>14129</v>
      </c>
      <c r="H85" s="1" t="s">
        <v>14133</v>
      </c>
      <c r="I85" s="1" t="s">
        <v>14215</v>
      </c>
      <c r="J85" s="1" t="s">
        <v>23</v>
      </c>
      <c r="K85" s="1"/>
      <c r="L85" s="1" t="s">
        <v>899</v>
      </c>
      <c r="M85" s="8" t="s">
        <v>899</v>
      </c>
      <c r="N85" s="1" t="b">
        <f t="shared" si="5"/>
        <v>1</v>
      </c>
      <c r="O85" s="1" t="s">
        <v>921</v>
      </c>
      <c r="P85" s="1" t="s">
        <v>922</v>
      </c>
      <c r="Q85" s="1" t="s">
        <v>923</v>
      </c>
      <c r="R85" s="1" t="s">
        <v>924</v>
      </c>
      <c r="S85" s="1" t="s">
        <v>925</v>
      </c>
      <c r="T85" s="1" t="s">
        <v>926</v>
      </c>
      <c r="U85" s="1" t="s">
        <v>927</v>
      </c>
      <c r="V85" s="13">
        <f>COUNTIF(L85:$M$1659,L85)</f>
        <v>8</v>
      </c>
      <c r="W85" s="1" t="s">
        <v>928</v>
      </c>
      <c r="X85">
        <v>6114.73</v>
      </c>
      <c r="Y85">
        <v>5.18</v>
      </c>
      <c r="Z85">
        <v>11.998255</v>
      </c>
      <c r="AA85">
        <v>109.218788</v>
      </c>
      <c r="AB85">
        <v>6109.55</v>
      </c>
      <c r="AC85">
        <v>12.001106999999999</v>
      </c>
      <c r="AD85">
        <v>109.209318</v>
      </c>
      <c r="AE85" s="5">
        <f t="shared" si="6"/>
        <v>7.77E-3</v>
      </c>
      <c r="AF85" s="5">
        <f t="shared" si="7"/>
        <v>9.1643250000000016</v>
      </c>
      <c r="AG85" s="1" t="str">
        <f>TRIM(LEFT(L85,FIND("-",L85)-1))</f>
        <v>Tuyến nhánh CA Bắc Cam Ranh</v>
      </c>
      <c r="AH85" s="1" t="str">
        <f>TRIM(RIGHT(L85, LEN(L85) - FIND("-", L85)))</f>
        <v>Cảng HKQT Cam Ranh</v>
      </c>
      <c r="AJ85">
        <f t="shared" si="8"/>
        <v>5.1799999999999997E-3</v>
      </c>
      <c r="AK85">
        <f t="shared" si="9"/>
        <v>6.1095500000000005</v>
      </c>
      <c r="AL85" t="e">
        <f>VLOOKUP(L85,'[1]Tuyến cáp H04'!$B:$E,3,0)/1000</f>
        <v>#N/A</v>
      </c>
      <c r="AM85" t="e">
        <f>VLOOKUP(L85,'[1]Tuyến cáp H04'!$B:$E,4,0)</f>
        <v>#N/A</v>
      </c>
    </row>
    <row r="86" spans="1:39" x14ac:dyDescent="0.25">
      <c r="A86" s="1" t="s">
        <v>929</v>
      </c>
      <c r="B86" s="1" t="s">
        <v>723</v>
      </c>
      <c r="C86" s="1" t="s">
        <v>724</v>
      </c>
      <c r="D86" s="1" t="s">
        <v>930</v>
      </c>
      <c r="E86" s="1" t="s">
        <v>931</v>
      </c>
      <c r="F86" s="1" t="s">
        <v>932</v>
      </c>
      <c r="G86" s="1" t="s">
        <v>14129</v>
      </c>
      <c r="H86" s="1" t="s">
        <v>14133</v>
      </c>
      <c r="I86" s="1" t="s">
        <v>14216</v>
      </c>
      <c r="J86" s="1" t="s">
        <v>23</v>
      </c>
      <c r="K86" s="1"/>
      <c r="L86" s="1" t="s">
        <v>821</v>
      </c>
      <c r="M86" s="8" t="s">
        <v>821</v>
      </c>
      <c r="N86" s="1" t="b">
        <f t="shared" si="5"/>
        <v>1</v>
      </c>
      <c r="O86" s="1" t="s">
        <v>933</v>
      </c>
      <c r="P86" s="1" t="s">
        <v>826</v>
      </c>
      <c r="Q86" s="1" t="s">
        <v>827</v>
      </c>
      <c r="R86" s="1" t="s">
        <v>828</v>
      </c>
      <c r="S86" s="1" t="s">
        <v>934</v>
      </c>
      <c r="T86" s="1" t="s">
        <v>935</v>
      </c>
      <c r="U86" s="1" t="s">
        <v>936</v>
      </c>
      <c r="V86" s="13">
        <f>COUNTIF(L86:$M$1659,L86)</f>
        <v>4</v>
      </c>
      <c r="W86" s="1" t="s">
        <v>829</v>
      </c>
      <c r="X86">
        <v>4303.41</v>
      </c>
      <c r="Y86">
        <v>4.41</v>
      </c>
      <c r="Z86">
        <v>12.031929999999999</v>
      </c>
      <c r="AA86">
        <v>109.12816100000001</v>
      </c>
      <c r="AB86">
        <v>4299.01</v>
      </c>
      <c r="AC86">
        <v>12.006541</v>
      </c>
      <c r="AD86">
        <v>109.125311</v>
      </c>
      <c r="AE86" s="5">
        <f t="shared" si="6"/>
        <v>6.6150000000000002E-3</v>
      </c>
      <c r="AF86" s="5">
        <f t="shared" si="7"/>
        <v>6.4485150000000004</v>
      </c>
      <c r="AG86" s="1" t="str">
        <f>TRIM(LEFT(L86,FIND("-",L86)-1))</f>
        <v>3.CA Cam An</v>
      </c>
      <c r="AH86" s="1" t="str">
        <f>TRIM(RIGHT(L86, LEN(L86) - FIND("-", L86)))</f>
        <v>CA Cam Hiệp</v>
      </c>
      <c r="AJ86">
        <f t="shared" si="8"/>
        <v>4.4099999999999999E-3</v>
      </c>
      <c r="AK86">
        <f t="shared" si="9"/>
        <v>4.29901</v>
      </c>
      <c r="AL86" t="e">
        <f>VLOOKUP(L86,'[1]Tuyến cáp H04'!$B:$E,3,0)/1000</f>
        <v>#N/A</v>
      </c>
      <c r="AM86" t="e">
        <f>VLOOKUP(L86,'[1]Tuyến cáp H04'!$B:$E,4,0)</f>
        <v>#N/A</v>
      </c>
    </row>
    <row r="87" spans="1:39" x14ac:dyDescent="0.25">
      <c r="A87" s="1" t="s">
        <v>937</v>
      </c>
      <c r="B87" s="1" t="s">
        <v>723</v>
      </c>
      <c r="C87" s="1" t="s">
        <v>724</v>
      </c>
      <c r="D87" s="1" t="s">
        <v>938</v>
      </c>
      <c r="E87" s="1" t="s">
        <v>939</v>
      </c>
      <c r="F87" s="1" t="s">
        <v>940</v>
      </c>
      <c r="G87" s="1" t="s">
        <v>14129</v>
      </c>
      <c r="H87" s="1" t="s">
        <v>14133</v>
      </c>
      <c r="I87" s="1" t="s">
        <v>14217</v>
      </c>
      <c r="J87" s="1" t="s">
        <v>23</v>
      </c>
      <c r="K87" s="1"/>
      <c r="L87" s="1" t="s">
        <v>821</v>
      </c>
      <c r="M87" s="8" t="s">
        <v>821</v>
      </c>
      <c r="N87" s="1" t="b">
        <f t="shared" si="5"/>
        <v>1</v>
      </c>
      <c r="O87" s="1" t="s">
        <v>941</v>
      </c>
      <c r="P87" s="1" t="s">
        <v>826</v>
      </c>
      <c r="Q87" s="1" t="s">
        <v>827</v>
      </c>
      <c r="R87" s="1" t="s">
        <v>828</v>
      </c>
      <c r="S87" s="1" t="s">
        <v>942</v>
      </c>
      <c r="T87" s="1" t="s">
        <v>943</v>
      </c>
      <c r="U87" s="1" t="s">
        <v>944</v>
      </c>
      <c r="V87" s="13">
        <f>COUNTIF(L87:$M$1659,L87)</f>
        <v>2</v>
      </c>
      <c r="W87" s="1" t="s">
        <v>829</v>
      </c>
      <c r="X87">
        <v>1580.41</v>
      </c>
      <c r="Y87">
        <v>4.41</v>
      </c>
      <c r="Z87">
        <v>12.031929999999999</v>
      </c>
      <c r="AA87">
        <v>109.12816100000001</v>
      </c>
      <c r="AB87">
        <v>1576.01</v>
      </c>
      <c r="AC87">
        <v>12.008963</v>
      </c>
      <c r="AD87">
        <v>109.126104</v>
      </c>
      <c r="AE87" s="5">
        <f t="shared" si="6"/>
        <v>6.6150000000000002E-3</v>
      </c>
      <c r="AF87" s="5">
        <f t="shared" si="7"/>
        <v>2.3640149999999998</v>
      </c>
      <c r="AG87" s="1" t="str">
        <f>TRIM(LEFT(L87,FIND("-",L87)-1))</f>
        <v>3.CA Cam An</v>
      </c>
      <c r="AH87" s="1" t="str">
        <f>TRIM(RIGHT(L87, LEN(L87) - FIND("-", L87)))</f>
        <v>CA Cam Hiệp</v>
      </c>
      <c r="AJ87">
        <f t="shared" si="8"/>
        <v>4.4099999999999999E-3</v>
      </c>
      <c r="AK87">
        <f t="shared" si="9"/>
        <v>1.5760099999999999</v>
      </c>
      <c r="AL87" t="e">
        <f>VLOOKUP(L87,'[1]Tuyến cáp H04'!$B:$E,3,0)/1000</f>
        <v>#N/A</v>
      </c>
      <c r="AM87" t="e">
        <f>VLOOKUP(L87,'[1]Tuyến cáp H04'!$B:$E,4,0)</f>
        <v>#N/A</v>
      </c>
    </row>
    <row r="88" spans="1:39" x14ac:dyDescent="0.25">
      <c r="A88" s="1" t="s">
        <v>945</v>
      </c>
      <c r="B88" s="1" t="s">
        <v>612</v>
      </c>
      <c r="C88" s="1" t="s">
        <v>613</v>
      </c>
      <c r="D88" s="1" t="s">
        <v>946</v>
      </c>
      <c r="E88" s="1" t="s">
        <v>947</v>
      </c>
      <c r="F88" s="1" t="s">
        <v>948</v>
      </c>
      <c r="G88" s="1" t="s">
        <v>14129</v>
      </c>
      <c r="H88" s="1" t="s">
        <v>14133</v>
      </c>
      <c r="I88" s="1" t="s">
        <v>14218</v>
      </c>
      <c r="J88" s="1" t="s">
        <v>23</v>
      </c>
      <c r="K88" s="1"/>
      <c r="L88" s="1" t="s">
        <v>802</v>
      </c>
      <c r="M88" s="8" t="s">
        <v>802</v>
      </c>
      <c r="N88" s="1" t="b">
        <f t="shared" si="5"/>
        <v>1</v>
      </c>
      <c r="O88" s="1" t="s">
        <v>949</v>
      </c>
      <c r="P88" s="1" t="s">
        <v>804</v>
      </c>
      <c r="Q88" s="1" t="s">
        <v>805</v>
      </c>
      <c r="R88" s="1" t="s">
        <v>806</v>
      </c>
      <c r="S88" s="1" t="s">
        <v>950</v>
      </c>
      <c r="T88" s="1" t="s">
        <v>951</v>
      </c>
      <c r="U88" s="1" t="s">
        <v>952</v>
      </c>
      <c r="V88" s="13">
        <f>COUNTIF(L88:$M$1659,L88)</f>
        <v>2</v>
      </c>
      <c r="W88" s="1" t="s">
        <v>810</v>
      </c>
      <c r="X88">
        <v>557.99</v>
      </c>
      <c r="Y88">
        <v>271.76</v>
      </c>
      <c r="Z88">
        <v>11.925971000000001</v>
      </c>
      <c r="AA88">
        <v>109.16124499999999</v>
      </c>
      <c r="AB88">
        <v>286.23</v>
      </c>
      <c r="AC88">
        <v>11.920144000000001</v>
      </c>
      <c r="AD88">
        <v>109.15036000000001</v>
      </c>
      <c r="AE88" s="5">
        <f t="shared" si="6"/>
        <v>0.40764</v>
      </c>
      <c r="AF88" s="5">
        <f t="shared" si="7"/>
        <v>0.42934500000000003</v>
      </c>
      <c r="AG88" s="1" t="str">
        <f>TRIM(LEFT(L88,FIND("-",L88)-1))</f>
        <v>4.CA Nam Cam Ranh</v>
      </c>
      <c r="AH88" s="1" t="str">
        <f>TRIM(RIGHT(L88, LEN(L88) - FIND("-", L88)))</f>
        <v>CA Cam Ranh</v>
      </c>
      <c r="AJ88">
        <f t="shared" si="8"/>
        <v>0.27176</v>
      </c>
      <c r="AK88">
        <f t="shared" si="9"/>
        <v>0.28623000000000004</v>
      </c>
      <c r="AL88" t="e">
        <f>VLOOKUP(L88,'[1]Tuyến cáp H04'!$B:$E,3,0)/1000</f>
        <v>#N/A</v>
      </c>
      <c r="AM88" t="e">
        <f>VLOOKUP(L88,'[1]Tuyến cáp H04'!$B:$E,4,0)</f>
        <v>#N/A</v>
      </c>
    </row>
    <row r="89" spans="1:39" x14ac:dyDescent="0.25">
      <c r="A89" s="1" t="s">
        <v>953</v>
      </c>
      <c r="B89" s="1" t="s">
        <v>839</v>
      </c>
      <c r="C89" s="1" t="s">
        <v>840</v>
      </c>
      <c r="D89" s="1" t="s">
        <v>954</v>
      </c>
      <c r="E89" s="1" t="s">
        <v>955</v>
      </c>
      <c r="F89" s="1" t="s">
        <v>956</v>
      </c>
      <c r="G89" s="1" t="s">
        <v>14129</v>
      </c>
      <c r="H89" s="1" t="s">
        <v>14133</v>
      </c>
      <c r="I89" s="1" t="s">
        <v>14219</v>
      </c>
      <c r="J89" s="1" t="s">
        <v>23</v>
      </c>
      <c r="K89" s="1"/>
      <c r="L89" s="1" t="s">
        <v>957</v>
      </c>
      <c r="M89" s="8" t="s">
        <v>957</v>
      </c>
      <c r="N89" s="1" t="b">
        <f t="shared" si="5"/>
        <v>1</v>
      </c>
      <c r="O89" s="1" t="s">
        <v>958</v>
      </c>
      <c r="P89" s="1" t="s">
        <v>219</v>
      </c>
      <c r="Q89" s="1" t="s">
        <v>959</v>
      </c>
      <c r="R89" s="1" t="s">
        <v>960</v>
      </c>
      <c r="S89" s="1" t="s">
        <v>961</v>
      </c>
      <c r="T89" s="1" t="s">
        <v>962</v>
      </c>
      <c r="U89" s="1" t="s">
        <v>963</v>
      </c>
      <c r="V89" s="13">
        <f>COUNTIF(L89:$M$1659,L89)</f>
        <v>6</v>
      </c>
      <c r="W89" s="1" t="s">
        <v>964</v>
      </c>
      <c r="X89">
        <v>314.64999999999998</v>
      </c>
      <c r="Y89">
        <v>4</v>
      </c>
      <c r="Z89">
        <v>11.906751</v>
      </c>
      <c r="AA89">
        <v>109.14636900000001</v>
      </c>
      <c r="AB89">
        <v>310.64999999999998</v>
      </c>
      <c r="AC89">
        <v>11.905789</v>
      </c>
      <c r="AD89">
        <v>109.145025</v>
      </c>
      <c r="AE89" s="5">
        <f t="shared" si="6"/>
        <v>6.0000000000000001E-3</v>
      </c>
      <c r="AF89" s="5">
        <f t="shared" si="7"/>
        <v>0.46597499999999997</v>
      </c>
      <c r="AG89" s="1" t="str">
        <f>TRIM(LEFT(L89,FIND("-",L89)-1))</f>
        <v>2.CA Cam Linh</v>
      </c>
      <c r="AH89" s="1" t="str">
        <f>TRIM(RIGHT(L89, LEN(L89) - FIND("-", L89)))</f>
        <v>CA Ba Ngòi</v>
      </c>
      <c r="AJ89">
        <f t="shared" si="8"/>
        <v>4.0000000000000001E-3</v>
      </c>
      <c r="AK89">
        <f t="shared" si="9"/>
        <v>0.31064999999999998</v>
      </c>
      <c r="AL89" t="e">
        <f>VLOOKUP(L89,'[1]Tuyến cáp H04'!$B:$E,3,0)/1000</f>
        <v>#N/A</v>
      </c>
      <c r="AM89" t="e">
        <f>VLOOKUP(L89,'[1]Tuyến cáp H04'!$B:$E,4,0)</f>
        <v>#N/A</v>
      </c>
    </row>
    <row r="90" spans="1:39" x14ac:dyDescent="0.25">
      <c r="A90" s="1" t="s">
        <v>965</v>
      </c>
      <c r="B90" s="1" t="s">
        <v>612</v>
      </c>
      <c r="C90" s="1" t="s">
        <v>613</v>
      </c>
      <c r="D90" s="1" t="s">
        <v>966</v>
      </c>
      <c r="E90" s="1" t="s">
        <v>967</v>
      </c>
      <c r="F90" s="1" t="s">
        <v>968</v>
      </c>
      <c r="G90" s="1" t="s">
        <v>14129</v>
      </c>
      <c r="H90" s="1" t="s">
        <v>14133</v>
      </c>
      <c r="I90" s="1" t="s">
        <v>14220</v>
      </c>
      <c r="J90" s="1" t="s">
        <v>23</v>
      </c>
      <c r="K90" s="1"/>
      <c r="L90" s="1" t="s">
        <v>617</v>
      </c>
      <c r="M90" s="8" t="s">
        <v>617</v>
      </c>
      <c r="N90" s="1" t="b">
        <f t="shared" si="5"/>
        <v>1</v>
      </c>
      <c r="O90" s="1" t="s">
        <v>969</v>
      </c>
      <c r="P90" s="1" t="s">
        <v>619</v>
      </c>
      <c r="Q90" s="1" t="s">
        <v>620</v>
      </c>
      <c r="R90" s="1" t="s">
        <v>621</v>
      </c>
      <c r="S90" s="1" t="s">
        <v>970</v>
      </c>
      <c r="T90" s="1" t="s">
        <v>971</v>
      </c>
      <c r="U90" s="1" t="s">
        <v>972</v>
      </c>
      <c r="V90" s="13">
        <f>COUNTIF(L90:$M$1659,L90)</f>
        <v>8</v>
      </c>
      <c r="W90" s="1" t="s">
        <v>625</v>
      </c>
      <c r="X90">
        <v>1033.25</v>
      </c>
      <c r="Y90">
        <v>313.88</v>
      </c>
      <c r="Z90">
        <v>11.923</v>
      </c>
      <c r="AA90">
        <v>109.16500000000001</v>
      </c>
      <c r="AB90">
        <v>719.36</v>
      </c>
      <c r="AC90">
        <v>11.920299999999999</v>
      </c>
      <c r="AD90">
        <v>109.16200000000001</v>
      </c>
      <c r="AE90" s="5">
        <f t="shared" si="6"/>
        <v>0.47082000000000002</v>
      </c>
      <c r="AF90" s="5">
        <f t="shared" si="7"/>
        <v>1.07904</v>
      </c>
      <c r="AG90" s="1" t="str">
        <f>TRIM(LEFT(L90,FIND("-",L90)-1))</f>
        <v>1.CA Cam Ranh</v>
      </c>
      <c r="AH90" s="1" t="str">
        <f>TRIM(RIGHT(L90, LEN(L90) - FIND("-", L90)))</f>
        <v>CA Cam Linh</v>
      </c>
      <c r="AJ90">
        <f t="shared" si="8"/>
        <v>0.31387999999999999</v>
      </c>
      <c r="AK90">
        <f t="shared" si="9"/>
        <v>0.71936</v>
      </c>
      <c r="AL90" t="e">
        <f>VLOOKUP(L90,'[1]Tuyến cáp H04'!$B:$E,3,0)/1000</f>
        <v>#N/A</v>
      </c>
      <c r="AM90" t="e">
        <f>VLOOKUP(L90,'[1]Tuyến cáp H04'!$B:$E,4,0)</f>
        <v>#N/A</v>
      </c>
    </row>
    <row r="91" spans="1:39" x14ac:dyDescent="0.25">
      <c r="A91" s="1" t="s">
        <v>973</v>
      </c>
      <c r="B91" s="1" t="s">
        <v>362</v>
      </c>
      <c r="C91" s="1" t="s">
        <v>363</v>
      </c>
      <c r="D91" s="1" t="s">
        <v>974</v>
      </c>
      <c r="E91" s="1" t="s">
        <v>975</v>
      </c>
      <c r="F91" s="1" t="s">
        <v>976</v>
      </c>
      <c r="G91" s="1" t="s">
        <v>14129</v>
      </c>
      <c r="H91" s="1" t="s">
        <v>14133</v>
      </c>
      <c r="I91" s="1" t="s">
        <v>14221</v>
      </c>
      <c r="J91" s="1" t="s">
        <v>23</v>
      </c>
      <c r="K91" s="1"/>
      <c r="L91" s="1" t="s">
        <v>367</v>
      </c>
      <c r="M91" s="8" t="s">
        <v>367</v>
      </c>
      <c r="N91" s="1" t="b">
        <f t="shared" si="5"/>
        <v>1</v>
      </c>
      <c r="O91" s="1" t="s">
        <v>977</v>
      </c>
      <c r="P91" s="1" t="s">
        <v>369</v>
      </c>
      <c r="Q91" s="1" t="s">
        <v>370</v>
      </c>
      <c r="R91" s="1" t="s">
        <v>371</v>
      </c>
      <c r="S91" s="1" t="s">
        <v>978</v>
      </c>
      <c r="T91" s="1" t="s">
        <v>979</v>
      </c>
      <c r="U91" s="1" t="s">
        <v>980</v>
      </c>
      <c r="V91" s="13">
        <f>COUNTIF(L91:$M$1659,L91)</f>
        <v>4</v>
      </c>
      <c r="W91" s="1" t="s">
        <v>375</v>
      </c>
      <c r="X91">
        <v>260.36</v>
      </c>
      <c r="Y91">
        <v>125</v>
      </c>
      <c r="Z91">
        <v>11.976645</v>
      </c>
      <c r="AA91">
        <v>109.19567600000001</v>
      </c>
      <c r="AB91">
        <v>135.35</v>
      </c>
      <c r="AC91">
        <v>11.987181</v>
      </c>
      <c r="AD91">
        <v>109.17413500000001</v>
      </c>
      <c r="AE91" s="5">
        <f t="shared" si="6"/>
        <v>0.1875</v>
      </c>
      <c r="AF91" s="5">
        <f t="shared" si="7"/>
        <v>0.20302499999999998</v>
      </c>
      <c r="AG91" s="1" t="str">
        <f>TRIM(LEFT(L91,FIND("-",L91)-1))</f>
        <v>2.CA Bắc Cam Ranh</v>
      </c>
      <c r="AH91" s="1" t="str">
        <f>TRIM(RIGHT(L91, LEN(L91) - FIND("-", L91)))</f>
        <v>CA Cam An</v>
      </c>
      <c r="AJ91">
        <f t="shared" si="8"/>
        <v>0.125</v>
      </c>
      <c r="AK91">
        <f t="shared" si="9"/>
        <v>0.13535</v>
      </c>
      <c r="AL91" t="e">
        <f>VLOOKUP(L91,'[1]Tuyến cáp H04'!$B:$E,3,0)/1000</f>
        <v>#N/A</v>
      </c>
      <c r="AM91" t="e">
        <f>VLOOKUP(L91,'[1]Tuyến cáp H04'!$B:$E,4,0)</f>
        <v>#N/A</v>
      </c>
    </row>
    <row r="92" spans="1:39" x14ac:dyDescent="0.25">
      <c r="A92" s="1" t="s">
        <v>981</v>
      </c>
      <c r="B92" s="1" t="s">
        <v>839</v>
      </c>
      <c r="C92" s="1" t="s">
        <v>840</v>
      </c>
      <c r="D92" s="1" t="s">
        <v>982</v>
      </c>
      <c r="E92" s="1" t="s">
        <v>983</v>
      </c>
      <c r="F92" s="1" t="s">
        <v>984</v>
      </c>
      <c r="G92" s="1" t="s">
        <v>14129</v>
      </c>
      <c r="H92" s="1" t="s">
        <v>14133</v>
      </c>
      <c r="I92" s="1" t="s">
        <v>14222</v>
      </c>
      <c r="J92" s="1" t="s">
        <v>23</v>
      </c>
      <c r="K92" s="1"/>
      <c r="L92" s="1" t="s">
        <v>957</v>
      </c>
      <c r="M92" s="8" t="s">
        <v>957</v>
      </c>
      <c r="N92" s="1" t="b">
        <f t="shared" si="5"/>
        <v>1</v>
      </c>
      <c r="O92" s="1" t="s">
        <v>985</v>
      </c>
      <c r="P92" s="1" t="s">
        <v>219</v>
      </c>
      <c r="Q92" s="1" t="s">
        <v>959</v>
      </c>
      <c r="R92" s="1" t="s">
        <v>960</v>
      </c>
      <c r="S92" s="1" t="s">
        <v>986</v>
      </c>
      <c r="T92" s="1" t="s">
        <v>987</v>
      </c>
      <c r="U92" s="1" t="s">
        <v>988</v>
      </c>
      <c r="V92" s="13">
        <f>COUNTIF(L92:$M$1659,L92)</f>
        <v>4</v>
      </c>
      <c r="W92" s="1" t="s">
        <v>964</v>
      </c>
      <c r="X92">
        <v>19.850000000000001</v>
      </c>
      <c r="Y92">
        <v>4</v>
      </c>
      <c r="Z92">
        <v>11.906751</v>
      </c>
      <c r="AA92">
        <v>109.14636900000001</v>
      </c>
      <c r="AB92">
        <v>15.86</v>
      </c>
      <c r="AC92">
        <v>11.909582</v>
      </c>
      <c r="AD92">
        <v>109.141975</v>
      </c>
      <c r="AE92" s="5">
        <f t="shared" si="6"/>
        <v>6.0000000000000001E-3</v>
      </c>
      <c r="AF92" s="5">
        <f t="shared" si="7"/>
        <v>2.3789999999999999E-2</v>
      </c>
      <c r="AG92" s="1" t="str">
        <f>TRIM(LEFT(L92,FIND("-",L92)-1))</f>
        <v>2.CA Cam Linh</v>
      </c>
      <c r="AH92" s="1" t="str">
        <f>TRIM(RIGHT(L92, LEN(L92) - FIND("-", L92)))</f>
        <v>CA Ba Ngòi</v>
      </c>
      <c r="AJ92">
        <f t="shared" si="8"/>
        <v>4.0000000000000001E-3</v>
      </c>
      <c r="AK92">
        <f t="shared" si="9"/>
        <v>1.5859999999999999E-2</v>
      </c>
      <c r="AL92" t="e">
        <f>VLOOKUP(L92,'[1]Tuyến cáp H04'!$B:$E,3,0)/1000</f>
        <v>#N/A</v>
      </c>
      <c r="AM92" t="e">
        <f>VLOOKUP(L92,'[1]Tuyến cáp H04'!$B:$E,4,0)</f>
        <v>#N/A</v>
      </c>
    </row>
    <row r="93" spans="1:39" x14ac:dyDescent="0.25">
      <c r="A93" s="1" t="s">
        <v>989</v>
      </c>
      <c r="B93" s="1" t="s">
        <v>612</v>
      </c>
      <c r="C93" s="1" t="s">
        <v>613</v>
      </c>
      <c r="D93" s="1" t="s">
        <v>990</v>
      </c>
      <c r="E93" s="1" t="s">
        <v>991</v>
      </c>
      <c r="F93" s="1" t="s">
        <v>992</v>
      </c>
      <c r="G93" s="1" t="s">
        <v>14129</v>
      </c>
      <c r="H93" s="1" t="s">
        <v>14133</v>
      </c>
      <c r="I93" s="1" t="s">
        <v>14223</v>
      </c>
      <c r="J93" s="1" t="s">
        <v>23</v>
      </c>
      <c r="K93" s="1"/>
      <c r="L93" s="1" t="s">
        <v>617</v>
      </c>
      <c r="M93" s="8" t="s">
        <v>617</v>
      </c>
      <c r="N93" s="1" t="b">
        <f t="shared" si="5"/>
        <v>1</v>
      </c>
      <c r="O93" s="1" t="s">
        <v>993</v>
      </c>
      <c r="P93" s="1" t="s">
        <v>619</v>
      </c>
      <c r="Q93" s="1" t="s">
        <v>620</v>
      </c>
      <c r="R93" s="1" t="s">
        <v>621</v>
      </c>
      <c r="S93" s="1" t="s">
        <v>994</v>
      </c>
      <c r="T93" s="1" t="s">
        <v>995</v>
      </c>
      <c r="U93" s="1" t="s">
        <v>996</v>
      </c>
      <c r="V93" s="13">
        <f>COUNTIF(L93:$M$1659,L93)</f>
        <v>6</v>
      </c>
      <c r="W93" s="1" t="s">
        <v>625</v>
      </c>
      <c r="X93">
        <v>636.01</v>
      </c>
      <c r="Y93">
        <v>313.88</v>
      </c>
      <c r="Z93">
        <v>11.923</v>
      </c>
      <c r="AA93">
        <v>109.16500000000001</v>
      </c>
      <c r="AB93">
        <v>322.13</v>
      </c>
      <c r="AC93">
        <v>11.909857000000001</v>
      </c>
      <c r="AD93">
        <v>109.15031399999999</v>
      </c>
      <c r="AE93" s="5">
        <f t="shared" si="6"/>
        <v>0.47082000000000002</v>
      </c>
      <c r="AF93" s="5">
        <f t="shared" si="7"/>
        <v>0.48319499999999999</v>
      </c>
      <c r="AG93" s="1" t="str">
        <f>TRIM(LEFT(L93,FIND("-",L93)-1))</f>
        <v>1.CA Cam Ranh</v>
      </c>
      <c r="AH93" s="1" t="str">
        <f>TRIM(RIGHT(L93, LEN(L93) - FIND("-", L93)))</f>
        <v>CA Cam Linh</v>
      </c>
      <c r="AJ93">
        <f t="shared" si="8"/>
        <v>0.31387999999999999</v>
      </c>
      <c r="AK93">
        <f t="shared" si="9"/>
        <v>0.32212999999999997</v>
      </c>
      <c r="AL93" t="e">
        <f>VLOOKUP(L93,'[1]Tuyến cáp H04'!$B:$E,3,0)/1000</f>
        <v>#N/A</v>
      </c>
      <c r="AM93" t="e">
        <f>VLOOKUP(L93,'[1]Tuyến cáp H04'!$B:$E,4,0)</f>
        <v>#N/A</v>
      </c>
    </row>
    <row r="94" spans="1:39" x14ac:dyDescent="0.25">
      <c r="A94" s="1" t="s">
        <v>997</v>
      </c>
      <c r="B94" s="1" t="s">
        <v>600</v>
      </c>
      <c r="C94" s="1" t="s">
        <v>601</v>
      </c>
      <c r="D94" s="1" t="s">
        <v>998</v>
      </c>
      <c r="E94" s="1" t="s">
        <v>999</v>
      </c>
      <c r="F94" s="1" t="s">
        <v>1000</v>
      </c>
      <c r="G94" s="1" t="s">
        <v>14129</v>
      </c>
      <c r="H94" s="1" t="s">
        <v>14133</v>
      </c>
      <c r="I94" s="1" t="s">
        <v>14224</v>
      </c>
      <c r="J94" s="1" t="s">
        <v>23</v>
      </c>
      <c r="K94" s="1"/>
      <c r="L94" s="1" t="s">
        <v>352</v>
      </c>
      <c r="M94" s="8" t="s">
        <v>352</v>
      </c>
      <c r="N94" s="1" t="b">
        <f t="shared" si="5"/>
        <v>1</v>
      </c>
      <c r="O94" s="1" t="s">
        <v>1001</v>
      </c>
      <c r="P94" s="1" t="s">
        <v>1002</v>
      </c>
      <c r="Q94" s="1" t="s">
        <v>1003</v>
      </c>
      <c r="R94" s="1" t="s">
        <v>1004</v>
      </c>
      <c r="S94" s="1" t="s">
        <v>1005</v>
      </c>
      <c r="T94" s="1" t="s">
        <v>1006</v>
      </c>
      <c r="U94" s="1" t="s">
        <v>1007</v>
      </c>
      <c r="V94" s="13">
        <f>COUNTIF(L94:$M$1659,L94)</f>
        <v>14</v>
      </c>
      <c r="W94" s="1" t="s">
        <v>360</v>
      </c>
      <c r="X94">
        <v>221.84</v>
      </c>
      <c r="Y94">
        <v>134.52000000000001</v>
      </c>
      <c r="Z94">
        <v>11.962002999999999</v>
      </c>
      <c r="AA94">
        <v>109.094218</v>
      </c>
      <c r="AB94">
        <v>87.33</v>
      </c>
      <c r="AC94">
        <v>11.955971</v>
      </c>
      <c r="AD94">
        <v>109.103486</v>
      </c>
      <c r="AE94" s="5">
        <f t="shared" si="6"/>
        <v>0.20178000000000004</v>
      </c>
      <c r="AF94" s="5">
        <f t="shared" si="7"/>
        <v>0.130995</v>
      </c>
      <c r="AG94" s="1" t="str">
        <f>TRIM(LEFT(L94,FIND("-",L94)-1))</f>
        <v>3.Cam Ranh</v>
      </c>
      <c r="AH94" s="1" t="str">
        <f>TRIM(RIGHT(L94, LEN(L94) - FIND("-", L94)))</f>
        <v>Khánh Sơn</v>
      </c>
      <c r="AJ94">
        <f t="shared" si="8"/>
        <v>0.13452</v>
      </c>
      <c r="AK94">
        <f t="shared" si="9"/>
        <v>8.7330000000000005E-2</v>
      </c>
      <c r="AL94" t="e">
        <f>VLOOKUP(L94,'[1]Tuyến cáp H04'!$B:$E,3,0)/1000</f>
        <v>#N/A</v>
      </c>
      <c r="AM94" t="e">
        <f>VLOOKUP(L94,'[1]Tuyến cáp H04'!$B:$E,4,0)</f>
        <v>#N/A</v>
      </c>
    </row>
    <row r="95" spans="1:39" x14ac:dyDescent="0.25">
      <c r="A95" s="1" t="s">
        <v>1008</v>
      </c>
      <c r="B95" s="1" t="s">
        <v>1009</v>
      </c>
      <c r="C95" s="1" t="s">
        <v>1010</v>
      </c>
      <c r="D95" s="1" t="s">
        <v>756</v>
      </c>
      <c r="E95" s="1" t="s">
        <v>757</v>
      </c>
      <c r="F95" s="1" t="s">
        <v>1011</v>
      </c>
      <c r="G95" s="1" t="s">
        <v>14129</v>
      </c>
      <c r="H95" s="1" t="s">
        <v>14130</v>
      </c>
      <c r="I95" s="1" t="s">
        <v>14225</v>
      </c>
      <c r="J95" s="1" t="s">
        <v>23</v>
      </c>
      <c r="K95" s="1"/>
      <c r="L95" s="1" t="s">
        <v>1012</v>
      </c>
      <c r="M95" s="8" t="s">
        <v>1012</v>
      </c>
      <c r="N95" s="1" t="b">
        <f t="shared" si="5"/>
        <v>1</v>
      </c>
      <c r="O95" s="1" t="s">
        <v>1013</v>
      </c>
      <c r="P95" s="1" t="s">
        <v>1014</v>
      </c>
      <c r="Q95" s="1" t="s">
        <v>1015</v>
      </c>
      <c r="R95" s="1" t="s">
        <v>1016</v>
      </c>
      <c r="S95" s="1" t="s">
        <v>1017</v>
      </c>
      <c r="T95" s="1" t="s">
        <v>1018</v>
      </c>
      <c r="U95" s="1" t="s">
        <v>1019</v>
      </c>
      <c r="V95" s="13">
        <f>COUNTIF(L95:$M$1659,L95)</f>
        <v>10</v>
      </c>
      <c r="W95" s="1" t="s">
        <v>1020</v>
      </c>
      <c r="X95">
        <v>667.15</v>
      </c>
      <c r="Y95">
        <v>663.57</v>
      </c>
      <c r="Z95">
        <v>12.704838000000001</v>
      </c>
      <c r="AA95">
        <v>109.236941</v>
      </c>
      <c r="AB95">
        <v>3.57</v>
      </c>
      <c r="AC95">
        <v>12.690783</v>
      </c>
      <c r="AD95">
        <v>109.22087000000001</v>
      </c>
      <c r="AE95" s="5">
        <f t="shared" si="6"/>
        <v>0.99535499999999999</v>
      </c>
      <c r="AF95" s="5">
        <f t="shared" si="7"/>
        <v>5.3549999999999995E-3</v>
      </c>
      <c r="AG95" s="1" t="str">
        <f>TRIM(LEFT(L95,FIND("-",L95)-1))</f>
        <v>1.CA Vạn Ninh</v>
      </c>
      <c r="AH95" s="1" t="str">
        <f>TRIM(RIGHT(L95, LEN(L95) - FIND("-", L95)))</f>
        <v>CA Vạn Thắng_Cột trung thế</v>
      </c>
      <c r="AJ95">
        <f t="shared" si="8"/>
        <v>0.6635700000000001</v>
      </c>
      <c r="AK95">
        <f t="shared" si="9"/>
        <v>3.5699999999999998E-3</v>
      </c>
      <c r="AL95" t="e">
        <f>VLOOKUP(L95,'[1]Tuyến cáp H04'!$B:$E,3,0)/1000</f>
        <v>#N/A</v>
      </c>
      <c r="AM95" t="e">
        <f>VLOOKUP(L95,'[1]Tuyến cáp H04'!$B:$E,4,0)</f>
        <v>#N/A</v>
      </c>
    </row>
    <row r="96" spans="1:39" x14ac:dyDescent="0.25">
      <c r="A96" s="1" t="s">
        <v>1021</v>
      </c>
      <c r="B96" s="1" t="s">
        <v>1022</v>
      </c>
      <c r="C96" s="1" t="s">
        <v>1023</v>
      </c>
      <c r="D96" s="1" t="s">
        <v>756</v>
      </c>
      <c r="E96" s="1" t="s">
        <v>757</v>
      </c>
      <c r="F96" s="1" t="s">
        <v>1024</v>
      </c>
      <c r="G96" s="1" t="s">
        <v>14129</v>
      </c>
      <c r="H96" s="1" t="s">
        <v>14130</v>
      </c>
      <c r="I96" s="1" t="s">
        <v>14226</v>
      </c>
      <c r="J96" s="1" t="s">
        <v>23</v>
      </c>
      <c r="K96" s="1"/>
      <c r="L96" s="1" t="s">
        <v>1025</v>
      </c>
      <c r="M96" s="8" t="s">
        <v>1025</v>
      </c>
      <c r="N96" s="1" t="b">
        <f t="shared" si="5"/>
        <v>1</v>
      </c>
      <c r="O96" s="1" t="s">
        <v>1026</v>
      </c>
      <c r="P96" s="1" t="s">
        <v>1027</v>
      </c>
      <c r="Q96" s="1" t="s">
        <v>1028</v>
      </c>
      <c r="R96" s="1" t="s">
        <v>1029</v>
      </c>
      <c r="S96" s="1" t="s">
        <v>1030</v>
      </c>
      <c r="T96" s="1" t="s">
        <v>1031</v>
      </c>
      <c r="U96" s="1" t="s">
        <v>1032</v>
      </c>
      <c r="V96" s="13">
        <f>COUNTIF(L96:$M$1659,L96)</f>
        <v>12</v>
      </c>
      <c r="W96" s="1" t="s">
        <v>1033</v>
      </c>
      <c r="X96">
        <v>533.33000000000004</v>
      </c>
      <c r="Y96">
        <v>46.3</v>
      </c>
      <c r="Z96">
        <v>12.721617</v>
      </c>
      <c r="AA96">
        <v>109.234646</v>
      </c>
      <c r="AB96">
        <v>487.03</v>
      </c>
      <c r="AC96">
        <v>12.693424</v>
      </c>
      <c r="AD96">
        <v>109.21732799999999</v>
      </c>
      <c r="AE96" s="5">
        <f t="shared" si="6"/>
        <v>6.9449999999999984E-2</v>
      </c>
      <c r="AF96" s="5">
        <f t="shared" si="7"/>
        <v>0.730545</v>
      </c>
      <c r="AG96" s="1" t="str">
        <f>TRIM(LEFT(L96,FIND("-",L96)-1))</f>
        <v>4.CA Đại Lãnh</v>
      </c>
      <c r="AH96" s="1" t="str">
        <f>TRIM(RIGHT(L96, LEN(L96) - FIND("-", L96)))</f>
        <v>CA Vạn Ninh</v>
      </c>
      <c r="AJ96">
        <f t="shared" si="8"/>
        <v>4.6299999999999994E-2</v>
      </c>
      <c r="AK96">
        <f t="shared" si="9"/>
        <v>0.48702999999999996</v>
      </c>
      <c r="AL96" t="e">
        <f>VLOOKUP(L96,'[1]Tuyến cáp H04'!$B:$E,3,0)/1000</f>
        <v>#N/A</v>
      </c>
      <c r="AM96" t="e">
        <f>VLOOKUP(L96,'[1]Tuyến cáp H04'!$B:$E,4,0)</f>
        <v>#N/A</v>
      </c>
    </row>
    <row r="97" spans="1:39" x14ac:dyDescent="0.25">
      <c r="A97" s="1" t="s">
        <v>1034</v>
      </c>
      <c r="B97" s="1" t="s">
        <v>1035</v>
      </c>
      <c r="C97" s="1" t="s">
        <v>1036</v>
      </c>
      <c r="D97" s="1" t="s">
        <v>756</v>
      </c>
      <c r="E97" s="1" t="s">
        <v>757</v>
      </c>
      <c r="F97" s="1" t="s">
        <v>1037</v>
      </c>
      <c r="G97" s="1" t="s">
        <v>14129</v>
      </c>
      <c r="H97" s="1" t="s">
        <v>14130</v>
      </c>
      <c r="I97" s="1" t="s">
        <v>14227</v>
      </c>
      <c r="J97" s="1" t="s">
        <v>23</v>
      </c>
      <c r="K97" s="1"/>
      <c r="L97" s="1" t="s">
        <v>1025</v>
      </c>
      <c r="M97" s="8" t="s">
        <v>1025</v>
      </c>
      <c r="N97" s="1" t="b">
        <f t="shared" si="5"/>
        <v>1</v>
      </c>
      <c r="O97" s="1" t="s">
        <v>1038</v>
      </c>
      <c r="P97" s="1" t="s">
        <v>1039</v>
      </c>
      <c r="Q97" s="1" t="s">
        <v>1040</v>
      </c>
      <c r="R97" s="1" t="s">
        <v>1041</v>
      </c>
      <c r="S97" s="1" t="s">
        <v>1030</v>
      </c>
      <c r="T97" s="1" t="s">
        <v>1031</v>
      </c>
      <c r="U97" s="1" t="s">
        <v>1032</v>
      </c>
      <c r="V97" s="13">
        <f>COUNTIF(L97:$M$1659,L97)</f>
        <v>10</v>
      </c>
      <c r="W97" s="1" t="s">
        <v>1033</v>
      </c>
      <c r="X97">
        <v>1805.95</v>
      </c>
      <c r="Y97">
        <v>1318.92</v>
      </c>
      <c r="Z97">
        <v>12.726119000000001</v>
      </c>
      <c r="AA97">
        <v>109.25599099999999</v>
      </c>
      <c r="AB97">
        <v>487.03</v>
      </c>
      <c r="AC97">
        <v>12.693424</v>
      </c>
      <c r="AD97">
        <v>109.21732799999999</v>
      </c>
      <c r="AE97" s="5">
        <f t="shared" si="6"/>
        <v>1.97838</v>
      </c>
      <c r="AF97" s="5">
        <f t="shared" si="7"/>
        <v>0.730545</v>
      </c>
      <c r="AG97" s="1" t="str">
        <f>TRIM(LEFT(L97,FIND("-",L97)-1))</f>
        <v>4.CA Đại Lãnh</v>
      </c>
      <c r="AH97" s="1" t="str">
        <f>TRIM(RIGHT(L97, LEN(L97) - FIND("-", L97)))</f>
        <v>CA Vạn Ninh</v>
      </c>
      <c r="AJ97">
        <f t="shared" si="8"/>
        <v>1.3189200000000001</v>
      </c>
      <c r="AK97">
        <f t="shared" si="9"/>
        <v>0.48702999999999996</v>
      </c>
      <c r="AL97" t="e">
        <f>VLOOKUP(L97,'[1]Tuyến cáp H04'!$B:$E,3,0)/1000</f>
        <v>#N/A</v>
      </c>
      <c r="AM97" t="e">
        <f>VLOOKUP(L97,'[1]Tuyến cáp H04'!$B:$E,4,0)</f>
        <v>#N/A</v>
      </c>
    </row>
    <row r="98" spans="1:39" x14ac:dyDescent="0.25">
      <c r="A98" s="1" t="s">
        <v>1042</v>
      </c>
      <c r="B98" s="1" t="s">
        <v>1043</v>
      </c>
      <c r="C98" s="1" t="s">
        <v>1044</v>
      </c>
      <c r="D98" s="1" t="s">
        <v>756</v>
      </c>
      <c r="E98" s="1" t="s">
        <v>757</v>
      </c>
      <c r="F98" s="1" t="s">
        <v>1045</v>
      </c>
      <c r="G98" s="1" t="s">
        <v>14129</v>
      </c>
      <c r="H98" s="1" t="s">
        <v>14130</v>
      </c>
      <c r="I98" s="1" t="s">
        <v>14228</v>
      </c>
      <c r="J98" s="1" t="s">
        <v>23</v>
      </c>
      <c r="K98" s="1"/>
      <c r="L98" s="1" t="s">
        <v>1012</v>
      </c>
      <c r="M98" s="8" t="s">
        <v>1012</v>
      </c>
      <c r="N98" s="1" t="b">
        <f t="shared" si="5"/>
        <v>1</v>
      </c>
      <c r="O98" s="1" t="s">
        <v>1046</v>
      </c>
      <c r="P98" s="1" t="s">
        <v>1047</v>
      </c>
      <c r="Q98" s="1" t="s">
        <v>1048</v>
      </c>
      <c r="R98" s="1" t="s">
        <v>1049</v>
      </c>
      <c r="S98" s="1" t="s">
        <v>1017</v>
      </c>
      <c r="T98" s="1" t="s">
        <v>1018</v>
      </c>
      <c r="U98" s="1" t="s">
        <v>1019</v>
      </c>
      <c r="V98" s="13">
        <f>COUNTIF(L98:$M$1659,L98)</f>
        <v>8</v>
      </c>
      <c r="W98" s="1" t="s">
        <v>1020</v>
      </c>
      <c r="X98">
        <v>640.53</v>
      </c>
      <c r="Y98">
        <v>636.96</v>
      </c>
      <c r="Z98">
        <v>12.699180999999999</v>
      </c>
      <c r="AA98">
        <v>109.22475300000001</v>
      </c>
      <c r="AB98">
        <v>3.57</v>
      </c>
      <c r="AC98">
        <v>12.690783</v>
      </c>
      <c r="AD98">
        <v>109.22087000000001</v>
      </c>
      <c r="AE98" s="5">
        <f t="shared" si="6"/>
        <v>0.95544000000000007</v>
      </c>
      <c r="AF98" s="5">
        <f t="shared" si="7"/>
        <v>5.3549999999999995E-3</v>
      </c>
      <c r="AG98" s="1" t="str">
        <f>TRIM(LEFT(L98,FIND("-",L98)-1))</f>
        <v>1.CA Vạn Ninh</v>
      </c>
      <c r="AH98" s="1" t="str">
        <f>TRIM(RIGHT(L98, LEN(L98) - FIND("-", L98)))</f>
        <v>CA Vạn Thắng_Cột trung thế</v>
      </c>
      <c r="AJ98">
        <f t="shared" si="8"/>
        <v>0.63696000000000008</v>
      </c>
      <c r="AK98">
        <f t="shared" si="9"/>
        <v>3.5699999999999998E-3</v>
      </c>
      <c r="AL98" t="e">
        <f>VLOOKUP(L98,'[1]Tuyến cáp H04'!$B:$E,3,0)/1000</f>
        <v>#N/A</v>
      </c>
      <c r="AM98" t="e">
        <f>VLOOKUP(L98,'[1]Tuyến cáp H04'!$B:$E,4,0)</f>
        <v>#N/A</v>
      </c>
    </row>
    <row r="99" spans="1:39" x14ac:dyDescent="0.25">
      <c r="A99" s="1" t="s">
        <v>1050</v>
      </c>
      <c r="B99" s="1" t="s">
        <v>1051</v>
      </c>
      <c r="C99" s="1" t="s">
        <v>1052</v>
      </c>
      <c r="D99" s="1" t="s">
        <v>756</v>
      </c>
      <c r="E99" s="1" t="s">
        <v>757</v>
      </c>
      <c r="F99" s="1" t="s">
        <v>1053</v>
      </c>
      <c r="G99" s="1" t="s">
        <v>14129</v>
      </c>
      <c r="H99" s="1" t="s">
        <v>14130</v>
      </c>
      <c r="I99" s="1" t="s">
        <v>14229</v>
      </c>
      <c r="J99" s="1" t="s">
        <v>23</v>
      </c>
      <c r="K99" s="1"/>
      <c r="L99" s="1" t="s">
        <v>1012</v>
      </c>
      <c r="M99" s="8" t="s">
        <v>1012</v>
      </c>
      <c r="N99" s="1" t="b">
        <f t="shared" si="5"/>
        <v>1</v>
      </c>
      <c r="O99" s="1" t="s">
        <v>1054</v>
      </c>
      <c r="P99" s="1" t="s">
        <v>1055</v>
      </c>
      <c r="Q99" s="1" t="s">
        <v>1056</v>
      </c>
      <c r="R99" s="1" t="s">
        <v>1057</v>
      </c>
      <c r="S99" s="1" t="s">
        <v>1017</v>
      </c>
      <c r="T99" s="1" t="s">
        <v>1018</v>
      </c>
      <c r="U99" s="1" t="s">
        <v>1019</v>
      </c>
      <c r="V99" s="13">
        <f>COUNTIF(L99:$M$1659,L99)</f>
        <v>6</v>
      </c>
      <c r="W99" s="1" t="s">
        <v>1020</v>
      </c>
      <c r="X99">
        <v>1216.4100000000001</v>
      </c>
      <c r="Y99">
        <v>1212.8399999999999</v>
      </c>
      <c r="Z99">
        <v>12.70477</v>
      </c>
      <c r="AA99">
        <v>109.2372</v>
      </c>
      <c r="AB99">
        <v>3.57</v>
      </c>
      <c r="AC99">
        <v>12.690783</v>
      </c>
      <c r="AD99">
        <v>109.22087000000001</v>
      </c>
      <c r="AE99" s="5">
        <f t="shared" si="6"/>
        <v>1.8192599999999997</v>
      </c>
      <c r="AF99" s="5">
        <f t="shared" si="7"/>
        <v>5.3549999999999995E-3</v>
      </c>
      <c r="AG99" s="1" t="str">
        <f>TRIM(LEFT(L99,FIND("-",L99)-1))</f>
        <v>1.CA Vạn Ninh</v>
      </c>
      <c r="AH99" s="1" t="str">
        <f>TRIM(RIGHT(L99, LEN(L99) - FIND("-", L99)))</f>
        <v>CA Vạn Thắng_Cột trung thế</v>
      </c>
      <c r="AJ99">
        <f t="shared" si="8"/>
        <v>1.2128399999999999</v>
      </c>
      <c r="AK99">
        <f t="shared" si="9"/>
        <v>3.5699999999999998E-3</v>
      </c>
      <c r="AL99" t="e">
        <f>VLOOKUP(L99,'[1]Tuyến cáp H04'!$B:$E,3,0)/1000</f>
        <v>#N/A</v>
      </c>
      <c r="AM99" t="e">
        <f>VLOOKUP(L99,'[1]Tuyến cáp H04'!$B:$E,4,0)</f>
        <v>#N/A</v>
      </c>
    </row>
    <row r="100" spans="1:39" x14ac:dyDescent="0.25">
      <c r="A100" s="1" t="s">
        <v>1058</v>
      </c>
      <c r="B100" s="1" t="s">
        <v>1059</v>
      </c>
      <c r="C100" s="1" t="s">
        <v>1060</v>
      </c>
      <c r="D100" s="1" t="s">
        <v>393</v>
      </c>
      <c r="E100" s="1" t="s">
        <v>394</v>
      </c>
      <c r="F100" s="1" t="s">
        <v>1061</v>
      </c>
      <c r="G100" s="1" t="s">
        <v>14129</v>
      </c>
      <c r="H100" s="1" t="s">
        <v>14130</v>
      </c>
      <c r="I100" s="1" t="s">
        <v>14230</v>
      </c>
      <c r="J100" s="1" t="s">
        <v>23</v>
      </c>
      <c r="K100" s="1"/>
      <c r="L100" s="1" t="s">
        <v>434</v>
      </c>
      <c r="M100" s="8" t="s">
        <v>434</v>
      </c>
      <c r="N100" s="1" t="b">
        <f t="shared" si="5"/>
        <v>1</v>
      </c>
      <c r="O100" s="1" t="s">
        <v>1062</v>
      </c>
      <c r="P100" s="1" t="s">
        <v>1063</v>
      </c>
      <c r="Q100" s="1" t="s">
        <v>1064</v>
      </c>
      <c r="R100" s="1" t="s">
        <v>1065</v>
      </c>
      <c r="S100" s="1" t="s">
        <v>436</v>
      </c>
      <c r="T100" s="1" t="s">
        <v>437</v>
      </c>
      <c r="U100" s="1" t="s">
        <v>438</v>
      </c>
      <c r="V100" s="13">
        <f>COUNTIF(L100:$M$1659,L100)</f>
        <v>6</v>
      </c>
      <c r="W100" s="1" t="s">
        <v>442</v>
      </c>
      <c r="X100">
        <v>129.19</v>
      </c>
      <c r="Y100">
        <v>125.99</v>
      </c>
      <c r="Z100">
        <v>12.269342</v>
      </c>
      <c r="AA100">
        <v>109.033485</v>
      </c>
      <c r="AB100">
        <v>3.2</v>
      </c>
      <c r="AC100">
        <v>12.269061000000001</v>
      </c>
      <c r="AD100">
        <v>109.03337999999999</v>
      </c>
      <c r="AE100" s="5">
        <f t="shared" si="6"/>
        <v>0.18898499999999999</v>
      </c>
      <c r="AF100" s="5">
        <f t="shared" si="7"/>
        <v>4.8000000000000004E-3</v>
      </c>
      <c r="AG100" s="1" t="str">
        <f>TRIM(LEFT(L100,FIND("-",L100)-1))</f>
        <v>3.CA Diên Lâm</v>
      </c>
      <c r="AH100" s="1" t="str">
        <f>TRIM(RIGHT(L100, LEN(L100) - FIND("-", L100)))</f>
        <v>CA Bắc Khánh Vĩnh_Cột trung thế</v>
      </c>
      <c r="AJ100">
        <f t="shared" si="8"/>
        <v>0.12598999999999999</v>
      </c>
      <c r="AK100">
        <f t="shared" si="9"/>
        <v>3.2000000000000002E-3</v>
      </c>
      <c r="AL100" t="e">
        <f>VLOOKUP(L100,'[1]Tuyến cáp H04'!$B:$E,3,0)/1000</f>
        <v>#N/A</v>
      </c>
      <c r="AM100" t="e">
        <f>VLOOKUP(L100,'[1]Tuyến cáp H04'!$B:$E,4,0)</f>
        <v>#N/A</v>
      </c>
    </row>
    <row r="101" spans="1:39" x14ac:dyDescent="0.25">
      <c r="A101" s="1" t="s">
        <v>1066</v>
      </c>
      <c r="B101" s="1" t="s">
        <v>1067</v>
      </c>
      <c r="C101" s="1" t="s">
        <v>1068</v>
      </c>
      <c r="D101" s="1" t="s">
        <v>49</v>
      </c>
      <c r="E101" s="1" t="s">
        <v>50</v>
      </c>
      <c r="F101" s="1" t="s">
        <v>1069</v>
      </c>
      <c r="G101" s="1" t="s">
        <v>14129</v>
      </c>
      <c r="H101" s="1" t="s">
        <v>14130</v>
      </c>
      <c r="I101" s="1" t="s">
        <v>14231</v>
      </c>
      <c r="J101" s="1" t="s">
        <v>23</v>
      </c>
      <c r="K101" s="1"/>
      <c r="L101" s="1" t="s">
        <v>317</v>
      </c>
      <c r="M101" s="8" t="s">
        <v>317</v>
      </c>
      <c r="N101" s="1" t="b">
        <f t="shared" si="5"/>
        <v>1</v>
      </c>
      <c r="O101" s="1" t="s">
        <v>1070</v>
      </c>
      <c r="P101" s="1" t="s">
        <v>1071</v>
      </c>
      <c r="Q101" s="1" t="s">
        <v>1072</v>
      </c>
      <c r="R101" s="1" t="s">
        <v>1073</v>
      </c>
      <c r="S101" s="1" t="s">
        <v>319</v>
      </c>
      <c r="T101" s="1" t="s">
        <v>320</v>
      </c>
      <c r="U101" s="1" t="s">
        <v>321</v>
      </c>
      <c r="V101" s="13">
        <f>COUNTIF(L101:$M$1659,L101)</f>
        <v>2</v>
      </c>
      <c r="W101" s="1" t="s">
        <v>325</v>
      </c>
      <c r="X101">
        <v>732.69</v>
      </c>
      <c r="Y101">
        <v>725.47</v>
      </c>
      <c r="Z101">
        <v>12.253289000000001</v>
      </c>
      <c r="AA101">
        <v>109.07729999999999</v>
      </c>
      <c r="AB101">
        <v>7.22</v>
      </c>
      <c r="AC101">
        <v>12.246371</v>
      </c>
      <c r="AD101">
        <v>109.072963</v>
      </c>
      <c r="AE101" s="5">
        <f t="shared" si="6"/>
        <v>1.0882049999999999</v>
      </c>
      <c r="AF101" s="5">
        <f t="shared" si="7"/>
        <v>1.0829999999999999E-2</v>
      </c>
      <c r="AG101" s="1" t="str">
        <f>TRIM(LEFT(L101,FIND("-",L101)-1))</f>
        <v>2.Nhà tạm giam Diên Khánh</v>
      </c>
      <c r="AH101" s="1" t="str">
        <f>TRIM(RIGHT(L101, LEN(L101) - FIND("-", L101)))</f>
        <v>Trại giam A2</v>
      </c>
      <c r="AJ101">
        <f t="shared" si="8"/>
        <v>0.72547000000000006</v>
      </c>
      <c r="AK101">
        <f t="shared" si="9"/>
        <v>7.2199999999999999E-3</v>
      </c>
      <c r="AL101" t="e">
        <f>VLOOKUP(L101,'[1]Tuyến cáp H04'!$B:$E,3,0)/1000</f>
        <v>#N/A</v>
      </c>
      <c r="AM101" t="e">
        <f>VLOOKUP(L101,'[1]Tuyến cáp H04'!$B:$E,4,0)</f>
        <v>#N/A</v>
      </c>
    </row>
    <row r="102" spans="1:39" x14ac:dyDescent="0.25">
      <c r="A102" s="1" t="s">
        <v>1074</v>
      </c>
      <c r="B102" s="1" t="s">
        <v>1075</v>
      </c>
      <c r="C102" s="1" t="s">
        <v>1076</v>
      </c>
      <c r="D102" s="1" t="s">
        <v>51</v>
      </c>
      <c r="E102" s="1" t="s">
        <v>52</v>
      </c>
      <c r="F102" s="1" t="s">
        <v>1077</v>
      </c>
      <c r="G102" s="1" t="s">
        <v>14129</v>
      </c>
      <c r="H102" s="1" t="s">
        <v>14130</v>
      </c>
      <c r="I102" s="1" t="s">
        <v>14232</v>
      </c>
      <c r="J102" s="1" t="s">
        <v>23</v>
      </c>
      <c r="K102" s="1"/>
      <c r="L102" s="1" t="s">
        <v>67</v>
      </c>
      <c r="M102" s="8" t="s">
        <v>67</v>
      </c>
      <c r="N102" s="1" t="b">
        <f t="shared" si="5"/>
        <v>1</v>
      </c>
      <c r="O102" s="1" t="s">
        <v>1078</v>
      </c>
      <c r="P102" s="1" t="s">
        <v>1079</v>
      </c>
      <c r="Q102" s="1" t="s">
        <v>1080</v>
      </c>
      <c r="R102" s="1" t="s">
        <v>1081</v>
      </c>
      <c r="S102" s="1" t="s">
        <v>69</v>
      </c>
      <c r="T102" s="1" t="s">
        <v>70</v>
      </c>
      <c r="U102" s="1" t="s">
        <v>71</v>
      </c>
      <c r="V102" s="13">
        <f>COUNTIF(L102:$M$1659,L102)</f>
        <v>6</v>
      </c>
      <c r="W102" s="1" t="s">
        <v>75</v>
      </c>
      <c r="X102">
        <v>845.12</v>
      </c>
      <c r="Y102">
        <v>691.22</v>
      </c>
      <c r="Z102">
        <v>12.197663</v>
      </c>
      <c r="AA102">
        <v>109.068449</v>
      </c>
      <c r="AB102">
        <v>153.9</v>
      </c>
      <c r="AC102">
        <v>12.220518999999999</v>
      </c>
      <c r="AD102">
        <v>109.08248</v>
      </c>
      <c r="AE102" s="5">
        <f t="shared" si="6"/>
        <v>1.0368299999999999</v>
      </c>
      <c r="AF102" s="5">
        <f t="shared" si="7"/>
        <v>0.23085000000000003</v>
      </c>
      <c r="AG102" s="1" t="str">
        <f>TRIM(LEFT(L102,FIND("-",L102)-1))</f>
        <v>2.CA Suối Hiệp</v>
      </c>
      <c r="AH102" s="1" t="str">
        <f>TRIM(RIGHT(L102, LEN(L102) - FIND("-", L102)))</f>
        <v>CA Suối Dầu</v>
      </c>
      <c r="AJ102">
        <f t="shared" si="8"/>
        <v>0.69122000000000006</v>
      </c>
      <c r="AK102">
        <f t="shared" si="9"/>
        <v>0.15390000000000001</v>
      </c>
      <c r="AL102" t="e">
        <f>VLOOKUP(L102,'[1]Tuyến cáp H04'!$B:$E,3,0)/1000</f>
        <v>#N/A</v>
      </c>
      <c r="AM102" t="e">
        <f>VLOOKUP(L102,'[1]Tuyến cáp H04'!$B:$E,4,0)</f>
        <v>#N/A</v>
      </c>
    </row>
    <row r="103" spans="1:39" x14ac:dyDescent="0.25">
      <c r="A103" s="1" t="s">
        <v>1082</v>
      </c>
      <c r="B103" s="1" t="s">
        <v>1083</v>
      </c>
      <c r="C103" s="1" t="s">
        <v>1084</v>
      </c>
      <c r="D103" s="1" t="s">
        <v>723</v>
      </c>
      <c r="E103" s="1" t="s">
        <v>724</v>
      </c>
      <c r="F103" s="1" t="s">
        <v>1085</v>
      </c>
      <c r="G103" s="1" t="s">
        <v>14129</v>
      </c>
      <c r="H103" s="1" t="s">
        <v>14130</v>
      </c>
      <c r="I103" s="1" t="s">
        <v>14233</v>
      </c>
      <c r="J103" s="1" t="s">
        <v>23</v>
      </c>
      <c r="K103" s="1"/>
      <c r="L103" s="1" t="s">
        <v>245</v>
      </c>
      <c r="M103" s="8" t="s">
        <v>245</v>
      </c>
      <c r="N103" s="1" t="b">
        <f t="shared" si="5"/>
        <v>1</v>
      </c>
      <c r="O103" s="1" t="s">
        <v>1086</v>
      </c>
      <c r="P103" s="1" t="s">
        <v>1087</v>
      </c>
      <c r="Q103" s="1" t="s">
        <v>1088</v>
      </c>
      <c r="R103" s="1" t="s">
        <v>1089</v>
      </c>
      <c r="S103" s="1" t="s">
        <v>1090</v>
      </c>
      <c r="T103" s="1" t="s">
        <v>1091</v>
      </c>
      <c r="U103" s="1" t="s">
        <v>1092</v>
      </c>
      <c r="V103" s="13">
        <f>COUNTIF(L103:$M$1659,L103)</f>
        <v>11</v>
      </c>
      <c r="W103" s="1" t="s">
        <v>881</v>
      </c>
      <c r="X103">
        <v>586.94000000000005</v>
      </c>
      <c r="Y103">
        <v>426.11</v>
      </c>
      <c r="Z103">
        <v>12.012765999999999</v>
      </c>
      <c r="AA103">
        <v>109.1266</v>
      </c>
      <c r="AB103">
        <v>160.83000000000001</v>
      </c>
      <c r="AC103">
        <v>12.033222</v>
      </c>
      <c r="AD103">
        <v>109.128844</v>
      </c>
      <c r="AE103" s="5">
        <f t="shared" si="6"/>
        <v>0.63916499999999998</v>
      </c>
      <c r="AF103" s="5">
        <f t="shared" si="7"/>
        <v>0.24124500000000001</v>
      </c>
      <c r="AG103" s="1" t="str">
        <f>TRIM(LEFT(L103,FIND("-",L103)-1))</f>
        <v>5. Cam Phước Đông</v>
      </c>
      <c r="AH103" s="1" t="str">
        <f>TRIM(RIGHT(L103, LEN(L103) - FIND("-", L103)))</f>
        <v>CAT Khánh Hòa</v>
      </c>
      <c r="AJ103">
        <f t="shared" si="8"/>
        <v>0.42610999999999999</v>
      </c>
      <c r="AK103">
        <f t="shared" si="9"/>
        <v>0.16083</v>
      </c>
      <c r="AL103" t="e">
        <f>VLOOKUP(L103,'[1]Tuyến cáp H04'!$B:$E,3,0)/1000</f>
        <v>#N/A</v>
      </c>
      <c r="AM103" t="e">
        <f>VLOOKUP(L103,'[1]Tuyến cáp H04'!$B:$E,4,0)</f>
        <v>#N/A</v>
      </c>
    </row>
    <row r="104" spans="1:39" x14ac:dyDescent="0.25">
      <c r="A104" s="1" t="s">
        <v>1093</v>
      </c>
      <c r="B104" s="1" t="s">
        <v>1094</v>
      </c>
      <c r="C104" s="1" t="s">
        <v>1095</v>
      </c>
      <c r="D104" s="1" t="s">
        <v>780</v>
      </c>
      <c r="E104" s="1" t="s">
        <v>781</v>
      </c>
      <c r="F104" s="1" t="s">
        <v>1096</v>
      </c>
      <c r="G104" s="1" t="s">
        <v>14129</v>
      </c>
      <c r="H104" s="1" t="s">
        <v>14130</v>
      </c>
      <c r="I104" s="1" t="s">
        <v>14234</v>
      </c>
      <c r="J104" s="1" t="s">
        <v>23</v>
      </c>
      <c r="K104" s="1"/>
      <c r="L104" s="1" t="s">
        <v>490</v>
      </c>
      <c r="M104" s="8" t="s">
        <v>490</v>
      </c>
      <c r="N104" s="1" t="b">
        <f t="shared" si="5"/>
        <v>1</v>
      </c>
      <c r="O104" s="1" t="s">
        <v>1097</v>
      </c>
      <c r="P104" s="1" t="s">
        <v>1098</v>
      </c>
      <c r="Q104" s="1" t="s">
        <v>1099</v>
      </c>
      <c r="R104" s="1" t="s">
        <v>1100</v>
      </c>
      <c r="S104" s="1" t="s">
        <v>784</v>
      </c>
      <c r="T104" s="1" t="s">
        <v>785</v>
      </c>
      <c r="U104" s="1" t="s">
        <v>786</v>
      </c>
      <c r="V104" s="13">
        <f>COUNTIF(L104:$M$1659,L104)</f>
        <v>20</v>
      </c>
      <c r="W104" s="1" t="s">
        <v>498</v>
      </c>
      <c r="X104">
        <v>351.58</v>
      </c>
      <c r="Y104">
        <v>349.55</v>
      </c>
      <c r="Z104">
        <v>12.09661</v>
      </c>
      <c r="AA104">
        <v>109.188524</v>
      </c>
      <c r="AB104">
        <v>2.0299999999999998</v>
      </c>
      <c r="AC104">
        <v>12.074439</v>
      </c>
      <c r="AD104">
        <v>109.168081</v>
      </c>
      <c r="AE104" s="5">
        <f t="shared" si="6"/>
        <v>0.52432500000000004</v>
      </c>
      <c r="AF104" s="5">
        <f t="shared" si="7"/>
        <v>3.045E-3</v>
      </c>
      <c r="AG104" s="1" t="str">
        <f>TRIM(LEFT(L104,FIND("-",L104)-1))</f>
        <v>1.CAT Khánh Hòa</v>
      </c>
      <c r="AH104" s="1" t="str">
        <f>TRIM(RIGHT(L104, LEN(L104) - FIND("-", L104)))</f>
        <v>Cam Lâm</v>
      </c>
      <c r="AJ104">
        <f t="shared" si="8"/>
        <v>0.34955000000000003</v>
      </c>
      <c r="AK104">
        <f t="shared" si="9"/>
        <v>2.0299999999999997E-3</v>
      </c>
      <c r="AL104" t="e">
        <f>VLOOKUP(L104,'[1]Tuyến cáp H04'!$B:$E,3,0)/1000</f>
        <v>#N/A</v>
      </c>
      <c r="AM104" t="e">
        <f>VLOOKUP(L104,'[1]Tuyến cáp H04'!$B:$E,4,0)</f>
        <v>#N/A</v>
      </c>
    </row>
    <row r="105" spans="1:39" x14ac:dyDescent="0.25">
      <c r="A105" s="1" t="s">
        <v>1101</v>
      </c>
      <c r="B105" s="1" t="s">
        <v>1102</v>
      </c>
      <c r="C105" s="1" t="s">
        <v>1103</v>
      </c>
      <c r="D105" s="1" t="s">
        <v>780</v>
      </c>
      <c r="E105" s="1" t="s">
        <v>781</v>
      </c>
      <c r="F105" s="1" t="s">
        <v>1104</v>
      </c>
      <c r="G105" s="1" t="s">
        <v>14129</v>
      </c>
      <c r="H105" s="1" t="s">
        <v>14130</v>
      </c>
      <c r="I105" s="1" t="s">
        <v>14235</v>
      </c>
      <c r="J105" s="1" t="s">
        <v>23</v>
      </c>
      <c r="K105" s="1"/>
      <c r="L105" s="1" t="s">
        <v>490</v>
      </c>
      <c r="M105" s="8" t="s">
        <v>490</v>
      </c>
      <c r="N105" s="1" t="b">
        <f t="shared" si="5"/>
        <v>1</v>
      </c>
      <c r="O105" s="1" t="s">
        <v>1105</v>
      </c>
      <c r="P105" s="1" t="s">
        <v>1106</v>
      </c>
      <c r="Q105" s="1" t="s">
        <v>1107</v>
      </c>
      <c r="R105" s="1" t="s">
        <v>1108</v>
      </c>
      <c r="S105" s="1" t="s">
        <v>784</v>
      </c>
      <c r="T105" s="1" t="s">
        <v>785</v>
      </c>
      <c r="U105" s="1" t="s">
        <v>786</v>
      </c>
      <c r="V105" s="13">
        <f>COUNTIF(L105:$M$1659,L105)</f>
        <v>18</v>
      </c>
      <c r="W105" s="1" t="s">
        <v>498</v>
      </c>
      <c r="X105">
        <v>1166.83</v>
      </c>
      <c r="Y105">
        <v>1164.8</v>
      </c>
      <c r="Z105">
        <v>12.085070999999999</v>
      </c>
      <c r="AA105">
        <v>109.188964</v>
      </c>
      <c r="AB105">
        <v>2.0299999999999998</v>
      </c>
      <c r="AC105">
        <v>12.074439</v>
      </c>
      <c r="AD105">
        <v>109.168081</v>
      </c>
      <c r="AE105" s="5">
        <f t="shared" si="6"/>
        <v>1.7471999999999999</v>
      </c>
      <c r="AF105" s="5">
        <f t="shared" si="7"/>
        <v>3.045E-3</v>
      </c>
      <c r="AG105" s="1" t="str">
        <f>TRIM(LEFT(L105,FIND("-",L105)-1))</f>
        <v>1.CAT Khánh Hòa</v>
      </c>
      <c r="AH105" s="1" t="str">
        <f>TRIM(RIGHT(L105, LEN(L105) - FIND("-", L105)))</f>
        <v>Cam Lâm</v>
      </c>
      <c r="AJ105">
        <f t="shared" si="8"/>
        <v>1.1648000000000001</v>
      </c>
      <c r="AK105">
        <f t="shared" si="9"/>
        <v>2.0299999999999997E-3</v>
      </c>
      <c r="AL105" t="e">
        <f>VLOOKUP(L105,'[1]Tuyến cáp H04'!$B:$E,3,0)/1000</f>
        <v>#N/A</v>
      </c>
      <c r="AM105" t="e">
        <f>VLOOKUP(L105,'[1]Tuyến cáp H04'!$B:$E,4,0)</f>
        <v>#N/A</v>
      </c>
    </row>
    <row r="106" spans="1:39" x14ac:dyDescent="0.25">
      <c r="A106" s="1" t="s">
        <v>1109</v>
      </c>
      <c r="B106" s="1" t="s">
        <v>1110</v>
      </c>
      <c r="C106" s="1" t="s">
        <v>1111</v>
      </c>
      <c r="D106" s="1" t="s">
        <v>839</v>
      </c>
      <c r="E106" s="1" t="s">
        <v>840</v>
      </c>
      <c r="F106" s="1" t="s">
        <v>1112</v>
      </c>
      <c r="G106" s="1" t="s">
        <v>14129</v>
      </c>
      <c r="H106" s="1" t="s">
        <v>14130</v>
      </c>
      <c r="I106" s="1" t="s">
        <v>14236</v>
      </c>
      <c r="J106" s="1" t="s">
        <v>23</v>
      </c>
      <c r="K106" s="1"/>
      <c r="L106" s="1" t="s">
        <v>617</v>
      </c>
      <c r="M106" s="8" t="s">
        <v>617</v>
      </c>
      <c r="N106" s="1" t="b">
        <f t="shared" si="5"/>
        <v>1</v>
      </c>
      <c r="O106" s="1" t="s">
        <v>1113</v>
      </c>
      <c r="P106" s="1" t="s">
        <v>1114</v>
      </c>
      <c r="Q106" s="1" t="s">
        <v>1115</v>
      </c>
      <c r="R106" s="1" t="s">
        <v>1116</v>
      </c>
      <c r="S106" s="1" t="s">
        <v>854</v>
      </c>
      <c r="T106" s="1" t="s">
        <v>855</v>
      </c>
      <c r="U106" s="1" t="s">
        <v>856</v>
      </c>
      <c r="V106" s="13">
        <f>COUNTIF(L106:$M$1659,L106)</f>
        <v>4</v>
      </c>
      <c r="W106" s="1" t="s">
        <v>625</v>
      </c>
      <c r="X106">
        <v>132.86000000000001</v>
      </c>
      <c r="Y106">
        <v>128.72999999999999</v>
      </c>
      <c r="Z106">
        <v>11.906952</v>
      </c>
      <c r="AA106">
        <v>109.146519</v>
      </c>
      <c r="AB106">
        <v>4.13</v>
      </c>
      <c r="AC106">
        <v>11.906758</v>
      </c>
      <c r="AD106">
        <v>109.14636400000001</v>
      </c>
      <c r="AE106" s="5">
        <f t="shared" si="6"/>
        <v>0.19309499999999996</v>
      </c>
      <c r="AF106" s="5">
        <f t="shared" si="7"/>
        <v>6.195E-3</v>
      </c>
      <c r="AG106" s="1" t="str">
        <f>TRIM(LEFT(L106,FIND("-",L106)-1))</f>
        <v>1.CA Cam Ranh</v>
      </c>
      <c r="AH106" s="1" t="str">
        <f>TRIM(RIGHT(L106, LEN(L106) - FIND("-", L106)))</f>
        <v>CA Cam Linh</v>
      </c>
      <c r="AJ106">
        <f t="shared" si="8"/>
        <v>0.12872999999999998</v>
      </c>
      <c r="AK106">
        <f t="shared" si="9"/>
        <v>4.13E-3</v>
      </c>
      <c r="AL106" t="e">
        <f>VLOOKUP(L106,'[1]Tuyến cáp H04'!$B:$E,3,0)/1000</f>
        <v>#N/A</v>
      </c>
      <c r="AM106" t="e">
        <f>VLOOKUP(L106,'[1]Tuyến cáp H04'!$B:$E,4,0)</f>
        <v>#N/A</v>
      </c>
    </row>
    <row r="107" spans="1:39" x14ac:dyDescent="0.25">
      <c r="A107" s="1" t="s">
        <v>1117</v>
      </c>
      <c r="B107" s="1" t="s">
        <v>1118</v>
      </c>
      <c r="C107" s="1" t="s">
        <v>1119</v>
      </c>
      <c r="D107" s="1" t="s">
        <v>347</v>
      </c>
      <c r="E107" s="1" t="s">
        <v>348</v>
      </c>
      <c r="F107" s="1" t="s">
        <v>1120</v>
      </c>
      <c r="G107" s="1" t="s">
        <v>14129</v>
      </c>
      <c r="H107" s="1" t="s">
        <v>14130</v>
      </c>
      <c r="I107" s="1" t="s">
        <v>14237</v>
      </c>
      <c r="J107" s="1" t="s">
        <v>23</v>
      </c>
      <c r="K107" s="1"/>
      <c r="L107" s="1" t="s">
        <v>352</v>
      </c>
      <c r="M107" s="8" t="s">
        <v>352</v>
      </c>
      <c r="N107" s="1" t="b">
        <f t="shared" si="5"/>
        <v>1</v>
      </c>
      <c r="O107" s="1" t="s">
        <v>1121</v>
      </c>
      <c r="P107" s="1" t="s">
        <v>1122</v>
      </c>
      <c r="Q107" s="1" t="s">
        <v>1123</v>
      </c>
      <c r="R107" s="1" t="s">
        <v>1124</v>
      </c>
      <c r="S107" s="1" t="s">
        <v>354</v>
      </c>
      <c r="T107" s="1" t="s">
        <v>355</v>
      </c>
      <c r="U107" s="1" t="s">
        <v>356</v>
      </c>
      <c r="V107" s="13">
        <f>COUNTIF(L107:$M$1659,L107)</f>
        <v>12</v>
      </c>
      <c r="W107" s="1" t="s">
        <v>360</v>
      </c>
      <c r="X107">
        <v>1467.81</v>
      </c>
      <c r="Y107">
        <v>1367.81</v>
      </c>
      <c r="Z107">
        <v>11.932957</v>
      </c>
      <c r="AA107">
        <v>109.11990299999999</v>
      </c>
      <c r="AB107">
        <v>100</v>
      </c>
      <c r="AC107">
        <v>11.941592</v>
      </c>
      <c r="AD107">
        <v>109.11218100000001</v>
      </c>
      <c r="AE107" s="5">
        <f t="shared" si="6"/>
        <v>2.0517150000000002</v>
      </c>
      <c r="AF107" s="5">
        <f t="shared" si="7"/>
        <v>0.15</v>
      </c>
      <c r="AG107" s="1" t="str">
        <f>TRIM(LEFT(L107,FIND("-",L107)-1))</f>
        <v>3.Cam Ranh</v>
      </c>
      <c r="AH107" s="1" t="str">
        <f>TRIM(RIGHT(L107, LEN(L107) - FIND("-", L107)))</f>
        <v>Khánh Sơn</v>
      </c>
      <c r="AJ107">
        <f t="shared" si="8"/>
        <v>1.36781</v>
      </c>
      <c r="AK107">
        <f t="shared" si="9"/>
        <v>0.1</v>
      </c>
      <c r="AL107" t="e">
        <f>VLOOKUP(L107,'[1]Tuyến cáp H04'!$B:$E,3,0)/1000</f>
        <v>#N/A</v>
      </c>
      <c r="AM107" t="e">
        <f>VLOOKUP(L107,'[1]Tuyến cáp H04'!$B:$E,4,0)</f>
        <v>#N/A</v>
      </c>
    </row>
    <row r="108" spans="1:39" x14ac:dyDescent="0.25">
      <c r="A108" s="1" t="s">
        <v>1125</v>
      </c>
      <c r="B108" s="1" t="s">
        <v>1126</v>
      </c>
      <c r="C108" s="1" t="s">
        <v>1127</v>
      </c>
      <c r="D108" s="1" t="s">
        <v>130</v>
      </c>
      <c r="E108" s="1" t="s">
        <v>131</v>
      </c>
      <c r="F108" s="1" t="s">
        <v>1128</v>
      </c>
      <c r="G108" s="1" t="s">
        <v>14129</v>
      </c>
      <c r="H108" s="1" t="s">
        <v>14130</v>
      </c>
      <c r="I108" s="1" t="s">
        <v>14238</v>
      </c>
      <c r="J108" s="1" t="s">
        <v>23</v>
      </c>
      <c r="K108" s="1"/>
      <c r="L108" s="1" t="s">
        <v>144</v>
      </c>
      <c r="M108" s="8" t="s">
        <v>15695</v>
      </c>
      <c r="N108" s="12" t="b">
        <f t="shared" si="5"/>
        <v>0</v>
      </c>
      <c r="O108" s="1" t="s">
        <v>1129</v>
      </c>
      <c r="P108" s="1" t="s">
        <v>1130</v>
      </c>
      <c r="Q108" s="1" t="s">
        <v>150</v>
      </c>
      <c r="R108" s="1" t="s">
        <v>151</v>
      </c>
      <c r="S108" s="1" t="s">
        <v>146</v>
      </c>
      <c r="T108" s="1" t="s">
        <v>147</v>
      </c>
      <c r="U108" s="1" t="s">
        <v>148</v>
      </c>
      <c r="V108" s="13">
        <f>COUNTIF(L108:$M$1659,L108)</f>
        <v>5</v>
      </c>
      <c r="W108" s="1" t="s">
        <v>152</v>
      </c>
      <c r="X108">
        <v>336006.8</v>
      </c>
      <c r="Y108">
        <v>192224</v>
      </c>
      <c r="Z108">
        <v>13.966175</v>
      </c>
      <c r="AA108">
        <v>109.030287</v>
      </c>
      <c r="AB108">
        <v>143782.79999999999</v>
      </c>
      <c r="AC108">
        <v>14.360149</v>
      </c>
      <c r="AD108">
        <v>108.97062</v>
      </c>
      <c r="AE108" s="5">
        <f t="shared" si="6"/>
        <v>288.33600000000001</v>
      </c>
      <c r="AF108" s="5">
        <f t="shared" si="7"/>
        <v>215.67419999999998</v>
      </c>
      <c r="AG108" s="1" t="str">
        <f>TRIM(LEFT(L108,FIND("-",L108)-1))</f>
        <v>Hoài Ân</v>
      </c>
      <c r="AH108" s="1" t="str">
        <f>TRIM(RIGHT(L108, LEN(L108) - FIND("-", L108)))</f>
        <v>Vĩnh Kim</v>
      </c>
      <c r="AJ108">
        <f t="shared" si="8"/>
        <v>192.22399999999999</v>
      </c>
      <c r="AK108">
        <f t="shared" si="9"/>
        <v>143.78279999999998</v>
      </c>
      <c r="AL108" t="e">
        <f>VLOOKUP(L108,'[1]Tuyến cáp H04'!$B:$E,3,0)/1000</f>
        <v>#N/A</v>
      </c>
      <c r="AM108" t="e">
        <f>VLOOKUP(L108,'[1]Tuyến cáp H04'!$B:$E,4,0)</f>
        <v>#N/A</v>
      </c>
    </row>
    <row r="109" spans="1:39" x14ac:dyDescent="0.25">
      <c r="A109" s="1" t="s">
        <v>1131</v>
      </c>
      <c r="B109" s="1" t="s">
        <v>1132</v>
      </c>
      <c r="C109" s="1" t="s">
        <v>1133</v>
      </c>
      <c r="D109" s="1" t="s">
        <v>240</v>
      </c>
      <c r="E109" s="1" t="s">
        <v>241</v>
      </c>
      <c r="F109" s="1" t="s">
        <v>1134</v>
      </c>
      <c r="G109" s="1" t="s">
        <v>14129</v>
      </c>
      <c r="H109" s="1" t="s">
        <v>14130</v>
      </c>
      <c r="I109" s="1" t="s">
        <v>14239</v>
      </c>
      <c r="J109" s="1" t="s">
        <v>23</v>
      </c>
      <c r="K109" s="1"/>
      <c r="L109" s="1" t="s">
        <v>82</v>
      </c>
      <c r="M109" s="8" t="s">
        <v>82</v>
      </c>
      <c r="N109" s="1" t="b">
        <f t="shared" si="5"/>
        <v>1</v>
      </c>
      <c r="O109" s="1" t="s">
        <v>1135</v>
      </c>
      <c r="P109" s="1" t="s">
        <v>1136</v>
      </c>
      <c r="Q109" s="1" t="s">
        <v>711</v>
      </c>
      <c r="R109" s="1" t="s">
        <v>712</v>
      </c>
      <c r="S109" s="1" t="s">
        <v>707</v>
      </c>
      <c r="T109" s="1" t="s">
        <v>708</v>
      </c>
      <c r="U109" s="1" t="s">
        <v>709</v>
      </c>
      <c r="V109" s="13">
        <f>COUNTIF(L109:$M$1659,L109)</f>
        <v>9</v>
      </c>
      <c r="W109" s="1" t="s">
        <v>713</v>
      </c>
      <c r="X109">
        <v>284.77999999999997</v>
      </c>
      <c r="Y109">
        <v>268.97000000000003</v>
      </c>
      <c r="Z109">
        <v>12.235099999999999</v>
      </c>
      <c r="AA109">
        <v>109.183842</v>
      </c>
      <c r="AB109">
        <v>15.81</v>
      </c>
      <c r="AC109">
        <v>12.236330000000001</v>
      </c>
      <c r="AD109">
        <v>109.18457600000001</v>
      </c>
      <c r="AE109" s="5">
        <f t="shared" si="6"/>
        <v>0.40345500000000006</v>
      </c>
      <c r="AF109" s="5">
        <f t="shared" si="7"/>
        <v>2.3715E-2</v>
      </c>
      <c r="AG109" s="1" t="str">
        <f>TRIM(LEFT(L109,FIND("-",L109)-1))</f>
        <v>3.PA06 cs2</v>
      </c>
      <c r="AH109" s="1" t="str">
        <f>TRIM(RIGHT(L109, LEN(L109) - FIND("-", L109)))</f>
        <v>PC11a</v>
      </c>
      <c r="AJ109">
        <f t="shared" si="8"/>
        <v>0.26897000000000004</v>
      </c>
      <c r="AK109">
        <f t="shared" si="9"/>
        <v>1.5810000000000001E-2</v>
      </c>
      <c r="AL109" t="e">
        <f>VLOOKUP(L109,'[1]Tuyến cáp H04'!$B:$E,3,0)/1000</f>
        <v>#N/A</v>
      </c>
      <c r="AM109" t="e">
        <f>VLOOKUP(L109,'[1]Tuyến cáp H04'!$B:$E,4,0)</f>
        <v>#N/A</v>
      </c>
    </row>
    <row r="110" spans="1:39" x14ac:dyDescent="0.25">
      <c r="A110" s="1" t="s">
        <v>1137</v>
      </c>
      <c r="B110" s="1" t="s">
        <v>1138</v>
      </c>
      <c r="C110" s="1" t="s">
        <v>1139</v>
      </c>
      <c r="D110" s="1" t="s">
        <v>128</v>
      </c>
      <c r="E110" s="1" t="s">
        <v>129</v>
      </c>
      <c r="F110" s="1" t="s">
        <v>1140</v>
      </c>
      <c r="G110" s="1" t="s">
        <v>14129</v>
      </c>
      <c r="H110" s="1" t="s">
        <v>14130</v>
      </c>
      <c r="I110" s="1" t="s">
        <v>14240</v>
      </c>
      <c r="J110" s="1" t="s">
        <v>23</v>
      </c>
      <c r="K110" s="1"/>
      <c r="L110" s="1" t="s">
        <v>283</v>
      </c>
      <c r="M110" s="8" t="s">
        <v>245</v>
      </c>
      <c r="N110" s="12" t="b">
        <f t="shared" si="5"/>
        <v>0</v>
      </c>
      <c r="O110" s="1" t="s">
        <v>1141</v>
      </c>
      <c r="P110" s="1" t="s">
        <v>1142</v>
      </c>
      <c r="Q110" s="1" t="s">
        <v>289</v>
      </c>
      <c r="R110" s="1" t="s">
        <v>290</v>
      </c>
      <c r="S110" s="1" t="s">
        <v>657</v>
      </c>
      <c r="T110" s="1" t="s">
        <v>286</v>
      </c>
      <c r="U110" s="1" t="s">
        <v>287</v>
      </c>
      <c r="V110" s="13">
        <f>COUNTIF(L110:$M$1659,L110)</f>
        <v>28</v>
      </c>
      <c r="W110" s="1" t="s">
        <v>291</v>
      </c>
      <c r="X110">
        <v>516857.06</v>
      </c>
      <c r="Y110">
        <v>267214.34000000003</v>
      </c>
      <c r="Z110">
        <v>14.352316999999999</v>
      </c>
      <c r="AA110">
        <v>108.007831</v>
      </c>
      <c r="AB110">
        <v>249642.72</v>
      </c>
      <c r="AC110">
        <v>14.659686000000001</v>
      </c>
      <c r="AD110">
        <v>107.839439</v>
      </c>
      <c r="AE110" s="5">
        <f t="shared" si="6"/>
        <v>400.82150999999999</v>
      </c>
      <c r="AF110" s="5">
        <f t="shared" si="7"/>
        <v>374.46408000000002</v>
      </c>
      <c r="AG110" s="1" t="str">
        <f>TRIM(LEFT(L110,FIND("-",L110)-1))</f>
        <v>Đăk Tô</v>
      </c>
      <c r="AH110" s="1" t="str">
        <f>TRIM(RIGHT(L110, LEN(L110) - FIND("-", L110)))</f>
        <v>TT2 Kon Tum</v>
      </c>
      <c r="AJ110">
        <f t="shared" si="8"/>
        <v>267.21434000000005</v>
      </c>
      <c r="AK110">
        <f t="shared" si="9"/>
        <v>249.64272</v>
      </c>
      <c r="AL110">
        <f>VLOOKUP(L110,'[1]Tuyến cáp H04'!$B:$E,3,0)/1000</f>
        <v>43.9602</v>
      </c>
      <c r="AM110" t="str">
        <f>VLOOKUP(L110,'[1]Tuyến cáp H04'!$B:$E,4,0)</f>
        <v>Mạng cấp 3</v>
      </c>
    </row>
    <row r="111" spans="1:39" x14ac:dyDescent="0.25">
      <c r="A111" s="1" t="s">
        <v>1143</v>
      </c>
      <c r="B111" s="1" t="s">
        <v>1144</v>
      </c>
      <c r="C111" s="1" t="s">
        <v>1145</v>
      </c>
      <c r="D111" s="1" t="s">
        <v>572</v>
      </c>
      <c r="E111" s="1" t="s">
        <v>573</v>
      </c>
      <c r="F111" s="1" t="s">
        <v>1146</v>
      </c>
      <c r="G111" s="1" t="s">
        <v>14129</v>
      </c>
      <c r="H111" s="1" t="s">
        <v>14130</v>
      </c>
      <c r="I111" s="1" t="s">
        <v>14241</v>
      </c>
      <c r="J111" s="1" t="s">
        <v>23</v>
      </c>
      <c r="K111" s="1"/>
      <c r="L111" s="1" t="s">
        <v>590</v>
      </c>
      <c r="M111" s="8" t="s">
        <v>590</v>
      </c>
      <c r="N111" s="1" t="b">
        <f t="shared" si="5"/>
        <v>1</v>
      </c>
      <c r="O111" s="1" t="s">
        <v>1147</v>
      </c>
      <c r="P111" s="1" t="s">
        <v>1148</v>
      </c>
      <c r="Q111" s="1" t="s">
        <v>632</v>
      </c>
      <c r="R111" s="1" t="s">
        <v>633</v>
      </c>
      <c r="S111" s="1" t="s">
        <v>592</v>
      </c>
      <c r="T111" s="1" t="s">
        <v>593</v>
      </c>
      <c r="U111" s="1" t="s">
        <v>594</v>
      </c>
      <c r="V111" s="13">
        <f>COUNTIF(L111:$M$1659,L111)</f>
        <v>6</v>
      </c>
      <c r="W111" s="1" t="s">
        <v>598</v>
      </c>
      <c r="X111">
        <v>1089.4000000000001</v>
      </c>
      <c r="Y111">
        <v>1086.6300000000001</v>
      </c>
      <c r="Z111">
        <v>12.486466</v>
      </c>
      <c r="AA111">
        <v>109.134191</v>
      </c>
      <c r="AB111">
        <v>2.77</v>
      </c>
      <c r="AC111">
        <v>12.509724</v>
      </c>
      <c r="AD111">
        <v>109.13747499999999</v>
      </c>
      <c r="AE111" s="5">
        <f t="shared" si="6"/>
        <v>1.6299450000000002</v>
      </c>
      <c r="AF111" s="5">
        <f t="shared" si="7"/>
        <v>4.1549999999999998E-3</v>
      </c>
      <c r="AG111" s="1" t="str">
        <f>TRIM(LEFT(L111,FIND("-",L111)-1))</f>
        <v>1.CA Ninh Hòa</v>
      </c>
      <c r="AH111" s="1" t="str">
        <f>TRIM(RIGHT(L111, LEN(L111) - FIND("-", L111)))</f>
        <v>CA Hòa Thắng_Cột trung thế</v>
      </c>
      <c r="AJ111">
        <f t="shared" si="8"/>
        <v>1.0866300000000002</v>
      </c>
      <c r="AK111">
        <f t="shared" si="9"/>
        <v>2.7699999999999999E-3</v>
      </c>
      <c r="AL111" t="e">
        <f>VLOOKUP(L111,'[1]Tuyến cáp H04'!$B:$E,3,0)/1000</f>
        <v>#N/A</v>
      </c>
      <c r="AM111" t="e">
        <f>VLOOKUP(L111,'[1]Tuyến cáp H04'!$B:$E,4,0)</f>
        <v>#N/A</v>
      </c>
    </row>
    <row r="112" spans="1:39" x14ac:dyDescent="0.25">
      <c r="A112" s="1" t="s">
        <v>1149</v>
      </c>
      <c r="B112" s="1" t="s">
        <v>1150</v>
      </c>
      <c r="C112" s="1" t="s">
        <v>1151</v>
      </c>
      <c r="D112" s="1" t="s">
        <v>1152</v>
      </c>
      <c r="E112" s="1" t="s">
        <v>1153</v>
      </c>
      <c r="F112" s="1" t="s">
        <v>1154</v>
      </c>
      <c r="G112" s="1" t="s">
        <v>14129</v>
      </c>
      <c r="H112" s="1" t="s">
        <v>14130</v>
      </c>
      <c r="I112" s="1" t="s">
        <v>14242</v>
      </c>
      <c r="J112" s="1" t="s">
        <v>23</v>
      </c>
      <c r="K112" s="1"/>
      <c r="L112" s="1" t="s">
        <v>1155</v>
      </c>
      <c r="M112" s="8" t="s">
        <v>1155</v>
      </c>
      <c r="N112" s="1" t="b">
        <f t="shared" si="5"/>
        <v>1</v>
      </c>
      <c r="O112" s="1" t="s">
        <v>1156</v>
      </c>
      <c r="P112" s="1" t="s">
        <v>1157</v>
      </c>
      <c r="Q112" s="1" t="s">
        <v>1158</v>
      </c>
      <c r="R112" s="1" t="s">
        <v>1159</v>
      </c>
      <c r="S112" s="1" t="s">
        <v>1160</v>
      </c>
      <c r="T112" s="1" t="s">
        <v>1161</v>
      </c>
      <c r="U112" s="1" t="s">
        <v>1162</v>
      </c>
      <c r="V112" s="13">
        <f>COUNTIF(L112:$M$1659,L112)</f>
        <v>6</v>
      </c>
      <c r="W112" s="1" t="s">
        <v>1163</v>
      </c>
      <c r="X112">
        <v>249.88</v>
      </c>
      <c r="Y112">
        <v>63.93</v>
      </c>
      <c r="Z112">
        <v>12.462367</v>
      </c>
      <c r="AA112">
        <v>109.121967</v>
      </c>
      <c r="AB112">
        <v>185.95</v>
      </c>
      <c r="AC112">
        <v>12.481263999999999</v>
      </c>
      <c r="AD112">
        <v>109.131214</v>
      </c>
      <c r="AE112" s="5">
        <f t="shared" si="6"/>
        <v>9.5894999999999994E-2</v>
      </c>
      <c r="AF112" s="5">
        <f t="shared" si="7"/>
        <v>0.27892499999999998</v>
      </c>
      <c r="AG112" s="1" t="str">
        <f>TRIM(LEFT(L112,FIND("-",L112)-1))</f>
        <v>4.PK02 cs2</v>
      </c>
      <c r="AH112" s="1" t="str">
        <f>TRIM(RIGHT(L112, LEN(L112) - FIND("-", L112)))</f>
        <v>Trạm CSGT Ninh An cũ</v>
      </c>
      <c r="AJ112">
        <f t="shared" si="8"/>
        <v>6.3930000000000001E-2</v>
      </c>
      <c r="AK112">
        <f t="shared" si="9"/>
        <v>0.18594999999999998</v>
      </c>
      <c r="AL112" t="e">
        <f>VLOOKUP(L112,'[1]Tuyến cáp H04'!$B:$E,3,0)/1000</f>
        <v>#N/A</v>
      </c>
      <c r="AM112" t="e">
        <f>VLOOKUP(L112,'[1]Tuyến cáp H04'!$B:$E,4,0)</f>
        <v>#N/A</v>
      </c>
    </row>
    <row r="113" spans="1:39" x14ac:dyDescent="0.25">
      <c r="A113" s="1" t="s">
        <v>1164</v>
      </c>
      <c r="B113" s="1" t="s">
        <v>1165</v>
      </c>
      <c r="C113" s="1" t="s">
        <v>1166</v>
      </c>
      <c r="D113" s="1" t="s">
        <v>557</v>
      </c>
      <c r="E113" s="1" t="s">
        <v>558</v>
      </c>
      <c r="F113" s="1" t="s">
        <v>1167</v>
      </c>
      <c r="G113" s="1" t="s">
        <v>14129</v>
      </c>
      <c r="H113" s="1" t="s">
        <v>14130</v>
      </c>
      <c r="I113" s="1" t="s">
        <v>14243</v>
      </c>
      <c r="J113" s="1" t="s">
        <v>23</v>
      </c>
      <c r="K113" s="1"/>
      <c r="L113" s="1" t="s">
        <v>1168</v>
      </c>
      <c r="M113" s="8" t="s">
        <v>1168</v>
      </c>
      <c r="N113" s="1" t="b">
        <f t="shared" si="5"/>
        <v>1</v>
      </c>
      <c r="O113" s="1" t="s">
        <v>1169</v>
      </c>
      <c r="P113" s="1" t="s">
        <v>1170</v>
      </c>
      <c r="Q113" s="1" t="s">
        <v>1171</v>
      </c>
      <c r="R113" s="1" t="s">
        <v>1172</v>
      </c>
      <c r="S113" s="1" t="s">
        <v>1173</v>
      </c>
      <c r="T113" s="1" t="s">
        <v>1174</v>
      </c>
      <c r="U113" s="1" t="s">
        <v>1175</v>
      </c>
      <c r="V113" s="13">
        <f>COUNTIF(L113:$M$1659,L113)</f>
        <v>20</v>
      </c>
      <c r="W113" s="1" t="s">
        <v>1176</v>
      </c>
      <c r="X113">
        <v>94.84</v>
      </c>
      <c r="Y113">
        <v>90.25</v>
      </c>
      <c r="Z113">
        <v>12.537072999999999</v>
      </c>
      <c r="AA113">
        <v>109.018368</v>
      </c>
      <c r="AB113">
        <v>4.59</v>
      </c>
      <c r="AC113">
        <v>12.540865</v>
      </c>
      <c r="AD113">
        <v>109.00747800000001</v>
      </c>
      <c r="AE113" s="5">
        <f t="shared" si="6"/>
        <v>0.135375</v>
      </c>
      <c r="AF113" s="5">
        <f t="shared" si="7"/>
        <v>6.8849999999999996E-3</v>
      </c>
      <c r="AG113" s="1" t="str">
        <f>TRIM(LEFT(L113,FIND("-",L113)-1))</f>
        <v>2.CA Nam Ninh Hòa</v>
      </c>
      <c r="AH113" s="1" t="str">
        <f>TRIM(RIGHT(L113, LEN(L113) - FIND("-", L113)))</f>
        <v>CA Tây Ninh Hòa</v>
      </c>
      <c r="AJ113">
        <f t="shared" si="8"/>
        <v>9.0249999999999997E-2</v>
      </c>
      <c r="AK113">
        <f t="shared" si="9"/>
        <v>4.5899999999999995E-3</v>
      </c>
      <c r="AL113" t="e">
        <f>VLOOKUP(L113,'[1]Tuyến cáp H04'!$B:$E,3,0)/1000</f>
        <v>#N/A</v>
      </c>
      <c r="AM113" t="e">
        <f>VLOOKUP(L113,'[1]Tuyến cáp H04'!$B:$E,4,0)</f>
        <v>#N/A</v>
      </c>
    </row>
    <row r="114" spans="1:39" x14ac:dyDescent="0.25">
      <c r="A114" s="1" t="s">
        <v>1177</v>
      </c>
      <c r="B114" s="1" t="s">
        <v>1178</v>
      </c>
      <c r="C114" s="1" t="s">
        <v>1179</v>
      </c>
      <c r="D114" s="1" t="s">
        <v>557</v>
      </c>
      <c r="E114" s="1" t="s">
        <v>558</v>
      </c>
      <c r="F114" s="1" t="s">
        <v>1180</v>
      </c>
      <c r="G114" s="1" t="s">
        <v>14129</v>
      </c>
      <c r="H114" s="1" t="s">
        <v>14130</v>
      </c>
      <c r="I114" s="1" t="s">
        <v>14244</v>
      </c>
      <c r="J114" s="1" t="s">
        <v>23</v>
      </c>
      <c r="K114" s="1"/>
      <c r="L114" s="1" t="s">
        <v>1168</v>
      </c>
      <c r="M114" s="8" t="s">
        <v>1168</v>
      </c>
      <c r="N114" s="1" t="b">
        <f t="shared" si="5"/>
        <v>1</v>
      </c>
      <c r="O114" s="1" t="s">
        <v>1181</v>
      </c>
      <c r="P114" s="1" t="s">
        <v>866</v>
      </c>
      <c r="Q114" s="1" t="s">
        <v>1182</v>
      </c>
      <c r="R114" s="1" t="s">
        <v>1183</v>
      </c>
      <c r="S114" s="1" t="s">
        <v>1173</v>
      </c>
      <c r="T114" s="1" t="s">
        <v>1174</v>
      </c>
      <c r="U114" s="1" t="s">
        <v>1175</v>
      </c>
      <c r="V114" s="13">
        <f>COUNTIF(L114:$M$1659,L114)</f>
        <v>18</v>
      </c>
      <c r="W114" s="1" t="s">
        <v>1176</v>
      </c>
      <c r="X114">
        <v>548.34</v>
      </c>
      <c r="Y114">
        <v>543.75</v>
      </c>
      <c r="Z114">
        <v>12.526709</v>
      </c>
      <c r="AA114">
        <v>109.03269400000001</v>
      </c>
      <c r="AB114">
        <v>4.59</v>
      </c>
      <c r="AC114">
        <v>12.540865</v>
      </c>
      <c r="AD114">
        <v>109.00747800000001</v>
      </c>
      <c r="AE114" s="5">
        <f t="shared" si="6"/>
        <v>0.81562500000000004</v>
      </c>
      <c r="AF114" s="5">
        <f t="shared" si="7"/>
        <v>6.8849999999999996E-3</v>
      </c>
      <c r="AG114" s="1" t="str">
        <f>TRIM(LEFT(L114,FIND("-",L114)-1))</f>
        <v>2.CA Nam Ninh Hòa</v>
      </c>
      <c r="AH114" s="1" t="str">
        <f>TRIM(RIGHT(L114, LEN(L114) - FIND("-", L114)))</f>
        <v>CA Tây Ninh Hòa</v>
      </c>
      <c r="AJ114">
        <f t="shared" si="8"/>
        <v>0.54374999999999996</v>
      </c>
      <c r="AK114">
        <f t="shared" si="9"/>
        <v>4.5899999999999995E-3</v>
      </c>
      <c r="AL114" t="e">
        <f>VLOOKUP(L114,'[1]Tuyến cáp H04'!$B:$E,3,0)/1000</f>
        <v>#N/A</v>
      </c>
      <c r="AM114" t="e">
        <f>VLOOKUP(L114,'[1]Tuyến cáp H04'!$B:$E,4,0)</f>
        <v>#N/A</v>
      </c>
    </row>
    <row r="115" spans="1:39" x14ac:dyDescent="0.25">
      <c r="A115" s="1" t="s">
        <v>1184</v>
      </c>
      <c r="B115" s="1" t="s">
        <v>1185</v>
      </c>
      <c r="C115" s="1" t="s">
        <v>1186</v>
      </c>
      <c r="D115" s="1" t="s">
        <v>1187</v>
      </c>
      <c r="E115" s="1" t="s">
        <v>1188</v>
      </c>
      <c r="F115" s="1" t="s">
        <v>1189</v>
      </c>
      <c r="G115" s="1" t="s">
        <v>14129</v>
      </c>
      <c r="H115" s="1" t="s">
        <v>14130</v>
      </c>
      <c r="I115" s="1" t="s">
        <v>14245</v>
      </c>
      <c r="J115" s="1" t="s">
        <v>23</v>
      </c>
      <c r="K115" s="1"/>
      <c r="L115" s="1" t="s">
        <v>577</v>
      </c>
      <c r="M115" s="8" t="s">
        <v>577</v>
      </c>
      <c r="N115" s="1" t="b">
        <f t="shared" si="5"/>
        <v>1</v>
      </c>
      <c r="O115" s="1" t="s">
        <v>1190</v>
      </c>
      <c r="P115" s="1" t="s">
        <v>1191</v>
      </c>
      <c r="Q115" s="1" t="s">
        <v>1192</v>
      </c>
      <c r="R115" s="1" t="s">
        <v>1193</v>
      </c>
      <c r="S115" s="1" t="s">
        <v>1194</v>
      </c>
      <c r="T115" s="1" t="s">
        <v>1195</v>
      </c>
      <c r="U115" s="1" t="s">
        <v>1196</v>
      </c>
      <c r="V115" s="13">
        <f>COUNTIF(L115:$M$1659,L115)</f>
        <v>14</v>
      </c>
      <c r="W115" s="1" t="s">
        <v>1197</v>
      </c>
      <c r="X115">
        <v>2390.92</v>
      </c>
      <c r="Y115">
        <v>2008.93</v>
      </c>
      <c r="Z115">
        <v>12.496466</v>
      </c>
      <c r="AA115">
        <v>109.12083800000001</v>
      </c>
      <c r="AB115">
        <v>381.98</v>
      </c>
      <c r="AC115">
        <v>12.49287</v>
      </c>
      <c r="AD115">
        <v>109.11403300000001</v>
      </c>
      <c r="AE115" s="5">
        <f t="shared" si="6"/>
        <v>3.013395</v>
      </c>
      <c r="AF115" s="5">
        <f t="shared" si="7"/>
        <v>0.57296999999999998</v>
      </c>
      <c r="AG115" s="1" t="str">
        <f>TRIM(LEFT(L115,FIND("-",L115)-1))</f>
        <v>3.CA Tân Định</v>
      </c>
      <c r="AH115" s="1" t="str">
        <f>TRIM(RIGHT(L115, LEN(L115) - FIND("-", L115)))</f>
        <v>CA Ninh Hòa</v>
      </c>
      <c r="AJ115">
        <f t="shared" si="8"/>
        <v>2.0089299999999999</v>
      </c>
      <c r="AK115">
        <f t="shared" si="9"/>
        <v>0.38198000000000004</v>
      </c>
      <c r="AL115" t="e">
        <f>VLOOKUP(L115,'[1]Tuyến cáp H04'!$B:$E,3,0)/1000</f>
        <v>#N/A</v>
      </c>
      <c r="AM115" t="e">
        <f>VLOOKUP(L115,'[1]Tuyến cáp H04'!$B:$E,4,0)</f>
        <v>#N/A</v>
      </c>
    </row>
    <row r="116" spans="1:39" x14ac:dyDescent="0.25">
      <c r="A116" s="1" t="s">
        <v>1198</v>
      </c>
      <c r="B116" s="1" t="s">
        <v>1199</v>
      </c>
      <c r="C116" s="1" t="s">
        <v>1200</v>
      </c>
      <c r="D116" s="1" t="s">
        <v>130</v>
      </c>
      <c r="E116" s="1" t="s">
        <v>131</v>
      </c>
      <c r="F116" s="1" t="s">
        <v>1201</v>
      </c>
      <c r="G116" s="1" t="s">
        <v>14129</v>
      </c>
      <c r="H116" s="1" t="s">
        <v>14130</v>
      </c>
      <c r="I116" s="1" t="s">
        <v>14246</v>
      </c>
      <c r="J116" s="1" t="s">
        <v>23</v>
      </c>
      <c r="K116" s="1"/>
      <c r="L116" s="1" t="s">
        <v>144</v>
      </c>
      <c r="M116" s="8" t="s">
        <v>39</v>
      </c>
      <c r="N116" s="12" t="b">
        <f t="shared" si="5"/>
        <v>0</v>
      </c>
      <c r="O116" s="1" t="s">
        <v>1202</v>
      </c>
      <c r="P116" s="1" t="s">
        <v>1203</v>
      </c>
      <c r="Q116" s="1" t="s">
        <v>150</v>
      </c>
      <c r="R116" s="1" t="s">
        <v>151</v>
      </c>
      <c r="S116" s="1" t="s">
        <v>146</v>
      </c>
      <c r="T116" s="1" t="s">
        <v>147</v>
      </c>
      <c r="U116" s="1" t="s">
        <v>148</v>
      </c>
      <c r="V116" s="13">
        <f>COUNTIF(L116:$M$1659,L116)</f>
        <v>4</v>
      </c>
      <c r="W116" s="1" t="s">
        <v>152</v>
      </c>
      <c r="X116">
        <v>336807.77</v>
      </c>
      <c r="Y116">
        <v>193024.98</v>
      </c>
      <c r="Z116">
        <v>13.966175</v>
      </c>
      <c r="AA116">
        <v>109.030287</v>
      </c>
      <c r="AB116">
        <v>143782.79999999999</v>
      </c>
      <c r="AC116">
        <v>14.360149</v>
      </c>
      <c r="AD116">
        <v>108.97062</v>
      </c>
      <c r="AE116" s="5">
        <f t="shared" si="6"/>
        <v>289.53747000000004</v>
      </c>
      <c r="AF116" s="5">
        <f t="shared" si="7"/>
        <v>215.67419999999998</v>
      </c>
      <c r="AG116" s="1" t="str">
        <f>TRIM(LEFT(L116,FIND("-",L116)-1))</f>
        <v>Hoài Ân</v>
      </c>
      <c r="AH116" s="1" t="str">
        <f>TRIM(RIGHT(L116, LEN(L116) - FIND("-", L116)))</f>
        <v>Vĩnh Kim</v>
      </c>
      <c r="AJ116">
        <f t="shared" si="8"/>
        <v>193.02498</v>
      </c>
      <c r="AK116">
        <f t="shared" si="9"/>
        <v>143.78279999999998</v>
      </c>
      <c r="AL116" t="e">
        <f>VLOOKUP(L116,'[1]Tuyến cáp H04'!$B:$E,3,0)/1000</f>
        <v>#N/A</v>
      </c>
      <c r="AM116" t="e">
        <f>VLOOKUP(L116,'[1]Tuyến cáp H04'!$B:$E,4,0)</f>
        <v>#N/A</v>
      </c>
    </row>
    <row r="117" spans="1:39" x14ac:dyDescent="0.25">
      <c r="A117" s="1" t="s">
        <v>1204</v>
      </c>
      <c r="B117" s="1" t="s">
        <v>1205</v>
      </c>
      <c r="C117" s="1" t="s">
        <v>1206</v>
      </c>
      <c r="D117" s="1" t="s">
        <v>18</v>
      </c>
      <c r="E117" s="1" t="s">
        <v>19</v>
      </c>
      <c r="F117" s="1" t="s">
        <v>1207</v>
      </c>
      <c r="G117" s="1" t="s">
        <v>14129</v>
      </c>
      <c r="H117" s="1" t="s">
        <v>14130</v>
      </c>
      <c r="I117" s="1" t="s">
        <v>14247</v>
      </c>
      <c r="J117" s="1" t="s">
        <v>23</v>
      </c>
      <c r="K117" s="1"/>
      <c r="L117" s="1" t="s">
        <v>296</v>
      </c>
      <c r="M117" s="8" t="s">
        <v>296</v>
      </c>
      <c r="N117" s="1" t="b">
        <f t="shared" si="5"/>
        <v>1</v>
      </c>
      <c r="O117" s="1" t="s">
        <v>1208</v>
      </c>
      <c r="P117" s="1" t="s">
        <v>1209</v>
      </c>
      <c r="Q117" s="1" t="s">
        <v>1210</v>
      </c>
      <c r="R117" s="1" t="s">
        <v>1211</v>
      </c>
      <c r="S117" s="1" t="s">
        <v>1212</v>
      </c>
      <c r="T117" s="1" t="s">
        <v>671</v>
      </c>
      <c r="U117" s="1" t="s">
        <v>672</v>
      </c>
      <c r="V117" s="13">
        <f>COUNTIF(L117:$M$1659,L117)</f>
        <v>9</v>
      </c>
      <c r="W117" s="1" t="s">
        <v>676</v>
      </c>
      <c r="X117">
        <v>639.19000000000005</v>
      </c>
      <c r="Y117">
        <v>448.45</v>
      </c>
      <c r="Z117">
        <v>12.245355</v>
      </c>
      <c r="AA117">
        <v>109.19167400000001</v>
      </c>
      <c r="AB117">
        <v>190.74</v>
      </c>
      <c r="AC117">
        <v>12.249428</v>
      </c>
      <c r="AD117">
        <v>109.184727</v>
      </c>
      <c r="AE117" s="5">
        <f t="shared" si="6"/>
        <v>0.67267499999999991</v>
      </c>
      <c r="AF117" s="5">
        <f t="shared" si="7"/>
        <v>0.28611000000000003</v>
      </c>
      <c r="AG117" s="1" t="str">
        <f>TRIM(LEFT(L117,FIND("-",L117)-1))</f>
        <v>3. Trại giam A2</v>
      </c>
      <c r="AH117" s="1" t="str">
        <f>TRIM(RIGHT(L117, LEN(L117) - FIND("-", L117)))</f>
        <v>CATP Nha trang cũ</v>
      </c>
      <c r="AJ117">
        <f t="shared" si="8"/>
        <v>0.44845000000000002</v>
      </c>
      <c r="AK117">
        <f t="shared" si="9"/>
        <v>0.19074000000000002</v>
      </c>
      <c r="AL117" t="e">
        <f>VLOOKUP(L117,'[1]Tuyến cáp H04'!$B:$E,3,0)/1000</f>
        <v>#N/A</v>
      </c>
      <c r="AM117" t="e">
        <f>VLOOKUP(L117,'[1]Tuyến cáp H04'!$B:$E,4,0)</f>
        <v>#N/A</v>
      </c>
    </row>
    <row r="118" spans="1:39" x14ac:dyDescent="0.25">
      <c r="A118" s="1" t="s">
        <v>1213</v>
      </c>
      <c r="B118" s="1" t="s">
        <v>1214</v>
      </c>
      <c r="C118" s="1" t="s">
        <v>1215</v>
      </c>
      <c r="D118" s="1" t="s">
        <v>198</v>
      </c>
      <c r="E118" s="1" t="s">
        <v>199</v>
      </c>
      <c r="F118" s="1" t="s">
        <v>1216</v>
      </c>
      <c r="G118" s="1" t="s">
        <v>14129</v>
      </c>
      <c r="H118" s="1" t="s">
        <v>14130</v>
      </c>
      <c r="I118" s="1" t="s">
        <v>14248</v>
      </c>
      <c r="J118" s="1" t="s">
        <v>23</v>
      </c>
      <c r="K118" s="1"/>
      <c r="L118" s="1" t="s">
        <v>201</v>
      </c>
      <c r="M118" s="8" t="s">
        <v>201</v>
      </c>
      <c r="N118" s="1" t="b">
        <f t="shared" si="5"/>
        <v>1</v>
      </c>
      <c r="O118" s="1" t="s">
        <v>1217</v>
      </c>
      <c r="P118" s="1" t="s">
        <v>1218</v>
      </c>
      <c r="Q118" s="1" t="s">
        <v>204</v>
      </c>
      <c r="R118" s="1" t="s">
        <v>205</v>
      </c>
      <c r="S118" s="1" t="s">
        <v>206</v>
      </c>
      <c r="T118" s="1" t="s">
        <v>207</v>
      </c>
      <c r="U118" s="1" t="s">
        <v>208</v>
      </c>
      <c r="V118" s="13">
        <f>COUNTIF(L118:$M$1659,L118)</f>
        <v>6</v>
      </c>
      <c r="W118" s="1" t="s">
        <v>209</v>
      </c>
      <c r="X118">
        <v>3457.82</v>
      </c>
      <c r="Y118">
        <v>2482.94</v>
      </c>
      <c r="Z118">
        <v>12.280430000000001</v>
      </c>
      <c r="AA118">
        <v>109.194828</v>
      </c>
      <c r="AB118">
        <v>974.88</v>
      </c>
      <c r="AC118">
        <v>12.265409</v>
      </c>
      <c r="AD118">
        <v>109.196133</v>
      </c>
      <c r="AE118" s="5">
        <f t="shared" si="6"/>
        <v>3.7244099999999998</v>
      </c>
      <c r="AF118" s="5">
        <f t="shared" si="7"/>
        <v>1.4623199999999998</v>
      </c>
      <c r="AG118" s="1" t="str">
        <f>TRIM(LEFT(L118,FIND("-",L118)-1))</f>
        <v>3.CA Bắc Nha Trang</v>
      </c>
      <c r="AH118" s="1" t="str">
        <f>TRIM(RIGHT(L118, LEN(L118) - FIND("-", L118)))</f>
        <v>CAT Khánh Hòa</v>
      </c>
      <c r="AJ118">
        <f t="shared" si="8"/>
        <v>2.4829400000000001</v>
      </c>
      <c r="AK118">
        <f t="shared" si="9"/>
        <v>0.97487999999999997</v>
      </c>
      <c r="AL118" t="e">
        <f>VLOOKUP(L118,'[1]Tuyến cáp H04'!$B:$E,3,0)/1000</f>
        <v>#N/A</v>
      </c>
      <c r="AM118" t="e">
        <f>VLOOKUP(L118,'[1]Tuyến cáp H04'!$B:$E,4,0)</f>
        <v>#N/A</v>
      </c>
    </row>
    <row r="119" spans="1:39" x14ac:dyDescent="0.25">
      <c r="A119" s="1" t="s">
        <v>1219</v>
      </c>
      <c r="B119" s="1" t="s">
        <v>1220</v>
      </c>
      <c r="C119" s="1" t="s">
        <v>1221</v>
      </c>
      <c r="D119" s="1" t="s">
        <v>92</v>
      </c>
      <c r="E119" s="1" t="s">
        <v>93</v>
      </c>
      <c r="F119" s="1" t="s">
        <v>1222</v>
      </c>
      <c r="G119" s="1" t="s">
        <v>14129</v>
      </c>
      <c r="H119" s="1" t="s">
        <v>14130</v>
      </c>
      <c r="I119" s="1" t="s">
        <v>14249</v>
      </c>
      <c r="J119" s="1" t="s">
        <v>23</v>
      </c>
      <c r="K119" s="1"/>
      <c r="L119" s="1" t="s">
        <v>1223</v>
      </c>
      <c r="M119" s="8" t="s">
        <v>1223</v>
      </c>
      <c r="N119" s="1" t="b">
        <f t="shared" si="5"/>
        <v>1</v>
      </c>
      <c r="O119" s="1" t="s">
        <v>1224</v>
      </c>
      <c r="P119" s="1" t="s">
        <v>1225</v>
      </c>
      <c r="Q119" s="1" t="s">
        <v>1226</v>
      </c>
      <c r="R119" s="1" t="s">
        <v>1227</v>
      </c>
      <c r="S119" s="1" t="s">
        <v>1228</v>
      </c>
      <c r="T119" s="1" t="s">
        <v>1229</v>
      </c>
      <c r="U119" s="1" t="s">
        <v>1230</v>
      </c>
      <c r="V119" s="13">
        <f>COUNTIF(L119:$M$1659,L119)</f>
        <v>10</v>
      </c>
      <c r="W119" s="1" t="s">
        <v>1231</v>
      </c>
      <c r="X119">
        <v>669.81</v>
      </c>
      <c r="Y119">
        <v>197.51</v>
      </c>
      <c r="Z119">
        <v>12.235557</v>
      </c>
      <c r="AA119">
        <v>109.19560300000001</v>
      </c>
      <c r="AB119">
        <v>472.29</v>
      </c>
      <c r="AC119">
        <v>12.243200999999999</v>
      </c>
      <c r="AD119">
        <v>109.192176</v>
      </c>
      <c r="AE119" s="5">
        <f t="shared" si="6"/>
        <v>0.296265</v>
      </c>
      <c r="AF119" s="5">
        <f t="shared" si="7"/>
        <v>0.70843500000000004</v>
      </c>
      <c r="AG119" s="1" t="str">
        <f>TRIM(LEFT(L119,FIND("-",L119)-1))</f>
        <v>1.CAT Khánh Hòa</v>
      </c>
      <c r="AH119" s="1" t="str">
        <f>TRIM(RIGHT(L119, LEN(L119) - FIND("-", L119)))</f>
        <v>CATP Nha Trang cũ</v>
      </c>
      <c r="AJ119">
        <f t="shared" si="8"/>
        <v>0.19750999999999999</v>
      </c>
      <c r="AK119">
        <f t="shared" si="9"/>
        <v>0.47229000000000004</v>
      </c>
      <c r="AL119" t="e">
        <f>VLOOKUP(L119,'[1]Tuyến cáp H04'!$B:$E,3,0)/1000</f>
        <v>#N/A</v>
      </c>
      <c r="AM119" t="e">
        <f>VLOOKUP(L119,'[1]Tuyến cáp H04'!$B:$E,4,0)</f>
        <v>#N/A</v>
      </c>
    </row>
    <row r="120" spans="1:39" x14ac:dyDescent="0.25">
      <c r="A120" s="1" t="s">
        <v>1232</v>
      </c>
      <c r="B120" s="1" t="s">
        <v>1233</v>
      </c>
      <c r="C120" s="1" t="s">
        <v>1234</v>
      </c>
      <c r="D120" s="1" t="s">
        <v>92</v>
      </c>
      <c r="E120" s="1" t="s">
        <v>93</v>
      </c>
      <c r="F120" s="1" t="s">
        <v>1235</v>
      </c>
      <c r="G120" s="1" t="s">
        <v>14129</v>
      </c>
      <c r="H120" s="1" t="s">
        <v>14130</v>
      </c>
      <c r="I120" s="1" t="s">
        <v>14250</v>
      </c>
      <c r="J120" s="1" t="s">
        <v>23</v>
      </c>
      <c r="K120" s="1"/>
      <c r="L120" s="1" t="s">
        <v>1223</v>
      </c>
      <c r="M120" s="8" t="s">
        <v>1223</v>
      </c>
      <c r="N120" s="1" t="b">
        <f t="shared" si="5"/>
        <v>1</v>
      </c>
      <c r="O120" s="1" t="s">
        <v>1236</v>
      </c>
      <c r="P120" s="1" t="s">
        <v>1237</v>
      </c>
      <c r="Q120" s="1" t="s">
        <v>1238</v>
      </c>
      <c r="R120" s="1" t="s">
        <v>1239</v>
      </c>
      <c r="S120" s="1" t="s">
        <v>1240</v>
      </c>
      <c r="T120" s="1" t="s">
        <v>1241</v>
      </c>
      <c r="U120" s="1" t="s">
        <v>1242</v>
      </c>
      <c r="V120" s="13">
        <f>COUNTIF(L120:$M$1659,L120)</f>
        <v>8</v>
      </c>
      <c r="W120" s="1" t="s">
        <v>1243</v>
      </c>
      <c r="X120">
        <v>445.51</v>
      </c>
      <c r="Y120">
        <v>314.7</v>
      </c>
      <c r="Z120">
        <v>12.243195999999999</v>
      </c>
      <c r="AA120">
        <v>109.192182</v>
      </c>
      <c r="AB120">
        <v>130.81</v>
      </c>
      <c r="AC120">
        <v>12.245825999999999</v>
      </c>
      <c r="AD120">
        <v>109.19040800000001</v>
      </c>
      <c r="AE120" s="5">
        <f t="shared" si="6"/>
        <v>0.47204999999999997</v>
      </c>
      <c r="AF120" s="5">
        <f t="shared" si="7"/>
        <v>0.196215</v>
      </c>
      <c r="AG120" s="1" t="str">
        <f>TRIM(LEFT(L120,FIND("-",L120)-1))</f>
        <v>1.CAT Khánh Hòa</v>
      </c>
      <c r="AH120" s="1" t="str">
        <f>TRIM(RIGHT(L120, LEN(L120) - FIND("-", L120)))</f>
        <v>CATP Nha Trang cũ</v>
      </c>
      <c r="AJ120">
        <f t="shared" si="8"/>
        <v>0.31469999999999998</v>
      </c>
      <c r="AK120">
        <f t="shared" si="9"/>
        <v>0.13081000000000001</v>
      </c>
      <c r="AL120" t="e">
        <f>VLOOKUP(L120,'[1]Tuyến cáp H04'!$B:$E,3,0)/1000</f>
        <v>#N/A</v>
      </c>
      <c r="AM120" t="e">
        <f>VLOOKUP(L120,'[1]Tuyến cáp H04'!$B:$E,4,0)</f>
        <v>#N/A</v>
      </c>
    </row>
    <row r="121" spans="1:39" x14ac:dyDescent="0.25">
      <c r="A121" s="1" t="s">
        <v>1244</v>
      </c>
      <c r="B121" s="1" t="s">
        <v>1245</v>
      </c>
      <c r="C121" s="1" t="s">
        <v>1246</v>
      </c>
      <c r="D121" s="1" t="s">
        <v>280</v>
      </c>
      <c r="E121" s="1" t="s">
        <v>281</v>
      </c>
      <c r="F121" s="1" t="s">
        <v>1247</v>
      </c>
      <c r="G121" s="1" t="s">
        <v>14129</v>
      </c>
      <c r="H121" s="1" t="s">
        <v>14130</v>
      </c>
      <c r="I121" s="1" t="s">
        <v>14251</v>
      </c>
      <c r="J121" s="1" t="s">
        <v>23</v>
      </c>
      <c r="K121" s="1"/>
      <c r="L121" s="1" t="s">
        <v>39</v>
      </c>
      <c r="M121" s="8" t="s">
        <v>39</v>
      </c>
      <c r="N121" s="1" t="b">
        <f t="shared" si="5"/>
        <v>1</v>
      </c>
      <c r="O121" s="1" t="s">
        <v>1248</v>
      </c>
      <c r="P121" s="1" t="s">
        <v>1249</v>
      </c>
      <c r="Q121" s="1" t="s">
        <v>1250</v>
      </c>
      <c r="R121" s="1" t="s">
        <v>1251</v>
      </c>
      <c r="S121" s="1" t="s">
        <v>1252</v>
      </c>
      <c r="T121" s="1" t="s">
        <v>1253</v>
      </c>
      <c r="U121" s="1" t="s">
        <v>1254</v>
      </c>
      <c r="V121" s="13">
        <f>COUNTIF(L121:$M$1659,L121)</f>
        <v>8</v>
      </c>
      <c r="W121" s="1" t="s">
        <v>510</v>
      </c>
      <c r="X121">
        <v>512.29999999999995</v>
      </c>
      <c r="Y121">
        <v>354.87</v>
      </c>
      <c r="Z121">
        <v>12.235697999999999</v>
      </c>
      <c r="AA121">
        <v>109.195623</v>
      </c>
      <c r="AB121">
        <v>157.43</v>
      </c>
      <c r="AC121">
        <v>12.24933</v>
      </c>
      <c r="AD121">
        <v>109.19394800000001</v>
      </c>
      <c r="AE121" s="5">
        <f t="shared" si="6"/>
        <v>0.53230500000000003</v>
      </c>
      <c r="AF121" s="5">
        <f t="shared" si="7"/>
        <v>0.23614500000000002</v>
      </c>
      <c r="AG121" s="1" t="str">
        <f>TRIM(LEFT(L121,FIND("-",L121)-1))</f>
        <v>1.CAT Khánh Hòa</v>
      </c>
      <c r="AH121" s="1" t="str">
        <f>TRIM(RIGHT(L121, LEN(L121) - FIND("-", L121)))</f>
        <v>PK02 cs1</v>
      </c>
      <c r="AJ121">
        <f t="shared" si="8"/>
        <v>0.35487000000000002</v>
      </c>
      <c r="AK121">
        <f t="shared" si="9"/>
        <v>0.15743000000000001</v>
      </c>
      <c r="AL121" t="e">
        <f>VLOOKUP(L121,'[1]Tuyến cáp H04'!$B:$E,3,0)/1000</f>
        <v>#N/A</v>
      </c>
      <c r="AM121" t="e">
        <f>VLOOKUP(L121,'[1]Tuyến cáp H04'!$B:$E,4,0)</f>
        <v>#N/A</v>
      </c>
    </row>
    <row r="122" spans="1:39" x14ac:dyDescent="0.25">
      <c r="A122" s="1" t="s">
        <v>1255</v>
      </c>
      <c r="B122" s="1" t="s">
        <v>1256</v>
      </c>
      <c r="C122" s="1" t="s">
        <v>1257</v>
      </c>
      <c r="D122" s="1" t="s">
        <v>92</v>
      </c>
      <c r="E122" s="1" t="s">
        <v>93</v>
      </c>
      <c r="F122" s="1" t="s">
        <v>1258</v>
      </c>
      <c r="G122" s="1" t="s">
        <v>14129</v>
      </c>
      <c r="H122" s="1" t="s">
        <v>14130</v>
      </c>
      <c r="I122" s="1" t="s">
        <v>14252</v>
      </c>
      <c r="J122" s="1" t="s">
        <v>23</v>
      </c>
      <c r="K122" s="1"/>
      <c r="L122" s="1" t="s">
        <v>1223</v>
      </c>
      <c r="M122" s="8" t="s">
        <v>1223</v>
      </c>
      <c r="N122" s="1" t="b">
        <f t="shared" si="5"/>
        <v>1</v>
      </c>
      <c r="O122" s="1" t="s">
        <v>1259</v>
      </c>
      <c r="P122" s="1" t="s">
        <v>1260</v>
      </c>
      <c r="Q122" s="1" t="s">
        <v>1226</v>
      </c>
      <c r="R122" s="1" t="s">
        <v>1227</v>
      </c>
      <c r="S122" s="1" t="s">
        <v>1228</v>
      </c>
      <c r="T122" s="1" t="s">
        <v>1229</v>
      </c>
      <c r="U122" s="1" t="s">
        <v>1230</v>
      </c>
      <c r="V122" s="13">
        <f>COUNTIF(L122:$M$1659,L122)</f>
        <v>6</v>
      </c>
      <c r="W122" s="1" t="s">
        <v>1231</v>
      </c>
      <c r="X122">
        <v>586.73</v>
      </c>
      <c r="Y122">
        <v>114.44</v>
      </c>
      <c r="Z122">
        <v>12.235557</v>
      </c>
      <c r="AA122">
        <v>109.19560300000001</v>
      </c>
      <c r="AB122">
        <v>472.29</v>
      </c>
      <c r="AC122">
        <v>12.243200999999999</v>
      </c>
      <c r="AD122">
        <v>109.192176</v>
      </c>
      <c r="AE122" s="5">
        <f t="shared" si="6"/>
        <v>0.17166000000000001</v>
      </c>
      <c r="AF122" s="5">
        <f t="shared" si="7"/>
        <v>0.70843500000000004</v>
      </c>
      <c r="AG122" s="1" t="str">
        <f>TRIM(LEFT(L122,FIND("-",L122)-1))</f>
        <v>1.CAT Khánh Hòa</v>
      </c>
      <c r="AH122" s="1" t="str">
        <f>TRIM(RIGHT(L122, LEN(L122) - FIND("-", L122)))</f>
        <v>CATP Nha Trang cũ</v>
      </c>
      <c r="AJ122">
        <f t="shared" si="8"/>
        <v>0.11444</v>
      </c>
      <c r="AK122">
        <f t="shared" si="9"/>
        <v>0.47229000000000004</v>
      </c>
      <c r="AL122" t="e">
        <f>VLOOKUP(L122,'[1]Tuyến cáp H04'!$B:$E,3,0)/1000</f>
        <v>#N/A</v>
      </c>
      <c r="AM122" t="e">
        <f>VLOOKUP(L122,'[1]Tuyến cáp H04'!$B:$E,4,0)</f>
        <v>#N/A</v>
      </c>
    </row>
    <row r="123" spans="1:39" x14ac:dyDescent="0.25">
      <c r="A123" s="1" t="s">
        <v>1261</v>
      </c>
      <c r="B123" s="1" t="s">
        <v>1262</v>
      </c>
      <c r="C123" s="1" t="s">
        <v>1263</v>
      </c>
      <c r="D123" s="1" t="s">
        <v>51</v>
      </c>
      <c r="E123" s="1" t="s">
        <v>52</v>
      </c>
      <c r="F123" s="1" t="s">
        <v>1264</v>
      </c>
      <c r="G123" s="1" t="s">
        <v>14129</v>
      </c>
      <c r="H123" s="1" t="s">
        <v>14130</v>
      </c>
      <c r="I123" s="1" t="s">
        <v>14253</v>
      </c>
      <c r="J123" s="1" t="s">
        <v>23</v>
      </c>
      <c r="K123" s="1"/>
      <c r="L123" s="1" t="s">
        <v>67</v>
      </c>
      <c r="M123" s="8" t="s">
        <v>67</v>
      </c>
      <c r="N123" s="1" t="b">
        <f t="shared" si="5"/>
        <v>1</v>
      </c>
      <c r="O123" s="1" t="s">
        <v>1265</v>
      </c>
      <c r="P123" s="1" t="s">
        <v>1266</v>
      </c>
      <c r="Q123" s="1" t="s">
        <v>73</v>
      </c>
      <c r="R123" s="1" t="s">
        <v>74</v>
      </c>
      <c r="S123" s="1" t="s">
        <v>69</v>
      </c>
      <c r="T123" s="1" t="s">
        <v>70</v>
      </c>
      <c r="U123" s="1" t="s">
        <v>71</v>
      </c>
      <c r="V123" s="13">
        <f>COUNTIF(L123:$M$1659,L123)</f>
        <v>4</v>
      </c>
      <c r="W123" s="1" t="s">
        <v>75</v>
      </c>
      <c r="X123">
        <v>228.27</v>
      </c>
      <c r="Y123">
        <v>74.37</v>
      </c>
      <c r="Z123">
        <v>12.191492</v>
      </c>
      <c r="AA123">
        <v>109.066221</v>
      </c>
      <c r="AB123">
        <v>153.9</v>
      </c>
      <c r="AC123">
        <v>12.220518999999999</v>
      </c>
      <c r="AD123">
        <v>109.08248</v>
      </c>
      <c r="AE123" s="5">
        <f t="shared" si="6"/>
        <v>0.111555</v>
      </c>
      <c r="AF123" s="5">
        <f t="shared" si="7"/>
        <v>0.23085000000000003</v>
      </c>
      <c r="AG123" s="1" t="str">
        <f>TRIM(LEFT(L123,FIND("-",L123)-1))</f>
        <v>2.CA Suối Hiệp</v>
      </c>
      <c r="AH123" s="1" t="str">
        <f>TRIM(RIGHT(L123, LEN(L123) - FIND("-", L123)))</f>
        <v>CA Suối Dầu</v>
      </c>
      <c r="AJ123">
        <f t="shared" si="8"/>
        <v>7.4370000000000006E-2</v>
      </c>
      <c r="AK123">
        <f t="shared" si="9"/>
        <v>0.15390000000000001</v>
      </c>
      <c r="AL123" t="e">
        <f>VLOOKUP(L123,'[1]Tuyến cáp H04'!$B:$E,3,0)/1000</f>
        <v>#N/A</v>
      </c>
      <c r="AM123" t="e">
        <f>VLOOKUP(L123,'[1]Tuyến cáp H04'!$B:$E,4,0)</f>
        <v>#N/A</v>
      </c>
    </row>
    <row r="124" spans="1:39" x14ac:dyDescent="0.25">
      <c r="A124" s="1" t="s">
        <v>1267</v>
      </c>
      <c r="B124" s="1" t="s">
        <v>1268</v>
      </c>
      <c r="C124" s="1" t="s">
        <v>1269</v>
      </c>
      <c r="D124" s="1" t="s">
        <v>896</v>
      </c>
      <c r="E124" s="1" t="s">
        <v>897</v>
      </c>
      <c r="F124" s="1" t="s">
        <v>1270</v>
      </c>
      <c r="G124" s="1" t="s">
        <v>14129</v>
      </c>
      <c r="H124" s="1" t="s">
        <v>14130</v>
      </c>
      <c r="I124" s="1" t="s">
        <v>14254</v>
      </c>
      <c r="J124" s="1" t="s">
        <v>23</v>
      </c>
      <c r="K124" s="1"/>
      <c r="L124" s="1" t="s">
        <v>899</v>
      </c>
      <c r="M124" s="8" t="s">
        <v>899</v>
      </c>
      <c r="N124" s="1" t="b">
        <f t="shared" si="5"/>
        <v>1</v>
      </c>
      <c r="O124" s="1" t="s">
        <v>1271</v>
      </c>
      <c r="P124" s="1" t="s">
        <v>1272</v>
      </c>
      <c r="Q124" s="1" t="s">
        <v>926</v>
      </c>
      <c r="R124" s="1" t="s">
        <v>927</v>
      </c>
      <c r="S124" s="1" t="s">
        <v>922</v>
      </c>
      <c r="T124" s="1" t="s">
        <v>923</v>
      </c>
      <c r="U124" s="1" t="s">
        <v>924</v>
      </c>
      <c r="V124" s="13">
        <f>COUNTIF(L124:$M$1659,L124)</f>
        <v>6</v>
      </c>
      <c r="W124" s="1" t="s">
        <v>928</v>
      </c>
      <c r="X124">
        <v>4897.24</v>
      </c>
      <c r="Y124">
        <v>4892.0600000000004</v>
      </c>
      <c r="Z124">
        <v>12.001106999999999</v>
      </c>
      <c r="AA124">
        <v>109.209318</v>
      </c>
      <c r="AB124">
        <v>5.18</v>
      </c>
      <c r="AC124">
        <v>11.998255</v>
      </c>
      <c r="AD124">
        <v>109.218788</v>
      </c>
      <c r="AE124" s="5">
        <f t="shared" si="6"/>
        <v>7.3380900000000002</v>
      </c>
      <c r="AF124" s="5">
        <f t="shared" si="7"/>
        <v>7.77E-3</v>
      </c>
      <c r="AG124" s="1" t="str">
        <f>TRIM(LEFT(L124,FIND("-",L124)-1))</f>
        <v>Tuyến nhánh CA Bắc Cam Ranh</v>
      </c>
      <c r="AH124" s="1" t="str">
        <f>TRIM(RIGHT(L124, LEN(L124) - FIND("-", L124)))</f>
        <v>Cảng HKQT Cam Ranh</v>
      </c>
      <c r="AJ124">
        <f t="shared" si="8"/>
        <v>4.8920600000000007</v>
      </c>
      <c r="AK124">
        <f t="shared" si="9"/>
        <v>5.1799999999999997E-3</v>
      </c>
      <c r="AL124" t="e">
        <f>VLOOKUP(L124,'[1]Tuyến cáp H04'!$B:$E,3,0)/1000</f>
        <v>#N/A</v>
      </c>
      <c r="AM124" t="e">
        <f>VLOOKUP(L124,'[1]Tuyến cáp H04'!$B:$E,4,0)</f>
        <v>#N/A</v>
      </c>
    </row>
    <row r="125" spans="1:39" x14ac:dyDescent="0.25">
      <c r="A125" s="1" t="s">
        <v>1273</v>
      </c>
      <c r="B125" s="1" t="s">
        <v>1274</v>
      </c>
      <c r="C125" s="1" t="s">
        <v>1275</v>
      </c>
      <c r="D125" s="1" t="s">
        <v>347</v>
      </c>
      <c r="E125" s="1" t="s">
        <v>348</v>
      </c>
      <c r="F125" s="1" t="s">
        <v>1276</v>
      </c>
      <c r="G125" s="1" t="s">
        <v>14129</v>
      </c>
      <c r="H125" s="1" t="s">
        <v>14130</v>
      </c>
      <c r="I125" s="1" t="s">
        <v>14255</v>
      </c>
      <c r="J125" s="1" t="s">
        <v>23</v>
      </c>
      <c r="K125" s="1"/>
      <c r="L125" s="1" t="s">
        <v>245</v>
      </c>
      <c r="M125" s="8" t="s">
        <v>245</v>
      </c>
      <c r="N125" s="1" t="b">
        <f t="shared" si="5"/>
        <v>1</v>
      </c>
      <c r="O125" s="1" t="s">
        <v>1277</v>
      </c>
      <c r="P125" s="1" t="s">
        <v>1278</v>
      </c>
      <c r="Q125" s="1" t="s">
        <v>1279</v>
      </c>
      <c r="R125" s="1" t="s">
        <v>1280</v>
      </c>
      <c r="S125" s="1" t="s">
        <v>1281</v>
      </c>
      <c r="T125" s="1" t="s">
        <v>1282</v>
      </c>
      <c r="U125" s="1" t="s">
        <v>1283</v>
      </c>
      <c r="V125" s="13">
        <f>COUNTIF(L125:$M$1659,L125)</f>
        <v>8</v>
      </c>
      <c r="W125" s="1" t="s">
        <v>1284</v>
      </c>
      <c r="X125">
        <v>2788.44</v>
      </c>
      <c r="Y125">
        <v>2781.82</v>
      </c>
      <c r="Z125">
        <v>11.952555</v>
      </c>
      <c r="AA125">
        <v>109.104632</v>
      </c>
      <c r="AB125">
        <v>6.63</v>
      </c>
      <c r="AC125">
        <v>11.941641000000001</v>
      </c>
      <c r="AD125">
        <v>109.11304800000001</v>
      </c>
      <c r="AE125" s="5">
        <f t="shared" si="6"/>
        <v>4.1727300000000005</v>
      </c>
      <c r="AF125" s="5">
        <f t="shared" si="7"/>
        <v>9.9450000000000007E-3</v>
      </c>
      <c r="AG125" s="1" t="str">
        <f>TRIM(LEFT(L125,FIND("-",L125)-1))</f>
        <v>5. Cam Phước Đông</v>
      </c>
      <c r="AH125" s="1" t="str">
        <f>TRIM(RIGHT(L125, LEN(L125) - FIND("-", L125)))</f>
        <v>CAT Khánh Hòa</v>
      </c>
      <c r="AJ125">
        <f t="shared" si="8"/>
        <v>2.7818200000000002</v>
      </c>
      <c r="AK125">
        <f t="shared" si="9"/>
        <v>6.6299999999999996E-3</v>
      </c>
      <c r="AL125" t="e">
        <f>VLOOKUP(L125,'[1]Tuyến cáp H04'!$B:$E,3,0)/1000</f>
        <v>#N/A</v>
      </c>
      <c r="AM125" t="e">
        <f>VLOOKUP(L125,'[1]Tuyến cáp H04'!$B:$E,4,0)</f>
        <v>#N/A</v>
      </c>
    </row>
    <row r="126" spans="1:39" x14ac:dyDescent="0.25">
      <c r="A126" s="1" t="s">
        <v>1285</v>
      </c>
      <c r="B126" s="1" t="s">
        <v>1286</v>
      </c>
      <c r="C126" s="1" t="s">
        <v>1287</v>
      </c>
      <c r="D126" s="1" t="s">
        <v>347</v>
      </c>
      <c r="E126" s="1" t="s">
        <v>348</v>
      </c>
      <c r="F126" s="1" t="s">
        <v>1288</v>
      </c>
      <c r="G126" s="1" t="s">
        <v>14129</v>
      </c>
      <c r="H126" s="1" t="s">
        <v>14130</v>
      </c>
      <c r="I126" s="1" t="s">
        <v>14256</v>
      </c>
      <c r="J126" s="1" t="s">
        <v>23</v>
      </c>
      <c r="K126" s="1"/>
      <c r="L126" s="1" t="s">
        <v>352</v>
      </c>
      <c r="M126" s="8" t="s">
        <v>352</v>
      </c>
      <c r="N126" s="1" t="b">
        <f t="shared" si="5"/>
        <v>1</v>
      </c>
      <c r="O126" s="1" t="s">
        <v>1289</v>
      </c>
      <c r="P126" s="1" t="s">
        <v>1290</v>
      </c>
      <c r="Q126" s="1" t="s">
        <v>1291</v>
      </c>
      <c r="R126" s="1" t="s">
        <v>1292</v>
      </c>
      <c r="S126" s="1" t="s">
        <v>354</v>
      </c>
      <c r="T126" s="1" t="s">
        <v>355</v>
      </c>
      <c r="U126" s="1" t="s">
        <v>356</v>
      </c>
      <c r="V126" s="13">
        <f>COUNTIF(L126:$M$1659,L126)</f>
        <v>10</v>
      </c>
      <c r="W126" s="1" t="s">
        <v>360</v>
      </c>
      <c r="X126">
        <v>1051.47</v>
      </c>
      <c r="Y126">
        <v>951.47</v>
      </c>
      <c r="Z126">
        <v>11.963487000000001</v>
      </c>
      <c r="AA126">
        <v>109.08228099999999</v>
      </c>
      <c r="AB126">
        <v>100</v>
      </c>
      <c r="AC126">
        <v>11.941592</v>
      </c>
      <c r="AD126">
        <v>109.11218100000001</v>
      </c>
      <c r="AE126" s="5">
        <f t="shared" si="6"/>
        <v>1.4272049999999998</v>
      </c>
      <c r="AF126" s="5">
        <f t="shared" si="7"/>
        <v>0.15</v>
      </c>
      <c r="AG126" s="1" t="str">
        <f>TRIM(LEFT(L126,FIND("-",L126)-1))</f>
        <v>3.Cam Ranh</v>
      </c>
      <c r="AH126" s="1" t="str">
        <f>TRIM(RIGHT(L126, LEN(L126) - FIND("-", L126)))</f>
        <v>Khánh Sơn</v>
      </c>
      <c r="AJ126">
        <f t="shared" si="8"/>
        <v>0.95147000000000004</v>
      </c>
      <c r="AK126">
        <f t="shared" si="9"/>
        <v>0.1</v>
      </c>
      <c r="AL126" t="e">
        <f>VLOOKUP(L126,'[1]Tuyến cáp H04'!$B:$E,3,0)/1000</f>
        <v>#N/A</v>
      </c>
      <c r="AM126" t="e">
        <f>VLOOKUP(L126,'[1]Tuyến cáp H04'!$B:$E,4,0)</f>
        <v>#N/A</v>
      </c>
    </row>
    <row r="127" spans="1:39" x14ac:dyDescent="0.25">
      <c r="A127" s="1" t="s">
        <v>1293</v>
      </c>
      <c r="B127" s="1" t="s">
        <v>1294</v>
      </c>
      <c r="C127" s="1" t="s">
        <v>1295</v>
      </c>
      <c r="D127" s="1" t="s">
        <v>839</v>
      </c>
      <c r="E127" s="1" t="s">
        <v>840</v>
      </c>
      <c r="F127" s="1" t="s">
        <v>1296</v>
      </c>
      <c r="G127" s="1" t="s">
        <v>14129</v>
      </c>
      <c r="H127" s="1" t="s">
        <v>14130</v>
      </c>
      <c r="I127" s="1" t="s">
        <v>14257</v>
      </c>
      <c r="J127" s="1" t="s">
        <v>23</v>
      </c>
      <c r="K127" s="1"/>
      <c r="L127" s="1" t="s">
        <v>957</v>
      </c>
      <c r="M127" s="8" t="s">
        <v>957</v>
      </c>
      <c r="N127" s="1" t="b">
        <f t="shared" si="5"/>
        <v>1</v>
      </c>
      <c r="O127" s="1" t="s">
        <v>1297</v>
      </c>
      <c r="P127" s="1" t="s">
        <v>1298</v>
      </c>
      <c r="Q127" s="1" t="s">
        <v>1299</v>
      </c>
      <c r="R127" s="1" t="s">
        <v>1300</v>
      </c>
      <c r="S127" s="1" t="s">
        <v>219</v>
      </c>
      <c r="T127" s="1" t="s">
        <v>959</v>
      </c>
      <c r="U127" s="1" t="s">
        <v>960</v>
      </c>
      <c r="V127" s="13">
        <f>COUNTIF(L127:$M$1659,L127)</f>
        <v>2</v>
      </c>
      <c r="W127" s="1" t="s">
        <v>964</v>
      </c>
      <c r="X127">
        <v>40.299999999999997</v>
      </c>
      <c r="Y127">
        <v>36.31</v>
      </c>
      <c r="Z127">
        <v>11.913854000000001</v>
      </c>
      <c r="AA127">
        <v>109.137269</v>
      </c>
      <c r="AB127">
        <v>4</v>
      </c>
      <c r="AC127">
        <v>11.906751</v>
      </c>
      <c r="AD127">
        <v>109.14636900000001</v>
      </c>
      <c r="AE127" s="5">
        <f t="shared" si="6"/>
        <v>5.4465000000000006E-2</v>
      </c>
      <c r="AF127" s="5">
        <f t="shared" si="7"/>
        <v>6.0000000000000001E-3</v>
      </c>
      <c r="AG127" s="1" t="str">
        <f>TRIM(LEFT(L127,FIND("-",L127)-1))</f>
        <v>2.CA Cam Linh</v>
      </c>
      <c r="AH127" s="1" t="str">
        <f>TRIM(RIGHT(L127, LEN(L127) - FIND("-", L127)))</f>
        <v>CA Ba Ngòi</v>
      </c>
      <c r="AJ127">
        <f t="shared" si="8"/>
        <v>3.6310000000000002E-2</v>
      </c>
      <c r="AK127">
        <f t="shared" si="9"/>
        <v>4.0000000000000001E-3</v>
      </c>
      <c r="AL127" t="e">
        <f>VLOOKUP(L127,'[1]Tuyến cáp H04'!$B:$E,3,0)/1000</f>
        <v>#N/A</v>
      </c>
      <c r="AM127" t="e">
        <f>VLOOKUP(L127,'[1]Tuyến cáp H04'!$B:$E,4,0)</f>
        <v>#N/A</v>
      </c>
    </row>
    <row r="128" spans="1:39" x14ac:dyDescent="0.25">
      <c r="A128" s="1" t="s">
        <v>1301</v>
      </c>
      <c r="B128" s="1" t="s">
        <v>1302</v>
      </c>
      <c r="C128" s="1" t="s">
        <v>1303</v>
      </c>
      <c r="D128" s="1" t="s">
        <v>34</v>
      </c>
      <c r="E128" s="1" t="s">
        <v>35</v>
      </c>
      <c r="F128" s="1" t="s">
        <v>1304</v>
      </c>
      <c r="G128" s="1" t="s">
        <v>14129</v>
      </c>
      <c r="H128" s="1" t="s">
        <v>14133</v>
      </c>
      <c r="I128" s="1" t="s">
        <v>14258</v>
      </c>
      <c r="J128" s="1" t="s">
        <v>23</v>
      </c>
      <c r="K128" s="1"/>
      <c r="L128" s="1" t="s">
        <v>163</v>
      </c>
      <c r="M128" s="8" t="s">
        <v>163</v>
      </c>
      <c r="N128" s="1" t="b">
        <f t="shared" si="5"/>
        <v>1</v>
      </c>
      <c r="O128" s="1" t="s">
        <v>1305</v>
      </c>
      <c r="P128" s="1" t="s">
        <v>1306</v>
      </c>
      <c r="Q128" s="1" t="s">
        <v>1307</v>
      </c>
      <c r="R128" s="1" t="s">
        <v>1308</v>
      </c>
      <c r="S128" s="1" t="s">
        <v>168</v>
      </c>
      <c r="T128" s="1" t="s">
        <v>169</v>
      </c>
      <c r="U128" s="1" t="s">
        <v>170</v>
      </c>
      <c r="V128" s="13">
        <f>COUNTIF(L128:$M$1659,L128)</f>
        <v>2</v>
      </c>
      <c r="W128" s="1" t="s">
        <v>171</v>
      </c>
      <c r="X128">
        <v>410.93</v>
      </c>
      <c r="Y128">
        <v>408.67</v>
      </c>
      <c r="Z128">
        <v>12.277380000000001</v>
      </c>
      <c r="AA128">
        <v>109.189222</v>
      </c>
      <c r="AB128">
        <v>2.2599999999999998</v>
      </c>
      <c r="AC128">
        <v>12.276948000000001</v>
      </c>
      <c r="AD128">
        <v>109.18840899999999</v>
      </c>
      <c r="AE128" s="5">
        <f t="shared" si="6"/>
        <v>0.61300500000000002</v>
      </c>
      <c r="AF128" s="5">
        <f t="shared" si="7"/>
        <v>3.3899999999999998E-3</v>
      </c>
      <c r="AG128" s="1" t="str">
        <f>TRIM(LEFT(L128,FIND("-",L128)-1))</f>
        <v>Tuyến nhánh PK02 cs1</v>
      </c>
      <c r="AH128" s="1" t="str">
        <f>TRIM(RIGHT(L128, LEN(L128) - FIND("-", L128)))</f>
        <v>NTG Nha Trang cũ_Cột hạ thế</v>
      </c>
      <c r="AJ128">
        <f t="shared" si="8"/>
        <v>0.40867000000000003</v>
      </c>
      <c r="AK128">
        <f t="shared" si="9"/>
        <v>2.2599999999999999E-3</v>
      </c>
      <c r="AL128" t="e">
        <f>VLOOKUP(L128,'[1]Tuyến cáp H04'!$B:$E,3,0)/1000</f>
        <v>#N/A</v>
      </c>
      <c r="AM128" t="e">
        <f>VLOOKUP(L128,'[1]Tuyến cáp H04'!$B:$E,4,0)</f>
        <v>#N/A</v>
      </c>
    </row>
    <row r="129" spans="1:39" x14ac:dyDescent="0.25">
      <c r="A129" s="1" t="s">
        <v>1309</v>
      </c>
      <c r="B129" s="1" t="s">
        <v>1310</v>
      </c>
      <c r="C129" s="1" t="s">
        <v>1311</v>
      </c>
      <c r="D129" s="1" t="s">
        <v>1312</v>
      </c>
      <c r="E129" s="1" t="s">
        <v>1313</v>
      </c>
      <c r="F129" s="1" t="s">
        <v>1314</v>
      </c>
      <c r="G129" s="1" t="s">
        <v>14129</v>
      </c>
      <c r="H129" s="1" t="s">
        <v>14133</v>
      </c>
      <c r="I129" s="1" t="s">
        <v>14259</v>
      </c>
      <c r="J129" s="1" t="s">
        <v>23</v>
      </c>
      <c r="K129" s="1"/>
      <c r="L129" s="1" t="s">
        <v>1315</v>
      </c>
      <c r="M129" s="8" t="s">
        <v>1315</v>
      </c>
      <c r="N129" s="1" t="b">
        <f t="shared" si="5"/>
        <v>1</v>
      </c>
      <c r="O129" s="1" t="s">
        <v>1316</v>
      </c>
      <c r="P129" s="1" t="s">
        <v>1317</v>
      </c>
      <c r="Q129" s="1" t="s">
        <v>1318</v>
      </c>
      <c r="R129" s="1" t="s">
        <v>1319</v>
      </c>
      <c r="S129" s="1" t="s">
        <v>1320</v>
      </c>
      <c r="T129" s="1" t="s">
        <v>1321</v>
      </c>
      <c r="U129" s="1" t="s">
        <v>1322</v>
      </c>
      <c r="V129" s="13">
        <f>COUNTIF(L129:$M$1659,L129)</f>
        <v>8</v>
      </c>
      <c r="W129" s="1" t="s">
        <v>1323</v>
      </c>
      <c r="X129">
        <v>579.39</v>
      </c>
      <c r="Y129">
        <v>12.56</v>
      </c>
      <c r="Z129">
        <v>12.21041</v>
      </c>
      <c r="AA129">
        <v>109.213421</v>
      </c>
      <c r="AB129">
        <v>566.83000000000004</v>
      </c>
      <c r="AC129">
        <v>12.202648</v>
      </c>
      <c r="AD129">
        <v>109.214975</v>
      </c>
      <c r="AE129" s="5">
        <f t="shared" si="6"/>
        <v>1.8839999999999999E-2</v>
      </c>
      <c r="AF129" s="5">
        <f t="shared" si="7"/>
        <v>0.85024500000000014</v>
      </c>
      <c r="AG129" s="1" t="str">
        <f>TRIM(LEFT(L129,FIND("-",L129)-1))</f>
        <v>Tuyến nhánh PC02</v>
      </c>
      <c r="AH129" s="1" t="str">
        <f>TRIM(RIGHT(L129, LEN(L129) - FIND("-", L129)))</f>
        <v>PC08 (CSGT đường thủy)</v>
      </c>
      <c r="AJ129">
        <f t="shared" si="8"/>
        <v>1.256E-2</v>
      </c>
      <c r="AK129">
        <f t="shared" si="9"/>
        <v>0.56683000000000006</v>
      </c>
      <c r="AL129" t="e">
        <f>VLOOKUP(L129,'[1]Tuyến cáp H04'!$B:$E,3,0)/1000</f>
        <v>#N/A</v>
      </c>
      <c r="AM129" t="e">
        <f>VLOOKUP(L129,'[1]Tuyến cáp H04'!$B:$E,4,0)</f>
        <v>#N/A</v>
      </c>
    </row>
    <row r="130" spans="1:39" x14ac:dyDescent="0.25">
      <c r="A130" s="1" t="s">
        <v>1324</v>
      </c>
      <c r="B130" s="1" t="s">
        <v>1325</v>
      </c>
      <c r="C130" s="1" t="s">
        <v>1326</v>
      </c>
      <c r="D130" s="1" t="s">
        <v>263</v>
      </c>
      <c r="E130" s="1" t="s">
        <v>264</v>
      </c>
      <c r="F130" s="1" t="s">
        <v>1327</v>
      </c>
      <c r="G130" s="1" t="s">
        <v>14129</v>
      </c>
      <c r="H130" s="1" t="s">
        <v>14133</v>
      </c>
      <c r="I130" s="1" t="s">
        <v>14260</v>
      </c>
      <c r="J130" s="1" t="s">
        <v>23</v>
      </c>
      <c r="K130" s="1"/>
      <c r="L130" s="1" t="s">
        <v>1328</v>
      </c>
      <c r="M130" s="8" t="s">
        <v>1328</v>
      </c>
      <c r="N130" s="1" t="b">
        <f t="shared" si="5"/>
        <v>1</v>
      </c>
      <c r="O130" s="1" t="s">
        <v>1329</v>
      </c>
      <c r="P130" s="1" t="s">
        <v>1330</v>
      </c>
      <c r="Q130" s="1" t="s">
        <v>1331</v>
      </c>
      <c r="R130" s="1" t="s">
        <v>1332</v>
      </c>
      <c r="S130" s="1" t="s">
        <v>1333</v>
      </c>
      <c r="T130" s="1" t="s">
        <v>1334</v>
      </c>
      <c r="U130" s="1" t="s">
        <v>1335</v>
      </c>
      <c r="V130" s="13">
        <f>COUNTIF(L130:$M$1659,L130)</f>
        <v>4</v>
      </c>
      <c r="W130" s="1" t="s">
        <v>1336</v>
      </c>
      <c r="X130">
        <v>131.72999999999999</v>
      </c>
      <c r="Y130">
        <v>49.56</v>
      </c>
      <c r="Z130">
        <v>12.250439999999999</v>
      </c>
      <c r="AA130">
        <v>109.184605</v>
      </c>
      <c r="AB130">
        <v>82.17</v>
      </c>
      <c r="AC130">
        <v>12.249478999999999</v>
      </c>
      <c r="AD130">
        <v>109.184708</v>
      </c>
      <c r="AE130" s="5">
        <f t="shared" si="6"/>
        <v>7.4340000000000003E-2</v>
      </c>
      <c r="AF130" s="5">
        <f t="shared" si="7"/>
        <v>0.12325499999999999</v>
      </c>
      <c r="AG130" s="1" t="str">
        <f>TRIM(LEFT(L130,FIND("-",L130)-1))</f>
        <v>2.CA Nam Nha Trang</v>
      </c>
      <c r="AH130" s="1" t="str">
        <f>TRIM(RIGHT(L130, LEN(L130) - FIND("-", L130)))</f>
        <v>CA Nha Trang</v>
      </c>
      <c r="AJ130">
        <f t="shared" si="8"/>
        <v>4.956E-2</v>
      </c>
      <c r="AK130">
        <f t="shared" si="9"/>
        <v>8.2170000000000007E-2</v>
      </c>
      <c r="AL130" t="e">
        <f>VLOOKUP(L130,'[1]Tuyến cáp H04'!$B:$E,3,0)/1000</f>
        <v>#N/A</v>
      </c>
      <c r="AM130" t="e">
        <f>VLOOKUP(L130,'[1]Tuyến cáp H04'!$B:$E,4,0)</f>
        <v>#N/A</v>
      </c>
    </row>
    <row r="131" spans="1:39" x14ac:dyDescent="0.25">
      <c r="A131" s="1" t="s">
        <v>1337</v>
      </c>
      <c r="B131" s="1" t="s">
        <v>1338</v>
      </c>
      <c r="C131" s="1" t="s">
        <v>1339</v>
      </c>
      <c r="D131" s="1" t="s">
        <v>896</v>
      </c>
      <c r="E131" s="1" t="s">
        <v>897</v>
      </c>
      <c r="F131" s="1" t="s">
        <v>1340</v>
      </c>
      <c r="G131" s="1" t="s">
        <v>14129</v>
      </c>
      <c r="H131" s="1" t="s">
        <v>14133</v>
      </c>
      <c r="I131" s="1" t="s">
        <v>14261</v>
      </c>
      <c r="J131" s="1" t="s">
        <v>23</v>
      </c>
      <c r="K131" s="1"/>
      <c r="L131" s="1" t="s">
        <v>899</v>
      </c>
      <c r="M131" s="8" t="s">
        <v>899</v>
      </c>
      <c r="N131" s="1" t="b">
        <f t="shared" ref="N131:N194" si="10">L131=M131</f>
        <v>1</v>
      </c>
      <c r="O131" s="1" t="s">
        <v>1341</v>
      </c>
      <c r="P131" s="1" t="s">
        <v>1342</v>
      </c>
      <c r="Q131" s="1" t="s">
        <v>926</v>
      </c>
      <c r="R131" s="1" t="s">
        <v>927</v>
      </c>
      <c r="S131" s="1" t="s">
        <v>922</v>
      </c>
      <c r="T131" s="1" t="s">
        <v>923</v>
      </c>
      <c r="U131" s="1" t="s">
        <v>924</v>
      </c>
      <c r="V131" s="13">
        <f>COUNTIF(L131:$M$1659,L131)</f>
        <v>4</v>
      </c>
      <c r="W131" s="1" t="s">
        <v>928</v>
      </c>
      <c r="X131">
        <v>986.52</v>
      </c>
      <c r="Y131">
        <v>981.34</v>
      </c>
      <c r="Z131">
        <v>12.001106999999999</v>
      </c>
      <c r="AA131">
        <v>109.209318</v>
      </c>
      <c r="AB131">
        <v>5.18</v>
      </c>
      <c r="AC131">
        <v>11.998255</v>
      </c>
      <c r="AD131">
        <v>109.218788</v>
      </c>
      <c r="AE131" s="5">
        <f t="shared" ref="AE131:AE194" si="11">Y131*1.5/1000</f>
        <v>1.47201</v>
      </c>
      <c r="AF131" s="5">
        <f t="shared" ref="AF131:AF194" si="12">AB131*1.5/1000</f>
        <v>7.77E-3</v>
      </c>
      <c r="AG131" s="1" t="str">
        <f>TRIM(LEFT(L131,FIND("-",L131)-1))</f>
        <v>Tuyến nhánh CA Bắc Cam Ranh</v>
      </c>
      <c r="AH131" s="1" t="str">
        <f>TRIM(RIGHT(L131, LEN(L131) - FIND("-", L131)))</f>
        <v>Cảng HKQT Cam Ranh</v>
      </c>
      <c r="AJ131">
        <f t="shared" ref="AJ131:AJ194" si="13">Y131/1000</f>
        <v>0.98133999999999999</v>
      </c>
      <c r="AK131">
        <f t="shared" ref="AK131:AK194" si="14">AB131/1000</f>
        <v>5.1799999999999997E-3</v>
      </c>
      <c r="AL131" t="e">
        <f>VLOOKUP(L131,'[1]Tuyến cáp H04'!$B:$E,3,0)/1000</f>
        <v>#N/A</v>
      </c>
      <c r="AM131" t="e">
        <f>VLOOKUP(L131,'[1]Tuyến cáp H04'!$B:$E,4,0)</f>
        <v>#N/A</v>
      </c>
    </row>
    <row r="132" spans="1:39" x14ac:dyDescent="0.25">
      <c r="A132" s="1" t="s">
        <v>1343</v>
      </c>
      <c r="B132" s="1" t="s">
        <v>1344</v>
      </c>
      <c r="C132" s="1" t="s">
        <v>1345</v>
      </c>
      <c r="D132" s="1" t="s">
        <v>393</v>
      </c>
      <c r="E132" s="1" t="s">
        <v>394</v>
      </c>
      <c r="F132" s="1" t="s">
        <v>1346</v>
      </c>
      <c r="G132" s="1" t="s">
        <v>14129</v>
      </c>
      <c r="H132" s="1" t="s">
        <v>14133</v>
      </c>
      <c r="I132" s="1" t="s">
        <v>14262</v>
      </c>
      <c r="J132" s="1" t="s">
        <v>23</v>
      </c>
      <c r="K132" s="1"/>
      <c r="L132" s="1" t="s">
        <v>434</v>
      </c>
      <c r="M132" s="8" t="s">
        <v>434</v>
      </c>
      <c r="N132" s="1" t="b">
        <f t="shared" si="10"/>
        <v>1</v>
      </c>
      <c r="O132" s="1" t="s">
        <v>1347</v>
      </c>
      <c r="P132" s="1" t="s">
        <v>1348</v>
      </c>
      <c r="Q132" s="1" t="s">
        <v>1349</v>
      </c>
      <c r="R132" s="1" t="s">
        <v>1350</v>
      </c>
      <c r="S132" s="1" t="s">
        <v>436</v>
      </c>
      <c r="T132" s="1" t="s">
        <v>437</v>
      </c>
      <c r="U132" s="1" t="s">
        <v>438</v>
      </c>
      <c r="V132" s="13">
        <f>COUNTIF(L132:$M$1659,L132)</f>
        <v>4</v>
      </c>
      <c r="W132" s="1" t="s">
        <v>442</v>
      </c>
      <c r="X132">
        <v>150.38999999999999</v>
      </c>
      <c r="Y132">
        <v>147.19</v>
      </c>
      <c r="Z132">
        <v>12.308507000000001</v>
      </c>
      <c r="AA132">
        <v>108.998564</v>
      </c>
      <c r="AB132">
        <v>3.2</v>
      </c>
      <c r="AC132">
        <v>12.269061000000001</v>
      </c>
      <c r="AD132">
        <v>109.03337999999999</v>
      </c>
      <c r="AE132" s="5">
        <f t="shared" si="11"/>
        <v>0.22078500000000001</v>
      </c>
      <c r="AF132" s="5">
        <f t="shared" si="12"/>
        <v>4.8000000000000004E-3</v>
      </c>
      <c r="AG132" s="1" t="str">
        <f>TRIM(LEFT(L132,FIND("-",L132)-1))</f>
        <v>3.CA Diên Lâm</v>
      </c>
      <c r="AH132" s="1" t="str">
        <f>TRIM(RIGHT(L132, LEN(L132) - FIND("-", L132)))</f>
        <v>CA Bắc Khánh Vĩnh_Cột trung thế</v>
      </c>
      <c r="AJ132">
        <f t="shared" si="13"/>
        <v>0.14718999999999999</v>
      </c>
      <c r="AK132">
        <f t="shared" si="14"/>
        <v>3.2000000000000002E-3</v>
      </c>
      <c r="AL132" t="e">
        <f>VLOOKUP(L132,'[1]Tuyến cáp H04'!$B:$E,3,0)/1000</f>
        <v>#N/A</v>
      </c>
      <c r="AM132" t="e">
        <f>VLOOKUP(L132,'[1]Tuyến cáp H04'!$B:$E,4,0)</f>
        <v>#N/A</v>
      </c>
    </row>
    <row r="133" spans="1:39" x14ac:dyDescent="0.25">
      <c r="A133" s="1" t="s">
        <v>1351</v>
      </c>
      <c r="B133" s="1" t="s">
        <v>1352</v>
      </c>
      <c r="C133" s="1" t="s">
        <v>1353</v>
      </c>
      <c r="D133" s="1" t="s">
        <v>263</v>
      </c>
      <c r="E133" s="1" t="s">
        <v>264</v>
      </c>
      <c r="F133" s="1" t="s">
        <v>1354</v>
      </c>
      <c r="G133" s="1" t="s">
        <v>14129</v>
      </c>
      <c r="H133" s="1" t="s">
        <v>14133</v>
      </c>
      <c r="I133" s="1" t="s">
        <v>14263</v>
      </c>
      <c r="J133" s="1" t="s">
        <v>23</v>
      </c>
      <c r="K133" s="1"/>
      <c r="L133" s="1" t="s">
        <v>296</v>
      </c>
      <c r="M133" s="8" t="s">
        <v>296</v>
      </c>
      <c r="N133" s="1" t="b">
        <f t="shared" si="10"/>
        <v>1</v>
      </c>
      <c r="O133" s="1" t="s">
        <v>1355</v>
      </c>
      <c r="P133" s="1" t="s">
        <v>1356</v>
      </c>
      <c r="Q133" s="1" t="s">
        <v>1357</v>
      </c>
      <c r="R133" s="1" t="s">
        <v>1358</v>
      </c>
      <c r="S133" s="1" t="s">
        <v>670</v>
      </c>
      <c r="T133" s="1" t="s">
        <v>671</v>
      </c>
      <c r="U133" s="1" t="s">
        <v>672</v>
      </c>
      <c r="V133" s="13">
        <f>COUNTIF(L133:$M$1659,L133)</f>
        <v>7</v>
      </c>
      <c r="W133" s="1" t="s">
        <v>676</v>
      </c>
      <c r="X133">
        <v>381.8</v>
      </c>
      <c r="Y133">
        <v>301.17</v>
      </c>
      <c r="Z133">
        <v>12.252969</v>
      </c>
      <c r="AA133">
        <v>109.17461900000001</v>
      </c>
      <c r="AB133">
        <v>80.62</v>
      </c>
      <c r="AC133">
        <v>12.249428</v>
      </c>
      <c r="AD133">
        <v>109.184727</v>
      </c>
      <c r="AE133" s="5">
        <f t="shared" si="11"/>
        <v>0.45175500000000002</v>
      </c>
      <c r="AF133" s="5">
        <f t="shared" si="12"/>
        <v>0.12093000000000001</v>
      </c>
      <c r="AG133" s="1" t="str">
        <f>TRIM(LEFT(L133,FIND("-",L133)-1))</f>
        <v>3. Trại giam A2</v>
      </c>
      <c r="AH133" s="1" t="str">
        <f>TRIM(RIGHT(L133, LEN(L133) - FIND("-", L133)))</f>
        <v>CATP Nha trang cũ</v>
      </c>
      <c r="AJ133">
        <f t="shared" si="13"/>
        <v>0.30116999999999999</v>
      </c>
      <c r="AK133">
        <f t="shared" si="14"/>
        <v>8.0620000000000011E-2</v>
      </c>
      <c r="AL133" t="e">
        <f>VLOOKUP(L133,'[1]Tuyến cáp H04'!$B:$E,3,0)/1000</f>
        <v>#N/A</v>
      </c>
      <c r="AM133" t="e">
        <f>VLOOKUP(L133,'[1]Tuyến cáp H04'!$B:$E,4,0)</f>
        <v>#N/A</v>
      </c>
    </row>
    <row r="134" spans="1:39" x14ac:dyDescent="0.25">
      <c r="A134" s="1" t="s">
        <v>1359</v>
      </c>
      <c r="B134" s="1" t="s">
        <v>1360</v>
      </c>
      <c r="C134" s="1" t="s">
        <v>1361</v>
      </c>
      <c r="D134" s="1" t="s">
        <v>49</v>
      </c>
      <c r="E134" s="1" t="s">
        <v>50</v>
      </c>
      <c r="F134" s="1" t="s">
        <v>1362</v>
      </c>
      <c r="G134" s="1" t="s">
        <v>14129</v>
      </c>
      <c r="H134" s="1" t="s">
        <v>14133</v>
      </c>
      <c r="I134" s="1" t="s">
        <v>14264</v>
      </c>
      <c r="J134" s="1" t="s">
        <v>23</v>
      </c>
      <c r="K134" s="1"/>
      <c r="L134" s="1" t="s">
        <v>1363</v>
      </c>
      <c r="M134" s="8" t="s">
        <v>1363</v>
      </c>
      <c r="N134" s="1" t="b">
        <f t="shared" si="10"/>
        <v>1</v>
      </c>
      <c r="O134" s="1" t="s">
        <v>1364</v>
      </c>
      <c r="P134" s="1" t="s">
        <v>1365</v>
      </c>
      <c r="Q134" s="1" t="s">
        <v>1366</v>
      </c>
      <c r="R134" s="1" t="s">
        <v>1367</v>
      </c>
      <c r="S134" s="1" t="s">
        <v>1368</v>
      </c>
      <c r="T134" s="1" t="s">
        <v>1369</v>
      </c>
      <c r="U134" s="1" t="s">
        <v>1370</v>
      </c>
      <c r="V134" s="13">
        <f>COUNTIF(L134:$M$1659,L134)</f>
        <v>4</v>
      </c>
      <c r="W134" s="1" t="s">
        <v>1371</v>
      </c>
      <c r="X134">
        <v>1443.52</v>
      </c>
      <c r="Y134">
        <v>13.09</v>
      </c>
      <c r="Z134">
        <v>12.256290999999999</v>
      </c>
      <c r="AA134">
        <v>109.09398</v>
      </c>
      <c r="AB134">
        <v>1430.42</v>
      </c>
      <c r="AC134">
        <v>12.259205</v>
      </c>
      <c r="AD134">
        <v>109.072396</v>
      </c>
      <c r="AE134" s="5">
        <f t="shared" si="11"/>
        <v>1.9635E-2</v>
      </c>
      <c r="AF134" s="5">
        <f t="shared" si="12"/>
        <v>2.1456300000000001</v>
      </c>
      <c r="AG134" s="1" t="str">
        <f>TRIM(LEFT(L134,FIND("-",L134)-1))</f>
        <v>1.Diên Khánh</v>
      </c>
      <c r="AH134" s="1" t="str">
        <f>TRIM(RIGHT(L134, LEN(L134) - FIND("-", L134)))</f>
        <v>CA Diên Lạc_Cột hạ thế</v>
      </c>
      <c r="AJ134">
        <f t="shared" si="13"/>
        <v>1.3089999999999999E-2</v>
      </c>
      <c r="AK134">
        <f t="shared" si="14"/>
        <v>1.43042</v>
      </c>
      <c r="AL134" t="e">
        <f>VLOOKUP(L134,'[1]Tuyến cáp H04'!$B:$E,3,0)/1000</f>
        <v>#N/A</v>
      </c>
      <c r="AM134" t="e">
        <f>VLOOKUP(L134,'[1]Tuyến cáp H04'!$B:$E,4,0)</f>
        <v>#N/A</v>
      </c>
    </row>
    <row r="135" spans="1:39" x14ac:dyDescent="0.25">
      <c r="A135" s="1" t="s">
        <v>1372</v>
      </c>
      <c r="B135" s="1" t="s">
        <v>1373</v>
      </c>
      <c r="C135" s="1" t="s">
        <v>1374</v>
      </c>
      <c r="D135" s="1" t="s">
        <v>393</v>
      </c>
      <c r="E135" s="1" t="s">
        <v>394</v>
      </c>
      <c r="F135" s="1" t="s">
        <v>1375</v>
      </c>
      <c r="G135" s="1" t="s">
        <v>14129</v>
      </c>
      <c r="H135" s="1" t="s">
        <v>14133</v>
      </c>
      <c r="I135" s="1" t="s">
        <v>14265</v>
      </c>
      <c r="J135" s="1" t="s">
        <v>23</v>
      </c>
      <c r="K135" s="1"/>
      <c r="L135" s="1" t="s">
        <v>1376</v>
      </c>
      <c r="M135" s="8" t="s">
        <v>1376</v>
      </c>
      <c r="N135" s="1" t="b">
        <f t="shared" si="10"/>
        <v>1</v>
      </c>
      <c r="O135" s="1" t="s">
        <v>1377</v>
      </c>
      <c r="P135" s="1" t="s">
        <v>1378</v>
      </c>
      <c r="Q135" s="1" t="s">
        <v>1379</v>
      </c>
      <c r="R135" s="1" t="s">
        <v>1380</v>
      </c>
      <c r="S135" s="1" t="s">
        <v>1381</v>
      </c>
      <c r="T135" s="1" t="s">
        <v>1382</v>
      </c>
      <c r="U135" s="1" t="s">
        <v>1383</v>
      </c>
      <c r="V135" s="13">
        <f>COUNTIF(L135:$M$1659,L135)</f>
        <v>2</v>
      </c>
      <c r="W135" s="1" t="s">
        <v>1384</v>
      </c>
      <c r="X135">
        <v>2962.55</v>
      </c>
      <c r="Y135">
        <v>153.69</v>
      </c>
      <c r="Z135">
        <v>12.210621</v>
      </c>
      <c r="AA135">
        <v>109.04347799999999</v>
      </c>
      <c r="AB135">
        <v>2808.86</v>
      </c>
      <c r="AC135">
        <v>12.244787000000001</v>
      </c>
      <c r="AD135">
        <v>109.026172</v>
      </c>
      <c r="AE135" s="5">
        <f t="shared" si="11"/>
        <v>0.23053499999999999</v>
      </c>
      <c r="AF135" s="5">
        <f t="shared" si="12"/>
        <v>4.2132899999999998</v>
      </c>
      <c r="AG135" s="1" t="str">
        <f>TRIM(LEFT(L135,FIND("-",L135)-1))</f>
        <v>3.CA Suối Dầu</v>
      </c>
      <c r="AH135" s="1" t="str">
        <f>TRIM(RIGHT(L135, LEN(L135) - FIND("-", L135)))</f>
        <v>CA Diên Thọ_Đoạn cột trung thế</v>
      </c>
      <c r="AJ135">
        <f t="shared" si="13"/>
        <v>0.15368999999999999</v>
      </c>
      <c r="AK135">
        <f t="shared" si="14"/>
        <v>2.8088600000000001</v>
      </c>
      <c r="AL135" t="e">
        <f>VLOOKUP(L135,'[1]Tuyến cáp H04'!$B:$E,3,0)/1000</f>
        <v>#N/A</v>
      </c>
      <c r="AM135" t="e">
        <f>VLOOKUP(L135,'[1]Tuyến cáp H04'!$B:$E,4,0)</f>
        <v>#N/A</v>
      </c>
    </row>
    <row r="136" spans="1:39" x14ac:dyDescent="0.25">
      <c r="A136" s="1" t="s">
        <v>1385</v>
      </c>
      <c r="B136" s="1" t="s">
        <v>1386</v>
      </c>
      <c r="C136" s="1" t="s">
        <v>1387</v>
      </c>
      <c r="D136" s="1" t="s">
        <v>92</v>
      </c>
      <c r="E136" s="1" t="s">
        <v>93</v>
      </c>
      <c r="F136" s="1" t="s">
        <v>1388</v>
      </c>
      <c r="G136" s="1" t="s">
        <v>14129</v>
      </c>
      <c r="H136" s="1" t="s">
        <v>14133</v>
      </c>
      <c r="I136" s="1" t="s">
        <v>14266</v>
      </c>
      <c r="J136" s="1" t="s">
        <v>23</v>
      </c>
      <c r="K136" s="1"/>
      <c r="L136" s="1" t="s">
        <v>1389</v>
      </c>
      <c r="M136" s="8" t="s">
        <v>1389</v>
      </c>
      <c r="N136" s="1" t="b">
        <f t="shared" si="10"/>
        <v>1</v>
      </c>
      <c r="O136" s="1" t="s">
        <v>1390</v>
      </c>
      <c r="P136" s="1" t="s">
        <v>1391</v>
      </c>
      <c r="Q136" s="1" t="s">
        <v>1392</v>
      </c>
      <c r="R136" s="1" t="s">
        <v>1393</v>
      </c>
      <c r="S136" s="1" t="s">
        <v>1394</v>
      </c>
      <c r="T136" s="1" t="s">
        <v>1395</v>
      </c>
      <c r="U136" s="1" t="s">
        <v>1396</v>
      </c>
      <c r="V136" s="13">
        <f>COUNTIF(L136:$M$1659,L136)</f>
        <v>4</v>
      </c>
      <c r="W136" s="1" t="s">
        <v>1397</v>
      </c>
      <c r="X136">
        <v>496.07</v>
      </c>
      <c r="Y136">
        <v>12.14</v>
      </c>
      <c r="Z136">
        <v>12.231814999999999</v>
      </c>
      <c r="AA136">
        <v>109.196006</v>
      </c>
      <c r="AB136">
        <v>483.94</v>
      </c>
      <c r="AC136">
        <v>12.243709000000001</v>
      </c>
      <c r="AD136">
        <v>109.185958</v>
      </c>
      <c r="AE136" s="5">
        <f t="shared" si="11"/>
        <v>1.821E-2</v>
      </c>
      <c r="AF136" s="5">
        <f t="shared" si="12"/>
        <v>0.72590999999999994</v>
      </c>
      <c r="AG136" s="1" t="str">
        <f>TRIM(LEFT(L136,FIND("-",L136)-1))</f>
        <v>1.CAT Khánh Hòa</v>
      </c>
      <c r="AH136" s="1" t="str">
        <f>TRIM(RIGHT(L136, LEN(L136) - FIND("-", L136)))</f>
        <v>Diên Khánh</v>
      </c>
      <c r="AJ136">
        <f t="shared" si="13"/>
        <v>1.214E-2</v>
      </c>
      <c r="AK136">
        <f t="shared" si="14"/>
        <v>0.48393999999999998</v>
      </c>
      <c r="AL136" t="e">
        <f>VLOOKUP(L136,'[1]Tuyến cáp H04'!$B:$E,3,0)/1000</f>
        <v>#N/A</v>
      </c>
      <c r="AM136" t="e">
        <f>VLOOKUP(L136,'[1]Tuyến cáp H04'!$B:$E,4,0)</f>
        <v>#N/A</v>
      </c>
    </row>
    <row r="137" spans="1:39" x14ac:dyDescent="0.25">
      <c r="A137" s="1" t="s">
        <v>1398</v>
      </c>
      <c r="B137" s="1" t="s">
        <v>1399</v>
      </c>
      <c r="C137" s="1" t="s">
        <v>1400</v>
      </c>
      <c r="D137" s="1" t="s">
        <v>278</v>
      </c>
      <c r="E137" s="1" t="s">
        <v>279</v>
      </c>
      <c r="F137" s="1" t="s">
        <v>1401</v>
      </c>
      <c r="G137" s="1" t="s">
        <v>14129</v>
      </c>
      <c r="H137" s="1" t="s">
        <v>14133</v>
      </c>
      <c r="I137" s="1" t="s">
        <v>14267</v>
      </c>
      <c r="J137" s="1" t="s">
        <v>23</v>
      </c>
      <c r="K137" s="1"/>
      <c r="L137" s="1" t="s">
        <v>283</v>
      </c>
      <c r="M137" s="8" t="s">
        <v>82</v>
      </c>
      <c r="N137" s="12" t="b">
        <f t="shared" si="10"/>
        <v>0</v>
      </c>
      <c r="O137" s="1" t="s">
        <v>1402</v>
      </c>
      <c r="P137" s="1" t="s">
        <v>1403</v>
      </c>
      <c r="Q137" s="1" t="s">
        <v>289</v>
      </c>
      <c r="R137" s="1" t="s">
        <v>290</v>
      </c>
      <c r="S137" s="1" t="s">
        <v>285</v>
      </c>
      <c r="T137" s="1" t="s">
        <v>286</v>
      </c>
      <c r="U137" s="1" t="s">
        <v>287</v>
      </c>
      <c r="V137" s="13">
        <f>COUNTIF(L137:$M$1659,L137)</f>
        <v>27</v>
      </c>
      <c r="W137" s="1" t="s">
        <v>291</v>
      </c>
      <c r="X137">
        <v>522333.64</v>
      </c>
      <c r="Y137">
        <v>269749.44</v>
      </c>
      <c r="Z137">
        <v>14.352316999999999</v>
      </c>
      <c r="AA137">
        <v>108.007831</v>
      </c>
      <c r="AB137">
        <v>252584.19</v>
      </c>
      <c r="AC137">
        <v>14.659686000000001</v>
      </c>
      <c r="AD137">
        <v>107.839439</v>
      </c>
      <c r="AE137" s="5">
        <f t="shared" si="11"/>
        <v>404.62416000000002</v>
      </c>
      <c r="AF137" s="5">
        <f t="shared" si="12"/>
        <v>378.87628500000005</v>
      </c>
      <c r="AG137" s="1" t="str">
        <f>TRIM(LEFT(L137,FIND("-",L137)-1))</f>
        <v>Đăk Tô</v>
      </c>
      <c r="AH137" s="1" t="str">
        <f>TRIM(RIGHT(L137, LEN(L137) - FIND("-", L137)))</f>
        <v>TT2 Kon Tum</v>
      </c>
      <c r="AJ137">
        <f t="shared" si="13"/>
        <v>269.74943999999999</v>
      </c>
      <c r="AK137">
        <f t="shared" si="14"/>
        <v>252.58419000000001</v>
      </c>
      <c r="AL137">
        <f>VLOOKUP(L137,'[1]Tuyến cáp H04'!$B:$E,3,0)/1000</f>
        <v>43.9602</v>
      </c>
      <c r="AM137" t="str">
        <f>VLOOKUP(L137,'[1]Tuyến cáp H04'!$B:$E,4,0)</f>
        <v>Mạng cấp 3</v>
      </c>
    </row>
    <row r="138" spans="1:39" x14ac:dyDescent="0.25">
      <c r="A138" s="1" t="s">
        <v>1404</v>
      </c>
      <c r="B138" s="1" t="s">
        <v>120</v>
      </c>
      <c r="C138" s="1" t="s">
        <v>121</v>
      </c>
      <c r="D138" s="1" t="s">
        <v>240</v>
      </c>
      <c r="E138" s="1" t="s">
        <v>241</v>
      </c>
      <c r="F138" s="1" t="s">
        <v>1405</v>
      </c>
      <c r="G138" s="1" t="s">
        <v>14129</v>
      </c>
      <c r="H138" s="1" t="s">
        <v>14133</v>
      </c>
      <c r="I138" s="1" t="s">
        <v>14268</v>
      </c>
      <c r="J138" s="1" t="s">
        <v>23</v>
      </c>
      <c r="K138" s="1"/>
      <c r="L138" s="1" t="s">
        <v>82</v>
      </c>
      <c r="M138" s="8" t="s">
        <v>82</v>
      </c>
      <c r="N138" s="1" t="b">
        <f t="shared" si="10"/>
        <v>1</v>
      </c>
      <c r="O138" s="1" t="s">
        <v>1406</v>
      </c>
      <c r="P138" s="1" t="s">
        <v>124</v>
      </c>
      <c r="Q138" s="1" t="s">
        <v>125</v>
      </c>
      <c r="R138" s="1" t="s">
        <v>126</v>
      </c>
      <c r="S138" s="1" t="s">
        <v>1407</v>
      </c>
      <c r="T138" s="1" t="s">
        <v>1408</v>
      </c>
      <c r="U138" s="1" t="s">
        <v>1409</v>
      </c>
      <c r="V138" s="13">
        <f>COUNTIF(L138:$M$1659,L138)</f>
        <v>6</v>
      </c>
      <c r="W138" s="1" t="s">
        <v>90</v>
      </c>
      <c r="X138">
        <v>223.17</v>
      </c>
      <c r="Y138">
        <v>51.16</v>
      </c>
      <c r="Z138">
        <v>12.225636</v>
      </c>
      <c r="AA138">
        <v>109.183539</v>
      </c>
      <c r="AB138">
        <v>172.01</v>
      </c>
      <c r="AC138">
        <v>12.235105000000001</v>
      </c>
      <c r="AD138">
        <v>109.18385600000001</v>
      </c>
      <c r="AE138" s="5">
        <f t="shared" si="11"/>
        <v>7.6739999999999989E-2</v>
      </c>
      <c r="AF138" s="5">
        <f t="shared" si="12"/>
        <v>0.25801499999999999</v>
      </c>
      <c r="AG138" s="1" t="str">
        <f>TRIM(LEFT(L138,FIND("-",L138)-1))</f>
        <v>3.PA06 cs2</v>
      </c>
      <c r="AH138" s="1" t="str">
        <f>TRIM(RIGHT(L138, LEN(L138) - FIND("-", L138)))</f>
        <v>PC11a</v>
      </c>
      <c r="AJ138">
        <f t="shared" si="13"/>
        <v>5.1159999999999997E-2</v>
      </c>
      <c r="AK138">
        <f t="shared" si="14"/>
        <v>0.17201</v>
      </c>
      <c r="AL138" t="e">
        <f>VLOOKUP(L138,'[1]Tuyến cáp H04'!$B:$E,3,0)/1000</f>
        <v>#N/A</v>
      </c>
      <c r="AM138" t="e">
        <f>VLOOKUP(L138,'[1]Tuyến cáp H04'!$B:$E,4,0)</f>
        <v>#N/A</v>
      </c>
    </row>
    <row r="139" spans="1:39" x14ac:dyDescent="0.25">
      <c r="A139" s="1" t="s">
        <v>1410</v>
      </c>
      <c r="B139" s="1" t="s">
        <v>1411</v>
      </c>
      <c r="C139" s="1" t="s">
        <v>1412</v>
      </c>
      <c r="D139" s="1" t="s">
        <v>160</v>
      </c>
      <c r="E139" s="1" t="s">
        <v>161</v>
      </c>
      <c r="F139" s="1" t="s">
        <v>1413</v>
      </c>
      <c r="G139" s="1" t="s">
        <v>14129</v>
      </c>
      <c r="H139" s="1" t="s">
        <v>14133</v>
      </c>
      <c r="I139" s="1" t="s">
        <v>14269</v>
      </c>
      <c r="J139" s="1" t="s">
        <v>23</v>
      </c>
      <c r="K139" s="1"/>
      <c r="L139" s="1" t="s">
        <v>1414</v>
      </c>
      <c r="M139" s="8" t="s">
        <v>1414</v>
      </c>
      <c r="N139" s="1" t="b">
        <f t="shared" si="10"/>
        <v>1</v>
      </c>
      <c r="O139" s="1" t="s">
        <v>1415</v>
      </c>
      <c r="P139" s="1" t="s">
        <v>1416</v>
      </c>
      <c r="Q139" s="1" t="s">
        <v>1417</v>
      </c>
      <c r="R139" s="1" t="s">
        <v>1418</v>
      </c>
      <c r="S139" s="1" t="s">
        <v>1419</v>
      </c>
      <c r="T139" s="1" t="s">
        <v>42</v>
      </c>
      <c r="U139" s="1" t="s">
        <v>1420</v>
      </c>
      <c r="V139" s="13">
        <f>COUNTIF(L139:$M$1659,L139)</f>
        <v>6</v>
      </c>
      <c r="W139" s="1" t="s">
        <v>1421</v>
      </c>
      <c r="X139">
        <v>1458.25</v>
      </c>
      <c r="Y139">
        <v>1453.51</v>
      </c>
      <c r="Z139">
        <v>12.279755</v>
      </c>
      <c r="AA139">
        <v>109.177725</v>
      </c>
      <c r="AB139">
        <v>4.75</v>
      </c>
      <c r="AC139">
        <v>12.278732</v>
      </c>
      <c r="AD139">
        <v>109.18886000000001</v>
      </c>
      <c r="AE139" s="5">
        <f t="shared" si="11"/>
        <v>2.1802649999999999</v>
      </c>
      <c r="AF139" s="5">
        <f t="shared" si="12"/>
        <v>7.1250000000000003E-3</v>
      </c>
      <c r="AG139" s="1" t="str">
        <f>TRIM(LEFT(L139,FIND("-",L139)-1))</f>
        <v>2.PK02 cs1</v>
      </c>
      <c r="AH139" s="1" t="str">
        <f>TRIM(RIGHT(L139, LEN(L139) - FIND("-", L139)))</f>
        <v>Trung đoàn CSCĐ-E23_Cột trung thế</v>
      </c>
      <c r="AJ139">
        <f t="shared" si="13"/>
        <v>1.4535100000000001</v>
      </c>
      <c r="AK139">
        <f t="shared" si="14"/>
        <v>4.7499999999999999E-3</v>
      </c>
      <c r="AL139" t="e">
        <f>VLOOKUP(L139,'[1]Tuyến cáp H04'!$B:$E,3,0)/1000</f>
        <v>#N/A</v>
      </c>
      <c r="AM139" t="e">
        <f>VLOOKUP(L139,'[1]Tuyến cáp H04'!$B:$E,4,0)</f>
        <v>#N/A</v>
      </c>
    </row>
    <row r="140" spans="1:39" x14ac:dyDescent="0.25">
      <c r="A140" s="1" t="s">
        <v>1422</v>
      </c>
      <c r="B140" s="1" t="s">
        <v>1360</v>
      </c>
      <c r="C140" s="1" t="s">
        <v>1361</v>
      </c>
      <c r="D140" s="1" t="s">
        <v>181</v>
      </c>
      <c r="E140" s="1" t="s">
        <v>182</v>
      </c>
      <c r="F140" s="1" t="s">
        <v>1423</v>
      </c>
      <c r="G140" s="1" t="s">
        <v>14129</v>
      </c>
      <c r="H140" s="1" t="s">
        <v>14133</v>
      </c>
      <c r="I140" s="1" t="s">
        <v>14270</v>
      </c>
      <c r="J140" s="1" t="s">
        <v>23</v>
      </c>
      <c r="K140" s="1"/>
      <c r="L140" s="1" t="s">
        <v>447</v>
      </c>
      <c r="M140" s="8" t="s">
        <v>447</v>
      </c>
      <c r="N140" s="1" t="b">
        <f t="shared" si="10"/>
        <v>1</v>
      </c>
      <c r="O140" s="1" t="s">
        <v>1424</v>
      </c>
      <c r="P140" s="1" t="s">
        <v>1425</v>
      </c>
      <c r="Q140" s="1" t="s">
        <v>1426</v>
      </c>
      <c r="R140" s="1" t="s">
        <v>1427</v>
      </c>
      <c r="S140" s="1" t="s">
        <v>449</v>
      </c>
      <c r="T140" s="1" t="s">
        <v>450</v>
      </c>
      <c r="U140" s="1" t="s">
        <v>451</v>
      </c>
      <c r="V140" s="13">
        <f>COUNTIF(L140:$M$1659,L140)</f>
        <v>12</v>
      </c>
      <c r="W140" s="1" t="s">
        <v>455</v>
      </c>
      <c r="X140">
        <v>9.11</v>
      </c>
      <c r="Y140">
        <v>3.67</v>
      </c>
      <c r="Z140">
        <v>12.25628</v>
      </c>
      <c r="AA140">
        <v>109.09407299999999</v>
      </c>
      <c r="AB140">
        <v>5.44</v>
      </c>
      <c r="AC140">
        <v>12.276033999999999</v>
      </c>
      <c r="AD140">
        <v>109.12025</v>
      </c>
      <c r="AE140" s="5">
        <f t="shared" si="11"/>
        <v>5.5049999999999995E-3</v>
      </c>
      <c r="AF140" s="5">
        <f t="shared" si="12"/>
        <v>8.1600000000000006E-3</v>
      </c>
      <c r="AG140" s="1" t="str">
        <f>TRIM(LEFT(L140,FIND("-",L140)-1))</f>
        <v>1.CA Diên Khánh</v>
      </c>
      <c r="AH140" s="1" t="str">
        <f>TRIM(RIGHT(L140, LEN(L140) - FIND("-", L140)))</f>
        <v>CA Diên Điền_Cột trung thế</v>
      </c>
      <c r="AJ140">
        <f t="shared" si="13"/>
        <v>3.6700000000000001E-3</v>
      </c>
      <c r="AK140">
        <f t="shared" si="14"/>
        <v>5.4400000000000004E-3</v>
      </c>
      <c r="AL140" t="e">
        <f>VLOOKUP(L140,'[1]Tuyến cáp H04'!$B:$E,3,0)/1000</f>
        <v>#N/A</v>
      </c>
      <c r="AM140" t="e">
        <f>VLOOKUP(L140,'[1]Tuyến cáp H04'!$B:$E,4,0)</f>
        <v>#N/A</v>
      </c>
    </row>
    <row r="141" spans="1:39" x14ac:dyDescent="0.25">
      <c r="A141" s="1" t="s">
        <v>1428</v>
      </c>
      <c r="B141" s="1" t="s">
        <v>183</v>
      </c>
      <c r="C141" s="1" t="s">
        <v>184</v>
      </c>
      <c r="D141" s="1" t="s">
        <v>196</v>
      </c>
      <c r="E141" s="1" t="s">
        <v>197</v>
      </c>
      <c r="F141" s="1" t="s">
        <v>1429</v>
      </c>
      <c r="G141" s="1" t="s">
        <v>14129</v>
      </c>
      <c r="H141" s="1" t="s">
        <v>14133</v>
      </c>
      <c r="I141" s="1" t="s">
        <v>14271</v>
      </c>
      <c r="J141" s="1" t="s">
        <v>23</v>
      </c>
      <c r="K141" s="1"/>
      <c r="L141" s="1" t="s">
        <v>186</v>
      </c>
      <c r="M141" s="8" t="s">
        <v>186</v>
      </c>
      <c r="N141" s="1" t="b">
        <f t="shared" si="10"/>
        <v>1</v>
      </c>
      <c r="O141" s="1" t="s">
        <v>1430</v>
      </c>
      <c r="P141" s="1" t="s">
        <v>1431</v>
      </c>
      <c r="Q141" s="1" t="s">
        <v>1432</v>
      </c>
      <c r="R141" s="1" t="s">
        <v>1433</v>
      </c>
      <c r="S141" s="1" t="s">
        <v>339</v>
      </c>
      <c r="T141" s="1" t="s">
        <v>340</v>
      </c>
      <c r="U141" s="1" t="s">
        <v>341</v>
      </c>
      <c r="V141" s="13">
        <f>COUNTIF(L141:$M$1659,L141)</f>
        <v>8</v>
      </c>
      <c r="W141" s="1" t="s">
        <v>345</v>
      </c>
      <c r="X141">
        <v>221.26</v>
      </c>
      <c r="Y141">
        <v>220.38</v>
      </c>
      <c r="Z141">
        <v>12.303599</v>
      </c>
      <c r="AA141">
        <v>109.168863</v>
      </c>
      <c r="AB141">
        <v>0.89</v>
      </c>
      <c r="AC141">
        <v>12.282335</v>
      </c>
      <c r="AD141">
        <v>109.198106</v>
      </c>
      <c r="AE141" s="5">
        <f t="shared" si="11"/>
        <v>0.33056999999999997</v>
      </c>
      <c r="AF141" s="5">
        <f t="shared" si="12"/>
        <v>1.335E-3</v>
      </c>
      <c r="AG141" s="1" t="str">
        <f>TRIM(LEFT(L141,FIND("-",L141)-1))</f>
        <v>2.CA Diên Điền</v>
      </c>
      <c r="AH141" s="1" t="str">
        <f>TRIM(RIGHT(L141, LEN(L141) - FIND("-", L141)))</f>
        <v>CA Bắc Nha Trang</v>
      </c>
      <c r="AJ141">
        <f t="shared" si="13"/>
        <v>0.22037999999999999</v>
      </c>
      <c r="AK141">
        <f t="shared" si="14"/>
        <v>8.9000000000000006E-4</v>
      </c>
      <c r="AL141" t="e">
        <f>VLOOKUP(L141,'[1]Tuyến cáp H04'!$B:$E,3,0)/1000</f>
        <v>#N/A</v>
      </c>
      <c r="AM141" t="e">
        <f>VLOOKUP(L141,'[1]Tuyến cáp H04'!$B:$E,4,0)</f>
        <v>#N/A</v>
      </c>
    </row>
    <row r="142" spans="1:39" x14ac:dyDescent="0.25">
      <c r="A142" s="1" t="s">
        <v>1434</v>
      </c>
      <c r="B142" s="1" t="s">
        <v>1435</v>
      </c>
      <c r="C142" s="1" t="s">
        <v>1436</v>
      </c>
      <c r="D142" s="1" t="s">
        <v>780</v>
      </c>
      <c r="E142" s="1" t="s">
        <v>781</v>
      </c>
      <c r="F142" s="1" t="s">
        <v>1437</v>
      </c>
      <c r="G142" s="1" t="s">
        <v>14129</v>
      </c>
      <c r="H142" s="1" t="s">
        <v>14133</v>
      </c>
      <c r="I142" s="1" t="s">
        <v>14272</v>
      </c>
      <c r="J142" s="1" t="s">
        <v>23</v>
      </c>
      <c r="K142" s="1"/>
      <c r="L142" s="1" t="s">
        <v>490</v>
      </c>
      <c r="M142" s="8" t="s">
        <v>490</v>
      </c>
      <c r="N142" s="1" t="b">
        <f t="shared" si="10"/>
        <v>1</v>
      </c>
      <c r="O142" s="1" t="s">
        <v>1438</v>
      </c>
      <c r="P142" s="1" t="s">
        <v>1439</v>
      </c>
      <c r="Q142" s="1" t="s">
        <v>1440</v>
      </c>
      <c r="R142" s="1" t="s">
        <v>1441</v>
      </c>
      <c r="S142" s="1" t="s">
        <v>784</v>
      </c>
      <c r="T142" s="1" t="s">
        <v>785</v>
      </c>
      <c r="U142" s="1" t="s">
        <v>786</v>
      </c>
      <c r="V142" s="13">
        <f>COUNTIF(L142:$M$1659,L142)</f>
        <v>16</v>
      </c>
      <c r="W142" s="1" t="s">
        <v>498</v>
      </c>
      <c r="X142">
        <v>888.04</v>
      </c>
      <c r="Y142">
        <v>886</v>
      </c>
      <c r="Z142">
        <v>12.083786999999999</v>
      </c>
      <c r="AA142">
        <v>109.186933</v>
      </c>
      <c r="AB142">
        <v>2.0299999999999998</v>
      </c>
      <c r="AC142">
        <v>12.074439</v>
      </c>
      <c r="AD142">
        <v>109.168081</v>
      </c>
      <c r="AE142" s="5">
        <f t="shared" si="11"/>
        <v>1.329</v>
      </c>
      <c r="AF142" s="5">
        <f t="shared" si="12"/>
        <v>3.045E-3</v>
      </c>
      <c r="AG142" s="1" t="str">
        <f>TRIM(LEFT(L142,FIND("-",L142)-1))</f>
        <v>1.CAT Khánh Hòa</v>
      </c>
      <c r="AH142" s="1" t="str">
        <f>TRIM(RIGHT(L142, LEN(L142) - FIND("-", L142)))</f>
        <v>Cam Lâm</v>
      </c>
      <c r="AJ142">
        <f t="shared" si="13"/>
        <v>0.88600000000000001</v>
      </c>
      <c r="AK142">
        <f t="shared" si="14"/>
        <v>2.0299999999999997E-3</v>
      </c>
      <c r="AL142" t="e">
        <f>VLOOKUP(L142,'[1]Tuyến cáp H04'!$B:$E,3,0)/1000</f>
        <v>#N/A</v>
      </c>
      <c r="AM142" t="e">
        <f>VLOOKUP(L142,'[1]Tuyến cáp H04'!$B:$E,4,0)</f>
        <v>#N/A</v>
      </c>
    </row>
    <row r="143" spans="1:39" x14ac:dyDescent="0.25">
      <c r="A143" s="1" t="s">
        <v>1442</v>
      </c>
      <c r="B143" s="1" t="s">
        <v>1443</v>
      </c>
      <c r="C143" s="1" t="s">
        <v>1444</v>
      </c>
      <c r="D143" s="1" t="s">
        <v>1445</v>
      </c>
      <c r="E143" s="1" t="s">
        <v>1446</v>
      </c>
      <c r="F143" s="1" t="s">
        <v>1447</v>
      </c>
      <c r="G143" s="1" t="s">
        <v>14129</v>
      </c>
      <c r="H143" s="1" t="s">
        <v>14133</v>
      </c>
      <c r="I143" s="1" t="s">
        <v>14273</v>
      </c>
      <c r="J143" s="1" t="s">
        <v>23</v>
      </c>
      <c r="K143" s="1"/>
      <c r="L143" s="1" t="s">
        <v>1448</v>
      </c>
      <c r="M143" s="8" t="s">
        <v>1448</v>
      </c>
      <c r="N143" s="1" t="b">
        <f t="shared" si="10"/>
        <v>1</v>
      </c>
      <c r="O143" s="1" t="s">
        <v>1449</v>
      </c>
      <c r="P143" s="1" t="s">
        <v>1450</v>
      </c>
      <c r="Q143" s="1" t="s">
        <v>1451</v>
      </c>
      <c r="R143" s="1" t="s">
        <v>1452</v>
      </c>
      <c r="S143" s="1" t="s">
        <v>1453</v>
      </c>
      <c r="T143" s="1" t="s">
        <v>1454</v>
      </c>
      <c r="U143" s="1" t="s">
        <v>1455</v>
      </c>
      <c r="V143" s="13">
        <f>COUNTIF(L143:$M$1659,L143)</f>
        <v>4</v>
      </c>
      <c r="W143" s="1" t="s">
        <v>1456</v>
      </c>
      <c r="X143">
        <v>1861.74</v>
      </c>
      <c r="Y143">
        <v>1857.48</v>
      </c>
      <c r="Z143">
        <v>12.566857000000001</v>
      </c>
      <c r="AA143">
        <v>109.211688</v>
      </c>
      <c r="AB143">
        <v>4.26</v>
      </c>
      <c r="AC143">
        <v>12.555453</v>
      </c>
      <c r="AD143">
        <v>109.217609</v>
      </c>
      <c r="AE143" s="5">
        <f t="shared" si="11"/>
        <v>2.7862200000000001</v>
      </c>
      <c r="AF143" s="5">
        <f t="shared" si="12"/>
        <v>6.3899999999999998E-3</v>
      </c>
      <c r="AG143" s="1" t="str">
        <f>TRIM(LEFT(L143,FIND("-",L143)-1))</f>
        <v>2.CA Đông Ninh Hòa</v>
      </c>
      <c r="AH143" s="1" t="str">
        <f>TRIM(RIGHT(L143, LEN(L143) - FIND("-", L143)))</f>
        <v>CA Bắc Ninh Hòa</v>
      </c>
      <c r="AJ143">
        <f t="shared" si="13"/>
        <v>1.85748</v>
      </c>
      <c r="AK143">
        <f t="shared" si="14"/>
        <v>4.2599999999999999E-3</v>
      </c>
      <c r="AL143" t="e">
        <f>VLOOKUP(L143,'[1]Tuyến cáp H04'!$B:$E,3,0)/1000</f>
        <v>#N/A</v>
      </c>
      <c r="AM143" t="e">
        <f>VLOOKUP(L143,'[1]Tuyến cáp H04'!$B:$E,4,0)</f>
        <v>#N/A</v>
      </c>
    </row>
    <row r="144" spans="1:39" x14ac:dyDescent="0.25">
      <c r="A144" s="1" t="s">
        <v>1457</v>
      </c>
      <c r="B144" s="1" t="s">
        <v>79</v>
      </c>
      <c r="C144" s="1" t="s">
        <v>80</v>
      </c>
      <c r="D144" s="1" t="s">
        <v>1458</v>
      </c>
      <c r="E144" s="1" t="s">
        <v>1459</v>
      </c>
      <c r="F144" s="1" t="s">
        <v>1460</v>
      </c>
      <c r="G144" s="1" t="s">
        <v>14129</v>
      </c>
      <c r="H144" s="1" t="s">
        <v>14133</v>
      </c>
      <c r="I144" s="1" t="s">
        <v>14274</v>
      </c>
      <c r="J144" s="1" t="s">
        <v>23</v>
      </c>
      <c r="K144" s="1"/>
      <c r="L144" s="1" t="s">
        <v>490</v>
      </c>
      <c r="M144" s="8" t="s">
        <v>490</v>
      </c>
      <c r="N144" s="1" t="b">
        <f t="shared" si="10"/>
        <v>1</v>
      </c>
      <c r="O144" s="1" t="s">
        <v>1461</v>
      </c>
      <c r="P144" s="1" t="s">
        <v>1462</v>
      </c>
      <c r="Q144" s="1" t="s">
        <v>1463</v>
      </c>
      <c r="R144" s="1" t="s">
        <v>1464</v>
      </c>
      <c r="S144" s="1" t="s">
        <v>1465</v>
      </c>
      <c r="T144" s="1" t="s">
        <v>1466</v>
      </c>
      <c r="U144" s="1" t="s">
        <v>1467</v>
      </c>
      <c r="V144" s="13">
        <f>COUNTIF(L144:$M$1659,L144)</f>
        <v>14</v>
      </c>
      <c r="W144" s="1" t="s">
        <v>498</v>
      </c>
      <c r="X144">
        <v>72.989999999999995</v>
      </c>
      <c r="Y144">
        <v>42.66</v>
      </c>
      <c r="Z144">
        <v>12.210644</v>
      </c>
      <c r="AA144">
        <v>109.188384</v>
      </c>
      <c r="AB144">
        <v>30.33</v>
      </c>
      <c r="AC144">
        <v>12.211372000000001</v>
      </c>
      <c r="AD144">
        <v>109.194048</v>
      </c>
      <c r="AE144" s="5">
        <f t="shared" si="11"/>
        <v>6.3989999999999991E-2</v>
      </c>
      <c r="AF144" s="5">
        <f t="shared" si="12"/>
        <v>4.5495000000000001E-2</v>
      </c>
      <c r="AG144" s="1" t="str">
        <f>TRIM(LEFT(L144,FIND("-",L144)-1))</f>
        <v>1.CAT Khánh Hòa</v>
      </c>
      <c r="AH144" s="1" t="str">
        <f>TRIM(RIGHT(L144, LEN(L144) - FIND("-", L144)))</f>
        <v>Cam Lâm</v>
      </c>
      <c r="AJ144">
        <f t="shared" si="13"/>
        <v>4.2659999999999997E-2</v>
      </c>
      <c r="AK144">
        <f t="shared" si="14"/>
        <v>3.0329999999999999E-2</v>
      </c>
      <c r="AL144" t="e">
        <f>VLOOKUP(L144,'[1]Tuyến cáp H04'!$B:$E,3,0)/1000</f>
        <v>#N/A</v>
      </c>
      <c r="AM144" t="e">
        <f>VLOOKUP(L144,'[1]Tuyến cáp H04'!$B:$E,4,0)</f>
        <v>#N/A</v>
      </c>
    </row>
    <row r="145" spans="1:39" x14ac:dyDescent="0.25">
      <c r="A145" s="1" t="s">
        <v>1468</v>
      </c>
      <c r="B145" s="1" t="s">
        <v>1399</v>
      </c>
      <c r="C145" s="1" t="s">
        <v>1400</v>
      </c>
      <c r="D145" s="1" t="s">
        <v>1469</v>
      </c>
      <c r="E145" s="1" t="s">
        <v>1470</v>
      </c>
      <c r="F145" s="1" t="s">
        <v>1471</v>
      </c>
      <c r="G145" s="1" t="s">
        <v>14129</v>
      </c>
      <c r="H145" s="1" t="s">
        <v>14133</v>
      </c>
      <c r="I145" s="1" t="s">
        <v>14275</v>
      </c>
      <c r="J145" s="1" t="s">
        <v>23</v>
      </c>
      <c r="K145" s="1"/>
      <c r="L145" s="1" t="s">
        <v>110</v>
      </c>
      <c r="M145" s="8" t="s">
        <v>110</v>
      </c>
      <c r="N145" s="1" t="b">
        <f t="shared" si="10"/>
        <v>1</v>
      </c>
      <c r="O145" s="1" t="s">
        <v>1472</v>
      </c>
      <c r="P145" s="1" t="s">
        <v>1473</v>
      </c>
      <c r="Q145" s="1" t="s">
        <v>1474</v>
      </c>
      <c r="R145" s="1" t="s">
        <v>1475</v>
      </c>
      <c r="S145" s="1" t="s">
        <v>606</v>
      </c>
      <c r="T145" s="1" t="s">
        <v>1476</v>
      </c>
      <c r="U145" s="1" t="s">
        <v>1477</v>
      </c>
      <c r="V145" s="13">
        <f>COUNTIF(L145:$M$1659,L145)</f>
        <v>10</v>
      </c>
      <c r="W145" s="1" t="s">
        <v>118</v>
      </c>
      <c r="X145">
        <v>398.11</v>
      </c>
      <c r="Y145">
        <v>394.5</v>
      </c>
      <c r="Z145">
        <v>12.216837999999999</v>
      </c>
      <c r="AA145">
        <v>109.197884</v>
      </c>
      <c r="AB145">
        <v>3.61</v>
      </c>
      <c r="AC145">
        <v>12.219013</v>
      </c>
      <c r="AD145">
        <v>109.20427599999999</v>
      </c>
      <c r="AE145" s="5">
        <f t="shared" si="11"/>
        <v>0.59175</v>
      </c>
      <c r="AF145" s="5">
        <f t="shared" si="12"/>
        <v>5.4149999999999997E-3</v>
      </c>
      <c r="AG145" s="1" t="str">
        <f>TRIM(LEFT(L145,FIND("-",L145)-1))</f>
        <v>4.PC11a</v>
      </c>
      <c r="AH145" s="1" t="str">
        <f>TRIM(RIGHT(L145, LEN(L145) - FIND("-", L145)))</f>
        <v>PC02_Đoạn cột trung thế</v>
      </c>
      <c r="AJ145">
        <f t="shared" si="13"/>
        <v>0.39450000000000002</v>
      </c>
      <c r="AK145">
        <f t="shared" si="14"/>
        <v>3.6099999999999999E-3</v>
      </c>
      <c r="AL145" t="e">
        <f>VLOOKUP(L145,'[1]Tuyến cáp H04'!$B:$E,3,0)/1000</f>
        <v>#N/A</v>
      </c>
      <c r="AM145" t="e">
        <f>VLOOKUP(L145,'[1]Tuyến cáp H04'!$B:$E,4,0)</f>
        <v>#N/A</v>
      </c>
    </row>
    <row r="146" spans="1:39" x14ac:dyDescent="0.25">
      <c r="A146" s="1" t="s">
        <v>1478</v>
      </c>
      <c r="B146" s="1" t="s">
        <v>183</v>
      </c>
      <c r="C146" s="1" t="s">
        <v>184</v>
      </c>
      <c r="D146" s="1" t="s">
        <v>1479</v>
      </c>
      <c r="E146" s="1" t="s">
        <v>1480</v>
      </c>
      <c r="F146" s="1" t="s">
        <v>1481</v>
      </c>
      <c r="G146" s="1" t="s">
        <v>14129</v>
      </c>
      <c r="H146" s="1" t="s">
        <v>14133</v>
      </c>
      <c r="I146" s="1" t="s">
        <v>14276</v>
      </c>
      <c r="J146" s="1" t="s">
        <v>23</v>
      </c>
      <c r="K146" s="1"/>
      <c r="L146" s="1" t="s">
        <v>1482</v>
      </c>
      <c r="M146" s="8" t="s">
        <v>1482</v>
      </c>
      <c r="N146" s="1" t="b">
        <f t="shared" si="10"/>
        <v>1</v>
      </c>
      <c r="O146" s="1" t="s">
        <v>1483</v>
      </c>
      <c r="P146" s="1" t="s">
        <v>1484</v>
      </c>
      <c r="Q146" s="1" t="s">
        <v>1485</v>
      </c>
      <c r="R146" s="1" t="s">
        <v>1486</v>
      </c>
      <c r="S146" s="1" t="s">
        <v>1487</v>
      </c>
      <c r="T146" s="1" t="s">
        <v>1488</v>
      </c>
      <c r="U146" s="1" t="s">
        <v>1489</v>
      </c>
      <c r="V146" s="13">
        <f>COUNTIF(L146:$M$1659,L146)</f>
        <v>2</v>
      </c>
      <c r="W146" s="1" t="s">
        <v>1490</v>
      </c>
      <c r="X146">
        <v>234.56</v>
      </c>
      <c r="Y146">
        <v>214.35</v>
      </c>
      <c r="Z146">
        <v>12.303977</v>
      </c>
      <c r="AA146">
        <v>109.169534</v>
      </c>
      <c r="AB146">
        <v>20.21</v>
      </c>
      <c r="AC146">
        <v>12.288512000000001</v>
      </c>
      <c r="AD146">
        <v>109.163809</v>
      </c>
      <c r="AE146" s="5">
        <f t="shared" si="11"/>
        <v>0.32152499999999995</v>
      </c>
      <c r="AF146" s="5">
        <f t="shared" si="12"/>
        <v>3.0315000000000002E-2</v>
      </c>
      <c r="AG146" s="1" t="str">
        <f>TRIM(LEFT(L146,FIND("-",L146)-1))</f>
        <v>3.Trung đoàn CSCĐ</v>
      </c>
      <c r="AH146" s="1" t="str">
        <f>TRIM(RIGHT(L146, LEN(L146) - FIND("-", L146)))</f>
        <v>E23 - PK02 cs2</v>
      </c>
      <c r="AJ146">
        <f t="shared" si="13"/>
        <v>0.21434999999999998</v>
      </c>
      <c r="AK146">
        <f t="shared" si="14"/>
        <v>2.0210000000000002E-2</v>
      </c>
      <c r="AL146" t="e">
        <f>VLOOKUP(L146,'[1]Tuyến cáp H04'!$B:$E,3,0)/1000</f>
        <v>#N/A</v>
      </c>
      <c r="AM146" t="e">
        <f>VLOOKUP(L146,'[1]Tuyến cáp H04'!$B:$E,4,0)</f>
        <v>#N/A</v>
      </c>
    </row>
    <row r="147" spans="1:39" x14ac:dyDescent="0.25">
      <c r="A147" s="1" t="s">
        <v>1491</v>
      </c>
      <c r="B147" s="1" t="s">
        <v>1492</v>
      </c>
      <c r="C147" s="1" t="s">
        <v>1493</v>
      </c>
      <c r="D147" s="1" t="s">
        <v>1312</v>
      </c>
      <c r="E147" s="1" t="s">
        <v>1313</v>
      </c>
      <c r="F147" s="1" t="s">
        <v>1494</v>
      </c>
      <c r="G147" s="1" t="s">
        <v>14129</v>
      </c>
      <c r="H147" s="1" t="s">
        <v>14133</v>
      </c>
      <c r="I147" s="1" t="s">
        <v>14277</v>
      </c>
      <c r="J147" s="1" t="s">
        <v>23</v>
      </c>
      <c r="K147" s="1"/>
      <c r="L147" s="1" t="s">
        <v>1315</v>
      </c>
      <c r="M147" s="8" t="s">
        <v>1315</v>
      </c>
      <c r="N147" s="1" t="b">
        <f t="shared" si="10"/>
        <v>1</v>
      </c>
      <c r="O147" s="1" t="s">
        <v>1495</v>
      </c>
      <c r="P147" s="1" t="s">
        <v>1496</v>
      </c>
      <c r="Q147" s="1" t="s">
        <v>1497</v>
      </c>
      <c r="R147" s="1" t="s">
        <v>1498</v>
      </c>
      <c r="S147" s="1" t="s">
        <v>1320</v>
      </c>
      <c r="T147" s="1" t="s">
        <v>1321</v>
      </c>
      <c r="U147" s="1" t="s">
        <v>1322</v>
      </c>
      <c r="V147" s="13">
        <f>COUNTIF(L147:$M$1659,L147)</f>
        <v>6</v>
      </c>
      <c r="W147" s="1" t="s">
        <v>1323</v>
      </c>
      <c r="X147">
        <v>1589.27</v>
      </c>
      <c r="Y147">
        <v>1022.44</v>
      </c>
      <c r="Z147">
        <v>12.214154000000001</v>
      </c>
      <c r="AA147">
        <v>109.20967</v>
      </c>
      <c r="AB147">
        <v>566.83000000000004</v>
      </c>
      <c r="AC147">
        <v>12.202648</v>
      </c>
      <c r="AD147">
        <v>109.214975</v>
      </c>
      <c r="AE147" s="5">
        <f t="shared" si="11"/>
        <v>1.53366</v>
      </c>
      <c r="AF147" s="5">
        <f t="shared" si="12"/>
        <v>0.85024500000000014</v>
      </c>
      <c r="AG147" s="1" t="str">
        <f>TRIM(LEFT(L147,FIND("-",L147)-1))</f>
        <v>Tuyến nhánh PC02</v>
      </c>
      <c r="AH147" s="1" t="str">
        <f>TRIM(RIGHT(L147, LEN(L147) - FIND("-", L147)))</f>
        <v>PC08 (CSGT đường thủy)</v>
      </c>
      <c r="AJ147">
        <f t="shared" si="13"/>
        <v>1.02244</v>
      </c>
      <c r="AK147">
        <f t="shared" si="14"/>
        <v>0.56683000000000006</v>
      </c>
      <c r="AL147" t="e">
        <f>VLOOKUP(L147,'[1]Tuyến cáp H04'!$B:$E,3,0)/1000</f>
        <v>#N/A</v>
      </c>
      <c r="AM147" t="e">
        <f>VLOOKUP(L147,'[1]Tuyến cáp H04'!$B:$E,4,0)</f>
        <v>#N/A</v>
      </c>
    </row>
    <row r="148" spans="1:39" x14ac:dyDescent="0.25">
      <c r="A148" s="1" t="s">
        <v>1499</v>
      </c>
      <c r="B148" s="1" t="s">
        <v>799</v>
      </c>
      <c r="C148" s="1" t="s">
        <v>800</v>
      </c>
      <c r="D148" s="1" t="s">
        <v>347</v>
      </c>
      <c r="E148" s="1" t="s">
        <v>348</v>
      </c>
      <c r="F148" s="1" t="s">
        <v>1500</v>
      </c>
      <c r="G148" s="1" t="s">
        <v>14129</v>
      </c>
      <c r="H148" s="1" t="s">
        <v>14133</v>
      </c>
      <c r="I148" s="1" t="s">
        <v>14278</v>
      </c>
      <c r="J148" s="1" t="s">
        <v>23</v>
      </c>
      <c r="K148" s="1"/>
      <c r="L148" s="1" t="s">
        <v>352</v>
      </c>
      <c r="M148" s="8" t="s">
        <v>352</v>
      </c>
      <c r="N148" s="1" t="b">
        <f t="shared" si="10"/>
        <v>1</v>
      </c>
      <c r="O148" s="1" t="s">
        <v>1501</v>
      </c>
      <c r="P148" s="1" t="s">
        <v>1502</v>
      </c>
      <c r="Q148" s="1" t="s">
        <v>1503</v>
      </c>
      <c r="R148" s="1" t="s">
        <v>1504</v>
      </c>
      <c r="S148" s="1" t="s">
        <v>354</v>
      </c>
      <c r="T148" s="1" t="s">
        <v>355</v>
      </c>
      <c r="U148" s="1" t="s">
        <v>356</v>
      </c>
      <c r="V148" s="13">
        <f>COUNTIF(L148:$M$1659,L148)</f>
        <v>8</v>
      </c>
      <c r="W148" s="1" t="s">
        <v>360</v>
      </c>
      <c r="X148">
        <v>302.27</v>
      </c>
      <c r="Y148">
        <v>202.27</v>
      </c>
      <c r="Z148">
        <v>11.920372</v>
      </c>
      <c r="AA148">
        <v>109.14426</v>
      </c>
      <c r="AB148">
        <v>100</v>
      </c>
      <c r="AC148">
        <v>11.941592</v>
      </c>
      <c r="AD148">
        <v>109.11218100000001</v>
      </c>
      <c r="AE148" s="5">
        <f t="shared" si="11"/>
        <v>0.30340500000000004</v>
      </c>
      <c r="AF148" s="5">
        <f t="shared" si="12"/>
        <v>0.15</v>
      </c>
      <c r="AG148" s="1" t="str">
        <f>TRIM(LEFT(L148,FIND("-",L148)-1))</f>
        <v>3.Cam Ranh</v>
      </c>
      <c r="AH148" s="1" t="str">
        <f>TRIM(RIGHT(L148, LEN(L148) - FIND("-", L148)))</f>
        <v>Khánh Sơn</v>
      </c>
      <c r="AJ148">
        <f t="shared" si="13"/>
        <v>0.20227000000000001</v>
      </c>
      <c r="AK148">
        <f t="shared" si="14"/>
        <v>0.1</v>
      </c>
      <c r="AL148" t="e">
        <f>VLOOKUP(L148,'[1]Tuyến cáp H04'!$B:$E,3,0)/1000</f>
        <v>#N/A</v>
      </c>
      <c r="AM148" t="e">
        <f>VLOOKUP(L148,'[1]Tuyến cáp H04'!$B:$E,4,0)</f>
        <v>#N/A</v>
      </c>
    </row>
    <row r="149" spans="1:39" x14ac:dyDescent="0.25">
      <c r="A149" s="1" t="s">
        <v>1505</v>
      </c>
      <c r="B149" s="1" t="s">
        <v>831</v>
      </c>
      <c r="C149" s="1" t="s">
        <v>832</v>
      </c>
      <c r="D149" s="1" t="s">
        <v>600</v>
      </c>
      <c r="E149" s="1" t="s">
        <v>601</v>
      </c>
      <c r="F149" s="1" t="s">
        <v>1506</v>
      </c>
      <c r="G149" s="1" t="s">
        <v>14129</v>
      </c>
      <c r="H149" s="1" t="s">
        <v>14133</v>
      </c>
      <c r="I149" s="1" t="s">
        <v>14279</v>
      </c>
      <c r="J149" s="1" t="s">
        <v>23</v>
      </c>
      <c r="K149" s="1"/>
      <c r="L149" s="1" t="s">
        <v>352</v>
      </c>
      <c r="M149" s="8" t="s">
        <v>352</v>
      </c>
      <c r="N149" s="1" t="b">
        <f t="shared" si="10"/>
        <v>1</v>
      </c>
      <c r="O149" s="1" t="s">
        <v>1507</v>
      </c>
      <c r="P149" s="1" t="s">
        <v>1508</v>
      </c>
      <c r="Q149" s="1" t="s">
        <v>1509</v>
      </c>
      <c r="R149" s="1" t="s">
        <v>1510</v>
      </c>
      <c r="S149" s="1" t="s">
        <v>1002</v>
      </c>
      <c r="T149" s="1" t="s">
        <v>1003</v>
      </c>
      <c r="U149" s="1" t="s">
        <v>1004</v>
      </c>
      <c r="V149" s="13">
        <f>COUNTIF(L149:$M$1659,L149)</f>
        <v>6</v>
      </c>
      <c r="W149" s="1" t="s">
        <v>360</v>
      </c>
      <c r="X149">
        <v>888.36</v>
      </c>
      <c r="Y149">
        <v>753.84</v>
      </c>
      <c r="Z149">
        <v>11.912903999999999</v>
      </c>
      <c r="AA149">
        <v>109.133286</v>
      </c>
      <c r="AB149">
        <v>134.52000000000001</v>
      </c>
      <c r="AC149">
        <v>11.962002999999999</v>
      </c>
      <c r="AD149">
        <v>109.094218</v>
      </c>
      <c r="AE149" s="5">
        <f t="shared" si="11"/>
        <v>1.13076</v>
      </c>
      <c r="AF149" s="5">
        <f t="shared" si="12"/>
        <v>0.20178000000000004</v>
      </c>
      <c r="AG149" s="1" t="str">
        <f>TRIM(LEFT(L149,FIND("-",L149)-1))</f>
        <v>3.Cam Ranh</v>
      </c>
      <c r="AH149" s="1" t="str">
        <f>TRIM(RIGHT(L149, LEN(L149) - FIND("-", L149)))</f>
        <v>Khánh Sơn</v>
      </c>
      <c r="AJ149">
        <f t="shared" si="13"/>
        <v>0.75384000000000007</v>
      </c>
      <c r="AK149">
        <f t="shared" si="14"/>
        <v>0.13452</v>
      </c>
      <c r="AL149" t="e">
        <f>VLOOKUP(L149,'[1]Tuyến cáp H04'!$B:$E,3,0)/1000</f>
        <v>#N/A</v>
      </c>
      <c r="AM149" t="e">
        <f>VLOOKUP(L149,'[1]Tuyến cáp H04'!$B:$E,4,0)</f>
        <v>#N/A</v>
      </c>
    </row>
    <row r="150" spans="1:39" x14ac:dyDescent="0.25">
      <c r="A150" s="1" t="s">
        <v>1511</v>
      </c>
      <c r="B150" s="1" t="s">
        <v>1512</v>
      </c>
      <c r="C150" s="1" t="s">
        <v>1513</v>
      </c>
      <c r="D150" s="1" t="s">
        <v>612</v>
      </c>
      <c r="E150" s="1" t="s">
        <v>613</v>
      </c>
      <c r="F150" s="1" t="s">
        <v>1514</v>
      </c>
      <c r="G150" s="1" t="s">
        <v>14129</v>
      </c>
      <c r="H150" s="1" t="s">
        <v>14133</v>
      </c>
      <c r="I150" s="1" t="s">
        <v>14280</v>
      </c>
      <c r="J150" s="1" t="s">
        <v>23</v>
      </c>
      <c r="K150" s="1"/>
      <c r="L150" s="1" t="s">
        <v>617</v>
      </c>
      <c r="M150" s="8" t="s">
        <v>617</v>
      </c>
      <c r="N150" s="1" t="b">
        <f t="shared" si="10"/>
        <v>1</v>
      </c>
      <c r="O150" s="1" t="s">
        <v>1515</v>
      </c>
      <c r="P150" s="1" t="s">
        <v>1516</v>
      </c>
      <c r="Q150" s="1" t="s">
        <v>971</v>
      </c>
      <c r="R150" s="1" t="s">
        <v>972</v>
      </c>
      <c r="S150" s="1" t="s">
        <v>619</v>
      </c>
      <c r="T150" s="1" t="s">
        <v>620</v>
      </c>
      <c r="U150" s="1" t="s">
        <v>621</v>
      </c>
      <c r="V150" s="13">
        <f>COUNTIF(L150:$M$1659,L150)</f>
        <v>2</v>
      </c>
      <c r="W150" s="1" t="s">
        <v>625</v>
      </c>
      <c r="X150">
        <v>568.54999999999995</v>
      </c>
      <c r="Y150">
        <v>254.67</v>
      </c>
      <c r="Z150">
        <v>11.920299999999999</v>
      </c>
      <c r="AA150">
        <v>109.16200000000001</v>
      </c>
      <c r="AB150">
        <v>313.88</v>
      </c>
      <c r="AC150">
        <v>11.923</v>
      </c>
      <c r="AD150">
        <v>109.16500000000001</v>
      </c>
      <c r="AE150" s="5">
        <f t="shared" si="11"/>
        <v>0.38200499999999998</v>
      </c>
      <c r="AF150" s="5">
        <f t="shared" si="12"/>
        <v>0.47082000000000002</v>
      </c>
      <c r="AG150" s="1" t="str">
        <f>TRIM(LEFT(L150,FIND("-",L150)-1))</f>
        <v>1.CA Cam Ranh</v>
      </c>
      <c r="AH150" s="1" t="str">
        <f>TRIM(RIGHT(L150, LEN(L150) - FIND("-", L150)))</f>
        <v>CA Cam Linh</v>
      </c>
      <c r="AJ150">
        <f t="shared" si="13"/>
        <v>0.25467000000000001</v>
      </c>
      <c r="AK150">
        <f t="shared" si="14"/>
        <v>0.31387999999999999</v>
      </c>
      <c r="AL150" t="e">
        <f>VLOOKUP(L150,'[1]Tuyến cáp H04'!$B:$E,3,0)/1000</f>
        <v>#N/A</v>
      </c>
      <c r="AM150" t="e">
        <f>VLOOKUP(L150,'[1]Tuyến cáp H04'!$B:$E,4,0)</f>
        <v>#N/A</v>
      </c>
    </row>
    <row r="151" spans="1:39" x14ac:dyDescent="0.25">
      <c r="A151" s="1" t="s">
        <v>1517</v>
      </c>
      <c r="B151" s="1" t="s">
        <v>77</v>
      </c>
      <c r="C151" s="1" t="s">
        <v>78</v>
      </c>
      <c r="D151" s="1" t="s">
        <v>94</v>
      </c>
      <c r="E151" s="1" t="s">
        <v>95</v>
      </c>
      <c r="F151" s="1" t="s">
        <v>1518</v>
      </c>
      <c r="G151" s="1" t="s">
        <v>14281</v>
      </c>
      <c r="H151" s="1" t="s">
        <v>14282</v>
      </c>
      <c r="I151" s="1" t="s">
        <v>14283</v>
      </c>
      <c r="J151" s="1" t="s">
        <v>23</v>
      </c>
      <c r="K151" s="1"/>
      <c r="L151" s="1" t="s">
        <v>82</v>
      </c>
      <c r="M151" s="8" t="s">
        <v>82</v>
      </c>
      <c r="N151" s="1" t="b">
        <f t="shared" si="10"/>
        <v>1</v>
      </c>
      <c r="O151" s="1" t="s">
        <v>1519</v>
      </c>
      <c r="P151" s="1" t="s">
        <v>84</v>
      </c>
      <c r="Q151" s="1" t="s">
        <v>85</v>
      </c>
      <c r="R151" s="1" t="s">
        <v>86</v>
      </c>
      <c r="S151" s="1" t="s">
        <v>1520</v>
      </c>
      <c r="T151" s="1" t="s">
        <v>1408</v>
      </c>
      <c r="U151" s="1" t="s">
        <v>1409</v>
      </c>
      <c r="V151" s="13">
        <f>COUNTIF(L151:$M$1659,L151)</f>
        <v>4</v>
      </c>
      <c r="W151" s="1" t="s">
        <v>90</v>
      </c>
      <c r="X151">
        <v>2190.4299999999998</v>
      </c>
      <c r="Y151">
        <v>9.18</v>
      </c>
      <c r="Z151">
        <v>12.175753</v>
      </c>
      <c r="AA151">
        <v>109.173635</v>
      </c>
      <c r="AB151">
        <v>2181.2399999999998</v>
      </c>
      <c r="AC151">
        <v>12.235105000000001</v>
      </c>
      <c r="AD151">
        <v>109.18385600000001</v>
      </c>
      <c r="AE151" s="5">
        <f t="shared" si="11"/>
        <v>1.3769999999999999E-2</v>
      </c>
      <c r="AF151" s="5">
        <f t="shared" si="12"/>
        <v>3.2718599999999998</v>
      </c>
      <c r="AG151" s="1" t="str">
        <f>TRIM(LEFT(L151,FIND("-",L151)-1))</f>
        <v>3.PA06 cs2</v>
      </c>
      <c r="AH151" s="1" t="str">
        <f>TRIM(RIGHT(L151, LEN(L151) - FIND("-", L151)))</f>
        <v>PC11a</v>
      </c>
      <c r="AJ151">
        <f t="shared" si="13"/>
        <v>9.1799999999999989E-3</v>
      </c>
      <c r="AK151">
        <f t="shared" si="14"/>
        <v>2.1812399999999998</v>
      </c>
      <c r="AL151" t="e">
        <f>VLOOKUP(L151,'[1]Tuyến cáp H04'!$B:$E,3,0)/1000</f>
        <v>#N/A</v>
      </c>
      <c r="AM151" t="e">
        <f>VLOOKUP(L151,'[1]Tuyến cáp H04'!$B:$E,4,0)</f>
        <v>#N/A</v>
      </c>
    </row>
    <row r="152" spans="1:39" x14ac:dyDescent="0.25">
      <c r="A152" s="1" t="s">
        <v>1521</v>
      </c>
      <c r="B152" s="1" t="s">
        <v>780</v>
      </c>
      <c r="C152" s="1" t="s">
        <v>781</v>
      </c>
      <c r="D152" s="1" t="s">
        <v>94</v>
      </c>
      <c r="E152" s="1" t="s">
        <v>95</v>
      </c>
      <c r="F152" s="1" t="s">
        <v>1522</v>
      </c>
      <c r="G152" s="1" t="s">
        <v>14281</v>
      </c>
      <c r="H152" s="1" t="s">
        <v>14282</v>
      </c>
      <c r="I152" s="1" t="s">
        <v>14284</v>
      </c>
      <c r="J152" s="1" t="s">
        <v>23</v>
      </c>
      <c r="K152" s="1"/>
      <c r="L152" s="1" t="s">
        <v>490</v>
      </c>
      <c r="M152" s="8" t="s">
        <v>490</v>
      </c>
      <c r="N152" s="1" t="b">
        <f t="shared" si="10"/>
        <v>1</v>
      </c>
      <c r="O152" s="1" t="s">
        <v>1523</v>
      </c>
      <c r="P152" s="1" t="s">
        <v>784</v>
      </c>
      <c r="Q152" s="1" t="s">
        <v>785</v>
      </c>
      <c r="R152" s="1" t="s">
        <v>786</v>
      </c>
      <c r="S152" s="1" t="s">
        <v>1524</v>
      </c>
      <c r="T152" s="1" t="s">
        <v>1525</v>
      </c>
      <c r="U152" s="1" t="s">
        <v>1526</v>
      </c>
      <c r="V152" s="13">
        <f>COUNTIF(L152:$M$1659,L152)</f>
        <v>12</v>
      </c>
      <c r="W152" s="1" t="s">
        <v>498</v>
      </c>
      <c r="X152">
        <v>3852.34</v>
      </c>
      <c r="Y152">
        <v>2.0299999999999998</v>
      </c>
      <c r="Z152">
        <v>12.074439</v>
      </c>
      <c r="AA152">
        <v>109.168081</v>
      </c>
      <c r="AB152">
        <v>3850.3</v>
      </c>
      <c r="AC152">
        <v>12.219301</v>
      </c>
      <c r="AD152">
        <v>109.204751</v>
      </c>
      <c r="AE152" s="5">
        <f t="shared" si="11"/>
        <v>3.045E-3</v>
      </c>
      <c r="AF152" s="5">
        <f t="shared" si="12"/>
        <v>5.7754500000000011</v>
      </c>
      <c r="AG152" s="1" t="str">
        <f>TRIM(LEFT(L152,FIND("-",L152)-1))</f>
        <v>1.CAT Khánh Hòa</v>
      </c>
      <c r="AH152" s="1" t="str">
        <f>TRIM(RIGHT(L152, LEN(L152) - FIND("-", L152)))</f>
        <v>Cam Lâm</v>
      </c>
      <c r="AJ152">
        <f t="shared" si="13"/>
        <v>2.0299999999999997E-3</v>
      </c>
      <c r="AK152">
        <f t="shared" si="14"/>
        <v>3.8503000000000003</v>
      </c>
      <c r="AL152" t="e">
        <f>VLOOKUP(L152,'[1]Tuyến cáp H04'!$B:$E,3,0)/1000</f>
        <v>#N/A</v>
      </c>
      <c r="AM152" t="e">
        <f>VLOOKUP(L152,'[1]Tuyến cáp H04'!$B:$E,4,0)</f>
        <v>#N/A</v>
      </c>
    </row>
    <row r="153" spans="1:39" x14ac:dyDescent="0.25">
      <c r="A153" s="1" t="s">
        <v>1527</v>
      </c>
      <c r="B153" s="1" t="s">
        <v>557</v>
      </c>
      <c r="C153" s="1" t="s">
        <v>558</v>
      </c>
      <c r="D153" s="1" t="s">
        <v>756</v>
      </c>
      <c r="E153" s="1" t="s">
        <v>757</v>
      </c>
      <c r="F153" s="1" t="s">
        <v>1528</v>
      </c>
      <c r="G153" s="1" t="s">
        <v>14281</v>
      </c>
      <c r="H153" s="1" t="s">
        <v>14282</v>
      </c>
      <c r="I153" s="1" t="s">
        <v>14285</v>
      </c>
      <c r="J153" s="1" t="s">
        <v>23</v>
      </c>
      <c r="K153" s="1"/>
      <c r="L153" s="1" t="s">
        <v>1529</v>
      </c>
      <c r="M153" s="8" t="s">
        <v>1529</v>
      </c>
      <c r="N153" s="1" t="b">
        <f t="shared" si="10"/>
        <v>1</v>
      </c>
      <c r="O153" s="1" t="s">
        <v>1530</v>
      </c>
      <c r="P153" s="1" t="s">
        <v>1531</v>
      </c>
      <c r="Q153" s="1" t="s">
        <v>1532</v>
      </c>
      <c r="R153" s="1" t="s">
        <v>1533</v>
      </c>
      <c r="S153" s="1" t="s">
        <v>1534</v>
      </c>
      <c r="T153" s="1" t="s">
        <v>1535</v>
      </c>
      <c r="U153" s="1" t="s">
        <v>1536</v>
      </c>
      <c r="V153" s="13">
        <f>COUNTIF(L153:$M$1659,L153)</f>
        <v>10</v>
      </c>
      <c r="W153" s="1" t="s">
        <v>1537</v>
      </c>
      <c r="X153">
        <v>14774.74</v>
      </c>
      <c r="Y153">
        <v>14507.25</v>
      </c>
      <c r="Z153">
        <v>12.509475</v>
      </c>
      <c r="AA153">
        <v>109.137231</v>
      </c>
      <c r="AB153">
        <v>267.49</v>
      </c>
      <c r="AC153">
        <v>12.689125000000001</v>
      </c>
      <c r="AD153">
        <v>109.21910099999999</v>
      </c>
      <c r="AE153" s="5">
        <f t="shared" si="11"/>
        <v>21.760874999999999</v>
      </c>
      <c r="AF153" s="5">
        <f t="shared" si="12"/>
        <v>0.40123500000000001</v>
      </c>
      <c r="AG153" s="1" t="str">
        <f>TRIM(LEFT(L153,FIND("-",L153)-1))</f>
        <v>4.Ninh Hòa</v>
      </c>
      <c r="AH153" s="1" t="str">
        <f>TRIM(RIGHT(L153, LEN(L153) - FIND("-", L153)))</f>
        <v>Vạn Ninh</v>
      </c>
      <c r="AJ153">
        <f t="shared" si="13"/>
        <v>14.507250000000001</v>
      </c>
      <c r="AK153">
        <f t="shared" si="14"/>
        <v>0.26749000000000001</v>
      </c>
      <c r="AL153" t="e">
        <f>VLOOKUP(L153,'[1]Tuyến cáp H04'!$B:$E,3,0)/1000</f>
        <v>#N/A</v>
      </c>
      <c r="AM153" t="e">
        <f>VLOOKUP(L153,'[1]Tuyến cáp H04'!$B:$E,4,0)</f>
        <v>#N/A</v>
      </c>
    </row>
    <row r="154" spans="1:39" x14ac:dyDescent="0.25">
      <c r="A154" s="1" t="s">
        <v>1538</v>
      </c>
      <c r="B154" s="1" t="s">
        <v>756</v>
      </c>
      <c r="C154" s="1" t="s">
        <v>757</v>
      </c>
      <c r="D154" s="1" t="s">
        <v>1539</v>
      </c>
      <c r="E154" s="1" t="s">
        <v>1540</v>
      </c>
      <c r="F154" s="1" t="s">
        <v>1541</v>
      </c>
      <c r="G154" s="1" t="s">
        <v>14281</v>
      </c>
      <c r="H154" s="1" t="s">
        <v>14282</v>
      </c>
      <c r="I154" s="1" t="s">
        <v>14286</v>
      </c>
      <c r="J154" s="1" t="s">
        <v>23</v>
      </c>
      <c r="K154" s="1"/>
      <c r="L154" s="1" t="s">
        <v>761</v>
      </c>
      <c r="M154" s="8" t="s">
        <v>761</v>
      </c>
      <c r="N154" s="1" t="b">
        <f t="shared" si="10"/>
        <v>1</v>
      </c>
      <c r="O154" s="1" t="s">
        <v>1542</v>
      </c>
      <c r="P154" s="1" t="s">
        <v>1543</v>
      </c>
      <c r="Q154" s="1" t="s">
        <v>1544</v>
      </c>
      <c r="R154" s="1" t="s">
        <v>1545</v>
      </c>
      <c r="S154" s="1" t="s">
        <v>1546</v>
      </c>
      <c r="T154" s="1" t="s">
        <v>1547</v>
      </c>
      <c r="U154" s="1" t="s">
        <v>1548</v>
      </c>
      <c r="V154" s="13">
        <f>COUNTIF(L154:$M$1659,L154)</f>
        <v>2</v>
      </c>
      <c r="W154" s="1" t="s">
        <v>1549</v>
      </c>
      <c r="X154">
        <v>368.28</v>
      </c>
      <c r="Y154">
        <v>267.48</v>
      </c>
      <c r="Z154">
        <v>12.689116</v>
      </c>
      <c r="AA154">
        <v>109.219109</v>
      </c>
      <c r="AB154">
        <v>100.8</v>
      </c>
      <c r="AC154">
        <v>12.64448</v>
      </c>
      <c r="AD154">
        <v>109.194801</v>
      </c>
      <c r="AE154" s="5">
        <f t="shared" si="11"/>
        <v>0.40122000000000002</v>
      </c>
      <c r="AF154" s="5">
        <f t="shared" si="12"/>
        <v>0.1512</v>
      </c>
      <c r="AG154" s="1" t="str">
        <f>TRIM(LEFT(L154,FIND("-",L154)-1))</f>
        <v>4.CA Vạn Hưng</v>
      </c>
      <c r="AH154" s="1" t="str">
        <f>TRIM(RIGHT(L154, LEN(L154) - FIND("-", L154)))</f>
        <v>CA Vạn Ninh</v>
      </c>
      <c r="AJ154">
        <f t="shared" si="13"/>
        <v>0.26748</v>
      </c>
      <c r="AK154">
        <f t="shared" si="14"/>
        <v>0.1008</v>
      </c>
      <c r="AL154" t="e">
        <f>VLOOKUP(L154,'[1]Tuyến cáp H04'!$B:$E,3,0)/1000</f>
        <v>#N/A</v>
      </c>
      <c r="AM154" t="e">
        <f>VLOOKUP(L154,'[1]Tuyến cáp H04'!$B:$E,4,0)</f>
        <v>#N/A</v>
      </c>
    </row>
    <row r="155" spans="1:39" x14ac:dyDescent="0.25">
      <c r="A155" s="1" t="s">
        <v>1550</v>
      </c>
      <c r="B155" s="1" t="s">
        <v>572</v>
      </c>
      <c r="C155" s="1" t="s">
        <v>573</v>
      </c>
      <c r="D155" s="1" t="s">
        <v>94</v>
      </c>
      <c r="E155" s="1" t="s">
        <v>95</v>
      </c>
      <c r="F155" s="1" t="s">
        <v>1551</v>
      </c>
      <c r="G155" s="1" t="s">
        <v>14281</v>
      </c>
      <c r="H155" s="1" t="s">
        <v>14282</v>
      </c>
      <c r="I155" s="1" t="s">
        <v>14287</v>
      </c>
      <c r="J155" s="1" t="s">
        <v>23</v>
      </c>
      <c r="K155" s="1"/>
      <c r="L155" s="1" t="s">
        <v>1552</v>
      </c>
      <c r="M155" s="8" t="s">
        <v>1552</v>
      </c>
      <c r="N155" s="1" t="b">
        <f t="shared" si="10"/>
        <v>1</v>
      </c>
      <c r="O155" s="1" t="s">
        <v>1553</v>
      </c>
      <c r="P155" s="1" t="s">
        <v>1554</v>
      </c>
      <c r="Q155" s="1" t="s">
        <v>1555</v>
      </c>
      <c r="R155" s="1" t="s">
        <v>1556</v>
      </c>
      <c r="S155" s="1" t="s">
        <v>1557</v>
      </c>
      <c r="T155" s="1" t="s">
        <v>1558</v>
      </c>
      <c r="U155" s="1" t="s">
        <v>1559</v>
      </c>
      <c r="V155" s="13">
        <f>COUNTIF(L155:$M$1659,L155)</f>
        <v>32</v>
      </c>
      <c r="W155" s="1" t="s">
        <v>1560</v>
      </c>
      <c r="X155">
        <v>2205.54</v>
      </c>
      <c r="Y155">
        <v>693.41</v>
      </c>
      <c r="Z155">
        <v>12.504054999999999</v>
      </c>
      <c r="AA155">
        <v>109.14014899999999</v>
      </c>
      <c r="AB155">
        <v>1512.13</v>
      </c>
      <c r="AC155">
        <v>12.265585</v>
      </c>
      <c r="AD155">
        <v>109.196157</v>
      </c>
      <c r="AE155" s="5">
        <f t="shared" si="11"/>
        <v>1.0401149999999999</v>
      </c>
      <c r="AF155" s="5">
        <f t="shared" si="12"/>
        <v>2.268195</v>
      </c>
      <c r="AG155" s="1" t="str">
        <f>TRIM(LEFT(L155,FIND("-",L155)-1))</f>
        <v>5.Vạn Ninh</v>
      </c>
      <c r="AH155" s="1" t="str">
        <f>TRIM(RIGHT(L155, LEN(L155) - FIND("-", L155)))</f>
        <v>CAT Khánh Hòa</v>
      </c>
      <c r="AJ155">
        <f t="shared" si="13"/>
        <v>0.69340999999999997</v>
      </c>
      <c r="AK155">
        <f t="shared" si="14"/>
        <v>1.5121300000000002</v>
      </c>
      <c r="AL155" t="e">
        <f>VLOOKUP(L155,'[1]Tuyến cáp H04'!$B:$E,3,0)/1000</f>
        <v>#N/A</v>
      </c>
      <c r="AM155" t="e">
        <f>VLOOKUP(L155,'[1]Tuyến cáp H04'!$B:$E,4,0)</f>
        <v>#N/A</v>
      </c>
    </row>
    <row r="156" spans="1:39" x14ac:dyDescent="0.25">
      <c r="A156" s="1" t="s">
        <v>1561</v>
      </c>
      <c r="B156" s="1" t="s">
        <v>557</v>
      </c>
      <c r="C156" s="1" t="s">
        <v>558</v>
      </c>
      <c r="D156" s="1" t="s">
        <v>572</v>
      </c>
      <c r="E156" s="1" t="s">
        <v>573</v>
      </c>
      <c r="F156" s="1" t="s">
        <v>1562</v>
      </c>
      <c r="G156" s="1" t="s">
        <v>14281</v>
      </c>
      <c r="H156" s="1" t="s">
        <v>14282</v>
      </c>
      <c r="I156" s="1" t="s">
        <v>14288</v>
      </c>
      <c r="J156" s="1" t="s">
        <v>23</v>
      </c>
      <c r="K156" s="1"/>
      <c r="L156" s="1" t="s">
        <v>1168</v>
      </c>
      <c r="M156" s="8" t="s">
        <v>1168</v>
      </c>
      <c r="N156" s="1" t="b">
        <f t="shared" si="10"/>
        <v>1</v>
      </c>
      <c r="O156" s="1" t="s">
        <v>1563</v>
      </c>
      <c r="P156" s="1" t="s">
        <v>1173</v>
      </c>
      <c r="Q156" s="1" t="s">
        <v>1174</v>
      </c>
      <c r="R156" s="1" t="s">
        <v>1175</v>
      </c>
      <c r="S156" s="1" t="s">
        <v>1564</v>
      </c>
      <c r="T156" s="1" t="s">
        <v>1565</v>
      </c>
      <c r="U156" s="1" t="s">
        <v>1566</v>
      </c>
      <c r="V156" s="13">
        <f>COUNTIF(L156:$M$1659,L156)</f>
        <v>16</v>
      </c>
      <c r="W156" s="1" t="s">
        <v>1176</v>
      </c>
      <c r="X156">
        <v>7029.57</v>
      </c>
      <c r="Y156">
        <v>4.59</v>
      </c>
      <c r="Z156">
        <v>12.540865</v>
      </c>
      <c r="AA156">
        <v>109.00747800000001</v>
      </c>
      <c r="AB156">
        <v>7024.98</v>
      </c>
      <c r="AC156">
        <v>12.507222000000001</v>
      </c>
      <c r="AD156">
        <v>109.072838</v>
      </c>
      <c r="AE156" s="5">
        <f t="shared" si="11"/>
        <v>6.8849999999999996E-3</v>
      </c>
      <c r="AF156" s="5">
        <f t="shared" si="12"/>
        <v>10.537469999999999</v>
      </c>
      <c r="AG156" s="1" t="str">
        <f>TRIM(LEFT(L156,FIND("-",L156)-1))</f>
        <v>2.CA Nam Ninh Hòa</v>
      </c>
      <c r="AH156" s="1" t="str">
        <f>TRIM(RIGHT(L156, LEN(L156) - FIND("-", L156)))</f>
        <v>CA Tây Ninh Hòa</v>
      </c>
      <c r="AJ156">
        <f t="shared" si="13"/>
        <v>4.5899999999999995E-3</v>
      </c>
      <c r="AK156">
        <f t="shared" si="14"/>
        <v>7.0249799999999993</v>
      </c>
      <c r="AL156" t="e">
        <f>VLOOKUP(L156,'[1]Tuyến cáp H04'!$B:$E,3,0)/1000</f>
        <v>#N/A</v>
      </c>
      <c r="AM156" t="e">
        <f>VLOOKUP(L156,'[1]Tuyến cáp H04'!$B:$E,4,0)</f>
        <v>#N/A</v>
      </c>
    </row>
    <row r="157" spans="1:39" x14ac:dyDescent="0.25">
      <c r="A157" s="1" t="s">
        <v>1550</v>
      </c>
      <c r="B157" s="1" t="s">
        <v>572</v>
      </c>
      <c r="C157" s="1" t="s">
        <v>573</v>
      </c>
      <c r="D157" s="1" t="s">
        <v>94</v>
      </c>
      <c r="E157" s="1" t="s">
        <v>95</v>
      </c>
      <c r="F157" s="1" t="s">
        <v>1551</v>
      </c>
      <c r="G157" s="1" t="s">
        <v>14281</v>
      </c>
      <c r="H157" s="1" t="s">
        <v>14282</v>
      </c>
      <c r="I157" s="1" t="s">
        <v>14287</v>
      </c>
      <c r="J157" s="1" t="s">
        <v>23</v>
      </c>
      <c r="K157" s="1"/>
      <c r="L157" s="1" t="s">
        <v>1552</v>
      </c>
      <c r="M157" s="8" t="s">
        <v>1552</v>
      </c>
      <c r="N157" s="1" t="b">
        <f t="shared" si="10"/>
        <v>1</v>
      </c>
      <c r="O157" s="1" t="s">
        <v>1553</v>
      </c>
      <c r="P157" s="1" t="s">
        <v>1554</v>
      </c>
      <c r="Q157" s="1" t="s">
        <v>1555</v>
      </c>
      <c r="R157" s="1" t="s">
        <v>1556</v>
      </c>
      <c r="S157" s="1" t="s">
        <v>1557</v>
      </c>
      <c r="T157" s="1" t="s">
        <v>1558</v>
      </c>
      <c r="U157" s="1" t="s">
        <v>1559</v>
      </c>
      <c r="V157" s="13">
        <f>COUNTIF(L157:$M$1659,L157)</f>
        <v>30</v>
      </c>
      <c r="W157" s="1" t="s">
        <v>1560</v>
      </c>
      <c r="X157">
        <v>2205.54</v>
      </c>
      <c r="Y157">
        <v>693.41</v>
      </c>
      <c r="Z157">
        <v>12.504054999999999</v>
      </c>
      <c r="AA157">
        <v>109.14014899999999</v>
      </c>
      <c r="AB157">
        <v>1512.13</v>
      </c>
      <c r="AC157">
        <v>12.265585</v>
      </c>
      <c r="AD157">
        <v>109.196157</v>
      </c>
      <c r="AE157" s="5">
        <f t="shared" si="11"/>
        <v>1.0401149999999999</v>
      </c>
      <c r="AF157" s="5">
        <f t="shared" si="12"/>
        <v>2.268195</v>
      </c>
      <c r="AG157" s="1" t="str">
        <f>TRIM(LEFT(L157,FIND("-",L157)-1))</f>
        <v>5.Vạn Ninh</v>
      </c>
      <c r="AH157" s="1" t="str">
        <f>TRIM(RIGHT(L157, LEN(L157) - FIND("-", L157)))</f>
        <v>CAT Khánh Hòa</v>
      </c>
      <c r="AJ157">
        <f t="shared" si="13"/>
        <v>0.69340999999999997</v>
      </c>
      <c r="AK157">
        <f t="shared" si="14"/>
        <v>1.5121300000000002</v>
      </c>
      <c r="AL157" t="e">
        <f>VLOOKUP(L157,'[1]Tuyến cáp H04'!$B:$E,3,0)/1000</f>
        <v>#N/A</v>
      </c>
      <c r="AM157" t="e">
        <f>VLOOKUP(L157,'[1]Tuyến cáp H04'!$B:$E,4,0)</f>
        <v>#N/A</v>
      </c>
    </row>
    <row r="158" spans="1:39" x14ac:dyDescent="0.25">
      <c r="A158" s="1" t="s">
        <v>1567</v>
      </c>
      <c r="B158" s="1" t="s">
        <v>393</v>
      </c>
      <c r="C158" s="1" t="s">
        <v>394</v>
      </c>
      <c r="D158" s="1" t="s">
        <v>77</v>
      </c>
      <c r="E158" s="1" t="s">
        <v>78</v>
      </c>
      <c r="F158" s="1" t="s">
        <v>1568</v>
      </c>
      <c r="G158" s="1" t="s">
        <v>14281</v>
      </c>
      <c r="H158" s="1" t="s">
        <v>14282</v>
      </c>
      <c r="I158" s="1" t="s">
        <v>14289</v>
      </c>
      <c r="J158" s="1" t="s">
        <v>23</v>
      </c>
      <c r="K158" s="1"/>
      <c r="L158" s="1" t="s">
        <v>1569</v>
      </c>
      <c r="M158" s="8" t="s">
        <v>1569</v>
      </c>
      <c r="N158" s="1" t="b">
        <f t="shared" si="10"/>
        <v>1</v>
      </c>
      <c r="O158" s="1" t="s">
        <v>1570</v>
      </c>
      <c r="P158" s="1" t="s">
        <v>1571</v>
      </c>
      <c r="Q158" s="1" t="s">
        <v>1572</v>
      </c>
      <c r="R158" s="1" t="s">
        <v>1573</v>
      </c>
      <c r="S158" s="1" t="s">
        <v>1574</v>
      </c>
      <c r="T158" s="1" t="s">
        <v>1575</v>
      </c>
      <c r="U158" s="1" t="s">
        <v>1576</v>
      </c>
      <c r="V158" s="13">
        <f>COUNTIF(L158:$M$1659,L158)</f>
        <v>8</v>
      </c>
      <c r="W158" s="1" t="s">
        <v>1577</v>
      </c>
      <c r="X158">
        <v>13250.83</v>
      </c>
      <c r="Y158">
        <v>748.2</v>
      </c>
      <c r="Z158">
        <v>12.262793</v>
      </c>
      <c r="AA158">
        <v>109.03595900000001</v>
      </c>
      <c r="AB158">
        <v>12502.63</v>
      </c>
      <c r="AC158">
        <v>12.248526</v>
      </c>
      <c r="AD158">
        <v>109.08605</v>
      </c>
      <c r="AE158" s="5">
        <f t="shared" si="11"/>
        <v>1.1223000000000001</v>
      </c>
      <c r="AF158" s="5">
        <f t="shared" si="12"/>
        <v>18.753944999999998</v>
      </c>
      <c r="AG158" s="1" t="str">
        <f>TRIM(LEFT(L158,FIND("-",L158)-1))</f>
        <v>4.CA Diên Thọ</v>
      </c>
      <c r="AH158" s="1" t="str">
        <f>TRIM(RIGHT(L158, LEN(L158) - FIND("-", L158)))</f>
        <v>CA Diên Khánh</v>
      </c>
      <c r="AJ158">
        <f t="shared" si="13"/>
        <v>0.74820000000000009</v>
      </c>
      <c r="AK158">
        <f t="shared" si="14"/>
        <v>12.50263</v>
      </c>
      <c r="AL158" t="e">
        <f>VLOOKUP(L158,'[1]Tuyến cáp H04'!$B:$E,3,0)/1000</f>
        <v>#N/A</v>
      </c>
      <c r="AM158" t="e">
        <f>VLOOKUP(L158,'[1]Tuyến cáp H04'!$B:$E,4,0)</f>
        <v>#N/A</v>
      </c>
    </row>
    <row r="159" spans="1:39" x14ac:dyDescent="0.25">
      <c r="A159" s="1" t="s">
        <v>1578</v>
      </c>
      <c r="B159" s="1" t="s">
        <v>612</v>
      </c>
      <c r="C159" s="1" t="s">
        <v>613</v>
      </c>
      <c r="D159" s="1" t="s">
        <v>362</v>
      </c>
      <c r="E159" s="1" t="s">
        <v>363</v>
      </c>
      <c r="F159" s="1" t="s">
        <v>1579</v>
      </c>
      <c r="G159" s="1" t="s">
        <v>14281</v>
      </c>
      <c r="H159" s="1" t="s">
        <v>14282</v>
      </c>
      <c r="I159" s="1" t="s">
        <v>14290</v>
      </c>
      <c r="J159" s="1" t="s">
        <v>23</v>
      </c>
      <c r="K159" s="1"/>
      <c r="L159" s="1" t="s">
        <v>886</v>
      </c>
      <c r="M159" s="8" t="s">
        <v>886</v>
      </c>
      <c r="N159" s="1" t="b">
        <f t="shared" si="10"/>
        <v>1</v>
      </c>
      <c r="O159" s="1" t="s">
        <v>1580</v>
      </c>
      <c r="P159" s="1" t="s">
        <v>1581</v>
      </c>
      <c r="Q159" s="1" t="s">
        <v>1582</v>
      </c>
      <c r="R159" s="1" t="s">
        <v>1583</v>
      </c>
      <c r="S159" s="1" t="s">
        <v>888</v>
      </c>
      <c r="T159" s="1" t="s">
        <v>889</v>
      </c>
      <c r="U159" s="1" t="s">
        <v>890</v>
      </c>
      <c r="V159" s="13">
        <f>COUNTIF(L159:$M$1659,L159)</f>
        <v>4</v>
      </c>
      <c r="W159" s="1" t="s">
        <v>894</v>
      </c>
      <c r="X159">
        <v>445.58</v>
      </c>
      <c r="Y159">
        <v>320.16000000000003</v>
      </c>
      <c r="Z159">
        <v>11.923038</v>
      </c>
      <c r="AA159">
        <v>109.165192</v>
      </c>
      <c r="AB159">
        <v>125.41</v>
      </c>
      <c r="AC159">
        <v>11.976637</v>
      </c>
      <c r="AD159">
        <v>109.19564699999999</v>
      </c>
      <c r="AE159" s="5">
        <f t="shared" si="11"/>
        <v>0.48024</v>
      </c>
      <c r="AF159" s="5">
        <f t="shared" si="12"/>
        <v>0.188115</v>
      </c>
      <c r="AG159" s="1" t="str">
        <f>TRIM(LEFT(L159,FIND("-",L159)-1))</f>
        <v>1.CA Cam Ranh</v>
      </c>
      <c r="AH159" s="1" t="str">
        <f>TRIM(RIGHT(L159, LEN(L159) - FIND("-", L159)))</f>
        <v>CA Bắc Cam Ranh</v>
      </c>
      <c r="AJ159">
        <f t="shared" si="13"/>
        <v>0.32016</v>
      </c>
      <c r="AK159">
        <f t="shared" si="14"/>
        <v>0.12540999999999999</v>
      </c>
      <c r="AL159" t="e">
        <f>VLOOKUP(L159,'[1]Tuyến cáp H04'!$B:$E,3,0)/1000</f>
        <v>#N/A</v>
      </c>
      <c r="AM159" t="e">
        <f>VLOOKUP(L159,'[1]Tuyến cáp H04'!$B:$E,4,0)</f>
        <v>#N/A</v>
      </c>
    </row>
    <row r="160" spans="1:39" x14ac:dyDescent="0.25">
      <c r="A160" s="1" t="s">
        <v>1584</v>
      </c>
      <c r="B160" s="1" t="s">
        <v>362</v>
      </c>
      <c r="C160" s="1" t="s">
        <v>363</v>
      </c>
      <c r="D160" s="1" t="s">
        <v>780</v>
      </c>
      <c r="E160" s="1" t="s">
        <v>781</v>
      </c>
      <c r="F160" s="1" t="s">
        <v>1585</v>
      </c>
      <c r="G160" s="1" t="s">
        <v>14281</v>
      </c>
      <c r="H160" s="1" t="s">
        <v>14282</v>
      </c>
      <c r="I160" s="1" t="s">
        <v>14291</v>
      </c>
      <c r="J160" s="1" t="s">
        <v>23</v>
      </c>
      <c r="K160" s="1"/>
      <c r="L160" s="1" t="s">
        <v>861</v>
      </c>
      <c r="M160" s="8" t="s">
        <v>861</v>
      </c>
      <c r="N160" s="1" t="b">
        <f t="shared" si="10"/>
        <v>1</v>
      </c>
      <c r="O160" s="1" t="s">
        <v>1586</v>
      </c>
      <c r="P160" s="1" t="s">
        <v>863</v>
      </c>
      <c r="Q160" s="1" t="s">
        <v>864</v>
      </c>
      <c r="R160" s="1" t="s">
        <v>865</v>
      </c>
      <c r="S160" s="1" t="s">
        <v>911</v>
      </c>
      <c r="T160" s="1" t="s">
        <v>912</v>
      </c>
      <c r="U160" s="1" t="s">
        <v>913</v>
      </c>
      <c r="V160" s="13">
        <f>COUNTIF(L160:$M$1659,L160)</f>
        <v>10</v>
      </c>
      <c r="W160" s="1" t="s">
        <v>869</v>
      </c>
      <c r="X160">
        <v>680.22</v>
      </c>
      <c r="Y160">
        <v>674.9</v>
      </c>
      <c r="Z160">
        <v>11.970426</v>
      </c>
      <c r="AA160">
        <v>109.192857</v>
      </c>
      <c r="AB160">
        <v>5.32</v>
      </c>
      <c r="AC160">
        <v>12.074472</v>
      </c>
      <c r="AD160">
        <v>109.168063</v>
      </c>
      <c r="AE160" s="5">
        <f t="shared" si="11"/>
        <v>1.0123499999999999</v>
      </c>
      <c r="AF160" s="5">
        <f t="shared" si="12"/>
        <v>7.980000000000001E-3</v>
      </c>
      <c r="AG160" s="1" t="str">
        <f>TRIM(LEFT(L160,FIND("-",L160)-1))</f>
        <v>2.Cam Lâm</v>
      </c>
      <c r="AH160" s="1" t="str">
        <f>TRIM(RIGHT(L160, LEN(L160) - FIND("-", L160)))</f>
        <v>Cam Ranh</v>
      </c>
      <c r="AJ160">
        <f t="shared" si="13"/>
        <v>0.67489999999999994</v>
      </c>
      <c r="AK160">
        <f t="shared" si="14"/>
        <v>5.3200000000000001E-3</v>
      </c>
      <c r="AL160" t="e">
        <f>VLOOKUP(L160,'[1]Tuyến cáp H04'!$B:$E,3,0)/1000</f>
        <v>#N/A</v>
      </c>
      <c r="AM160" t="e">
        <f>VLOOKUP(L160,'[1]Tuyến cáp H04'!$B:$E,4,0)</f>
        <v>#N/A</v>
      </c>
    </row>
    <row r="161" spans="1:39" x14ac:dyDescent="0.25">
      <c r="A161" s="1" t="s">
        <v>1587</v>
      </c>
      <c r="B161" s="1" t="s">
        <v>557</v>
      </c>
      <c r="C161" s="1" t="s">
        <v>558</v>
      </c>
      <c r="D161" s="1" t="s">
        <v>1588</v>
      </c>
      <c r="E161" s="1" t="s">
        <v>1589</v>
      </c>
      <c r="F161" s="1" t="s">
        <v>1590</v>
      </c>
      <c r="G161" s="1" t="s">
        <v>14281</v>
      </c>
      <c r="H161" s="1" t="s">
        <v>14282</v>
      </c>
      <c r="I161" s="1" t="s">
        <v>14292</v>
      </c>
      <c r="J161" s="1" t="s">
        <v>23</v>
      </c>
      <c r="K161" s="1"/>
      <c r="L161" s="1" t="s">
        <v>1168</v>
      </c>
      <c r="M161" s="8" t="s">
        <v>1168</v>
      </c>
      <c r="N161" s="1" t="b">
        <f t="shared" si="10"/>
        <v>1</v>
      </c>
      <c r="O161" s="1" t="s">
        <v>1591</v>
      </c>
      <c r="P161" s="1" t="s">
        <v>1173</v>
      </c>
      <c r="Q161" s="1" t="s">
        <v>1174</v>
      </c>
      <c r="R161" s="1" t="s">
        <v>1175</v>
      </c>
      <c r="S161" s="1" t="s">
        <v>1592</v>
      </c>
      <c r="T161" s="1" t="s">
        <v>1565</v>
      </c>
      <c r="U161" s="1" t="s">
        <v>1566</v>
      </c>
      <c r="V161" s="13">
        <f>COUNTIF(L161:$M$1659,L161)</f>
        <v>14</v>
      </c>
      <c r="W161" s="1" t="s">
        <v>1176</v>
      </c>
      <c r="X161">
        <v>5343.16</v>
      </c>
      <c r="Y161">
        <v>4.59</v>
      </c>
      <c r="Z161">
        <v>12.540865</v>
      </c>
      <c r="AA161">
        <v>109.00747800000001</v>
      </c>
      <c r="AB161">
        <v>5338.57</v>
      </c>
      <c r="AC161">
        <v>12.507222000000001</v>
      </c>
      <c r="AD161">
        <v>109.072838</v>
      </c>
      <c r="AE161" s="5">
        <f t="shared" si="11"/>
        <v>6.8849999999999996E-3</v>
      </c>
      <c r="AF161" s="5">
        <f t="shared" si="12"/>
        <v>8.0078549999999993</v>
      </c>
      <c r="AG161" s="1" t="str">
        <f>TRIM(LEFT(L161,FIND("-",L161)-1))</f>
        <v>2.CA Nam Ninh Hòa</v>
      </c>
      <c r="AH161" s="1" t="str">
        <f>TRIM(RIGHT(L161, LEN(L161) - FIND("-", L161)))</f>
        <v>CA Tây Ninh Hòa</v>
      </c>
      <c r="AJ161">
        <f t="shared" si="13"/>
        <v>4.5899999999999995E-3</v>
      </c>
      <c r="AK161">
        <f t="shared" si="14"/>
        <v>5.3385699999999998</v>
      </c>
      <c r="AL161" t="e">
        <f>VLOOKUP(L161,'[1]Tuyến cáp H04'!$B:$E,3,0)/1000</f>
        <v>#N/A</v>
      </c>
      <c r="AM161" t="e">
        <f>VLOOKUP(L161,'[1]Tuyến cáp H04'!$B:$E,4,0)</f>
        <v>#N/A</v>
      </c>
    </row>
    <row r="162" spans="1:39" x14ac:dyDescent="0.25">
      <c r="A162" s="1" t="s">
        <v>1593</v>
      </c>
      <c r="B162" s="1" t="s">
        <v>1152</v>
      </c>
      <c r="C162" s="1" t="s">
        <v>1153</v>
      </c>
      <c r="D162" s="1" t="s">
        <v>572</v>
      </c>
      <c r="E162" s="1" t="s">
        <v>573</v>
      </c>
      <c r="F162" s="1" t="s">
        <v>1594</v>
      </c>
      <c r="G162" s="1" t="s">
        <v>14281</v>
      </c>
      <c r="H162" s="1" t="s">
        <v>14282</v>
      </c>
      <c r="I162" s="1" t="s">
        <v>14293</v>
      </c>
      <c r="J162" s="1" t="s">
        <v>23</v>
      </c>
      <c r="K162" s="1"/>
      <c r="L162" s="1" t="s">
        <v>590</v>
      </c>
      <c r="M162" s="8" t="s">
        <v>590</v>
      </c>
      <c r="N162" s="1" t="b">
        <f t="shared" si="10"/>
        <v>1</v>
      </c>
      <c r="O162" s="1" t="s">
        <v>1595</v>
      </c>
      <c r="P162" s="1" t="s">
        <v>1596</v>
      </c>
      <c r="Q162" s="1" t="s">
        <v>1597</v>
      </c>
      <c r="R162" s="1" t="s">
        <v>1598</v>
      </c>
      <c r="S162" s="1" t="s">
        <v>592</v>
      </c>
      <c r="T162" s="1" t="s">
        <v>593</v>
      </c>
      <c r="U162" s="1" t="s">
        <v>594</v>
      </c>
      <c r="V162" s="13">
        <f>COUNTIF(L162:$M$1659,L162)</f>
        <v>4</v>
      </c>
      <c r="W162" s="1" t="s">
        <v>598</v>
      </c>
      <c r="X162">
        <v>5.79</v>
      </c>
      <c r="Y162">
        <v>3.02</v>
      </c>
      <c r="Z162">
        <v>12.480164</v>
      </c>
      <c r="AA162">
        <v>109.13247200000001</v>
      </c>
      <c r="AB162">
        <v>2.77</v>
      </c>
      <c r="AC162">
        <v>12.509724</v>
      </c>
      <c r="AD162">
        <v>109.13747499999999</v>
      </c>
      <c r="AE162" s="5">
        <f t="shared" si="11"/>
        <v>4.5300000000000002E-3</v>
      </c>
      <c r="AF162" s="5">
        <f t="shared" si="12"/>
        <v>4.1549999999999998E-3</v>
      </c>
      <c r="AG162" s="1" t="str">
        <f>TRIM(LEFT(L162,FIND("-",L162)-1))</f>
        <v>1.CA Ninh Hòa</v>
      </c>
      <c r="AH162" s="1" t="str">
        <f>TRIM(RIGHT(L162, LEN(L162) - FIND("-", L162)))</f>
        <v>CA Hòa Thắng_Cột trung thế</v>
      </c>
      <c r="AJ162">
        <f t="shared" si="13"/>
        <v>3.0200000000000001E-3</v>
      </c>
      <c r="AK162">
        <f t="shared" si="14"/>
        <v>2.7699999999999999E-3</v>
      </c>
      <c r="AL162" t="e">
        <f>VLOOKUP(L162,'[1]Tuyến cáp H04'!$B:$E,3,0)/1000</f>
        <v>#N/A</v>
      </c>
      <c r="AM162" t="e">
        <f>VLOOKUP(L162,'[1]Tuyến cáp H04'!$B:$E,4,0)</f>
        <v>#N/A</v>
      </c>
    </row>
    <row r="163" spans="1:39" x14ac:dyDescent="0.25">
      <c r="A163" s="1" t="s">
        <v>1599</v>
      </c>
      <c r="B163" s="1" t="s">
        <v>557</v>
      </c>
      <c r="C163" s="1" t="s">
        <v>558</v>
      </c>
      <c r="D163" s="1" t="s">
        <v>1600</v>
      </c>
      <c r="E163" s="1" t="s">
        <v>1601</v>
      </c>
      <c r="F163" s="1" t="s">
        <v>1602</v>
      </c>
      <c r="G163" s="1" t="s">
        <v>14281</v>
      </c>
      <c r="H163" s="1" t="s">
        <v>14282</v>
      </c>
      <c r="I163" s="1" t="s">
        <v>14294</v>
      </c>
      <c r="J163" s="1" t="s">
        <v>23</v>
      </c>
      <c r="K163" s="1"/>
      <c r="L163" s="1" t="s">
        <v>1168</v>
      </c>
      <c r="M163" s="8" t="s">
        <v>1168</v>
      </c>
      <c r="N163" s="1" t="b">
        <f t="shared" si="10"/>
        <v>1</v>
      </c>
      <c r="O163" s="1" t="s">
        <v>1603</v>
      </c>
      <c r="P163" s="1" t="s">
        <v>1173</v>
      </c>
      <c r="Q163" s="1" t="s">
        <v>1174</v>
      </c>
      <c r="R163" s="1" t="s">
        <v>1175</v>
      </c>
      <c r="S163" s="1" t="s">
        <v>1604</v>
      </c>
      <c r="T163" s="1" t="s">
        <v>1565</v>
      </c>
      <c r="U163" s="1" t="s">
        <v>1566</v>
      </c>
      <c r="V163" s="13">
        <f>COUNTIF(L163:$M$1659,L163)</f>
        <v>12</v>
      </c>
      <c r="W163" s="1" t="s">
        <v>1176</v>
      </c>
      <c r="X163">
        <v>842.66</v>
      </c>
      <c r="Y163">
        <v>4.59</v>
      </c>
      <c r="Z163">
        <v>12.540865</v>
      </c>
      <c r="AA163">
        <v>109.00747800000001</v>
      </c>
      <c r="AB163">
        <v>838.08</v>
      </c>
      <c r="AC163">
        <v>12.507222000000001</v>
      </c>
      <c r="AD163">
        <v>109.072838</v>
      </c>
      <c r="AE163" s="5">
        <f t="shared" si="11"/>
        <v>6.8849999999999996E-3</v>
      </c>
      <c r="AF163" s="5">
        <f t="shared" si="12"/>
        <v>1.25712</v>
      </c>
      <c r="AG163" s="1" t="str">
        <f>TRIM(LEFT(L163,FIND("-",L163)-1))</f>
        <v>2.CA Nam Ninh Hòa</v>
      </c>
      <c r="AH163" s="1" t="str">
        <f>TRIM(RIGHT(L163, LEN(L163) - FIND("-", L163)))</f>
        <v>CA Tây Ninh Hòa</v>
      </c>
      <c r="AJ163">
        <f t="shared" si="13"/>
        <v>4.5899999999999995E-3</v>
      </c>
      <c r="AK163">
        <f t="shared" si="14"/>
        <v>0.83808000000000005</v>
      </c>
      <c r="AL163" t="e">
        <f>VLOOKUP(L163,'[1]Tuyến cáp H04'!$B:$E,3,0)/1000</f>
        <v>#N/A</v>
      </c>
      <c r="AM163" t="e">
        <f>VLOOKUP(L163,'[1]Tuyến cáp H04'!$B:$E,4,0)</f>
        <v>#N/A</v>
      </c>
    </row>
    <row r="164" spans="1:39" x14ac:dyDescent="0.25">
      <c r="A164" s="1" t="s">
        <v>1605</v>
      </c>
      <c r="B164" s="1" t="s">
        <v>572</v>
      </c>
      <c r="C164" s="1" t="s">
        <v>573</v>
      </c>
      <c r="D164" s="1" t="s">
        <v>1606</v>
      </c>
      <c r="E164" s="1" t="s">
        <v>1607</v>
      </c>
      <c r="F164" s="1" t="s">
        <v>1608</v>
      </c>
      <c r="G164" s="1" t="s">
        <v>14281</v>
      </c>
      <c r="H164" s="1" t="s">
        <v>14282</v>
      </c>
      <c r="I164" s="1" t="s">
        <v>14295</v>
      </c>
      <c r="J164" s="1" t="s">
        <v>23</v>
      </c>
      <c r="K164" s="1"/>
      <c r="L164" s="1" t="s">
        <v>1552</v>
      </c>
      <c r="M164" s="8" t="s">
        <v>1552</v>
      </c>
      <c r="N164" s="1" t="b">
        <f t="shared" si="10"/>
        <v>1</v>
      </c>
      <c r="O164" s="1" t="s">
        <v>1609</v>
      </c>
      <c r="P164" s="1" t="s">
        <v>1554</v>
      </c>
      <c r="Q164" s="1" t="s">
        <v>1555</v>
      </c>
      <c r="R164" s="1" t="s">
        <v>1556</v>
      </c>
      <c r="S164" s="1" t="s">
        <v>1610</v>
      </c>
      <c r="T164" s="1" t="s">
        <v>1611</v>
      </c>
      <c r="U164" s="1" t="s">
        <v>1612</v>
      </c>
      <c r="V164" s="13">
        <f>COUNTIF(L164:$M$1659,L164)</f>
        <v>28</v>
      </c>
      <c r="W164" s="1" t="s">
        <v>1560</v>
      </c>
      <c r="X164">
        <v>1136.94</v>
      </c>
      <c r="Y164">
        <v>693.41</v>
      </c>
      <c r="Z164">
        <v>12.504054999999999</v>
      </c>
      <c r="AA164">
        <v>109.14014899999999</v>
      </c>
      <c r="AB164">
        <v>443.53</v>
      </c>
      <c r="AC164">
        <v>12.420916</v>
      </c>
      <c r="AD164">
        <v>109.14434199999999</v>
      </c>
      <c r="AE164" s="5">
        <f t="shared" si="11"/>
        <v>1.0401149999999999</v>
      </c>
      <c r="AF164" s="5">
        <f t="shared" si="12"/>
        <v>0.66529499999999997</v>
      </c>
      <c r="AG164" s="1" t="str">
        <f>TRIM(LEFT(L164,FIND("-",L164)-1))</f>
        <v>5.Vạn Ninh</v>
      </c>
      <c r="AH164" s="1" t="str">
        <f>TRIM(RIGHT(L164, LEN(L164) - FIND("-", L164)))</f>
        <v>CAT Khánh Hòa</v>
      </c>
      <c r="AJ164">
        <f t="shared" si="13"/>
        <v>0.69340999999999997</v>
      </c>
      <c r="AK164">
        <f t="shared" si="14"/>
        <v>0.44352999999999998</v>
      </c>
      <c r="AL164" t="e">
        <f>VLOOKUP(L164,'[1]Tuyến cáp H04'!$B:$E,3,0)/1000</f>
        <v>#N/A</v>
      </c>
      <c r="AM164" t="e">
        <f>VLOOKUP(L164,'[1]Tuyến cáp H04'!$B:$E,4,0)</f>
        <v>#N/A</v>
      </c>
    </row>
    <row r="165" spans="1:39" x14ac:dyDescent="0.25">
      <c r="A165" s="1" t="s">
        <v>1613</v>
      </c>
      <c r="B165" s="1" t="s">
        <v>1614</v>
      </c>
      <c r="C165" s="1" t="s">
        <v>1615</v>
      </c>
      <c r="D165" s="1" t="s">
        <v>94</v>
      </c>
      <c r="E165" s="1" t="s">
        <v>95</v>
      </c>
      <c r="F165" s="1" t="s">
        <v>1616</v>
      </c>
      <c r="G165" s="1" t="s">
        <v>14281</v>
      </c>
      <c r="H165" s="1" t="s">
        <v>14282</v>
      </c>
      <c r="I165" s="1" t="s">
        <v>14296</v>
      </c>
      <c r="J165" s="1" t="s">
        <v>23</v>
      </c>
      <c r="K165" s="1"/>
      <c r="L165" s="1" t="s">
        <v>1552</v>
      </c>
      <c r="M165" s="8" t="s">
        <v>1552</v>
      </c>
      <c r="N165" s="1" t="b">
        <f t="shared" si="10"/>
        <v>1</v>
      </c>
      <c r="O165" s="1" t="s">
        <v>1617</v>
      </c>
      <c r="P165" s="1" t="s">
        <v>1618</v>
      </c>
      <c r="Q165" s="1" t="s">
        <v>1619</v>
      </c>
      <c r="R165" s="1" t="s">
        <v>1620</v>
      </c>
      <c r="S165" s="1" t="s">
        <v>1557</v>
      </c>
      <c r="T165" s="1" t="s">
        <v>1558</v>
      </c>
      <c r="U165" s="1" t="s">
        <v>1559</v>
      </c>
      <c r="V165" s="13">
        <f>COUNTIF(L165:$M$1659,L165)</f>
        <v>26</v>
      </c>
      <c r="W165" s="1" t="s">
        <v>1560</v>
      </c>
      <c r="X165">
        <v>1629.35</v>
      </c>
      <c r="Y165">
        <v>117.23</v>
      </c>
      <c r="Z165">
        <v>12.338984999999999</v>
      </c>
      <c r="AA165">
        <v>109.19412199999999</v>
      </c>
      <c r="AB165">
        <v>1512.13</v>
      </c>
      <c r="AC165">
        <v>12.265585</v>
      </c>
      <c r="AD165">
        <v>109.196157</v>
      </c>
      <c r="AE165" s="5">
        <f t="shared" si="11"/>
        <v>0.175845</v>
      </c>
      <c r="AF165" s="5">
        <f t="shared" si="12"/>
        <v>2.268195</v>
      </c>
      <c r="AG165" s="1" t="str">
        <f>TRIM(LEFT(L165,FIND("-",L165)-1))</f>
        <v>5.Vạn Ninh</v>
      </c>
      <c r="AH165" s="1" t="str">
        <f>TRIM(RIGHT(L165, LEN(L165) - FIND("-", L165)))</f>
        <v>CAT Khánh Hòa</v>
      </c>
      <c r="AJ165">
        <f t="shared" si="13"/>
        <v>0.11723</v>
      </c>
      <c r="AK165">
        <f t="shared" si="14"/>
        <v>1.5121300000000002</v>
      </c>
      <c r="AL165" t="e">
        <f>VLOOKUP(L165,'[1]Tuyến cáp H04'!$B:$E,3,0)/1000</f>
        <v>#N/A</v>
      </c>
      <c r="AM165" t="e">
        <f>VLOOKUP(L165,'[1]Tuyến cáp H04'!$B:$E,4,0)</f>
        <v>#N/A</v>
      </c>
    </row>
    <row r="166" spans="1:39" x14ac:dyDescent="0.25">
      <c r="A166" s="1" t="s">
        <v>1621</v>
      </c>
      <c r="B166" s="1" t="s">
        <v>557</v>
      </c>
      <c r="C166" s="1" t="s">
        <v>558</v>
      </c>
      <c r="D166" s="1" t="s">
        <v>1622</v>
      </c>
      <c r="E166" s="1" t="s">
        <v>1623</v>
      </c>
      <c r="F166" s="1" t="s">
        <v>1624</v>
      </c>
      <c r="G166" s="1" t="s">
        <v>14281</v>
      </c>
      <c r="H166" s="1" t="s">
        <v>14282</v>
      </c>
      <c r="I166" s="1" t="s">
        <v>14297</v>
      </c>
      <c r="J166" s="1" t="s">
        <v>23</v>
      </c>
      <c r="K166" s="1"/>
      <c r="L166" s="1" t="s">
        <v>1168</v>
      </c>
      <c r="M166" s="8" t="s">
        <v>1168</v>
      </c>
      <c r="N166" s="1" t="b">
        <f t="shared" si="10"/>
        <v>1</v>
      </c>
      <c r="O166" s="1" t="s">
        <v>1625</v>
      </c>
      <c r="P166" s="1" t="s">
        <v>1173</v>
      </c>
      <c r="Q166" s="1" t="s">
        <v>1174</v>
      </c>
      <c r="R166" s="1" t="s">
        <v>1175</v>
      </c>
      <c r="S166" s="1" t="s">
        <v>1626</v>
      </c>
      <c r="T166" s="1" t="s">
        <v>1565</v>
      </c>
      <c r="U166" s="1" t="s">
        <v>1566</v>
      </c>
      <c r="V166" s="13">
        <f>COUNTIF(L166:$M$1659,L166)</f>
        <v>10</v>
      </c>
      <c r="W166" s="1" t="s">
        <v>1176</v>
      </c>
      <c r="X166">
        <v>3745.62</v>
      </c>
      <c r="Y166">
        <v>4.59</v>
      </c>
      <c r="Z166">
        <v>12.540865</v>
      </c>
      <c r="AA166">
        <v>109.00747800000001</v>
      </c>
      <c r="AB166">
        <v>3741.03</v>
      </c>
      <c r="AC166">
        <v>12.507222000000001</v>
      </c>
      <c r="AD166">
        <v>109.072838</v>
      </c>
      <c r="AE166" s="5">
        <f t="shared" si="11"/>
        <v>6.8849999999999996E-3</v>
      </c>
      <c r="AF166" s="5">
        <f t="shared" si="12"/>
        <v>5.6115450000000004</v>
      </c>
      <c r="AG166" s="1" t="str">
        <f>TRIM(LEFT(L166,FIND("-",L166)-1))</f>
        <v>2.CA Nam Ninh Hòa</v>
      </c>
      <c r="AH166" s="1" t="str">
        <f>TRIM(RIGHT(L166, LEN(L166) - FIND("-", L166)))</f>
        <v>CA Tây Ninh Hòa</v>
      </c>
      <c r="AJ166">
        <f t="shared" si="13"/>
        <v>4.5899999999999995E-3</v>
      </c>
      <c r="AK166">
        <f t="shared" si="14"/>
        <v>3.7410300000000003</v>
      </c>
      <c r="AL166" t="e">
        <f>VLOOKUP(L166,'[1]Tuyến cáp H04'!$B:$E,3,0)/1000</f>
        <v>#N/A</v>
      </c>
      <c r="AM166" t="e">
        <f>VLOOKUP(L166,'[1]Tuyến cáp H04'!$B:$E,4,0)</f>
        <v>#N/A</v>
      </c>
    </row>
    <row r="167" spans="1:39" x14ac:dyDescent="0.25">
      <c r="A167" s="1" t="s">
        <v>1627</v>
      </c>
      <c r="B167" s="1" t="s">
        <v>1187</v>
      </c>
      <c r="C167" s="1" t="s">
        <v>1188</v>
      </c>
      <c r="D167" s="1" t="s">
        <v>572</v>
      </c>
      <c r="E167" s="1" t="s">
        <v>573</v>
      </c>
      <c r="F167" s="1" t="s">
        <v>1628</v>
      </c>
      <c r="G167" s="1" t="s">
        <v>14281</v>
      </c>
      <c r="H167" s="1" t="s">
        <v>14282</v>
      </c>
      <c r="I167" s="1" t="s">
        <v>14298</v>
      </c>
      <c r="J167" s="1" t="s">
        <v>23</v>
      </c>
      <c r="K167" s="1"/>
      <c r="L167" s="1" t="s">
        <v>577</v>
      </c>
      <c r="M167" s="8" t="s">
        <v>577</v>
      </c>
      <c r="N167" s="1" t="b">
        <f t="shared" si="10"/>
        <v>1</v>
      </c>
      <c r="O167" s="1" t="s">
        <v>1629</v>
      </c>
      <c r="P167" s="1" t="s">
        <v>1194</v>
      </c>
      <c r="Q167" s="1" t="s">
        <v>1195</v>
      </c>
      <c r="R167" s="1" t="s">
        <v>1196</v>
      </c>
      <c r="S167" s="1" t="s">
        <v>1630</v>
      </c>
      <c r="T167" s="1" t="s">
        <v>1631</v>
      </c>
      <c r="U167" s="1" t="s">
        <v>1632</v>
      </c>
      <c r="V167" s="13">
        <f>COUNTIF(L167:$M$1659,L167)</f>
        <v>12</v>
      </c>
      <c r="W167" s="1" t="s">
        <v>1197</v>
      </c>
      <c r="X167">
        <v>1612.06</v>
      </c>
      <c r="Y167">
        <v>381.98</v>
      </c>
      <c r="Z167">
        <v>12.49287</v>
      </c>
      <c r="AA167">
        <v>109.11403300000001</v>
      </c>
      <c r="AB167">
        <v>1230.07</v>
      </c>
      <c r="AC167">
        <v>12.499727999999999</v>
      </c>
      <c r="AD167">
        <v>109.13266</v>
      </c>
      <c r="AE167" s="5">
        <f t="shared" si="11"/>
        <v>0.57296999999999998</v>
      </c>
      <c r="AF167" s="5">
        <f t="shared" si="12"/>
        <v>1.845105</v>
      </c>
      <c r="AG167" s="1" t="str">
        <f>TRIM(LEFT(L167,FIND("-",L167)-1))</f>
        <v>3.CA Tân Định</v>
      </c>
      <c r="AH167" s="1" t="str">
        <f>TRIM(RIGHT(L167, LEN(L167) - FIND("-", L167)))</f>
        <v>CA Ninh Hòa</v>
      </c>
      <c r="AJ167">
        <f t="shared" si="13"/>
        <v>0.38198000000000004</v>
      </c>
      <c r="AK167">
        <f t="shared" si="14"/>
        <v>1.23007</v>
      </c>
      <c r="AL167" t="e">
        <f>VLOOKUP(L167,'[1]Tuyến cáp H04'!$B:$E,3,0)/1000</f>
        <v>#N/A</v>
      </c>
      <c r="AM167" t="e">
        <f>VLOOKUP(L167,'[1]Tuyến cáp H04'!$B:$E,4,0)</f>
        <v>#N/A</v>
      </c>
    </row>
    <row r="168" spans="1:39" x14ac:dyDescent="0.25">
      <c r="A168" s="1" t="s">
        <v>1633</v>
      </c>
      <c r="B168" s="1" t="s">
        <v>756</v>
      </c>
      <c r="C168" s="1" t="s">
        <v>757</v>
      </c>
      <c r="D168" s="1" t="s">
        <v>1634</v>
      </c>
      <c r="E168" s="1" t="s">
        <v>1635</v>
      </c>
      <c r="F168" s="1" t="s">
        <v>1636</v>
      </c>
      <c r="G168" s="1" t="s">
        <v>14281</v>
      </c>
      <c r="H168" s="1" t="s">
        <v>14282</v>
      </c>
      <c r="I168" s="1" t="s">
        <v>14299</v>
      </c>
      <c r="J168" s="1" t="s">
        <v>23</v>
      </c>
      <c r="K168" s="1"/>
      <c r="L168" s="1" t="s">
        <v>1025</v>
      </c>
      <c r="M168" s="8" t="s">
        <v>1025</v>
      </c>
      <c r="N168" s="1" t="b">
        <f t="shared" si="10"/>
        <v>1</v>
      </c>
      <c r="O168" s="1" t="s">
        <v>1637</v>
      </c>
      <c r="P168" s="1" t="s">
        <v>1030</v>
      </c>
      <c r="Q168" s="1" t="s">
        <v>1031</v>
      </c>
      <c r="R168" s="1" t="s">
        <v>1032</v>
      </c>
      <c r="S168" s="1" t="s">
        <v>1638</v>
      </c>
      <c r="T168" s="1" t="s">
        <v>1639</v>
      </c>
      <c r="U168" s="1" t="s">
        <v>1640</v>
      </c>
      <c r="V168" s="13">
        <f>COUNTIF(L168:$M$1659,L168)</f>
        <v>8</v>
      </c>
      <c r="W168" s="1" t="s">
        <v>1033</v>
      </c>
      <c r="X168">
        <v>1164.23</v>
      </c>
      <c r="Y168">
        <v>487.03</v>
      </c>
      <c r="Z168">
        <v>12.693424</v>
      </c>
      <c r="AA168">
        <v>109.21732799999999</v>
      </c>
      <c r="AB168">
        <v>677.21</v>
      </c>
      <c r="AC168">
        <v>12.731598</v>
      </c>
      <c r="AD168">
        <v>109.264076</v>
      </c>
      <c r="AE168" s="5">
        <f t="shared" si="11"/>
        <v>0.730545</v>
      </c>
      <c r="AF168" s="5">
        <f t="shared" si="12"/>
        <v>1.0158150000000001</v>
      </c>
      <c r="AG168" s="1" t="str">
        <f>TRIM(LEFT(L168,FIND("-",L168)-1))</f>
        <v>4.CA Đại Lãnh</v>
      </c>
      <c r="AH168" s="1" t="str">
        <f>TRIM(RIGHT(L168, LEN(L168) - FIND("-", L168)))</f>
        <v>CA Vạn Ninh</v>
      </c>
      <c r="AJ168">
        <f t="shared" si="13"/>
        <v>0.48702999999999996</v>
      </c>
      <c r="AK168">
        <f t="shared" si="14"/>
        <v>0.67721000000000009</v>
      </c>
      <c r="AL168" t="e">
        <f>VLOOKUP(L168,'[1]Tuyến cáp H04'!$B:$E,3,0)/1000</f>
        <v>#N/A</v>
      </c>
      <c r="AM168" t="e">
        <f>VLOOKUP(L168,'[1]Tuyến cáp H04'!$B:$E,4,0)</f>
        <v>#N/A</v>
      </c>
    </row>
    <row r="169" spans="1:39" x14ac:dyDescent="0.25">
      <c r="A169" s="1" t="s">
        <v>1641</v>
      </c>
      <c r="B169" s="1" t="s">
        <v>1642</v>
      </c>
      <c r="C169" s="1" t="s">
        <v>1643</v>
      </c>
      <c r="D169" s="1" t="s">
        <v>1644</v>
      </c>
      <c r="E169" s="1" t="s">
        <v>1645</v>
      </c>
      <c r="F169" s="1" t="s">
        <v>1646</v>
      </c>
      <c r="G169" s="1" t="s">
        <v>14281</v>
      </c>
      <c r="H169" s="1" t="s">
        <v>14282</v>
      </c>
      <c r="I169" s="1" t="s">
        <v>14300</v>
      </c>
      <c r="J169" s="1" t="s">
        <v>23</v>
      </c>
      <c r="K169" s="1"/>
      <c r="L169" s="1" t="s">
        <v>1647</v>
      </c>
      <c r="M169" s="8" t="s">
        <v>1647</v>
      </c>
      <c r="N169" s="1" t="b">
        <f t="shared" si="10"/>
        <v>1</v>
      </c>
      <c r="O169" s="1" t="s">
        <v>1648</v>
      </c>
      <c r="P169" s="1" t="s">
        <v>1649</v>
      </c>
      <c r="Q169" s="1" t="s">
        <v>1650</v>
      </c>
      <c r="R169" s="1" t="s">
        <v>1651</v>
      </c>
      <c r="S169" s="1" t="s">
        <v>1652</v>
      </c>
      <c r="T169" s="1" t="s">
        <v>1653</v>
      </c>
      <c r="U169" s="1" t="s">
        <v>1654</v>
      </c>
      <c r="V169" s="13">
        <f>COUNTIF(L169:$M$1659,L169)</f>
        <v>10</v>
      </c>
      <c r="W169" s="1" t="s">
        <v>1655</v>
      </c>
      <c r="X169">
        <v>8.64</v>
      </c>
      <c r="Y169">
        <v>2.08</v>
      </c>
      <c r="Z169">
        <v>12.778815</v>
      </c>
      <c r="AA169">
        <v>109.312718</v>
      </c>
      <c r="AB169">
        <v>6.55</v>
      </c>
      <c r="AC169">
        <v>12.803207</v>
      </c>
      <c r="AD169">
        <v>109.33374000000001</v>
      </c>
      <c r="AE169" s="5">
        <f t="shared" si="11"/>
        <v>3.1199999999999999E-3</v>
      </c>
      <c r="AF169" s="5">
        <f t="shared" si="12"/>
        <v>9.8249999999999987E-3</v>
      </c>
      <c r="AG169" s="1" t="str">
        <f>TRIM(LEFT(L169,FIND("-",L169)-1))</f>
        <v>3.CA Tu Bông</v>
      </c>
      <c r="AH169" s="1" t="str">
        <f>TRIM(RIGHT(L169, LEN(L169) - FIND("-", L169)))</f>
        <v>CA Đại Lãnh_Cột trung thế</v>
      </c>
      <c r="AJ169">
        <f t="shared" si="13"/>
        <v>2.0800000000000003E-3</v>
      </c>
      <c r="AK169">
        <f t="shared" si="14"/>
        <v>6.5499999999999994E-3</v>
      </c>
      <c r="AL169" t="e">
        <f>VLOOKUP(L169,'[1]Tuyến cáp H04'!$B:$E,3,0)/1000</f>
        <v>#N/A</v>
      </c>
      <c r="AM169" t="e">
        <f>VLOOKUP(L169,'[1]Tuyến cáp H04'!$B:$E,4,0)</f>
        <v>#N/A</v>
      </c>
    </row>
    <row r="170" spans="1:39" x14ac:dyDescent="0.25">
      <c r="A170" s="1" t="s">
        <v>1656</v>
      </c>
      <c r="B170" s="1" t="s">
        <v>1644</v>
      </c>
      <c r="C170" s="1" t="s">
        <v>1645</v>
      </c>
      <c r="D170" s="1" t="s">
        <v>1539</v>
      </c>
      <c r="E170" s="1" t="s">
        <v>1540</v>
      </c>
      <c r="F170" s="1" t="s">
        <v>1657</v>
      </c>
      <c r="G170" s="1" t="s">
        <v>14281</v>
      </c>
      <c r="H170" s="1" t="s">
        <v>14282</v>
      </c>
      <c r="I170" s="1" t="s">
        <v>14301</v>
      </c>
      <c r="J170" s="1" t="s">
        <v>23</v>
      </c>
      <c r="K170" s="1"/>
      <c r="L170" s="1" t="s">
        <v>1025</v>
      </c>
      <c r="M170" s="8" t="s">
        <v>1025</v>
      </c>
      <c r="N170" s="1" t="b">
        <f t="shared" si="10"/>
        <v>1</v>
      </c>
      <c r="O170" s="1" t="s">
        <v>1658</v>
      </c>
      <c r="P170" s="1" t="s">
        <v>1659</v>
      </c>
      <c r="Q170" s="1" t="s">
        <v>1660</v>
      </c>
      <c r="R170" s="1" t="s">
        <v>1661</v>
      </c>
      <c r="S170" s="1" t="s">
        <v>1662</v>
      </c>
      <c r="T170" s="1" t="s">
        <v>1031</v>
      </c>
      <c r="U170" s="1" t="s">
        <v>1032</v>
      </c>
      <c r="V170" s="13">
        <f>COUNTIF(L170:$M$1659,L170)</f>
        <v>6</v>
      </c>
      <c r="W170" s="1" t="s">
        <v>1033</v>
      </c>
      <c r="X170">
        <v>5977.23</v>
      </c>
      <c r="Y170">
        <v>6.73</v>
      </c>
      <c r="Z170">
        <v>12.8032</v>
      </c>
      <c r="AA170">
        <v>109.33373899999999</v>
      </c>
      <c r="AB170">
        <v>5970.5</v>
      </c>
      <c r="AC170">
        <v>12.693424</v>
      </c>
      <c r="AD170">
        <v>109.21732799999999</v>
      </c>
      <c r="AE170" s="5">
        <f t="shared" si="11"/>
        <v>1.0095E-2</v>
      </c>
      <c r="AF170" s="5">
        <f t="shared" si="12"/>
        <v>8.9557500000000001</v>
      </c>
      <c r="AG170" s="1" t="str">
        <f>TRIM(LEFT(L170,FIND("-",L170)-1))</f>
        <v>4.CA Đại Lãnh</v>
      </c>
      <c r="AH170" s="1" t="str">
        <f>TRIM(RIGHT(L170, LEN(L170) - FIND("-", L170)))</f>
        <v>CA Vạn Ninh</v>
      </c>
      <c r="AJ170">
        <f t="shared" si="13"/>
        <v>6.7300000000000007E-3</v>
      </c>
      <c r="AK170">
        <f t="shared" si="14"/>
        <v>5.9705000000000004</v>
      </c>
      <c r="AL170" t="e">
        <f>VLOOKUP(L170,'[1]Tuyến cáp H04'!$B:$E,3,0)/1000</f>
        <v>#N/A</v>
      </c>
      <c r="AM170" t="e">
        <f>VLOOKUP(L170,'[1]Tuyến cáp H04'!$B:$E,4,0)</f>
        <v>#N/A</v>
      </c>
    </row>
    <row r="171" spans="1:39" x14ac:dyDescent="0.25">
      <c r="A171" s="1" t="s">
        <v>1663</v>
      </c>
      <c r="B171" s="1" t="s">
        <v>756</v>
      </c>
      <c r="C171" s="1" t="s">
        <v>757</v>
      </c>
      <c r="D171" s="1" t="s">
        <v>1664</v>
      </c>
      <c r="E171" s="1" t="s">
        <v>1665</v>
      </c>
      <c r="F171" s="1" t="s">
        <v>1666</v>
      </c>
      <c r="G171" s="1" t="s">
        <v>14281</v>
      </c>
      <c r="H171" s="1" t="s">
        <v>14282</v>
      </c>
      <c r="I171" s="1" t="s">
        <v>14302</v>
      </c>
      <c r="J171" s="1" t="s">
        <v>23</v>
      </c>
      <c r="K171" s="1"/>
      <c r="L171" s="1" t="s">
        <v>1012</v>
      </c>
      <c r="M171" s="8" t="s">
        <v>1012</v>
      </c>
      <c r="N171" s="1" t="b">
        <f t="shared" si="10"/>
        <v>1</v>
      </c>
      <c r="O171" s="1" t="s">
        <v>1667</v>
      </c>
      <c r="P171" s="1" t="s">
        <v>1017</v>
      </c>
      <c r="Q171" s="1" t="s">
        <v>1018</v>
      </c>
      <c r="R171" s="1" t="s">
        <v>1019</v>
      </c>
      <c r="S171" s="1" t="s">
        <v>1668</v>
      </c>
      <c r="T171" s="1" t="s">
        <v>1669</v>
      </c>
      <c r="U171" s="1" t="s">
        <v>1670</v>
      </c>
      <c r="V171" s="13">
        <f>COUNTIF(L171:$M$1659,L171)</f>
        <v>4</v>
      </c>
      <c r="W171" s="1" t="s">
        <v>1020</v>
      </c>
      <c r="X171">
        <v>499.96</v>
      </c>
      <c r="Y171">
        <v>3.57</v>
      </c>
      <c r="Z171">
        <v>12.690783</v>
      </c>
      <c r="AA171">
        <v>109.22087000000001</v>
      </c>
      <c r="AB171">
        <v>496.38</v>
      </c>
      <c r="AC171">
        <v>12.697971000000001</v>
      </c>
      <c r="AD171">
        <v>109.226242</v>
      </c>
      <c r="AE171" s="5">
        <f t="shared" si="11"/>
        <v>5.3549999999999995E-3</v>
      </c>
      <c r="AF171" s="5">
        <f t="shared" si="12"/>
        <v>0.74456999999999995</v>
      </c>
      <c r="AG171" s="1" t="str">
        <f>TRIM(LEFT(L171,FIND("-",L171)-1))</f>
        <v>1.CA Vạn Ninh</v>
      </c>
      <c r="AH171" s="1" t="str">
        <f>TRIM(RIGHT(L171, LEN(L171) - FIND("-", L171)))</f>
        <v>CA Vạn Thắng_Cột trung thế</v>
      </c>
      <c r="AJ171">
        <f t="shared" si="13"/>
        <v>3.5699999999999998E-3</v>
      </c>
      <c r="AK171">
        <f t="shared" si="14"/>
        <v>0.49637999999999999</v>
      </c>
      <c r="AL171" t="e">
        <f>VLOOKUP(L171,'[1]Tuyến cáp H04'!$B:$E,3,0)/1000</f>
        <v>#N/A</v>
      </c>
      <c r="AM171" t="e">
        <f>VLOOKUP(L171,'[1]Tuyến cáp H04'!$B:$E,4,0)</f>
        <v>#N/A</v>
      </c>
    </row>
    <row r="172" spans="1:39" x14ac:dyDescent="0.25">
      <c r="A172" s="1" t="s">
        <v>1671</v>
      </c>
      <c r="B172" s="1" t="s">
        <v>1445</v>
      </c>
      <c r="C172" s="1" t="s">
        <v>1446</v>
      </c>
      <c r="D172" s="1" t="s">
        <v>1672</v>
      </c>
      <c r="E172" s="1" t="s">
        <v>1673</v>
      </c>
      <c r="F172" s="1" t="s">
        <v>1674</v>
      </c>
      <c r="G172" s="1" t="s">
        <v>14281</v>
      </c>
      <c r="H172" s="1" t="s">
        <v>14282</v>
      </c>
      <c r="I172" s="1" t="s">
        <v>14303</v>
      </c>
      <c r="J172" s="1" t="s">
        <v>23</v>
      </c>
      <c r="K172" s="1"/>
      <c r="L172" s="1" t="s">
        <v>1675</v>
      </c>
      <c r="M172" s="8" t="s">
        <v>1675</v>
      </c>
      <c r="N172" s="1" t="b">
        <f t="shared" si="10"/>
        <v>1</v>
      </c>
      <c r="O172" s="1" t="s">
        <v>1676</v>
      </c>
      <c r="P172" s="1" t="s">
        <v>1677</v>
      </c>
      <c r="Q172" s="1" t="s">
        <v>1678</v>
      </c>
      <c r="R172" s="1" t="s">
        <v>1679</v>
      </c>
      <c r="S172" s="1" t="s">
        <v>1680</v>
      </c>
      <c r="T172" s="1" t="s">
        <v>1681</v>
      </c>
      <c r="U172" s="1" t="s">
        <v>1682</v>
      </c>
      <c r="V172" s="13">
        <f>COUNTIF(L172:$M$1659,L172)</f>
        <v>4</v>
      </c>
      <c r="W172" s="1" t="s">
        <v>1683</v>
      </c>
      <c r="X172">
        <v>1157.51</v>
      </c>
      <c r="Y172">
        <v>5.23</v>
      </c>
      <c r="Z172">
        <v>12.555443</v>
      </c>
      <c r="AA172">
        <v>109.217606</v>
      </c>
      <c r="AB172">
        <v>1152.28</v>
      </c>
      <c r="AC172">
        <v>12.543041000000001</v>
      </c>
      <c r="AD172">
        <v>109.215219</v>
      </c>
      <c r="AE172" s="5">
        <f t="shared" si="11"/>
        <v>7.8450000000000013E-3</v>
      </c>
      <c r="AF172" s="5">
        <f t="shared" si="12"/>
        <v>1.7284200000000001</v>
      </c>
      <c r="AG172" s="1" t="str">
        <f>TRIM(LEFT(L172,FIND("-",L172)-1))</f>
        <v>1.CA Ninh Hòa</v>
      </c>
      <c r="AH172" s="1" t="str">
        <f>TRIM(RIGHT(L172, LEN(L172) - FIND("-", L172)))</f>
        <v>CA Đông Ninh Hòa_Đoạn cột trung thế</v>
      </c>
      <c r="AJ172">
        <f t="shared" si="13"/>
        <v>5.2300000000000003E-3</v>
      </c>
      <c r="AK172">
        <f t="shared" si="14"/>
        <v>1.15228</v>
      </c>
      <c r="AL172" t="e">
        <f>VLOOKUP(L172,'[1]Tuyến cáp H04'!$B:$E,3,0)/1000</f>
        <v>#N/A</v>
      </c>
      <c r="AM172" t="e">
        <f>VLOOKUP(L172,'[1]Tuyến cáp H04'!$B:$E,4,0)</f>
        <v>#N/A</v>
      </c>
    </row>
    <row r="173" spans="1:39" x14ac:dyDescent="0.25">
      <c r="A173" s="1" t="s">
        <v>1684</v>
      </c>
      <c r="B173" s="1" t="s">
        <v>1685</v>
      </c>
      <c r="C173" s="1" t="s">
        <v>1686</v>
      </c>
      <c r="D173" s="1" t="s">
        <v>1687</v>
      </c>
      <c r="E173" s="1" t="s">
        <v>1688</v>
      </c>
      <c r="F173" s="1" t="s">
        <v>1689</v>
      </c>
      <c r="G173" s="1" t="s">
        <v>14281</v>
      </c>
      <c r="H173" s="1" t="s">
        <v>14282</v>
      </c>
      <c r="I173" s="1" t="s">
        <v>14304</v>
      </c>
      <c r="J173" s="1" t="s">
        <v>23</v>
      </c>
      <c r="K173" s="1"/>
      <c r="L173" s="1" t="s">
        <v>747</v>
      </c>
      <c r="M173" s="8" t="s">
        <v>747</v>
      </c>
      <c r="N173" s="1" t="b">
        <f t="shared" si="10"/>
        <v>1</v>
      </c>
      <c r="O173" s="1" t="s">
        <v>1690</v>
      </c>
      <c r="P173" s="1" t="s">
        <v>1691</v>
      </c>
      <c r="Q173" s="1" t="s">
        <v>1692</v>
      </c>
      <c r="R173" s="1" t="s">
        <v>1693</v>
      </c>
      <c r="S173" s="1" t="s">
        <v>1694</v>
      </c>
      <c r="T173" s="1" t="s">
        <v>1695</v>
      </c>
      <c r="U173" s="1" t="s">
        <v>1696</v>
      </c>
      <c r="V173" s="13">
        <f>COUNTIF(L173:$M$1659,L173)</f>
        <v>2</v>
      </c>
      <c r="W173" s="1" t="s">
        <v>754</v>
      </c>
      <c r="X173">
        <v>742.02</v>
      </c>
      <c r="Y173">
        <v>467.73</v>
      </c>
      <c r="Z173">
        <v>12.533543</v>
      </c>
      <c r="AA173">
        <v>109.16426800000001</v>
      </c>
      <c r="AB173">
        <v>274.29000000000002</v>
      </c>
      <c r="AC173">
        <v>12.505212999999999</v>
      </c>
      <c r="AD173">
        <v>109.141811</v>
      </c>
      <c r="AE173" s="5">
        <f t="shared" si="11"/>
        <v>0.70159500000000008</v>
      </c>
      <c r="AF173" s="5">
        <f t="shared" si="12"/>
        <v>0.41143500000000005</v>
      </c>
      <c r="AG173" s="1" t="str">
        <f>TRIM(LEFT(L173,FIND("-",L173)-1))</f>
        <v>5.Trạm CSGT Ninh An cũ</v>
      </c>
      <c r="AH173" s="1" t="str">
        <f>TRIM(RIGHT(L173, LEN(L173) - FIND("-", L173)))</f>
        <v>Ninh Hòa</v>
      </c>
      <c r="AJ173">
        <f t="shared" si="13"/>
        <v>0.46773000000000003</v>
      </c>
      <c r="AK173">
        <f t="shared" si="14"/>
        <v>0.27429000000000003</v>
      </c>
      <c r="AL173" t="e">
        <f>VLOOKUP(L173,'[1]Tuyến cáp H04'!$B:$E,3,0)/1000</f>
        <v>#N/A</v>
      </c>
      <c r="AM173" t="e">
        <f>VLOOKUP(L173,'[1]Tuyến cáp H04'!$B:$E,4,0)</f>
        <v>#N/A</v>
      </c>
    </row>
    <row r="174" spans="1:39" x14ac:dyDescent="0.25">
      <c r="A174" s="1" t="s">
        <v>1517</v>
      </c>
      <c r="B174" s="1" t="s">
        <v>77</v>
      </c>
      <c r="C174" s="1" t="s">
        <v>78</v>
      </c>
      <c r="D174" s="1" t="s">
        <v>94</v>
      </c>
      <c r="E174" s="1" t="s">
        <v>95</v>
      </c>
      <c r="F174" s="1" t="s">
        <v>1518</v>
      </c>
      <c r="G174" s="1" t="s">
        <v>14281</v>
      </c>
      <c r="H174" s="1" t="s">
        <v>14282</v>
      </c>
      <c r="I174" s="1" t="s">
        <v>14283</v>
      </c>
      <c r="J174" s="1" t="s">
        <v>23</v>
      </c>
      <c r="K174" s="1"/>
      <c r="L174" s="1" t="s">
        <v>82</v>
      </c>
      <c r="M174" s="8" t="s">
        <v>82</v>
      </c>
      <c r="N174" s="1" t="b">
        <f t="shared" si="10"/>
        <v>1</v>
      </c>
      <c r="O174" s="1" t="s">
        <v>1519</v>
      </c>
      <c r="P174" s="1" t="s">
        <v>84</v>
      </c>
      <c r="Q174" s="1" t="s">
        <v>85</v>
      </c>
      <c r="R174" s="1" t="s">
        <v>86</v>
      </c>
      <c r="S174" s="1" t="s">
        <v>1520</v>
      </c>
      <c r="T174" s="1" t="s">
        <v>1408</v>
      </c>
      <c r="U174" s="1" t="s">
        <v>1409</v>
      </c>
      <c r="V174" s="13">
        <f>COUNTIF(L174:$M$1659,L174)</f>
        <v>2</v>
      </c>
      <c r="W174" s="1" t="s">
        <v>90</v>
      </c>
      <c r="X174">
        <v>2190.4299999999998</v>
      </c>
      <c r="Y174">
        <v>9.18</v>
      </c>
      <c r="Z174">
        <v>12.175753</v>
      </c>
      <c r="AA174">
        <v>109.173635</v>
      </c>
      <c r="AB174">
        <v>2181.2399999999998</v>
      </c>
      <c r="AC174">
        <v>12.235105000000001</v>
      </c>
      <c r="AD174">
        <v>109.18385600000001</v>
      </c>
      <c r="AE174" s="5">
        <f t="shared" si="11"/>
        <v>1.3769999999999999E-2</v>
      </c>
      <c r="AF174" s="5">
        <f t="shared" si="12"/>
        <v>3.2718599999999998</v>
      </c>
      <c r="AG174" s="1" t="str">
        <f>TRIM(LEFT(L174,FIND("-",L174)-1))</f>
        <v>3.PA06 cs2</v>
      </c>
      <c r="AH174" s="1" t="str">
        <f>TRIM(RIGHT(L174, LEN(L174) - FIND("-", L174)))</f>
        <v>PC11a</v>
      </c>
      <c r="AJ174">
        <f t="shared" si="13"/>
        <v>9.1799999999999989E-3</v>
      </c>
      <c r="AK174">
        <f t="shared" si="14"/>
        <v>2.1812399999999998</v>
      </c>
      <c r="AL174" t="e">
        <f>VLOOKUP(L174,'[1]Tuyến cáp H04'!$B:$E,3,0)/1000</f>
        <v>#N/A</v>
      </c>
      <c r="AM174" t="e">
        <f>VLOOKUP(L174,'[1]Tuyến cáp H04'!$B:$E,4,0)</f>
        <v>#N/A</v>
      </c>
    </row>
    <row r="175" spans="1:39" x14ac:dyDescent="0.25">
      <c r="A175" s="1" t="s">
        <v>1578</v>
      </c>
      <c r="B175" s="1" t="s">
        <v>612</v>
      </c>
      <c r="C175" s="1" t="s">
        <v>613</v>
      </c>
      <c r="D175" s="1" t="s">
        <v>362</v>
      </c>
      <c r="E175" s="1" t="s">
        <v>363</v>
      </c>
      <c r="F175" s="1" t="s">
        <v>1579</v>
      </c>
      <c r="G175" s="1" t="s">
        <v>14281</v>
      </c>
      <c r="H175" s="1" t="s">
        <v>14282</v>
      </c>
      <c r="I175" s="1" t="s">
        <v>14290</v>
      </c>
      <c r="J175" s="1" t="s">
        <v>23</v>
      </c>
      <c r="K175" s="1"/>
      <c r="L175" s="1" t="s">
        <v>886</v>
      </c>
      <c r="M175" s="8" t="s">
        <v>886</v>
      </c>
      <c r="N175" s="1" t="b">
        <f t="shared" si="10"/>
        <v>1</v>
      </c>
      <c r="O175" s="1" t="s">
        <v>1580</v>
      </c>
      <c r="P175" s="1" t="s">
        <v>1581</v>
      </c>
      <c r="Q175" s="1" t="s">
        <v>1582</v>
      </c>
      <c r="R175" s="1" t="s">
        <v>1583</v>
      </c>
      <c r="S175" s="1" t="s">
        <v>888</v>
      </c>
      <c r="T175" s="1" t="s">
        <v>889</v>
      </c>
      <c r="U175" s="1" t="s">
        <v>890</v>
      </c>
      <c r="V175" s="13">
        <f>COUNTIF(L175:$M$1659,L175)</f>
        <v>2</v>
      </c>
      <c r="W175" s="1" t="s">
        <v>894</v>
      </c>
      <c r="X175">
        <v>445.58</v>
      </c>
      <c r="Y175">
        <v>320.16000000000003</v>
      </c>
      <c r="Z175">
        <v>11.923038</v>
      </c>
      <c r="AA175">
        <v>109.165192</v>
      </c>
      <c r="AB175">
        <v>125.41</v>
      </c>
      <c r="AC175">
        <v>11.976637</v>
      </c>
      <c r="AD175">
        <v>109.19564699999999</v>
      </c>
      <c r="AE175" s="5">
        <f t="shared" si="11"/>
        <v>0.48024</v>
      </c>
      <c r="AF175" s="5">
        <f t="shared" si="12"/>
        <v>0.188115</v>
      </c>
      <c r="AG175" s="1" t="str">
        <f>TRIM(LEFT(L175,FIND("-",L175)-1))</f>
        <v>1.CA Cam Ranh</v>
      </c>
      <c r="AH175" s="1" t="str">
        <f>TRIM(RIGHT(L175, LEN(L175) - FIND("-", L175)))</f>
        <v>CA Bắc Cam Ranh</v>
      </c>
      <c r="AJ175">
        <f t="shared" si="13"/>
        <v>0.32016</v>
      </c>
      <c r="AK175">
        <f t="shared" si="14"/>
        <v>0.12540999999999999</v>
      </c>
      <c r="AL175" t="e">
        <f>VLOOKUP(L175,'[1]Tuyến cáp H04'!$B:$E,3,0)/1000</f>
        <v>#N/A</v>
      </c>
      <c r="AM175" t="e">
        <f>VLOOKUP(L175,'[1]Tuyến cáp H04'!$B:$E,4,0)</f>
        <v>#N/A</v>
      </c>
    </row>
    <row r="176" spans="1:39" x14ac:dyDescent="0.25">
      <c r="A176" s="1" t="s">
        <v>1584</v>
      </c>
      <c r="B176" s="1" t="s">
        <v>362</v>
      </c>
      <c r="C176" s="1" t="s">
        <v>363</v>
      </c>
      <c r="D176" s="1" t="s">
        <v>780</v>
      </c>
      <c r="E176" s="1" t="s">
        <v>781</v>
      </c>
      <c r="F176" s="1" t="s">
        <v>1585</v>
      </c>
      <c r="G176" s="1" t="s">
        <v>14281</v>
      </c>
      <c r="H176" s="1" t="s">
        <v>14282</v>
      </c>
      <c r="I176" s="1" t="s">
        <v>14291</v>
      </c>
      <c r="J176" s="1" t="s">
        <v>23</v>
      </c>
      <c r="K176" s="1"/>
      <c r="L176" s="1" t="s">
        <v>861</v>
      </c>
      <c r="M176" s="8" t="s">
        <v>861</v>
      </c>
      <c r="N176" s="1" t="b">
        <f t="shared" si="10"/>
        <v>1</v>
      </c>
      <c r="O176" s="1" t="s">
        <v>1586</v>
      </c>
      <c r="P176" s="1" t="s">
        <v>863</v>
      </c>
      <c r="Q176" s="1" t="s">
        <v>864</v>
      </c>
      <c r="R176" s="1" t="s">
        <v>865</v>
      </c>
      <c r="S176" s="1" t="s">
        <v>911</v>
      </c>
      <c r="T176" s="1" t="s">
        <v>912</v>
      </c>
      <c r="U176" s="1" t="s">
        <v>913</v>
      </c>
      <c r="V176" s="13">
        <f>COUNTIF(L176:$M$1659,L176)</f>
        <v>8</v>
      </c>
      <c r="W176" s="1" t="s">
        <v>869</v>
      </c>
      <c r="X176">
        <v>680.22</v>
      </c>
      <c r="Y176">
        <v>674.9</v>
      </c>
      <c r="Z176">
        <v>11.970426</v>
      </c>
      <c r="AA176">
        <v>109.192857</v>
      </c>
      <c r="AB176">
        <v>5.32</v>
      </c>
      <c r="AC176">
        <v>12.074472</v>
      </c>
      <c r="AD176">
        <v>109.168063</v>
      </c>
      <c r="AE176" s="5">
        <f t="shared" si="11"/>
        <v>1.0123499999999999</v>
      </c>
      <c r="AF176" s="5">
        <f t="shared" si="12"/>
        <v>7.980000000000001E-3</v>
      </c>
      <c r="AG176" s="1" t="str">
        <f>TRIM(LEFT(L176,FIND("-",L176)-1))</f>
        <v>2.Cam Lâm</v>
      </c>
      <c r="AH176" s="1" t="str">
        <f>TRIM(RIGHT(L176, LEN(L176) - FIND("-", L176)))</f>
        <v>Cam Ranh</v>
      </c>
      <c r="AJ176">
        <f t="shared" si="13"/>
        <v>0.67489999999999994</v>
      </c>
      <c r="AK176">
        <f t="shared" si="14"/>
        <v>5.3200000000000001E-3</v>
      </c>
      <c r="AL176" t="e">
        <f>VLOOKUP(L176,'[1]Tuyến cáp H04'!$B:$E,3,0)/1000</f>
        <v>#N/A</v>
      </c>
      <c r="AM176" t="e">
        <f>VLOOKUP(L176,'[1]Tuyến cáp H04'!$B:$E,4,0)</f>
        <v>#N/A</v>
      </c>
    </row>
    <row r="177" spans="1:39" x14ac:dyDescent="0.25">
      <c r="A177" s="1" t="s">
        <v>1697</v>
      </c>
      <c r="B177" s="1" t="s">
        <v>1360</v>
      </c>
      <c r="C177" s="1" t="s">
        <v>1361</v>
      </c>
      <c r="D177" s="1" t="s">
        <v>393</v>
      </c>
      <c r="E177" s="1" t="s">
        <v>394</v>
      </c>
      <c r="F177" s="1" t="s">
        <v>1698</v>
      </c>
      <c r="G177" s="1" t="s">
        <v>14281</v>
      </c>
      <c r="H177" s="1" t="s">
        <v>14282</v>
      </c>
      <c r="I177" s="1" t="s">
        <v>14305</v>
      </c>
      <c r="J177" s="1" t="s">
        <v>23</v>
      </c>
      <c r="K177" s="1"/>
      <c r="L177" s="1" t="s">
        <v>1569</v>
      </c>
      <c r="M177" s="8" t="s">
        <v>1569</v>
      </c>
      <c r="N177" s="1" t="b">
        <f t="shared" si="10"/>
        <v>1</v>
      </c>
      <c r="O177" s="1" t="s">
        <v>1699</v>
      </c>
      <c r="P177" s="1" t="s">
        <v>1700</v>
      </c>
      <c r="Q177" s="1" t="s">
        <v>1701</v>
      </c>
      <c r="R177" s="1" t="s">
        <v>1702</v>
      </c>
      <c r="S177" s="1" t="s">
        <v>1571</v>
      </c>
      <c r="T177" s="1" t="s">
        <v>1572</v>
      </c>
      <c r="U177" s="1" t="s">
        <v>1573</v>
      </c>
      <c r="V177" s="13">
        <f>COUNTIF(L177:$M$1659,L177)</f>
        <v>6</v>
      </c>
      <c r="W177" s="1" t="s">
        <v>1577</v>
      </c>
      <c r="X177">
        <v>1566.48</v>
      </c>
      <c r="Y177">
        <v>818.28</v>
      </c>
      <c r="Z177">
        <v>12.25568</v>
      </c>
      <c r="AA177">
        <v>109.086596</v>
      </c>
      <c r="AB177">
        <v>748.2</v>
      </c>
      <c r="AC177">
        <v>12.262793</v>
      </c>
      <c r="AD177">
        <v>109.03595900000001</v>
      </c>
      <c r="AE177" s="5">
        <f t="shared" si="11"/>
        <v>1.2274200000000002</v>
      </c>
      <c r="AF177" s="5">
        <f t="shared" si="12"/>
        <v>1.1223000000000001</v>
      </c>
      <c r="AG177" s="1" t="str">
        <f>TRIM(LEFT(L177,FIND("-",L177)-1))</f>
        <v>4.CA Diên Thọ</v>
      </c>
      <c r="AH177" s="1" t="str">
        <f>TRIM(RIGHT(L177, LEN(L177) - FIND("-", L177)))</f>
        <v>CA Diên Khánh</v>
      </c>
      <c r="AJ177">
        <f t="shared" si="13"/>
        <v>0.81828000000000001</v>
      </c>
      <c r="AK177">
        <f t="shared" si="14"/>
        <v>0.74820000000000009</v>
      </c>
      <c r="AL177" t="e">
        <f>VLOOKUP(L177,'[1]Tuyến cáp H04'!$B:$E,3,0)/1000</f>
        <v>#N/A</v>
      </c>
      <c r="AM177" t="e">
        <f>VLOOKUP(L177,'[1]Tuyến cáp H04'!$B:$E,4,0)</f>
        <v>#N/A</v>
      </c>
    </row>
    <row r="178" spans="1:39" x14ac:dyDescent="0.25">
      <c r="A178" s="1" t="s">
        <v>1703</v>
      </c>
      <c r="B178" s="1" t="s">
        <v>1360</v>
      </c>
      <c r="C178" s="1" t="s">
        <v>1361</v>
      </c>
      <c r="D178" s="1" t="s">
        <v>557</v>
      </c>
      <c r="E178" s="1" t="s">
        <v>558</v>
      </c>
      <c r="F178" s="1" t="s">
        <v>1704</v>
      </c>
      <c r="G178" s="1" t="s">
        <v>14281</v>
      </c>
      <c r="H178" s="1" t="s">
        <v>14282</v>
      </c>
      <c r="I178" s="1" t="s">
        <v>14306</v>
      </c>
      <c r="J178" s="1" t="s">
        <v>23</v>
      </c>
      <c r="K178" s="1"/>
      <c r="L178" s="1" t="s">
        <v>1552</v>
      </c>
      <c r="M178" s="8" t="s">
        <v>1552</v>
      </c>
      <c r="N178" s="1" t="b">
        <f t="shared" si="10"/>
        <v>1</v>
      </c>
      <c r="O178" s="1" t="s">
        <v>1705</v>
      </c>
      <c r="P178" s="1" t="s">
        <v>1706</v>
      </c>
      <c r="Q178" s="1" t="s">
        <v>1707</v>
      </c>
      <c r="R178" s="1" t="s">
        <v>1708</v>
      </c>
      <c r="S178" s="1" t="s">
        <v>1709</v>
      </c>
      <c r="T178" s="1" t="s">
        <v>1710</v>
      </c>
      <c r="U178" s="1" t="s">
        <v>1711</v>
      </c>
      <c r="V178" s="13">
        <f>COUNTIF(L178:$M$1659,L178)</f>
        <v>24</v>
      </c>
      <c r="W178" s="1" t="s">
        <v>1560</v>
      </c>
      <c r="X178">
        <v>25735.56</v>
      </c>
      <c r="Y178">
        <v>10890.65</v>
      </c>
      <c r="Z178">
        <v>12.292956999999999</v>
      </c>
      <c r="AA178">
        <v>109.187048</v>
      </c>
      <c r="AB178">
        <v>14844.91</v>
      </c>
      <c r="AC178">
        <v>12.501725</v>
      </c>
      <c r="AD178">
        <v>109.13825799999999</v>
      </c>
      <c r="AE178" s="5">
        <f t="shared" si="11"/>
        <v>16.335974999999998</v>
      </c>
      <c r="AF178" s="5">
        <f t="shared" si="12"/>
        <v>22.267364999999998</v>
      </c>
      <c r="AG178" s="1" t="str">
        <f>TRIM(LEFT(L178,FIND("-",L178)-1))</f>
        <v>5.Vạn Ninh</v>
      </c>
      <c r="AH178" s="1" t="str">
        <f>TRIM(RIGHT(L178, LEN(L178) - FIND("-", L178)))</f>
        <v>CAT Khánh Hòa</v>
      </c>
      <c r="AJ178">
        <f t="shared" si="13"/>
        <v>10.890649999999999</v>
      </c>
      <c r="AK178">
        <f t="shared" si="14"/>
        <v>14.84491</v>
      </c>
      <c r="AL178" t="e">
        <f>VLOOKUP(L178,'[1]Tuyến cáp H04'!$B:$E,3,0)/1000</f>
        <v>#N/A</v>
      </c>
      <c r="AM178" t="e">
        <f>VLOOKUP(L178,'[1]Tuyến cáp H04'!$B:$E,4,0)</f>
        <v>#N/A</v>
      </c>
    </row>
    <row r="179" spans="1:39" x14ac:dyDescent="0.25">
      <c r="A179" s="1" t="s">
        <v>1712</v>
      </c>
      <c r="B179" s="1" t="s">
        <v>1713</v>
      </c>
      <c r="C179" s="1" t="s">
        <v>1714</v>
      </c>
      <c r="D179" s="1" t="s">
        <v>572</v>
      </c>
      <c r="E179" s="1" t="s">
        <v>573</v>
      </c>
      <c r="F179" s="1" t="s">
        <v>1715</v>
      </c>
      <c r="G179" s="1" t="s">
        <v>14281</v>
      </c>
      <c r="H179" s="1" t="s">
        <v>14282</v>
      </c>
      <c r="I179" s="1" t="s">
        <v>14307</v>
      </c>
      <c r="J179" s="1" t="s">
        <v>23</v>
      </c>
      <c r="K179" s="1"/>
      <c r="L179" s="1" t="s">
        <v>1529</v>
      </c>
      <c r="M179" s="8" t="s">
        <v>1529</v>
      </c>
      <c r="N179" s="1" t="b">
        <f t="shared" si="10"/>
        <v>1</v>
      </c>
      <c r="O179" s="1" t="s">
        <v>1716</v>
      </c>
      <c r="P179" s="1" t="s">
        <v>1717</v>
      </c>
      <c r="Q179" s="1" t="s">
        <v>1718</v>
      </c>
      <c r="R179" s="1" t="s">
        <v>1719</v>
      </c>
      <c r="S179" s="1" t="s">
        <v>1720</v>
      </c>
      <c r="T179" s="1" t="s">
        <v>1721</v>
      </c>
      <c r="U179" s="1" t="s">
        <v>1722</v>
      </c>
      <c r="V179" s="13">
        <f>COUNTIF(L179:$M$1659,L179)</f>
        <v>8</v>
      </c>
      <c r="W179" s="1" t="s">
        <v>1537</v>
      </c>
      <c r="X179">
        <v>115.8</v>
      </c>
      <c r="Y179">
        <v>110.58</v>
      </c>
      <c r="Z179">
        <v>12.630297000000001</v>
      </c>
      <c r="AA179">
        <v>109.187321</v>
      </c>
      <c r="AB179">
        <v>5.22</v>
      </c>
      <c r="AC179">
        <v>12.509763</v>
      </c>
      <c r="AD179">
        <v>109.13746500000001</v>
      </c>
      <c r="AE179" s="5">
        <f t="shared" si="11"/>
        <v>0.16587000000000002</v>
      </c>
      <c r="AF179" s="5">
        <f t="shared" si="12"/>
        <v>7.8300000000000002E-3</v>
      </c>
      <c r="AG179" s="1" t="str">
        <f>TRIM(LEFT(L179,FIND("-",L179)-1))</f>
        <v>4.Ninh Hòa</v>
      </c>
      <c r="AH179" s="1" t="str">
        <f>TRIM(RIGHT(L179, LEN(L179) - FIND("-", L179)))</f>
        <v>Vạn Ninh</v>
      </c>
      <c r="AJ179">
        <f t="shared" si="13"/>
        <v>0.11058</v>
      </c>
      <c r="AK179">
        <f t="shared" si="14"/>
        <v>5.2199999999999998E-3</v>
      </c>
      <c r="AL179" t="e">
        <f>VLOOKUP(L179,'[1]Tuyến cáp H04'!$B:$E,3,0)/1000</f>
        <v>#N/A</v>
      </c>
      <c r="AM179" t="e">
        <f>VLOOKUP(L179,'[1]Tuyến cáp H04'!$B:$E,4,0)</f>
        <v>#N/A</v>
      </c>
    </row>
    <row r="180" spans="1:39" x14ac:dyDescent="0.25">
      <c r="A180" s="1" t="s">
        <v>1703</v>
      </c>
      <c r="B180" s="1" t="s">
        <v>1360</v>
      </c>
      <c r="C180" s="1" t="s">
        <v>1361</v>
      </c>
      <c r="D180" s="1" t="s">
        <v>557</v>
      </c>
      <c r="E180" s="1" t="s">
        <v>558</v>
      </c>
      <c r="F180" s="1" t="s">
        <v>1704</v>
      </c>
      <c r="G180" s="1" t="s">
        <v>14281</v>
      </c>
      <c r="H180" s="1" t="s">
        <v>14282</v>
      </c>
      <c r="I180" s="1" t="s">
        <v>14306</v>
      </c>
      <c r="J180" s="1" t="s">
        <v>23</v>
      </c>
      <c r="K180" s="1"/>
      <c r="L180" s="1" t="s">
        <v>1552</v>
      </c>
      <c r="M180" s="8" t="s">
        <v>1552</v>
      </c>
      <c r="N180" s="1" t="b">
        <f t="shared" si="10"/>
        <v>1</v>
      </c>
      <c r="O180" s="1" t="s">
        <v>1705</v>
      </c>
      <c r="P180" s="1" t="s">
        <v>1706</v>
      </c>
      <c r="Q180" s="1" t="s">
        <v>1707</v>
      </c>
      <c r="R180" s="1" t="s">
        <v>1708</v>
      </c>
      <c r="S180" s="1" t="s">
        <v>1709</v>
      </c>
      <c r="T180" s="1" t="s">
        <v>1710</v>
      </c>
      <c r="U180" s="1" t="s">
        <v>1711</v>
      </c>
      <c r="V180" s="13">
        <f>COUNTIF(L180:$M$1659,L180)</f>
        <v>22</v>
      </c>
      <c r="W180" s="1" t="s">
        <v>1560</v>
      </c>
      <c r="X180">
        <v>25735.56</v>
      </c>
      <c r="Y180">
        <v>10890.65</v>
      </c>
      <c r="Z180">
        <v>12.292956999999999</v>
      </c>
      <c r="AA180">
        <v>109.187048</v>
      </c>
      <c r="AB180">
        <v>14844.91</v>
      </c>
      <c r="AC180">
        <v>12.501725</v>
      </c>
      <c r="AD180">
        <v>109.13825799999999</v>
      </c>
      <c r="AE180" s="5">
        <f t="shared" si="11"/>
        <v>16.335974999999998</v>
      </c>
      <c r="AF180" s="5">
        <f t="shared" si="12"/>
        <v>22.267364999999998</v>
      </c>
      <c r="AG180" s="1" t="str">
        <f>TRIM(LEFT(L180,FIND("-",L180)-1))</f>
        <v>5.Vạn Ninh</v>
      </c>
      <c r="AH180" s="1" t="str">
        <f>TRIM(RIGHT(L180, LEN(L180) - FIND("-", L180)))</f>
        <v>CAT Khánh Hòa</v>
      </c>
      <c r="AJ180">
        <f t="shared" si="13"/>
        <v>10.890649999999999</v>
      </c>
      <c r="AK180">
        <f t="shared" si="14"/>
        <v>14.84491</v>
      </c>
      <c r="AL180" t="e">
        <f>VLOOKUP(L180,'[1]Tuyến cáp H04'!$B:$E,3,0)/1000</f>
        <v>#N/A</v>
      </c>
      <c r="AM180" t="e">
        <f>VLOOKUP(L180,'[1]Tuyến cáp H04'!$B:$E,4,0)</f>
        <v>#N/A</v>
      </c>
    </row>
    <row r="181" spans="1:39" x14ac:dyDescent="0.25">
      <c r="A181" s="1" t="s">
        <v>1723</v>
      </c>
      <c r="B181" s="1" t="s">
        <v>812</v>
      </c>
      <c r="C181" s="1" t="s">
        <v>813</v>
      </c>
      <c r="D181" s="1" t="s">
        <v>612</v>
      </c>
      <c r="E181" s="1" t="s">
        <v>613</v>
      </c>
      <c r="F181" s="1" t="s">
        <v>1724</v>
      </c>
      <c r="G181" s="1" t="s">
        <v>14281</v>
      </c>
      <c r="H181" s="1" t="s">
        <v>14282</v>
      </c>
      <c r="I181" s="1" t="s">
        <v>14308</v>
      </c>
      <c r="J181" s="1" t="s">
        <v>23</v>
      </c>
      <c r="K181" s="1"/>
      <c r="L181" s="1" t="s">
        <v>861</v>
      </c>
      <c r="M181" s="8" t="s">
        <v>861</v>
      </c>
      <c r="N181" s="1" t="b">
        <f t="shared" si="10"/>
        <v>1</v>
      </c>
      <c r="O181" s="1" t="s">
        <v>1725</v>
      </c>
      <c r="P181" s="1" t="s">
        <v>1726</v>
      </c>
      <c r="Q181" s="1" t="s">
        <v>1727</v>
      </c>
      <c r="R181" s="1" t="s">
        <v>1728</v>
      </c>
      <c r="S181" s="1" t="s">
        <v>1729</v>
      </c>
      <c r="T181" s="1" t="s">
        <v>1730</v>
      </c>
      <c r="U181" s="1" t="s">
        <v>1731</v>
      </c>
      <c r="V181" s="13">
        <f>COUNTIF(L181:$M$1659,L181)</f>
        <v>6</v>
      </c>
      <c r="W181" s="1" t="s">
        <v>869</v>
      </c>
      <c r="X181">
        <v>415.75</v>
      </c>
      <c r="Y181">
        <v>98.97</v>
      </c>
      <c r="Z181">
        <v>12.063228000000001</v>
      </c>
      <c r="AA181">
        <v>109.15919100000001</v>
      </c>
      <c r="AB181">
        <v>316.77999999999997</v>
      </c>
      <c r="AC181">
        <v>11.923064</v>
      </c>
      <c r="AD181">
        <v>109.165175</v>
      </c>
      <c r="AE181" s="5">
        <f t="shared" si="11"/>
        <v>0.14845499999999998</v>
      </c>
      <c r="AF181" s="5">
        <f t="shared" si="12"/>
        <v>0.47516999999999998</v>
      </c>
      <c r="AG181" s="1" t="str">
        <f>TRIM(LEFT(L181,FIND("-",L181)-1))</f>
        <v>2.Cam Lâm</v>
      </c>
      <c r="AH181" s="1" t="str">
        <f>TRIM(RIGHT(L181, LEN(L181) - FIND("-", L181)))</f>
        <v>Cam Ranh</v>
      </c>
      <c r="AJ181">
        <f t="shared" si="13"/>
        <v>9.8970000000000002E-2</v>
      </c>
      <c r="AK181">
        <f t="shared" si="14"/>
        <v>0.31677999999999995</v>
      </c>
      <c r="AL181" t="e">
        <f>VLOOKUP(L181,'[1]Tuyến cáp H04'!$B:$E,3,0)/1000</f>
        <v>#N/A</v>
      </c>
      <c r="AM181" t="e">
        <f>VLOOKUP(L181,'[1]Tuyến cáp H04'!$B:$E,4,0)</f>
        <v>#N/A</v>
      </c>
    </row>
    <row r="182" spans="1:39" x14ac:dyDescent="0.25">
      <c r="A182" s="1" t="s">
        <v>1732</v>
      </c>
      <c r="B182" s="1" t="s">
        <v>1588</v>
      </c>
      <c r="C182" s="1" t="s">
        <v>1589</v>
      </c>
      <c r="D182" s="1" t="s">
        <v>1152</v>
      </c>
      <c r="E182" s="1" t="s">
        <v>1153</v>
      </c>
      <c r="F182" s="1" t="s">
        <v>1733</v>
      </c>
      <c r="G182" s="1" t="s">
        <v>14281</v>
      </c>
      <c r="H182" s="1" t="s">
        <v>14282</v>
      </c>
      <c r="I182" s="1" t="s">
        <v>14309</v>
      </c>
      <c r="J182" s="1" t="s">
        <v>23</v>
      </c>
      <c r="K182" s="1"/>
      <c r="L182" s="1" t="s">
        <v>1734</v>
      </c>
      <c r="M182" s="8" t="s">
        <v>1734</v>
      </c>
      <c r="N182" s="1" t="b">
        <f t="shared" si="10"/>
        <v>1</v>
      </c>
      <c r="O182" s="1" t="s">
        <v>1735</v>
      </c>
      <c r="P182" s="1" t="s">
        <v>1736</v>
      </c>
      <c r="Q182" s="1" t="s">
        <v>1737</v>
      </c>
      <c r="R182" s="1" t="s">
        <v>1738</v>
      </c>
      <c r="S182" s="1" t="s">
        <v>1739</v>
      </c>
      <c r="T182" s="1" t="s">
        <v>1740</v>
      </c>
      <c r="U182" s="1" t="s">
        <v>1741</v>
      </c>
      <c r="V182" s="13">
        <f>COUNTIF(L182:$M$1659,L182)</f>
        <v>2</v>
      </c>
      <c r="W182" s="1" t="s">
        <v>1742</v>
      </c>
      <c r="X182">
        <v>2680.86</v>
      </c>
      <c r="Y182">
        <v>230.1</v>
      </c>
      <c r="Z182">
        <v>12.461582</v>
      </c>
      <c r="AA182">
        <v>109.0823</v>
      </c>
      <c r="AB182">
        <v>2450.7600000000002</v>
      </c>
      <c r="AC182">
        <v>12.476618999999999</v>
      </c>
      <c r="AD182">
        <v>109.11022</v>
      </c>
      <c r="AE182" s="5">
        <f t="shared" si="11"/>
        <v>0.34514999999999996</v>
      </c>
      <c r="AF182" s="5">
        <f t="shared" si="12"/>
        <v>3.6761400000000002</v>
      </c>
      <c r="AG182" s="1" t="str">
        <f>TRIM(LEFT(L182,FIND("-",L182)-1))</f>
        <v>3.Khánh Vĩnh</v>
      </c>
      <c r="AH182" s="1" t="str">
        <f>TRIM(RIGHT(L182, LEN(L182) - FIND("-", L182)))</f>
        <v>Ninh Hòa</v>
      </c>
      <c r="AJ182">
        <f t="shared" si="13"/>
        <v>0.2301</v>
      </c>
      <c r="AK182">
        <f t="shared" si="14"/>
        <v>2.4507600000000003</v>
      </c>
      <c r="AL182" t="e">
        <f>VLOOKUP(L182,'[1]Tuyến cáp H04'!$B:$E,3,0)/1000</f>
        <v>#N/A</v>
      </c>
      <c r="AM182" t="e">
        <f>VLOOKUP(L182,'[1]Tuyến cáp H04'!$B:$E,4,0)</f>
        <v>#N/A</v>
      </c>
    </row>
    <row r="183" spans="1:39" x14ac:dyDescent="0.25">
      <c r="A183" s="1" t="s">
        <v>1743</v>
      </c>
      <c r="B183" s="1" t="s">
        <v>1600</v>
      </c>
      <c r="C183" s="1" t="s">
        <v>1601</v>
      </c>
      <c r="D183" s="1" t="s">
        <v>572</v>
      </c>
      <c r="E183" s="1" t="s">
        <v>573</v>
      </c>
      <c r="F183" s="1" t="s">
        <v>1744</v>
      </c>
      <c r="G183" s="1" t="s">
        <v>14281</v>
      </c>
      <c r="H183" s="1" t="s">
        <v>14282</v>
      </c>
      <c r="I183" s="1" t="s">
        <v>14310</v>
      </c>
      <c r="J183" s="1" t="s">
        <v>23</v>
      </c>
      <c r="K183" s="1"/>
      <c r="L183" s="1" t="s">
        <v>1168</v>
      </c>
      <c r="M183" s="8" t="s">
        <v>1168</v>
      </c>
      <c r="N183" s="1" t="b">
        <f t="shared" si="10"/>
        <v>1</v>
      </c>
      <c r="O183" s="1" t="s">
        <v>1745</v>
      </c>
      <c r="P183" s="1" t="s">
        <v>1746</v>
      </c>
      <c r="Q183" s="1" t="s">
        <v>1747</v>
      </c>
      <c r="R183" s="1" t="s">
        <v>1748</v>
      </c>
      <c r="S183" s="1" t="s">
        <v>1749</v>
      </c>
      <c r="T183" s="1" t="s">
        <v>1750</v>
      </c>
      <c r="U183" s="1" t="s">
        <v>1751</v>
      </c>
      <c r="V183" s="13">
        <f>COUNTIF(L183:$M$1659,L183)</f>
        <v>8</v>
      </c>
      <c r="W183" s="1" t="s">
        <v>1752</v>
      </c>
      <c r="X183">
        <v>4207.79</v>
      </c>
      <c r="Y183">
        <v>442.39</v>
      </c>
      <c r="Z183">
        <v>12.505763999999999</v>
      </c>
      <c r="AA183">
        <v>109.078005</v>
      </c>
      <c r="AB183">
        <v>3765.4</v>
      </c>
      <c r="AC183">
        <v>12.502250999999999</v>
      </c>
      <c r="AD183">
        <v>109.10367100000001</v>
      </c>
      <c r="AE183" s="5">
        <f t="shared" si="11"/>
        <v>0.66358500000000009</v>
      </c>
      <c r="AF183" s="5">
        <f t="shared" si="12"/>
        <v>5.6481000000000003</v>
      </c>
      <c r="AG183" s="1" t="str">
        <f>TRIM(LEFT(L183,FIND("-",L183)-1))</f>
        <v>2.CA Nam Ninh Hòa</v>
      </c>
      <c r="AH183" s="1" t="str">
        <f>TRIM(RIGHT(L183, LEN(L183) - FIND("-", L183)))</f>
        <v>CA Tây Ninh Hòa</v>
      </c>
      <c r="AJ183">
        <f t="shared" si="13"/>
        <v>0.44239000000000001</v>
      </c>
      <c r="AK183">
        <f t="shared" si="14"/>
        <v>3.7654000000000001</v>
      </c>
      <c r="AL183" t="e">
        <f>VLOOKUP(L183,'[1]Tuyến cáp H04'!$B:$E,3,0)/1000</f>
        <v>#N/A</v>
      </c>
      <c r="AM183" t="e">
        <f>VLOOKUP(L183,'[1]Tuyến cáp H04'!$B:$E,4,0)</f>
        <v>#N/A</v>
      </c>
    </row>
    <row r="184" spans="1:39" x14ac:dyDescent="0.25">
      <c r="A184" s="1" t="s">
        <v>1753</v>
      </c>
      <c r="B184" s="1" t="s">
        <v>1606</v>
      </c>
      <c r="C184" s="1" t="s">
        <v>1607</v>
      </c>
      <c r="D184" s="1" t="s">
        <v>1614</v>
      </c>
      <c r="E184" s="1" t="s">
        <v>1615</v>
      </c>
      <c r="F184" s="1" t="s">
        <v>1754</v>
      </c>
      <c r="G184" s="1" t="s">
        <v>14281</v>
      </c>
      <c r="H184" s="1" t="s">
        <v>14282</v>
      </c>
      <c r="I184" s="1" t="s">
        <v>14311</v>
      </c>
      <c r="J184" s="1" t="s">
        <v>23</v>
      </c>
      <c r="K184" s="1"/>
      <c r="L184" s="1" t="s">
        <v>1552</v>
      </c>
      <c r="M184" s="8" t="s">
        <v>1552</v>
      </c>
      <c r="N184" s="1" t="b">
        <f t="shared" si="10"/>
        <v>1</v>
      </c>
      <c r="O184" s="1" t="s">
        <v>1755</v>
      </c>
      <c r="P184" s="1" t="s">
        <v>1610</v>
      </c>
      <c r="Q184" s="1" t="s">
        <v>1611</v>
      </c>
      <c r="R184" s="1" t="s">
        <v>1612</v>
      </c>
      <c r="S184" s="1" t="s">
        <v>1618</v>
      </c>
      <c r="T184" s="1" t="s">
        <v>1619</v>
      </c>
      <c r="U184" s="1" t="s">
        <v>1620</v>
      </c>
      <c r="V184" s="13">
        <f>COUNTIF(L184:$M$1659,L184)</f>
        <v>20</v>
      </c>
      <c r="W184" s="1" t="s">
        <v>1560</v>
      </c>
      <c r="X184">
        <v>560.76</v>
      </c>
      <c r="Y184">
        <v>443.53</v>
      </c>
      <c r="Z184">
        <v>12.420916</v>
      </c>
      <c r="AA184">
        <v>109.14434199999999</v>
      </c>
      <c r="AB184">
        <v>117.23</v>
      </c>
      <c r="AC184">
        <v>12.338984999999999</v>
      </c>
      <c r="AD184">
        <v>109.19412199999999</v>
      </c>
      <c r="AE184" s="5">
        <f t="shared" si="11"/>
        <v>0.66529499999999997</v>
      </c>
      <c r="AF184" s="5">
        <f t="shared" si="12"/>
        <v>0.175845</v>
      </c>
      <c r="AG184" s="1" t="str">
        <f>TRIM(LEFT(L184,FIND("-",L184)-1))</f>
        <v>5.Vạn Ninh</v>
      </c>
      <c r="AH184" s="1" t="str">
        <f>TRIM(RIGHT(L184, LEN(L184) - FIND("-", L184)))</f>
        <v>CAT Khánh Hòa</v>
      </c>
      <c r="AJ184">
        <f t="shared" si="13"/>
        <v>0.44352999999999998</v>
      </c>
      <c r="AK184">
        <f t="shared" si="14"/>
        <v>0.11723</v>
      </c>
      <c r="AL184" t="e">
        <f>VLOOKUP(L184,'[1]Tuyến cáp H04'!$B:$E,3,0)/1000</f>
        <v>#N/A</v>
      </c>
      <c r="AM184" t="e">
        <f>VLOOKUP(L184,'[1]Tuyến cáp H04'!$B:$E,4,0)</f>
        <v>#N/A</v>
      </c>
    </row>
    <row r="185" spans="1:39" x14ac:dyDescent="0.25">
      <c r="A185" s="1" t="s">
        <v>1756</v>
      </c>
      <c r="B185" s="1" t="s">
        <v>1622</v>
      </c>
      <c r="C185" s="1" t="s">
        <v>1623</v>
      </c>
      <c r="D185" s="1" t="s">
        <v>1187</v>
      </c>
      <c r="E185" s="1" t="s">
        <v>1188</v>
      </c>
      <c r="F185" s="1" t="s">
        <v>1757</v>
      </c>
      <c r="G185" s="1" t="s">
        <v>14281</v>
      </c>
      <c r="H185" s="1" t="s">
        <v>14282</v>
      </c>
      <c r="I185" s="1" t="s">
        <v>14312</v>
      </c>
      <c r="J185" s="1" t="s">
        <v>23</v>
      </c>
      <c r="K185" s="1"/>
      <c r="L185" s="1" t="s">
        <v>1168</v>
      </c>
      <c r="M185" s="8" t="s">
        <v>1168</v>
      </c>
      <c r="N185" s="1" t="b">
        <f t="shared" si="10"/>
        <v>1</v>
      </c>
      <c r="O185" s="1" t="s">
        <v>1758</v>
      </c>
      <c r="P185" s="1" t="s">
        <v>1759</v>
      </c>
      <c r="Q185" s="1" t="s">
        <v>1760</v>
      </c>
      <c r="R185" s="1" t="s">
        <v>1761</v>
      </c>
      <c r="S185" s="1" t="s">
        <v>1762</v>
      </c>
      <c r="T185" s="1" t="s">
        <v>1763</v>
      </c>
      <c r="U185" s="1" t="s">
        <v>1764</v>
      </c>
      <c r="V185" s="13">
        <f>COUNTIF(L185:$M$1659,L185)</f>
        <v>6</v>
      </c>
      <c r="W185" s="1" t="s">
        <v>1752</v>
      </c>
      <c r="X185">
        <v>3462.89</v>
      </c>
      <c r="Y185">
        <v>2181.61</v>
      </c>
      <c r="Z185">
        <v>12.505404</v>
      </c>
      <c r="AA185">
        <v>109.098456</v>
      </c>
      <c r="AB185">
        <v>1281.28</v>
      </c>
      <c r="AC185">
        <v>12.495310999999999</v>
      </c>
      <c r="AD185">
        <v>109.103539</v>
      </c>
      <c r="AE185" s="5">
        <f t="shared" si="11"/>
        <v>3.2724150000000001</v>
      </c>
      <c r="AF185" s="5">
        <f t="shared" si="12"/>
        <v>1.9219200000000001</v>
      </c>
      <c r="AG185" s="1" t="str">
        <f>TRIM(LEFT(L185,FIND("-",L185)-1))</f>
        <v>2.CA Nam Ninh Hòa</v>
      </c>
      <c r="AH185" s="1" t="str">
        <f>TRIM(RIGHT(L185, LEN(L185) - FIND("-", L185)))</f>
        <v>CA Tây Ninh Hòa</v>
      </c>
      <c r="AJ185">
        <f t="shared" si="13"/>
        <v>2.18161</v>
      </c>
      <c r="AK185">
        <f t="shared" si="14"/>
        <v>1.28128</v>
      </c>
      <c r="AL185" t="e">
        <f>VLOOKUP(L185,'[1]Tuyến cáp H04'!$B:$E,3,0)/1000</f>
        <v>#N/A</v>
      </c>
      <c r="AM185" t="e">
        <f>VLOOKUP(L185,'[1]Tuyến cáp H04'!$B:$E,4,0)</f>
        <v>#N/A</v>
      </c>
    </row>
    <row r="186" spans="1:39" x14ac:dyDescent="0.25">
      <c r="A186" s="1" t="s">
        <v>1765</v>
      </c>
      <c r="B186" s="1" t="s">
        <v>1634</v>
      </c>
      <c r="C186" s="1" t="s">
        <v>1635</v>
      </c>
      <c r="D186" s="1" t="s">
        <v>1642</v>
      </c>
      <c r="E186" s="1" t="s">
        <v>1643</v>
      </c>
      <c r="F186" s="1" t="s">
        <v>1766</v>
      </c>
      <c r="G186" s="1" t="s">
        <v>14281</v>
      </c>
      <c r="H186" s="1" t="s">
        <v>14282</v>
      </c>
      <c r="I186" s="1" t="s">
        <v>14313</v>
      </c>
      <c r="J186" s="1" t="s">
        <v>23</v>
      </c>
      <c r="K186" s="1"/>
      <c r="L186" s="1" t="s">
        <v>1767</v>
      </c>
      <c r="M186" s="8" t="s">
        <v>1767</v>
      </c>
      <c r="N186" s="1" t="b">
        <f t="shared" si="10"/>
        <v>1</v>
      </c>
      <c r="O186" s="1" t="s">
        <v>1768</v>
      </c>
      <c r="P186" s="1" t="s">
        <v>1769</v>
      </c>
      <c r="Q186" s="1" t="s">
        <v>1770</v>
      </c>
      <c r="R186" s="1" t="s">
        <v>1771</v>
      </c>
      <c r="S186" s="1" t="s">
        <v>1772</v>
      </c>
      <c r="T186" s="1" t="s">
        <v>1773</v>
      </c>
      <c r="U186" s="1" t="s">
        <v>1774</v>
      </c>
      <c r="V186" s="13">
        <f>COUNTIF(L186:$M$1659,L186)</f>
        <v>4</v>
      </c>
      <c r="W186" s="1" t="s">
        <v>1775</v>
      </c>
      <c r="X186">
        <v>289.89999999999998</v>
      </c>
      <c r="Y186">
        <v>289.55</v>
      </c>
      <c r="Z186">
        <v>12.730185000000001</v>
      </c>
      <c r="AA186">
        <v>109.26945600000001</v>
      </c>
      <c r="AB186">
        <v>0.35</v>
      </c>
      <c r="AC186">
        <v>12.77881</v>
      </c>
      <c r="AD186">
        <v>109.312703</v>
      </c>
      <c r="AE186" s="5">
        <f t="shared" si="11"/>
        <v>0.43432500000000007</v>
      </c>
      <c r="AF186" s="5">
        <f t="shared" si="12"/>
        <v>5.2499999999999986E-4</v>
      </c>
      <c r="AG186" s="1" t="str">
        <f>TRIM(LEFT(L186,FIND("-",L186)-1))</f>
        <v>2.CA Vạn Thắng</v>
      </c>
      <c r="AH186" s="1" t="str">
        <f>TRIM(RIGHT(L186, LEN(L186) - FIND("-", L186)))</f>
        <v>CA Tu Bông_Cột trung thế</v>
      </c>
      <c r="AJ186">
        <f t="shared" si="13"/>
        <v>0.28955000000000003</v>
      </c>
      <c r="AK186">
        <f t="shared" si="14"/>
        <v>3.5E-4</v>
      </c>
      <c r="AL186" t="e">
        <f>VLOOKUP(L186,'[1]Tuyến cáp H04'!$B:$E,3,0)/1000</f>
        <v>#N/A</v>
      </c>
      <c r="AM186" t="e">
        <f>VLOOKUP(L186,'[1]Tuyến cáp H04'!$B:$E,4,0)</f>
        <v>#N/A</v>
      </c>
    </row>
    <row r="187" spans="1:39" x14ac:dyDescent="0.25">
      <c r="A187" s="1" t="s">
        <v>1776</v>
      </c>
      <c r="B187" s="1" t="s">
        <v>1713</v>
      </c>
      <c r="C187" s="1" t="s">
        <v>1714</v>
      </c>
      <c r="D187" s="1" t="s">
        <v>1445</v>
      </c>
      <c r="E187" s="1" t="s">
        <v>1446</v>
      </c>
      <c r="F187" s="1" t="s">
        <v>1777</v>
      </c>
      <c r="G187" s="1" t="s">
        <v>14281</v>
      </c>
      <c r="H187" s="1" t="s">
        <v>14282</v>
      </c>
      <c r="I187" s="1" t="s">
        <v>14314</v>
      </c>
      <c r="J187" s="1" t="s">
        <v>23</v>
      </c>
      <c r="K187" s="1"/>
      <c r="L187" s="1" t="s">
        <v>1529</v>
      </c>
      <c r="M187" s="8" t="s">
        <v>1529</v>
      </c>
      <c r="N187" s="1" t="b">
        <f t="shared" si="10"/>
        <v>1</v>
      </c>
      <c r="O187" s="1" t="s">
        <v>1778</v>
      </c>
      <c r="P187" s="1" t="s">
        <v>1717</v>
      </c>
      <c r="Q187" s="1" t="s">
        <v>1718</v>
      </c>
      <c r="R187" s="1" t="s">
        <v>1719</v>
      </c>
      <c r="S187" s="1" t="s">
        <v>1779</v>
      </c>
      <c r="T187" s="1" t="s">
        <v>1780</v>
      </c>
      <c r="U187" s="1" t="s">
        <v>1781</v>
      </c>
      <c r="V187" s="13">
        <f>COUNTIF(L187:$M$1659,L187)</f>
        <v>6</v>
      </c>
      <c r="W187" s="1" t="s">
        <v>1537</v>
      </c>
      <c r="X187">
        <v>4221.33</v>
      </c>
      <c r="Y187">
        <v>110.58</v>
      </c>
      <c r="Z187">
        <v>12.630297000000001</v>
      </c>
      <c r="AA187">
        <v>109.187321</v>
      </c>
      <c r="AB187">
        <v>4110.75</v>
      </c>
      <c r="AC187">
        <v>12.534793000000001</v>
      </c>
      <c r="AD187">
        <v>109.18621899999999</v>
      </c>
      <c r="AE187" s="5">
        <f t="shared" si="11"/>
        <v>0.16587000000000002</v>
      </c>
      <c r="AF187" s="5">
        <f t="shared" si="12"/>
        <v>6.1661250000000001</v>
      </c>
      <c r="AG187" s="1" t="str">
        <f>TRIM(LEFT(L187,FIND("-",L187)-1))</f>
        <v>4.Ninh Hòa</v>
      </c>
      <c r="AH187" s="1" t="str">
        <f>TRIM(RIGHT(L187, LEN(L187) - FIND("-", L187)))</f>
        <v>Vạn Ninh</v>
      </c>
      <c r="AJ187">
        <f t="shared" si="13"/>
        <v>0.11058</v>
      </c>
      <c r="AK187">
        <f t="shared" si="14"/>
        <v>4.1107500000000003</v>
      </c>
      <c r="AL187" t="e">
        <f>VLOOKUP(L187,'[1]Tuyến cáp H04'!$B:$E,3,0)/1000</f>
        <v>#N/A</v>
      </c>
      <c r="AM187" t="e">
        <f>VLOOKUP(L187,'[1]Tuyến cáp H04'!$B:$E,4,0)</f>
        <v>#N/A</v>
      </c>
    </row>
    <row r="188" spans="1:39" x14ac:dyDescent="0.25">
      <c r="A188" s="1" t="s">
        <v>1782</v>
      </c>
      <c r="B188" s="1" t="s">
        <v>1783</v>
      </c>
      <c r="C188" s="1" t="s">
        <v>1784</v>
      </c>
      <c r="D188" s="1" t="s">
        <v>572</v>
      </c>
      <c r="E188" s="1" t="s">
        <v>573</v>
      </c>
      <c r="F188" s="1" t="s">
        <v>1785</v>
      </c>
      <c r="G188" s="1" t="s">
        <v>14281</v>
      </c>
      <c r="H188" s="1" t="s">
        <v>14282</v>
      </c>
      <c r="I188" s="1" t="s">
        <v>14315</v>
      </c>
      <c r="J188" s="1" t="s">
        <v>23</v>
      </c>
      <c r="K188" s="1"/>
      <c r="L188" s="1" t="s">
        <v>590</v>
      </c>
      <c r="M188" s="8" t="s">
        <v>590</v>
      </c>
      <c r="N188" s="1" t="b">
        <f t="shared" si="10"/>
        <v>1</v>
      </c>
      <c r="O188" s="1" t="s">
        <v>1786</v>
      </c>
      <c r="P188" s="1" t="s">
        <v>1787</v>
      </c>
      <c r="Q188" s="1" t="s">
        <v>1788</v>
      </c>
      <c r="R188" s="1" t="s">
        <v>1789</v>
      </c>
      <c r="S188" s="1" t="s">
        <v>592</v>
      </c>
      <c r="T188" s="1" t="s">
        <v>593</v>
      </c>
      <c r="U188" s="1" t="s">
        <v>594</v>
      </c>
      <c r="V188" s="13">
        <f>COUNTIF(L188:$M$1659,L188)</f>
        <v>2</v>
      </c>
      <c r="W188" s="1" t="s">
        <v>598</v>
      </c>
      <c r="X188">
        <v>1353.25</v>
      </c>
      <c r="Y188">
        <v>1350.48</v>
      </c>
      <c r="Z188">
        <v>12.492353</v>
      </c>
      <c r="AA188">
        <v>109.14014299999999</v>
      </c>
      <c r="AB188">
        <v>2.77</v>
      </c>
      <c r="AC188">
        <v>12.509724</v>
      </c>
      <c r="AD188">
        <v>109.13747499999999</v>
      </c>
      <c r="AE188" s="5">
        <f t="shared" si="11"/>
        <v>2.0257200000000002</v>
      </c>
      <c r="AF188" s="5">
        <f t="shared" si="12"/>
        <v>4.1549999999999998E-3</v>
      </c>
      <c r="AG188" s="1" t="str">
        <f>TRIM(LEFT(L188,FIND("-",L188)-1))</f>
        <v>1.CA Ninh Hòa</v>
      </c>
      <c r="AH188" s="1" t="str">
        <f>TRIM(RIGHT(L188, LEN(L188) - FIND("-", L188)))</f>
        <v>CA Hòa Thắng_Cột trung thế</v>
      </c>
      <c r="AJ188">
        <f t="shared" si="13"/>
        <v>1.3504800000000001</v>
      </c>
      <c r="AK188">
        <f t="shared" si="14"/>
        <v>2.7699999999999999E-3</v>
      </c>
      <c r="AL188" t="e">
        <f>VLOOKUP(L188,'[1]Tuyến cáp H04'!$B:$E,3,0)/1000</f>
        <v>#N/A</v>
      </c>
      <c r="AM188" t="e">
        <f>VLOOKUP(L188,'[1]Tuyến cáp H04'!$B:$E,4,0)</f>
        <v>#N/A</v>
      </c>
    </row>
    <row r="189" spans="1:39" x14ac:dyDescent="0.25">
      <c r="A189" s="1" t="s">
        <v>1790</v>
      </c>
      <c r="B189" s="1" t="s">
        <v>1791</v>
      </c>
      <c r="C189" s="1" t="s">
        <v>1792</v>
      </c>
      <c r="D189" s="1" t="s">
        <v>1685</v>
      </c>
      <c r="E189" s="1" t="s">
        <v>1686</v>
      </c>
      <c r="F189" s="1" t="s">
        <v>1793</v>
      </c>
      <c r="G189" s="1" t="s">
        <v>14281</v>
      </c>
      <c r="H189" s="1" t="s">
        <v>14282</v>
      </c>
      <c r="I189" s="1" t="s">
        <v>14316</v>
      </c>
      <c r="J189" s="1" t="s">
        <v>23</v>
      </c>
      <c r="K189" s="1"/>
      <c r="L189" s="1" t="s">
        <v>1529</v>
      </c>
      <c r="M189" s="8" t="s">
        <v>1529</v>
      </c>
      <c r="N189" s="1" t="b">
        <f t="shared" si="10"/>
        <v>1</v>
      </c>
      <c r="O189" s="1" t="s">
        <v>1794</v>
      </c>
      <c r="P189" s="1" t="s">
        <v>1795</v>
      </c>
      <c r="Q189" s="1" t="s">
        <v>1796</v>
      </c>
      <c r="R189" s="1" t="s">
        <v>1797</v>
      </c>
      <c r="S189" s="1" t="s">
        <v>1798</v>
      </c>
      <c r="T189" s="1" t="s">
        <v>1799</v>
      </c>
      <c r="U189" s="1" t="s">
        <v>1800</v>
      </c>
      <c r="V189" s="13">
        <f>COUNTIF(L189:$M$1659,L189)</f>
        <v>4</v>
      </c>
      <c r="W189" s="1" t="s">
        <v>1537</v>
      </c>
      <c r="X189">
        <v>1120.5899999999999</v>
      </c>
      <c r="Y189">
        <v>152.65</v>
      </c>
      <c r="Z189">
        <v>12.564939000000001</v>
      </c>
      <c r="AA189">
        <v>109.171781</v>
      </c>
      <c r="AB189">
        <v>967.94</v>
      </c>
      <c r="AC189">
        <v>12.525967</v>
      </c>
      <c r="AD189">
        <v>109.167119</v>
      </c>
      <c r="AE189" s="5">
        <f t="shared" si="11"/>
        <v>0.22897500000000001</v>
      </c>
      <c r="AF189" s="5">
        <f t="shared" si="12"/>
        <v>1.45191</v>
      </c>
      <c r="AG189" s="1" t="str">
        <f>TRIM(LEFT(L189,FIND("-",L189)-1))</f>
        <v>4.Ninh Hòa</v>
      </c>
      <c r="AH189" s="1" t="str">
        <f>TRIM(RIGHT(L189, LEN(L189) - FIND("-", L189)))</f>
        <v>Vạn Ninh</v>
      </c>
      <c r="AJ189">
        <f t="shared" si="13"/>
        <v>0.15265000000000001</v>
      </c>
      <c r="AK189">
        <f t="shared" si="14"/>
        <v>0.96794000000000002</v>
      </c>
      <c r="AL189" t="e">
        <f>VLOOKUP(L189,'[1]Tuyến cáp H04'!$B:$E,3,0)/1000</f>
        <v>#N/A</v>
      </c>
      <c r="AM189" t="e">
        <f>VLOOKUP(L189,'[1]Tuyến cáp H04'!$B:$E,4,0)</f>
        <v>#N/A</v>
      </c>
    </row>
    <row r="190" spans="1:39" x14ac:dyDescent="0.25">
      <c r="A190" s="1" t="s">
        <v>1801</v>
      </c>
      <c r="B190" s="1" t="s">
        <v>1687</v>
      </c>
      <c r="C190" s="1" t="s">
        <v>1688</v>
      </c>
      <c r="D190" s="1" t="s">
        <v>572</v>
      </c>
      <c r="E190" s="1" t="s">
        <v>573</v>
      </c>
      <c r="F190" s="1" t="s">
        <v>1802</v>
      </c>
      <c r="G190" s="1" t="s">
        <v>14281</v>
      </c>
      <c r="H190" s="1" t="s">
        <v>14282</v>
      </c>
      <c r="I190" s="1" t="s">
        <v>14317</v>
      </c>
      <c r="J190" s="1" t="s">
        <v>23</v>
      </c>
      <c r="K190" s="1"/>
      <c r="L190" s="1" t="s">
        <v>1803</v>
      </c>
      <c r="M190" s="8" t="s">
        <v>1803</v>
      </c>
      <c r="N190" s="1" t="b">
        <f t="shared" si="10"/>
        <v>1</v>
      </c>
      <c r="O190" s="1" t="s">
        <v>1804</v>
      </c>
      <c r="P190" s="1" t="s">
        <v>1805</v>
      </c>
      <c r="Q190" s="1" t="s">
        <v>1806</v>
      </c>
      <c r="R190" s="1" t="s">
        <v>1807</v>
      </c>
      <c r="S190" s="1" t="s">
        <v>1808</v>
      </c>
      <c r="T190" s="1" t="s">
        <v>1809</v>
      </c>
      <c r="U190" s="1" t="s">
        <v>1810</v>
      </c>
      <c r="V190" s="13">
        <f>COUNTIF(L190:$M$1659,L190)</f>
        <v>4</v>
      </c>
      <c r="W190" s="1" t="s">
        <v>1811</v>
      </c>
      <c r="X190">
        <v>29.24</v>
      </c>
      <c r="Y190">
        <v>24.35</v>
      </c>
      <c r="Z190">
        <v>12.503812</v>
      </c>
      <c r="AA190">
        <v>109.139841</v>
      </c>
      <c r="AB190">
        <v>4.88</v>
      </c>
      <c r="AC190">
        <v>12.509729999999999</v>
      </c>
      <c r="AD190">
        <v>109.137455</v>
      </c>
      <c r="AE190" s="5">
        <f t="shared" si="11"/>
        <v>3.6525000000000009E-2</v>
      </c>
      <c r="AF190" s="5">
        <f t="shared" si="12"/>
        <v>7.3200000000000001E-3</v>
      </c>
      <c r="AG190" s="1" t="str">
        <f>TRIM(LEFT(L190,FIND("-",L190)-1))</f>
        <v>1.CA Ninh Hòa</v>
      </c>
      <c r="AH190" s="1" t="str">
        <f>TRIM(RIGHT(L190, LEN(L190) - FIND("-", L190)))</f>
        <v>CA Nam Ninh Hòa_Cột trung thế</v>
      </c>
      <c r="AJ190">
        <f t="shared" si="13"/>
        <v>2.435E-2</v>
      </c>
      <c r="AK190">
        <f t="shared" si="14"/>
        <v>4.8799999999999998E-3</v>
      </c>
      <c r="AL190" t="e">
        <f>VLOOKUP(L190,'[1]Tuyến cáp H04'!$B:$E,3,0)/1000</f>
        <v>#N/A</v>
      </c>
      <c r="AM190" t="e">
        <f>VLOOKUP(L190,'[1]Tuyến cáp H04'!$B:$E,4,0)</f>
        <v>#N/A</v>
      </c>
    </row>
    <row r="191" spans="1:39" x14ac:dyDescent="0.25">
      <c r="A191" s="1" t="s">
        <v>1703</v>
      </c>
      <c r="B191" s="1" t="s">
        <v>1360</v>
      </c>
      <c r="C191" s="1" t="s">
        <v>1361</v>
      </c>
      <c r="D191" s="1" t="s">
        <v>557</v>
      </c>
      <c r="E191" s="1" t="s">
        <v>558</v>
      </c>
      <c r="F191" s="1" t="s">
        <v>1704</v>
      </c>
      <c r="G191" s="1" t="s">
        <v>14281</v>
      </c>
      <c r="H191" s="1" t="s">
        <v>14282</v>
      </c>
      <c r="I191" s="1" t="s">
        <v>14306</v>
      </c>
      <c r="J191" s="1" t="s">
        <v>23</v>
      </c>
      <c r="K191" s="1"/>
      <c r="L191" s="1" t="s">
        <v>1552</v>
      </c>
      <c r="M191" s="8" t="s">
        <v>1552</v>
      </c>
      <c r="N191" s="1" t="b">
        <f t="shared" si="10"/>
        <v>1</v>
      </c>
      <c r="O191" s="1" t="s">
        <v>1705</v>
      </c>
      <c r="P191" s="1" t="s">
        <v>1706</v>
      </c>
      <c r="Q191" s="1" t="s">
        <v>1707</v>
      </c>
      <c r="R191" s="1" t="s">
        <v>1708</v>
      </c>
      <c r="S191" s="1" t="s">
        <v>1709</v>
      </c>
      <c r="T191" s="1" t="s">
        <v>1710</v>
      </c>
      <c r="U191" s="1" t="s">
        <v>1711</v>
      </c>
      <c r="V191" s="13">
        <f>COUNTIF(L191:$M$1659,L191)</f>
        <v>18</v>
      </c>
      <c r="W191" s="1" t="s">
        <v>1560</v>
      </c>
      <c r="X191">
        <v>25735.56</v>
      </c>
      <c r="Y191">
        <v>10890.65</v>
      </c>
      <c r="Z191">
        <v>12.292956999999999</v>
      </c>
      <c r="AA191">
        <v>109.187048</v>
      </c>
      <c r="AB191">
        <v>14844.91</v>
      </c>
      <c r="AC191">
        <v>12.501725</v>
      </c>
      <c r="AD191">
        <v>109.13825799999999</v>
      </c>
      <c r="AE191" s="5">
        <f t="shared" si="11"/>
        <v>16.335974999999998</v>
      </c>
      <c r="AF191" s="5">
        <f t="shared" si="12"/>
        <v>22.267364999999998</v>
      </c>
      <c r="AG191" s="1" t="str">
        <f>TRIM(LEFT(L191,FIND("-",L191)-1))</f>
        <v>5.Vạn Ninh</v>
      </c>
      <c r="AH191" s="1" t="str">
        <f>TRIM(RIGHT(L191, LEN(L191) - FIND("-", L191)))</f>
        <v>CAT Khánh Hòa</v>
      </c>
      <c r="AJ191">
        <f t="shared" si="13"/>
        <v>10.890649999999999</v>
      </c>
      <c r="AK191">
        <f t="shared" si="14"/>
        <v>14.84491</v>
      </c>
      <c r="AL191" t="e">
        <f>VLOOKUP(L191,'[1]Tuyến cáp H04'!$B:$E,3,0)/1000</f>
        <v>#N/A</v>
      </c>
      <c r="AM191" t="e">
        <f>VLOOKUP(L191,'[1]Tuyến cáp H04'!$B:$E,4,0)</f>
        <v>#N/A</v>
      </c>
    </row>
    <row r="192" spans="1:39" x14ac:dyDescent="0.25">
      <c r="A192" s="1" t="s">
        <v>1697</v>
      </c>
      <c r="B192" s="1" t="s">
        <v>1360</v>
      </c>
      <c r="C192" s="1" t="s">
        <v>1361</v>
      </c>
      <c r="D192" s="1" t="s">
        <v>393</v>
      </c>
      <c r="E192" s="1" t="s">
        <v>394</v>
      </c>
      <c r="F192" s="1" t="s">
        <v>1698</v>
      </c>
      <c r="G192" s="1" t="s">
        <v>14281</v>
      </c>
      <c r="H192" s="1" t="s">
        <v>14282</v>
      </c>
      <c r="I192" s="1" t="s">
        <v>14305</v>
      </c>
      <c r="J192" s="1" t="s">
        <v>23</v>
      </c>
      <c r="K192" s="1"/>
      <c r="L192" s="1" t="s">
        <v>1569</v>
      </c>
      <c r="M192" s="8" t="s">
        <v>1569</v>
      </c>
      <c r="N192" s="1" t="b">
        <f t="shared" si="10"/>
        <v>1</v>
      </c>
      <c r="O192" s="1" t="s">
        <v>1699</v>
      </c>
      <c r="P192" s="1" t="s">
        <v>1700</v>
      </c>
      <c r="Q192" s="1" t="s">
        <v>1701</v>
      </c>
      <c r="R192" s="1" t="s">
        <v>1702</v>
      </c>
      <c r="S192" s="1" t="s">
        <v>1571</v>
      </c>
      <c r="T192" s="1" t="s">
        <v>1572</v>
      </c>
      <c r="U192" s="1" t="s">
        <v>1573</v>
      </c>
      <c r="V192" s="13">
        <f>COUNTIF(L192:$M$1659,L192)</f>
        <v>4</v>
      </c>
      <c r="W192" s="1" t="s">
        <v>1577</v>
      </c>
      <c r="X192">
        <v>1566.48</v>
      </c>
      <c r="Y192">
        <v>818.28</v>
      </c>
      <c r="Z192">
        <v>12.25568</v>
      </c>
      <c r="AA192">
        <v>109.086596</v>
      </c>
      <c r="AB192">
        <v>748.2</v>
      </c>
      <c r="AC192">
        <v>12.262793</v>
      </c>
      <c r="AD192">
        <v>109.03595900000001</v>
      </c>
      <c r="AE192" s="5">
        <f t="shared" si="11"/>
        <v>1.2274200000000002</v>
      </c>
      <c r="AF192" s="5">
        <f t="shared" si="12"/>
        <v>1.1223000000000001</v>
      </c>
      <c r="AG192" s="1" t="str">
        <f>TRIM(LEFT(L192,FIND("-",L192)-1))</f>
        <v>4.CA Diên Thọ</v>
      </c>
      <c r="AH192" s="1" t="str">
        <f>TRIM(RIGHT(L192, LEN(L192) - FIND("-", L192)))</f>
        <v>CA Diên Khánh</v>
      </c>
      <c r="AJ192">
        <f t="shared" si="13"/>
        <v>0.81828000000000001</v>
      </c>
      <c r="AK192">
        <f t="shared" si="14"/>
        <v>0.74820000000000009</v>
      </c>
      <c r="AL192" t="e">
        <f>VLOOKUP(L192,'[1]Tuyến cáp H04'!$B:$E,3,0)/1000</f>
        <v>#N/A</v>
      </c>
      <c r="AM192" t="e">
        <f>VLOOKUP(L192,'[1]Tuyến cáp H04'!$B:$E,4,0)</f>
        <v>#N/A</v>
      </c>
    </row>
    <row r="193" spans="1:39" x14ac:dyDescent="0.25">
      <c r="A193" s="1" t="s">
        <v>1723</v>
      </c>
      <c r="B193" s="1" t="s">
        <v>812</v>
      </c>
      <c r="C193" s="1" t="s">
        <v>813</v>
      </c>
      <c r="D193" s="1" t="s">
        <v>612</v>
      </c>
      <c r="E193" s="1" t="s">
        <v>613</v>
      </c>
      <c r="F193" s="1" t="s">
        <v>1724</v>
      </c>
      <c r="G193" s="1" t="s">
        <v>14281</v>
      </c>
      <c r="H193" s="1" t="s">
        <v>14282</v>
      </c>
      <c r="I193" s="1" t="s">
        <v>14308</v>
      </c>
      <c r="J193" s="1" t="s">
        <v>23</v>
      </c>
      <c r="K193" s="1"/>
      <c r="L193" s="1" t="s">
        <v>861</v>
      </c>
      <c r="M193" s="8" t="s">
        <v>861</v>
      </c>
      <c r="N193" s="1" t="b">
        <f t="shared" si="10"/>
        <v>1</v>
      </c>
      <c r="O193" s="1" t="s">
        <v>1725</v>
      </c>
      <c r="P193" s="1" t="s">
        <v>1726</v>
      </c>
      <c r="Q193" s="1" t="s">
        <v>1727</v>
      </c>
      <c r="R193" s="1" t="s">
        <v>1728</v>
      </c>
      <c r="S193" s="1" t="s">
        <v>1729</v>
      </c>
      <c r="T193" s="1" t="s">
        <v>1730</v>
      </c>
      <c r="U193" s="1" t="s">
        <v>1731</v>
      </c>
      <c r="V193" s="13">
        <f>COUNTIF(L193:$M$1659,L193)</f>
        <v>4</v>
      </c>
      <c r="W193" s="1" t="s">
        <v>869</v>
      </c>
      <c r="X193">
        <v>415.75</v>
      </c>
      <c r="Y193">
        <v>98.97</v>
      </c>
      <c r="Z193">
        <v>12.063228000000001</v>
      </c>
      <c r="AA193">
        <v>109.15919100000001</v>
      </c>
      <c r="AB193">
        <v>316.77999999999997</v>
      </c>
      <c r="AC193">
        <v>11.923064</v>
      </c>
      <c r="AD193">
        <v>109.165175</v>
      </c>
      <c r="AE193" s="5">
        <f t="shared" si="11"/>
        <v>0.14845499999999998</v>
      </c>
      <c r="AF193" s="5">
        <f t="shared" si="12"/>
        <v>0.47516999999999998</v>
      </c>
      <c r="AG193" s="1" t="str">
        <f>TRIM(LEFT(L193,FIND("-",L193)-1))</f>
        <v>2.Cam Lâm</v>
      </c>
      <c r="AH193" s="1" t="str">
        <f>TRIM(RIGHT(L193, LEN(L193) - FIND("-", L193)))</f>
        <v>Cam Ranh</v>
      </c>
      <c r="AJ193">
        <f t="shared" si="13"/>
        <v>9.8970000000000002E-2</v>
      </c>
      <c r="AK193">
        <f t="shared" si="14"/>
        <v>0.31677999999999995</v>
      </c>
      <c r="AL193" t="e">
        <f>VLOOKUP(L193,'[1]Tuyến cáp H04'!$B:$E,3,0)/1000</f>
        <v>#N/A</v>
      </c>
      <c r="AM193" t="e">
        <f>VLOOKUP(L193,'[1]Tuyến cáp H04'!$B:$E,4,0)</f>
        <v>#N/A</v>
      </c>
    </row>
    <row r="194" spans="1:39" x14ac:dyDescent="0.25">
      <c r="A194" s="1" t="s">
        <v>1812</v>
      </c>
      <c r="B194" s="1" t="s">
        <v>1360</v>
      </c>
      <c r="C194" s="1" t="s">
        <v>1361</v>
      </c>
      <c r="D194" s="1" t="s">
        <v>1813</v>
      </c>
      <c r="E194" s="1" t="s">
        <v>1814</v>
      </c>
      <c r="F194" s="1" t="s">
        <v>1815</v>
      </c>
      <c r="G194" s="1" t="s">
        <v>14129</v>
      </c>
      <c r="H194" s="1" t="s">
        <v>14133</v>
      </c>
      <c r="I194" s="1" t="s">
        <v>14318</v>
      </c>
      <c r="J194" s="1" t="s">
        <v>23</v>
      </c>
      <c r="K194" s="1"/>
      <c r="L194" s="1" t="s">
        <v>1363</v>
      </c>
      <c r="M194" s="8" t="s">
        <v>1363</v>
      </c>
      <c r="N194" s="1" t="b">
        <f t="shared" si="10"/>
        <v>1</v>
      </c>
      <c r="O194" s="1" t="s">
        <v>1816</v>
      </c>
      <c r="P194" s="1" t="s">
        <v>1365</v>
      </c>
      <c r="Q194" s="1" t="s">
        <v>1366</v>
      </c>
      <c r="R194" s="1" t="s">
        <v>1367</v>
      </c>
      <c r="S194" s="1" t="s">
        <v>1817</v>
      </c>
      <c r="T194" s="1" t="s">
        <v>1818</v>
      </c>
      <c r="U194" s="1" t="s">
        <v>1819</v>
      </c>
      <c r="V194" s="13">
        <f>COUNTIF(L194:$M$1659,L194)</f>
        <v>2</v>
      </c>
      <c r="W194" s="1" t="s">
        <v>1371</v>
      </c>
      <c r="X194">
        <v>1314.82</v>
      </c>
      <c r="Y194">
        <v>13.09</v>
      </c>
      <c r="Z194">
        <v>12.256290999999999</v>
      </c>
      <c r="AA194">
        <v>109.09398</v>
      </c>
      <c r="AB194">
        <v>1301.73</v>
      </c>
      <c r="AC194">
        <v>12.259256000000001</v>
      </c>
      <c r="AD194">
        <v>109.084643</v>
      </c>
      <c r="AE194" s="5">
        <f t="shared" si="11"/>
        <v>1.9635E-2</v>
      </c>
      <c r="AF194" s="5">
        <f t="shared" si="12"/>
        <v>1.9525950000000001</v>
      </c>
      <c r="AG194" s="1" t="str">
        <f>TRIM(LEFT(L194,FIND("-",L194)-1))</f>
        <v>1.Diên Khánh</v>
      </c>
      <c r="AH194" s="1" t="str">
        <f>TRIM(RIGHT(L194, LEN(L194) - FIND("-", L194)))</f>
        <v>CA Diên Lạc_Cột hạ thế</v>
      </c>
      <c r="AJ194">
        <f t="shared" si="13"/>
        <v>1.3089999999999999E-2</v>
      </c>
      <c r="AK194">
        <f t="shared" si="14"/>
        <v>1.3017300000000001</v>
      </c>
      <c r="AL194" t="e">
        <f>VLOOKUP(L194,'[1]Tuyến cáp H04'!$B:$E,3,0)/1000</f>
        <v>#N/A</v>
      </c>
      <c r="AM194" t="e">
        <f>VLOOKUP(L194,'[1]Tuyến cáp H04'!$B:$E,4,0)</f>
        <v>#N/A</v>
      </c>
    </row>
    <row r="195" spans="1:39" x14ac:dyDescent="0.25">
      <c r="A195" s="1" t="s">
        <v>1820</v>
      </c>
      <c r="B195" s="1" t="s">
        <v>1360</v>
      </c>
      <c r="C195" s="1" t="s">
        <v>1361</v>
      </c>
      <c r="D195" s="1" t="s">
        <v>1821</v>
      </c>
      <c r="E195" s="1" t="s">
        <v>1822</v>
      </c>
      <c r="F195" s="1" t="s">
        <v>1823</v>
      </c>
      <c r="G195" s="1" t="s">
        <v>14129</v>
      </c>
      <c r="H195" s="1" t="s">
        <v>14133</v>
      </c>
      <c r="I195" s="1" t="s">
        <v>14319</v>
      </c>
      <c r="J195" s="1" t="s">
        <v>23</v>
      </c>
      <c r="K195" s="1"/>
      <c r="L195" s="1" t="s">
        <v>296</v>
      </c>
      <c r="M195" s="8" t="s">
        <v>296</v>
      </c>
      <c r="N195" s="1" t="b">
        <f t="shared" ref="N195:N258" si="15">L195=M195</f>
        <v>1</v>
      </c>
      <c r="O195" s="1" t="s">
        <v>1824</v>
      </c>
      <c r="P195" s="1" t="s">
        <v>1825</v>
      </c>
      <c r="Q195" s="1" t="s">
        <v>1826</v>
      </c>
      <c r="R195" s="1" t="s">
        <v>1827</v>
      </c>
      <c r="S195" s="1" t="s">
        <v>1828</v>
      </c>
      <c r="T195" s="1" t="s">
        <v>1829</v>
      </c>
      <c r="U195" s="1" t="s">
        <v>1830</v>
      </c>
      <c r="V195" s="13">
        <f>COUNTIF(L195:$M$1659,L195)</f>
        <v>5</v>
      </c>
      <c r="W195" s="1" t="s">
        <v>1831</v>
      </c>
      <c r="X195">
        <v>1953.9</v>
      </c>
      <c r="Y195">
        <v>1446.96</v>
      </c>
      <c r="Z195">
        <v>12.257196</v>
      </c>
      <c r="AA195">
        <v>109.10738499999999</v>
      </c>
      <c r="AB195">
        <v>506.95</v>
      </c>
      <c r="AC195">
        <v>12.257274000000001</v>
      </c>
      <c r="AD195">
        <v>109.140851</v>
      </c>
      <c r="AE195" s="5">
        <f t="shared" ref="AE195:AE258" si="16">Y195*1.5/1000</f>
        <v>2.1704400000000001</v>
      </c>
      <c r="AF195" s="5">
        <f t="shared" ref="AF195:AF258" si="17">AB195*1.5/1000</f>
        <v>0.76042499999999991</v>
      </c>
      <c r="AG195" s="1" t="str">
        <f>TRIM(LEFT(L195,FIND("-",L195)-1))</f>
        <v>3. Trại giam A2</v>
      </c>
      <c r="AH195" s="1" t="str">
        <f>TRIM(RIGHT(L195, LEN(L195) - FIND("-", L195)))</f>
        <v>CATP Nha trang cũ</v>
      </c>
      <c r="AJ195">
        <f t="shared" ref="AJ195:AJ258" si="18">Y195/1000</f>
        <v>1.44696</v>
      </c>
      <c r="AK195">
        <f t="shared" ref="AK195:AK258" si="19">AB195/1000</f>
        <v>0.50695000000000001</v>
      </c>
      <c r="AL195" t="e">
        <f>VLOOKUP(L195,'[1]Tuyến cáp H04'!$B:$E,3,0)/1000</f>
        <v>#N/A</v>
      </c>
      <c r="AM195" t="e">
        <f>VLOOKUP(L195,'[1]Tuyến cáp H04'!$B:$E,4,0)</f>
        <v>#N/A</v>
      </c>
    </row>
    <row r="196" spans="1:39" x14ac:dyDescent="0.25">
      <c r="A196" s="1" t="s">
        <v>1832</v>
      </c>
      <c r="B196" s="1" t="s">
        <v>1360</v>
      </c>
      <c r="C196" s="1" t="s">
        <v>1361</v>
      </c>
      <c r="D196" s="1" t="s">
        <v>1833</v>
      </c>
      <c r="E196" s="1" t="s">
        <v>1834</v>
      </c>
      <c r="F196" s="1" t="s">
        <v>1835</v>
      </c>
      <c r="G196" s="1" t="s">
        <v>14129</v>
      </c>
      <c r="H196" s="1" t="s">
        <v>14133</v>
      </c>
      <c r="I196" s="1" t="s">
        <v>14320</v>
      </c>
      <c r="J196" s="1" t="s">
        <v>23</v>
      </c>
      <c r="K196" s="1"/>
      <c r="L196" s="1" t="s">
        <v>268</v>
      </c>
      <c r="M196" s="8" t="s">
        <v>268</v>
      </c>
      <c r="N196" s="1" t="b">
        <f t="shared" si="15"/>
        <v>1</v>
      </c>
      <c r="O196" s="1" t="s">
        <v>1836</v>
      </c>
      <c r="P196" s="1" t="s">
        <v>1837</v>
      </c>
      <c r="Q196" s="1" t="s">
        <v>1838</v>
      </c>
      <c r="R196" s="1" t="s">
        <v>1839</v>
      </c>
      <c r="S196" s="1" t="s">
        <v>1840</v>
      </c>
      <c r="T196" s="1" t="s">
        <v>1841</v>
      </c>
      <c r="U196" s="1" t="s">
        <v>1842</v>
      </c>
      <c r="V196" s="13">
        <f>COUNTIF(L196:$M$1659,L196)</f>
        <v>12</v>
      </c>
      <c r="W196" s="1" t="s">
        <v>1843</v>
      </c>
      <c r="X196">
        <v>2948.96</v>
      </c>
      <c r="Y196">
        <v>1446.62</v>
      </c>
      <c r="Z196">
        <v>12.257206999999999</v>
      </c>
      <c r="AA196">
        <v>109.107381</v>
      </c>
      <c r="AB196">
        <v>1502.34</v>
      </c>
      <c r="AC196">
        <v>12.255112</v>
      </c>
      <c r="AD196">
        <v>109.167627</v>
      </c>
      <c r="AE196" s="5">
        <f t="shared" si="16"/>
        <v>2.1699299999999999</v>
      </c>
      <c r="AF196" s="5">
        <f t="shared" si="17"/>
        <v>2.2535099999999999</v>
      </c>
      <c r="AG196" s="1" t="str">
        <f>TRIM(LEFT(L196,FIND("-",L196)-1))</f>
        <v>4.CA Tây Nha Trang</v>
      </c>
      <c r="AH196" s="1" t="str">
        <f>TRIM(RIGHT(L196, LEN(L196) - FIND("-", L196)))</f>
        <v>TTCMKV Diên Khánh</v>
      </c>
      <c r="AJ196">
        <f t="shared" si="18"/>
        <v>1.4466199999999998</v>
      </c>
      <c r="AK196">
        <f t="shared" si="19"/>
        <v>1.50234</v>
      </c>
      <c r="AL196" t="e">
        <f>VLOOKUP(L196,'[1]Tuyến cáp H04'!$B:$E,3,0)/1000</f>
        <v>#N/A</v>
      </c>
      <c r="AM196" t="e">
        <f>VLOOKUP(L196,'[1]Tuyến cáp H04'!$B:$E,4,0)</f>
        <v>#N/A</v>
      </c>
    </row>
    <row r="197" spans="1:39" x14ac:dyDescent="0.25">
      <c r="A197" s="1" t="s">
        <v>1844</v>
      </c>
      <c r="B197" s="1" t="s">
        <v>1360</v>
      </c>
      <c r="C197" s="1" t="s">
        <v>1361</v>
      </c>
      <c r="D197" s="1" t="s">
        <v>1845</v>
      </c>
      <c r="E197" s="1" t="s">
        <v>1846</v>
      </c>
      <c r="F197" s="1" t="s">
        <v>1847</v>
      </c>
      <c r="G197" s="1" t="s">
        <v>14129</v>
      </c>
      <c r="H197" s="1" t="s">
        <v>14133</v>
      </c>
      <c r="I197" s="1" t="s">
        <v>14321</v>
      </c>
      <c r="J197" s="1" t="s">
        <v>23</v>
      </c>
      <c r="K197" s="1"/>
      <c r="L197" s="1" t="s">
        <v>447</v>
      </c>
      <c r="M197" s="8" t="s">
        <v>447</v>
      </c>
      <c r="N197" s="1" t="b">
        <f t="shared" si="15"/>
        <v>1</v>
      </c>
      <c r="O197" s="1" t="s">
        <v>1848</v>
      </c>
      <c r="P197" s="1" t="s">
        <v>1425</v>
      </c>
      <c r="Q197" s="1" t="s">
        <v>1426</v>
      </c>
      <c r="R197" s="1" t="s">
        <v>1427</v>
      </c>
      <c r="S197" s="1" t="s">
        <v>1849</v>
      </c>
      <c r="T197" s="1" t="s">
        <v>1850</v>
      </c>
      <c r="U197" s="1" t="s">
        <v>1851</v>
      </c>
      <c r="V197" s="13">
        <f>COUNTIF(L197:$M$1659,L197)</f>
        <v>10</v>
      </c>
      <c r="W197" s="1" t="s">
        <v>455</v>
      </c>
      <c r="X197">
        <v>152.37</v>
      </c>
      <c r="Y197">
        <v>3.67</v>
      </c>
      <c r="Z197">
        <v>12.25628</v>
      </c>
      <c r="AA197">
        <v>109.09407299999999</v>
      </c>
      <c r="AB197">
        <v>148.69999999999999</v>
      </c>
      <c r="AC197">
        <v>12.26765</v>
      </c>
      <c r="AD197">
        <v>109.108559</v>
      </c>
      <c r="AE197" s="5">
        <f t="shared" si="16"/>
        <v>5.5049999999999995E-3</v>
      </c>
      <c r="AF197" s="5">
        <f t="shared" si="17"/>
        <v>0.22304999999999997</v>
      </c>
      <c r="AG197" s="1" t="str">
        <f>TRIM(LEFT(L197,FIND("-",L197)-1))</f>
        <v>1.CA Diên Khánh</v>
      </c>
      <c r="AH197" s="1" t="str">
        <f>TRIM(RIGHT(L197, LEN(L197) - FIND("-", L197)))</f>
        <v>CA Diên Điền_Cột trung thế</v>
      </c>
      <c r="AJ197">
        <f t="shared" si="18"/>
        <v>3.6700000000000001E-3</v>
      </c>
      <c r="AK197">
        <f t="shared" si="19"/>
        <v>0.1487</v>
      </c>
      <c r="AL197" t="e">
        <f>VLOOKUP(L197,'[1]Tuyến cáp H04'!$B:$E,3,0)/1000</f>
        <v>#N/A</v>
      </c>
      <c r="AM197" t="e">
        <f>VLOOKUP(L197,'[1]Tuyến cáp H04'!$B:$E,4,0)</f>
        <v>#N/A</v>
      </c>
    </row>
    <row r="198" spans="1:39" x14ac:dyDescent="0.25">
      <c r="A198" s="1" t="s">
        <v>1852</v>
      </c>
      <c r="B198" s="1" t="s">
        <v>1360</v>
      </c>
      <c r="C198" s="1" t="s">
        <v>1361</v>
      </c>
      <c r="D198" s="1" t="s">
        <v>1853</v>
      </c>
      <c r="E198" s="1" t="s">
        <v>1854</v>
      </c>
      <c r="F198" s="1" t="s">
        <v>1855</v>
      </c>
      <c r="G198" s="1" t="s">
        <v>14129</v>
      </c>
      <c r="H198" s="1" t="s">
        <v>14133</v>
      </c>
      <c r="I198" s="1" t="s">
        <v>14322</v>
      </c>
      <c r="J198" s="1" t="s">
        <v>23</v>
      </c>
      <c r="K198" s="1"/>
      <c r="L198" s="1" t="s">
        <v>447</v>
      </c>
      <c r="M198" s="8" t="s">
        <v>447</v>
      </c>
      <c r="N198" s="1" t="b">
        <f t="shared" si="15"/>
        <v>1</v>
      </c>
      <c r="O198" s="1" t="s">
        <v>1856</v>
      </c>
      <c r="P198" s="1" t="s">
        <v>1425</v>
      </c>
      <c r="Q198" s="1" t="s">
        <v>1426</v>
      </c>
      <c r="R198" s="1" t="s">
        <v>1427</v>
      </c>
      <c r="S198" s="1" t="s">
        <v>1857</v>
      </c>
      <c r="T198" s="1" t="s">
        <v>1858</v>
      </c>
      <c r="U198" s="1" t="s">
        <v>1859</v>
      </c>
      <c r="V198" s="13">
        <f>COUNTIF(L198:$M$1659,L198)</f>
        <v>8</v>
      </c>
      <c r="W198" s="1" t="s">
        <v>455</v>
      </c>
      <c r="X198">
        <v>181.44</v>
      </c>
      <c r="Y198">
        <v>3.67</v>
      </c>
      <c r="Z198">
        <v>12.25628</v>
      </c>
      <c r="AA198">
        <v>109.09407299999999</v>
      </c>
      <c r="AB198">
        <v>177.77</v>
      </c>
      <c r="AC198">
        <v>12.257208</v>
      </c>
      <c r="AD198">
        <v>109.10672700000001</v>
      </c>
      <c r="AE198" s="5">
        <f t="shared" si="16"/>
        <v>5.5049999999999995E-3</v>
      </c>
      <c r="AF198" s="5">
        <f t="shared" si="17"/>
        <v>0.26665500000000003</v>
      </c>
      <c r="AG198" s="1" t="str">
        <f>TRIM(LEFT(L198,FIND("-",L198)-1))</f>
        <v>1.CA Diên Khánh</v>
      </c>
      <c r="AH198" s="1" t="str">
        <f>TRIM(RIGHT(L198, LEN(L198) - FIND("-", L198)))</f>
        <v>CA Diên Điền_Cột trung thế</v>
      </c>
      <c r="AJ198">
        <f t="shared" si="18"/>
        <v>3.6700000000000001E-3</v>
      </c>
      <c r="AK198">
        <f t="shared" si="19"/>
        <v>0.17777000000000001</v>
      </c>
      <c r="AL198" t="e">
        <f>VLOOKUP(L198,'[1]Tuyến cáp H04'!$B:$E,3,0)/1000</f>
        <v>#N/A</v>
      </c>
      <c r="AM198" t="e">
        <f>VLOOKUP(L198,'[1]Tuyến cáp H04'!$B:$E,4,0)</f>
        <v>#N/A</v>
      </c>
    </row>
    <row r="199" spans="1:39" x14ac:dyDescent="0.25">
      <c r="A199" s="1" t="s">
        <v>1860</v>
      </c>
      <c r="B199" s="1" t="s">
        <v>1360</v>
      </c>
      <c r="C199" s="1" t="s">
        <v>1361</v>
      </c>
      <c r="D199" s="1" t="s">
        <v>1861</v>
      </c>
      <c r="E199" s="1" t="s">
        <v>1862</v>
      </c>
      <c r="F199" s="1" t="s">
        <v>1863</v>
      </c>
      <c r="G199" s="1" t="s">
        <v>14129</v>
      </c>
      <c r="H199" s="1" t="s">
        <v>14133</v>
      </c>
      <c r="I199" s="1" t="s">
        <v>14323</v>
      </c>
      <c r="J199" s="1" t="s">
        <v>23</v>
      </c>
      <c r="K199" s="1"/>
      <c r="L199" s="1" t="s">
        <v>447</v>
      </c>
      <c r="M199" s="8" t="s">
        <v>447</v>
      </c>
      <c r="N199" s="1" t="b">
        <f t="shared" si="15"/>
        <v>1</v>
      </c>
      <c r="O199" s="1" t="s">
        <v>1864</v>
      </c>
      <c r="P199" s="1" t="s">
        <v>1425</v>
      </c>
      <c r="Q199" s="1" t="s">
        <v>1426</v>
      </c>
      <c r="R199" s="1" t="s">
        <v>1427</v>
      </c>
      <c r="S199" s="1" t="s">
        <v>1865</v>
      </c>
      <c r="T199" s="1" t="s">
        <v>1866</v>
      </c>
      <c r="U199" s="1" t="s">
        <v>1867</v>
      </c>
      <c r="V199" s="13">
        <f>COUNTIF(L199:$M$1659,L199)</f>
        <v>6</v>
      </c>
      <c r="W199" s="1" t="s">
        <v>455</v>
      </c>
      <c r="X199">
        <v>1447.06</v>
      </c>
      <c r="Y199">
        <v>3.67</v>
      </c>
      <c r="Z199">
        <v>12.25628</v>
      </c>
      <c r="AA199">
        <v>109.09407299999999</v>
      </c>
      <c r="AB199">
        <v>1443.39</v>
      </c>
      <c r="AC199">
        <v>12.274564</v>
      </c>
      <c r="AD199">
        <v>109.11688599999999</v>
      </c>
      <c r="AE199" s="5">
        <f t="shared" si="16"/>
        <v>5.5049999999999995E-3</v>
      </c>
      <c r="AF199" s="5">
        <f t="shared" si="17"/>
        <v>2.1650849999999999</v>
      </c>
      <c r="AG199" s="1" t="str">
        <f>TRIM(LEFT(L199,FIND("-",L199)-1))</f>
        <v>1.CA Diên Khánh</v>
      </c>
      <c r="AH199" s="1" t="str">
        <f>TRIM(RIGHT(L199, LEN(L199) - FIND("-", L199)))</f>
        <v>CA Diên Điền_Cột trung thế</v>
      </c>
      <c r="AJ199">
        <f t="shared" si="18"/>
        <v>3.6700000000000001E-3</v>
      </c>
      <c r="AK199">
        <f t="shared" si="19"/>
        <v>1.4433900000000002</v>
      </c>
      <c r="AL199" t="e">
        <f>VLOOKUP(L199,'[1]Tuyến cáp H04'!$B:$E,3,0)/1000</f>
        <v>#N/A</v>
      </c>
      <c r="AM199" t="e">
        <f>VLOOKUP(L199,'[1]Tuyến cáp H04'!$B:$E,4,0)</f>
        <v>#N/A</v>
      </c>
    </row>
    <row r="200" spans="1:39" x14ac:dyDescent="0.25">
      <c r="A200" s="1" t="s">
        <v>1868</v>
      </c>
      <c r="B200" s="1" t="s">
        <v>1360</v>
      </c>
      <c r="C200" s="1" t="s">
        <v>1361</v>
      </c>
      <c r="D200" s="1" t="s">
        <v>1869</v>
      </c>
      <c r="E200" s="1" t="s">
        <v>1870</v>
      </c>
      <c r="F200" s="1" t="s">
        <v>1871</v>
      </c>
      <c r="G200" s="1" t="s">
        <v>14129</v>
      </c>
      <c r="H200" s="1" t="s">
        <v>14133</v>
      </c>
      <c r="I200" s="1" t="s">
        <v>14324</v>
      </c>
      <c r="J200" s="1" t="s">
        <v>23</v>
      </c>
      <c r="K200" s="1"/>
      <c r="L200" s="1" t="s">
        <v>54</v>
      </c>
      <c r="M200" s="8" t="s">
        <v>54</v>
      </c>
      <c r="N200" s="1" t="b">
        <f t="shared" si="15"/>
        <v>1</v>
      </c>
      <c r="O200" s="1" t="s">
        <v>1872</v>
      </c>
      <c r="P200" s="1" t="s">
        <v>1808</v>
      </c>
      <c r="Q200" s="1" t="s">
        <v>1873</v>
      </c>
      <c r="R200" s="1" t="s">
        <v>1874</v>
      </c>
      <c r="S200" s="1" t="s">
        <v>1875</v>
      </c>
      <c r="T200" s="1" t="s">
        <v>1876</v>
      </c>
      <c r="U200" s="1" t="s">
        <v>1877</v>
      </c>
      <c r="V200" s="13">
        <f>COUNTIF(L200:$M$1659,L200)</f>
        <v>10</v>
      </c>
      <c r="W200" s="1" t="s">
        <v>62</v>
      </c>
      <c r="X200">
        <v>1737.99</v>
      </c>
      <c r="Y200">
        <v>4.88</v>
      </c>
      <c r="Z200">
        <v>12.256322000000001</v>
      </c>
      <c r="AA200">
        <v>109.094061</v>
      </c>
      <c r="AB200">
        <v>1733.11</v>
      </c>
      <c r="AC200">
        <v>12.240461</v>
      </c>
      <c r="AD200">
        <v>109.09412</v>
      </c>
      <c r="AE200" s="5">
        <f t="shared" si="16"/>
        <v>7.3200000000000001E-3</v>
      </c>
      <c r="AF200" s="5">
        <f t="shared" si="17"/>
        <v>2.5996649999999999</v>
      </c>
      <c r="AG200" s="1" t="str">
        <f>TRIM(LEFT(L200,FIND("-",L200)-1))</f>
        <v>1.CA Diên Khánh</v>
      </c>
      <c r="AH200" s="1" t="str">
        <f>TRIM(RIGHT(L200, LEN(L200) - FIND("-", L200)))</f>
        <v>CA Suối Hiệp</v>
      </c>
      <c r="AJ200">
        <f t="shared" si="18"/>
        <v>4.8799999999999998E-3</v>
      </c>
      <c r="AK200">
        <f t="shared" si="19"/>
        <v>1.7331099999999999</v>
      </c>
      <c r="AL200" t="e">
        <f>VLOOKUP(L200,'[1]Tuyến cáp H04'!$B:$E,3,0)/1000</f>
        <v>#N/A</v>
      </c>
      <c r="AM200" t="e">
        <f>VLOOKUP(L200,'[1]Tuyến cáp H04'!$B:$E,4,0)</f>
        <v>#N/A</v>
      </c>
    </row>
    <row r="201" spans="1:39" x14ac:dyDescent="0.25">
      <c r="A201" s="1" t="s">
        <v>1878</v>
      </c>
      <c r="B201" s="1" t="s">
        <v>1879</v>
      </c>
      <c r="C201" s="1" t="s">
        <v>1880</v>
      </c>
      <c r="D201" s="1" t="s">
        <v>1360</v>
      </c>
      <c r="E201" s="1" t="s">
        <v>1361</v>
      </c>
      <c r="F201" s="1" t="s">
        <v>1881</v>
      </c>
      <c r="G201" s="1" t="s">
        <v>14129</v>
      </c>
      <c r="H201" s="1" t="s">
        <v>14130</v>
      </c>
      <c r="I201" s="1" t="s">
        <v>14325</v>
      </c>
      <c r="J201" s="1" t="s">
        <v>23</v>
      </c>
      <c r="K201" s="1"/>
      <c r="L201" s="1" t="s">
        <v>447</v>
      </c>
      <c r="M201" s="8" t="s">
        <v>447</v>
      </c>
      <c r="N201" s="1" t="b">
        <f t="shared" si="15"/>
        <v>1</v>
      </c>
      <c r="O201" s="1" t="s">
        <v>1882</v>
      </c>
      <c r="P201" s="1" t="s">
        <v>1883</v>
      </c>
      <c r="Q201" s="1" t="s">
        <v>1884</v>
      </c>
      <c r="R201" s="1" t="s">
        <v>1885</v>
      </c>
      <c r="S201" s="1" t="s">
        <v>1425</v>
      </c>
      <c r="T201" s="1" t="s">
        <v>1426</v>
      </c>
      <c r="U201" s="1" t="s">
        <v>1427</v>
      </c>
      <c r="V201" s="13">
        <f>COUNTIF(L201:$M$1659,L201)</f>
        <v>4</v>
      </c>
      <c r="W201" s="1" t="s">
        <v>455</v>
      </c>
      <c r="X201">
        <v>969.56</v>
      </c>
      <c r="Y201">
        <v>965.89</v>
      </c>
      <c r="Z201">
        <v>12.258483999999999</v>
      </c>
      <c r="AA201">
        <v>109.10706</v>
      </c>
      <c r="AB201">
        <v>3.67</v>
      </c>
      <c r="AC201">
        <v>12.25628</v>
      </c>
      <c r="AD201">
        <v>109.09407299999999</v>
      </c>
      <c r="AE201" s="5">
        <f t="shared" si="16"/>
        <v>1.4488350000000001</v>
      </c>
      <c r="AF201" s="5">
        <f t="shared" si="17"/>
        <v>5.5049999999999995E-3</v>
      </c>
      <c r="AG201" s="1" t="str">
        <f>TRIM(LEFT(L201,FIND("-",L201)-1))</f>
        <v>1.CA Diên Khánh</v>
      </c>
      <c r="AH201" s="1" t="str">
        <f>TRIM(RIGHT(L201, LEN(L201) - FIND("-", L201)))</f>
        <v>CA Diên Điền_Cột trung thế</v>
      </c>
      <c r="AJ201">
        <f t="shared" si="18"/>
        <v>0.96589000000000003</v>
      </c>
      <c r="AK201">
        <f t="shared" si="19"/>
        <v>3.6700000000000001E-3</v>
      </c>
      <c r="AL201" t="e">
        <f>VLOOKUP(L201,'[1]Tuyến cáp H04'!$B:$E,3,0)/1000</f>
        <v>#N/A</v>
      </c>
      <c r="AM201" t="e">
        <f>VLOOKUP(L201,'[1]Tuyến cáp H04'!$B:$E,4,0)</f>
        <v>#N/A</v>
      </c>
    </row>
    <row r="202" spans="1:39" x14ac:dyDescent="0.25">
      <c r="A202" s="1" t="s">
        <v>1886</v>
      </c>
      <c r="B202" s="1" t="s">
        <v>1887</v>
      </c>
      <c r="C202" s="1" t="s">
        <v>1888</v>
      </c>
      <c r="D202" s="1" t="s">
        <v>1360</v>
      </c>
      <c r="E202" s="1" t="s">
        <v>1361</v>
      </c>
      <c r="F202" s="1" t="s">
        <v>1889</v>
      </c>
      <c r="G202" s="1" t="s">
        <v>14129</v>
      </c>
      <c r="H202" s="1" t="s">
        <v>14130</v>
      </c>
      <c r="I202" s="1" t="s">
        <v>14326</v>
      </c>
      <c r="J202" s="1" t="s">
        <v>23</v>
      </c>
      <c r="K202" s="1"/>
      <c r="L202" s="1" t="s">
        <v>447</v>
      </c>
      <c r="M202" s="8" t="s">
        <v>447</v>
      </c>
      <c r="N202" s="1" t="b">
        <f t="shared" si="15"/>
        <v>1</v>
      </c>
      <c r="O202" s="1" t="s">
        <v>1890</v>
      </c>
      <c r="P202" s="1" t="s">
        <v>1891</v>
      </c>
      <c r="Q202" s="1" t="s">
        <v>1858</v>
      </c>
      <c r="R202" s="1" t="s">
        <v>1892</v>
      </c>
      <c r="S202" s="1" t="s">
        <v>1425</v>
      </c>
      <c r="T202" s="1" t="s">
        <v>1426</v>
      </c>
      <c r="U202" s="1" t="s">
        <v>1427</v>
      </c>
      <c r="V202" s="13">
        <f>COUNTIF(L202:$M$1659,L202)</f>
        <v>2</v>
      </c>
      <c r="W202" s="1" t="s">
        <v>455</v>
      </c>
      <c r="X202">
        <v>411.7</v>
      </c>
      <c r="Y202">
        <v>408.03</v>
      </c>
      <c r="Z202">
        <v>12.257208</v>
      </c>
      <c r="AA202">
        <v>109.104496</v>
      </c>
      <c r="AB202">
        <v>3.67</v>
      </c>
      <c r="AC202">
        <v>12.25628</v>
      </c>
      <c r="AD202">
        <v>109.09407299999999</v>
      </c>
      <c r="AE202" s="5">
        <f t="shared" si="16"/>
        <v>0.61204499999999995</v>
      </c>
      <c r="AF202" s="5">
        <f t="shared" si="17"/>
        <v>5.5049999999999995E-3</v>
      </c>
      <c r="AG202" s="1" t="str">
        <f>TRIM(LEFT(L202,FIND("-",L202)-1))</f>
        <v>1.CA Diên Khánh</v>
      </c>
      <c r="AH202" s="1" t="str">
        <f>TRIM(RIGHT(L202, LEN(L202) - FIND("-", L202)))</f>
        <v>CA Diên Điền_Cột trung thế</v>
      </c>
      <c r="AJ202">
        <f t="shared" si="18"/>
        <v>0.40802999999999995</v>
      </c>
      <c r="AK202">
        <f t="shared" si="19"/>
        <v>3.6700000000000001E-3</v>
      </c>
      <c r="AL202" t="e">
        <f>VLOOKUP(L202,'[1]Tuyến cáp H04'!$B:$E,3,0)/1000</f>
        <v>#N/A</v>
      </c>
      <c r="AM202" t="e">
        <f>VLOOKUP(L202,'[1]Tuyến cáp H04'!$B:$E,4,0)</f>
        <v>#N/A</v>
      </c>
    </row>
    <row r="203" spans="1:39" x14ac:dyDescent="0.25">
      <c r="A203" s="1" t="s">
        <v>1893</v>
      </c>
      <c r="B203" s="1" t="s">
        <v>1894</v>
      </c>
      <c r="C203" s="1" t="s">
        <v>1895</v>
      </c>
      <c r="D203" s="1" t="s">
        <v>1360</v>
      </c>
      <c r="E203" s="1" t="s">
        <v>1361</v>
      </c>
      <c r="F203" s="1" t="s">
        <v>1896</v>
      </c>
      <c r="G203" s="1" t="s">
        <v>14129</v>
      </c>
      <c r="H203" s="1" t="s">
        <v>14130</v>
      </c>
      <c r="I203" s="1" t="s">
        <v>14327</v>
      </c>
      <c r="J203" s="1" t="s">
        <v>23</v>
      </c>
      <c r="K203" s="1"/>
      <c r="L203" s="1" t="s">
        <v>54</v>
      </c>
      <c r="M203" s="8" t="s">
        <v>54</v>
      </c>
      <c r="N203" s="1" t="b">
        <f t="shared" si="15"/>
        <v>1</v>
      </c>
      <c r="O203" s="1" t="s">
        <v>1897</v>
      </c>
      <c r="P203" s="1" t="s">
        <v>1898</v>
      </c>
      <c r="Q203" s="1" t="s">
        <v>1899</v>
      </c>
      <c r="R203" s="1" t="s">
        <v>1900</v>
      </c>
      <c r="S203" s="1" t="s">
        <v>1808</v>
      </c>
      <c r="T203" s="1" t="s">
        <v>1873</v>
      </c>
      <c r="U203" s="1" t="s">
        <v>1874</v>
      </c>
      <c r="V203" s="13">
        <f>COUNTIF(L203:$M$1659,L203)</f>
        <v>8</v>
      </c>
      <c r="W203" s="1" t="s">
        <v>62</v>
      </c>
      <c r="X203">
        <v>63.19</v>
      </c>
      <c r="Y203">
        <v>58.31</v>
      </c>
      <c r="Z203">
        <v>12.256041</v>
      </c>
      <c r="AA203">
        <v>109.097449</v>
      </c>
      <c r="AB203">
        <v>4.88</v>
      </c>
      <c r="AC203">
        <v>12.256322000000001</v>
      </c>
      <c r="AD203">
        <v>109.094061</v>
      </c>
      <c r="AE203" s="5">
        <f t="shared" si="16"/>
        <v>8.7465000000000001E-2</v>
      </c>
      <c r="AF203" s="5">
        <f t="shared" si="17"/>
        <v>7.3200000000000001E-3</v>
      </c>
      <c r="AG203" s="1" t="str">
        <f>TRIM(LEFT(L203,FIND("-",L203)-1))</f>
        <v>1.CA Diên Khánh</v>
      </c>
      <c r="AH203" s="1" t="str">
        <f>TRIM(RIGHT(L203, LEN(L203) - FIND("-", L203)))</f>
        <v>CA Suối Hiệp</v>
      </c>
      <c r="AJ203">
        <f t="shared" si="18"/>
        <v>5.8310000000000001E-2</v>
      </c>
      <c r="AK203">
        <f t="shared" si="19"/>
        <v>4.8799999999999998E-3</v>
      </c>
      <c r="AL203" t="e">
        <f>VLOOKUP(L203,'[1]Tuyến cáp H04'!$B:$E,3,0)/1000</f>
        <v>#N/A</v>
      </c>
      <c r="AM203" t="e">
        <f>VLOOKUP(L203,'[1]Tuyến cáp H04'!$B:$E,4,0)</f>
        <v>#N/A</v>
      </c>
    </row>
    <row r="204" spans="1:39" x14ac:dyDescent="0.25">
      <c r="A204" s="1" t="s">
        <v>1901</v>
      </c>
      <c r="B204" s="1" t="s">
        <v>1902</v>
      </c>
      <c r="C204" s="1" t="s">
        <v>1903</v>
      </c>
      <c r="D204" s="1" t="s">
        <v>1360</v>
      </c>
      <c r="E204" s="1" t="s">
        <v>1361</v>
      </c>
      <c r="F204" s="1" t="s">
        <v>1904</v>
      </c>
      <c r="G204" s="1" t="s">
        <v>14129</v>
      </c>
      <c r="H204" s="1" t="s">
        <v>14133</v>
      </c>
      <c r="I204" s="1" t="s">
        <v>14328</v>
      </c>
      <c r="J204" s="1" t="s">
        <v>23</v>
      </c>
      <c r="K204" s="1"/>
      <c r="L204" s="1" t="s">
        <v>54</v>
      </c>
      <c r="M204" s="8" t="s">
        <v>54</v>
      </c>
      <c r="N204" s="1" t="b">
        <f t="shared" si="15"/>
        <v>1</v>
      </c>
      <c r="O204" s="1" t="s">
        <v>1905</v>
      </c>
      <c r="P204" s="1" t="s">
        <v>1906</v>
      </c>
      <c r="Q204" s="1" t="s">
        <v>60</v>
      </c>
      <c r="R204" s="1" t="s">
        <v>61</v>
      </c>
      <c r="S204" s="1" t="s">
        <v>1808</v>
      </c>
      <c r="T204" s="1" t="s">
        <v>1873</v>
      </c>
      <c r="U204" s="1" t="s">
        <v>1874</v>
      </c>
      <c r="V204" s="13">
        <f>COUNTIF(L204:$M$1659,L204)</f>
        <v>6</v>
      </c>
      <c r="W204" s="1" t="s">
        <v>62</v>
      </c>
      <c r="X204">
        <v>7884.01</v>
      </c>
      <c r="Y204">
        <v>7879.13</v>
      </c>
      <c r="Z204">
        <v>12.222536</v>
      </c>
      <c r="AA204">
        <v>109.084489</v>
      </c>
      <c r="AB204">
        <v>4.88</v>
      </c>
      <c r="AC204">
        <v>12.256322000000001</v>
      </c>
      <c r="AD204">
        <v>109.094061</v>
      </c>
      <c r="AE204" s="5">
        <f t="shared" si="16"/>
        <v>11.818695</v>
      </c>
      <c r="AF204" s="5">
        <f t="shared" si="17"/>
        <v>7.3200000000000001E-3</v>
      </c>
      <c r="AG204" s="1" t="str">
        <f>TRIM(LEFT(L204,FIND("-",L204)-1))</f>
        <v>1.CA Diên Khánh</v>
      </c>
      <c r="AH204" s="1" t="str">
        <f>TRIM(RIGHT(L204, LEN(L204) - FIND("-", L204)))</f>
        <v>CA Suối Hiệp</v>
      </c>
      <c r="AJ204">
        <f t="shared" si="18"/>
        <v>7.87913</v>
      </c>
      <c r="AK204">
        <f t="shared" si="19"/>
        <v>4.8799999999999998E-3</v>
      </c>
      <c r="AL204" t="e">
        <f>VLOOKUP(L204,'[1]Tuyến cáp H04'!$B:$E,3,0)/1000</f>
        <v>#N/A</v>
      </c>
      <c r="AM204" t="e">
        <f>VLOOKUP(L204,'[1]Tuyến cáp H04'!$B:$E,4,0)</f>
        <v>#N/A</v>
      </c>
    </row>
    <row r="205" spans="1:39" x14ac:dyDescent="0.25">
      <c r="A205" s="1" t="s">
        <v>1907</v>
      </c>
      <c r="B205" s="1" t="s">
        <v>1360</v>
      </c>
      <c r="C205" s="1" t="s">
        <v>1361</v>
      </c>
      <c r="D205" s="1" t="s">
        <v>1908</v>
      </c>
      <c r="E205" s="1" t="s">
        <v>1909</v>
      </c>
      <c r="F205" s="1" t="s">
        <v>1910</v>
      </c>
      <c r="G205" s="1" t="s">
        <v>14281</v>
      </c>
      <c r="H205" s="1" t="s">
        <v>14282</v>
      </c>
      <c r="I205" s="1" t="s">
        <v>14329</v>
      </c>
      <c r="J205" s="1" t="s">
        <v>23</v>
      </c>
      <c r="K205" s="1"/>
      <c r="L205" s="1" t="s">
        <v>268</v>
      </c>
      <c r="M205" s="8" t="s">
        <v>268</v>
      </c>
      <c r="N205" s="1" t="b">
        <f t="shared" si="15"/>
        <v>1</v>
      </c>
      <c r="O205" s="1" t="s">
        <v>1911</v>
      </c>
      <c r="P205" s="1" t="s">
        <v>1837</v>
      </c>
      <c r="Q205" s="1" t="s">
        <v>1838</v>
      </c>
      <c r="R205" s="1" t="s">
        <v>1839</v>
      </c>
      <c r="S205" s="1" t="s">
        <v>1912</v>
      </c>
      <c r="T205" s="1" t="s">
        <v>1841</v>
      </c>
      <c r="U205" s="1" t="s">
        <v>1842</v>
      </c>
      <c r="V205" s="13">
        <f>COUNTIF(L205:$M$1659,L205)</f>
        <v>10</v>
      </c>
      <c r="W205" s="1" t="s">
        <v>1843</v>
      </c>
      <c r="X205">
        <v>4298.22</v>
      </c>
      <c r="Y205">
        <v>1446.62</v>
      </c>
      <c r="Z205">
        <v>12.257206999999999</v>
      </c>
      <c r="AA205">
        <v>109.107381</v>
      </c>
      <c r="AB205">
        <v>2851.61</v>
      </c>
      <c r="AC205">
        <v>12.255112</v>
      </c>
      <c r="AD205">
        <v>109.167627</v>
      </c>
      <c r="AE205" s="5">
        <f t="shared" si="16"/>
        <v>2.1699299999999999</v>
      </c>
      <c r="AF205" s="5">
        <f t="shared" si="17"/>
        <v>4.2774149999999995</v>
      </c>
      <c r="AG205" s="1" t="str">
        <f>TRIM(LEFT(L205,FIND("-",L205)-1))</f>
        <v>4.CA Tây Nha Trang</v>
      </c>
      <c r="AH205" s="1" t="str">
        <f>TRIM(RIGHT(L205, LEN(L205) - FIND("-", L205)))</f>
        <v>TTCMKV Diên Khánh</v>
      </c>
      <c r="AJ205">
        <f t="shared" si="18"/>
        <v>1.4466199999999998</v>
      </c>
      <c r="AK205">
        <f t="shared" si="19"/>
        <v>2.85161</v>
      </c>
      <c r="AL205" t="e">
        <f>VLOOKUP(L205,'[1]Tuyến cáp H04'!$B:$E,3,0)/1000</f>
        <v>#N/A</v>
      </c>
      <c r="AM205" t="e">
        <f>VLOOKUP(L205,'[1]Tuyến cáp H04'!$B:$E,4,0)</f>
        <v>#N/A</v>
      </c>
    </row>
    <row r="206" spans="1:39" x14ac:dyDescent="0.25">
      <c r="A206" s="1" t="s">
        <v>1913</v>
      </c>
      <c r="B206" s="1" t="s">
        <v>1360</v>
      </c>
      <c r="C206" s="1" t="s">
        <v>1361</v>
      </c>
      <c r="D206" s="1" t="s">
        <v>812</v>
      </c>
      <c r="E206" s="1" t="s">
        <v>813</v>
      </c>
      <c r="F206" s="1" t="s">
        <v>1914</v>
      </c>
      <c r="G206" s="1" t="s">
        <v>14281</v>
      </c>
      <c r="H206" s="1" t="s">
        <v>14282</v>
      </c>
      <c r="I206" s="1" t="s">
        <v>14330</v>
      </c>
      <c r="J206" s="1" t="s">
        <v>23</v>
      </c>
      <c r="K206" s="1"/>
      <c r="L206" s="1" t="s">
        <v>245</v>
      </c>
      <c r="M206" s="8" t="s">
        <v>245</v>
      </c>
      <c r="N206" s="1" t="b">
        <f t="shared" si="15"/>
        <v>1</v>
      </c>
      <c r="O206" s="1" t="s">
        <v>1915</v>
      </c>
      <c r="P206" s="1" t="s">
        <v>1916</v>
      </c>
      <c r="Q206" s="1" t="s">
        <v>1917</v>
      </c>
      <c r="R206" s="1" t="s">
        <v>1918</v>
      </c>
      <c r="S206" s="1" t="s">
        <v>1919</v>
      </c>
      <c r="T206" s="1" t="s">
        <v>1920</v>
      </c>
      <c r="U206" s="1" t="s">
        <v>1921</v>
      </c>
      <c r="V206" s="13">
        <f>COUNTIF(L206:$M$1659,L206)</f>
        <v>6</v>
      </c>
      <c r="W206" s="1" t="s">
        <v>881</v>
      </c>
      <c r="X206">
        <v>11802.2</v>
      </c>
      <c r="Y206">
        <v>10371.14</v>
      </c>
      <c r="Z206">
        <v>12.164901</v>
      </c>
      <c r="AA206">
        <v>109.07508300000001</v>
      </c>
      <c r="AB206">
        <v>1431.05</v>
      </c>
      <c r="AC206">
        <v>12.07361</v>
      </c>
      <c r="AD206">
        <v>109.15225100000001</v>
      </c>
      <c r="AE206" s="5">
        <f t="shared" si="16"/>
        <v>15.556709999999999</v>
      </c>
      <c r="AF206" s="5">
        <f t="shared" si="17"/>
        <v>2.1465749999999999</v>
      </c>
      <c r="AG206" s="1" t="str">
        <f>TRIM(LEFT(L206,FIND("-",L206)-1))</f>
        <v>5. Cam Phước Đông</v>
      </c>
      <c r="AH206" s="1" t="str">
        <f>TRIM(RIGHT(L206, LEN(L206) - FIND("-", L206)))</f>
        <v>CAT Khánh Hòa</v>
      </c>
      <c r="AJ206">
        <f t="shared" si="18"/>
        <v>10.371139999999999</v>
      </c>
      <c r="AK206">
        <f t="shared" si="19"/>
        <v>1.4310499999999999</v>
      </c>
      <c r="AL206" t="e">
        <f>VLOOKUP(L206,'[1]Tuyến cáp H04'!$B:$E,3,0)/1000</f>
        <v>#N/A</v>
      </c>
      <c r="AM206" t="e">
        <f>VLOOKUP(L206,'[1]Tuyến cáp H04'!$B:$E,4,0)</f>
        <v>#N/A</v>
      </c>
    </row>
    <row r="207" spans="1:39" x14ac:dyDescent="0.25">
      <c r="A207" s="1" t="s">
        <v>1907</v>
      </c>
      <c r="B207" s="1" t="s">
        <v>1360</v>
      </c>
      <c r="C207" s="1" t="s">
        <v>1361</v>
      </c>
      <c r="D207" s="1" t="s">
        <v>1908</v>
      </c>
      <c r="E207" s="1" t="s">
        <v>1909</v>
      </c>
      <c r="F207" s="1" t="s">
        <v>1910</v>
      </c>
      <c r="G207" s="1" t="s">
        <v>14281</v>
      </c>
      <c r="H207" s="1" t="s">
        <v>14282</v>
      </c>
      <c r="I207" s="1" t="s">
        <v>14329</v>
      </c>
      <c r="J207" s="1" t="s">
        <v>23</v>
      </c>
      <c r="K207" s="1"/>
      <c r="L207" s="1" t="s">
        <v>268</v>
      </c>
      <c r="M207" s="8" t="s">
        <v>268</v>
      </c>
      <c r="N207" s="1" t="b">
        <f t="shared" si="15"/>
        <v>1</v>
      </c>
      <c r="O207" s="1" t="s">
        <v>1911</v>
      </c>
      <c r="P207" s="1" t="s">
        <v>1837</v>
      </c>
      <c r="Q207" s="1" t="s">
        <v>1838</v>
      </c>
      <c r="R207" s="1" t="s">
        <v>1839</v>
      </c>
      <c r="S207" s="1" t="s">
        <v>1912</v>
      </c>
      <c r="T207" s="1" t="s">
        <v>1841</v>
      </c>
      <c r="U207" s="1" t="s">
        <v>1842</v>
      </c>
      <c r="V207" s="13">
        <f>COUNTIF(L207:$M$1659,L207)</f>
        <v>8</v>
      </c>
      <c r="W207" s="1" t="s">
        <v>1843</v>
      </c>
      <c r="X207">
        <v>4298.22</v>
      </c>
      <c r="Y207">
        <v>1446.62</v>
      </c>
      <c r="Z207">
        <v>12.257206999999999</v>
      </c>
      <c r="AA207">
        <v>109.107381</v>
      </c>
      <c r="AB207">
        <v>2851.61</v>
      </c>
      <c r="AC207">
        <v>12.255112</v>
      </c>
      <c r="AD207">
        <v>109.167627</v>
      </c>
      <c r="AE207" s="5">
        <f t="shared" si="16"/>
        <v>2.1699299999999999</v>
      </c>
      <c r="AF207" s="5">
        <f t="shared" si="17"/>
        <v>4.2774149999999995</v>
      </c>
      <c r="AG207" s="1" t="str">
        <f>TRIM(LEFT(L207,FIND("-",L207)-1))</f>
        <v>4.CA Tây Nha Trang</v>
      </c>
      <c r="AH207" s="1" t="str">
        <f>TRIM(RIGHT(L207, LEN(L207) - FIND("-", L207)))</f>
        <v>TTCMKV Diên Khánh</v>
      </c>
      <c r="AJ207">
        <f t="shared" si="18"/>
        <v>1.4466199999999998</v>
      </c>
      <c r="AK207">
        <f t="shared" si="19"/>
        <v>2.85161</v>
      </c>
      <c r="AL207" t="e">
        <f>VLOOKUP(L207,'[1]Tuyến cáp H04'!$B:$E,3,0)/1000</f>
        <v>#N/A</v>
      </c>
      <c r="AM207" t="e">
        <f>VLOOKUP(L207,'[1]Tuyến cáp H04'!$B:$E,4,0)</f>
        <v>#N/A</v>
      </c>
    </row>
    <row r="208" spans="1:39" x14ac:dyDescent="0.25">
      <c r="A208" s="1" t="s">
        <v>1922</v>
      </c>
      <c r="B208" s="1" t="s">
        <v>1360</v>
      </c>
      <c r="C208" s="1" t="s">
        <v>1361</v>
      </c>
      <c r="D208" s="1" t="s">
        <v>1923</v>
      </c>
      <c r="E208" s="1" t="s">
        <v>1924</v>
      </c>
      <c r="F208" s="1" t="s">
        <v>1925</v>
      </c>
      <c r="G208" s="1" t="s">
        <v>14281</v>
      </c>
      <c r="H208" s="1" t="s">
        <v>14282</v>
      </c>
      <c r="I208" s="1" t="s">
        <v>14331</v>
      </c>
      <c r="J208" s="1" t="s">
        <v>23</v>
      </c>
      <c r="K208" s="1"/>
      <c r="L208" s="1" t="s">
        <v>54</v>
      </c>
      <c r="M208" s="8" t="s">
        <v>54</v>
      </c>
      <c r="N208" s="1" t="b">
        <f t="shared" si="15"/>
        <v>1</v>
      </c>
      <c r="O208" s="1" t="s">
        <v>1926</v>
      </c>
      <c r="P208" s="1" t="s">
        <v>1808</v>
      </c>
      <c r="Q208" s="1" t="s">
        <v>1873</v>
      </c>
      <c r="R208" s="1" t="s">
        <v>1874</v>
      </c>
      <c r="S208" s="1" t="s">
        <v>1927</v>
      </c>
      <c r="T208" s="1" t="s">
        <v>1928</v>
      </c>
      <c r="U208" s="1" t="s">
        <v>1929</v>
      </c>
      <c r="V208" s="13">
        <f>COUNTIF(L208:$M$1659,L208)</f>
        <v>4</v>
      </c>
      <c r="W208" s="1" t="s">
        <v>62</v>
      </c>
      <c r="X208">
        <v>698.36</v>
      </c>
      <c r="Y208">
        <v>4.88</v>
      </c>
      <c r="Z208">
        <v>12.256322000000001</v>
      </c>
      <c r="AA208">
        <v>109.094061</v>
      </c>
      <c r="AB208">
        <v>693.48</v>
      </c>
      <c r="AC208">
        <v>12.252197000000001</v>
      </c>
      <c r="AD208">
        <v>109.097283</v>
      </c>
      <c r="AE208" s="5">
        <f t="shared" si="16"/>
        <v>7.3200000000000001E-3</v>
      </c>
      <c r="AF208" s="5">
        <f t="shared" si="17"/>
        <v>1.0402199999999999</v>
      </c>
      <c r="AG208" s="1" t="str">
        <f>TRIM(LEFT(L208,FIND("-",L208)-1))</f>
        <v>1.CA Diên Khánh</v>
      </c>
      <c r="AH208" s="1" t="str">
        <f>TRIM(RIGHT(L208, LEN(L208) - FIND("-", L208)))</f>
        <v>CA Suối Hiệp</v>
      </c>
      <c r="AJ208">
        <f t="shared" si="18"/>
        <v>4.8799999999999998E-3</v>
      </c>
      <c r="AK208">
        <f t="shared" si="19"/>
        <v>0.69347999999999999</v>
      </c>
      <c r="AL208" t="e">
        <f>VLOOKUP(L208,'[1]Tuyến cáp H04'!$B:$E,3,0)/1000</f>
        <v>#N/A</v>
      </c>
      <c r="AM208" t="e">
        <f>VLOOKUP(L208,'[1]Tuyến cáp H04'!$B:$E,4,0)</f>
        <v>#N/A</v>
      </c>
    </row>
    <row r="209" spans="1:39" x14ac:dyDescent="0.25">
      <c r="A209" s="1" t="s">
        <v>1930</v>
      </c>
      <c r="B209" s="1" t="s">
        <v>1908</v>
      </c>
      <c r="C209" s="1" t="s">
        <v>1909</v>
      </c>
      <c r="D209" s="1" t="s">
        <v>1360</v>
      </c>
      <c r="E209" s="1" t="s">
        <v>1361</v>
      </c>
      <c r="F209" s="1" t="s">
        <v>1931</v>
      </c>
      <c r="G209" s="1" t="s">
        <v>14281</v>
      </c>
      <c r="H209" s="1" t="s">
        <v>14282</v>
      </c>
      <c r="I209" s="1" t="s">
        <v>14332</v>
      </c>
      <c r="J209" s="1" t="s">
        <v>23</v>
      </c>
      <c r="K209" s="1"/>
      <c r="L209" s="1" t="s">
        <v>268</v>
      </c>
      <c r="M209" s="8" t="s">
        <v>268</v>
      </c>
      <c r="N209" s="1" t="b">
        <f t="shared" si="15"/>
        <v>1</v>
      </c>
      <c r="O209" s="1" t="s">
        <v>1911</v>
      </c>
      <c r="P209" s="1" t="s">
        <v>1912</v>
      </c>
      <c r="Q209" s="1" t="s">
        <v>1841</v>
      </c>
      <c r="R209" s="1" t="s">
        <v>1842</v>
      </c>
      <c r="S209" s="1" t="s">
        <v>1837</v>
      </c>
      <c r="T209" s="1" t="s">
        <v>1838</v>
      </c>
      <c r="U209" s="1" t="s">
        <v>1839</v>
      </c>
      <c r="V209" s="13">
        <f>COUNTIF(L209:$M$1659,L209)</f>
        <v>6</v>
      </c>
      <c r="W209" s="1" t="s">
        <v>1843</v>
      </c>
      <c r="X209">
        <v>4298.22</v>
      </c>
      <c r="Y209">
        <v>2851.61</v>
      </c>
      <c r="Z209">
        <v>12.255112</v>
      </c>
      <c r="AA209">
        <v>109.167627</v>
      </c>
      <c r="AB209">
        <v>1446.62</v>
      </c>
      <c r="AC209">
        <v>12.257206999999999</v>
      </c>
      <c r="AD209">
        <v>109.107381</v>
      </c>
      <c r="AE209" s="5">
        <f t="shared" si="16"/>
        <v>4.2774149999999995</v>
      </c>
      <c r="AF209" s="5">
        <f t="shared" si="17"/>
        <v>2.1699299999999999</v>
      </c>
      <c r="AG209" s="1" t="str">
        <f>TRIM(LEFT(L209,FIND("-",L209)-1))</f>
        <v>4.CA Tây Nha Trang</v>
      </c>
      <c r="AH209" s="1" t="str">
        <f>TRIM(RIGHT(L209, LEN(L209) - FIND("-", L209)))</f>
        <v>TTCMKV Diên Khánh</v>
      </c>
      <c r="AJ209">
        <f t="shared" si="18"/>
        <v>2.85161</v>
      </c>
      <c r="AK209">
        <f t="shared" si="19"/>
        <v>1.4466199999999998</v>
      </c>
      <c r="AL209" t="e">
        <f>VLOOKUP(L209,'[1]Tuyến cáp H04'!$B:$E,3,0)/1000</f>
        <v>#N/A</v>
      </c>
      <c r="AM209" t="e">
        <f>VLOOKUP(L209,'[1]Tuyến cáp H04'!$B:$E,4,0)</f>
        <v>#N/A</v>
      </c>
    </row>
    <row r="210" spans="1:39" x14ac:dyDescent="0.25">
      <c r="A210" s="1" t="s">
        <v>1932</v>
      </c>
      <c r="B210" s="1" t="s">
        <v>263</v>
      </c>
      <c r="C210" s="1" t="s">
        <v>264</v>
      </c>
      <c r="D210" s="1" t="s">
        <v>128</v>
      </c>
      <c r="E210" s="1" t="s">
        <v>129</v>
      </c>
      <c r="F210" s="1" t="s">
        <v>1933</v>
      </c>
      <c r="G210" s="1" t="s">
        <v>14281</v>
      </c>
      <c r="H210" s="1" t="s">
        <v>14282</v>
      </c>
      <c r="I210" s="1" t="s">
        <v>14333</v>
      </c>
      <c r="J210" s="1" t="s">
        <v>23</v>
      </c>
      <c r="K210" s="1"/>
      <c r="L210" s="1" t="s">
        <v>283</v>
      </c>
      <c r="M210" s="8" t="s">
        <v>296</v>
      </c>
      <c r="N210" s="12" t="b">
        <f t="shared" si="15"/>
        <v>0</v>
      </c>
      <c r="O210" s="1" t="s">
        <v>1934</v>
      </c>
      <c r="P210" s="1" t="s">
        <v>1935</v>
      </c>
      <c r="Q210" s="1" t="s">
        <v>289</v>
      </c>
      <c r="R210" s="1" t="s">
        <v>290</v>
      </c>
      <c r="S210" s="1" t="s">
        <v>657</v>
      </c>
      <c r="T210" s="1" t="s">
        <v>286</v>
      </c>
      <c r="U210" s="1" t="s">
        <v>287</v>
      </c>
      <c r="V210" s="13">
        <f>COUNTIF(L210:$M$1659,L210)</f>
        <v>26</v>
      </c>
      <c r="W210" s="1" t="s">
        <v>291</v>
      </c>
      <c r="X210">
        <v>515907.01</v>
      </c>
      <c r="Y210">
        <v>266264.28999999998</v>
      </c>
      <c r="Z210">
        <v>14.352316999999999</v>
      </c>
      <c r="AA210">
        <v>108.007831</v>
      </c>
      <c r="AB210">
        <v>249642.72</v>
      </c>
      <c r="AC210">
        <v>14.659686000000001</v>
      </c>
      <c r="AD210">
        <v>107.839439</v>
      </c>
      <c r="AE210" s="5">
        <f t="shared" si="16"/>
        <v>399.39643499999994</v>
      </c>
      <c r="AF210" s="5">
        <f t="shared" si="17"/>
        <v>374.46408000000002</v>
      </c>
      <c r="AG210" s="1" t="str">
        <f>TRIM(LEFT(L210,FIND("-",L210)-1))</f>
        <v>Đăk Tô</v>
      </c>
      <c r="AH210" s="1" t="str">
        <f>TRIM(RIGHT(L210, LEN(L210) - FIND("-", L210)))</f>
        <v>TT2 Kon Tum</v>
      </c>
      <c r="AJ210">
        <f t="shared" si="18"/>
        <v>266.26428999999996</v>
      </c>
      <c r="AK210">
        <f t="shared" si="19"/>
        <v>249.64272</v>
      </c>
      <c r="AL210">
        <f>VLOOKUP(L210,'[1]Tuyến cáp H04'!$B:$E,3,0)/1000</f>
        <v>43.9602</v>
      </c>
      <c r="AM210" t="str">
        <f>VLOOKUP(L210,'[1]Tuyến cáp H04'!$B:$E,4,0)</f>
        <v>Mạng cấp 3</v>
      </c>
    </row>
    <row r="211" spans="1:39" x14ac:dyDescent="0.25">
      <c r="A211" s="1" t="s">
        <v>1936</v>
      </c>
      <c r="B211" s="1" t="s">
        <v>128</v>
      </c>
      <c r="C211" s="1" t="s">
        <v>129</v>
      </c>
      <c r="D211" s="1" t="s">
        <v>240</v>
      </c>
      <c r="E211" s="1" t="s">
        <v>241</v>
      </c>
      <c r="F211" s="1" t="s">
        <v>1937</v>
      </c>
      <c r="G211" s="1" t="s">
        <v>14281</v>
      </c>
      <c r="H211" s="1" t="s">
        <v>14282</v>
      </c>
      <c r="I211" s="1" t="s">
        <v>14334</v>
      </c>
      <c r="J211" s="1" t="s">
        <v>23</v>
      </c>
      <c r="K211" s="1"/>
      <c r="L211" s="1" t="s">
        <v>283</v>
      </c>
      <c r="M211" s="8" t="s">
        <v>2441</v>
      </c>
      <c r="N211" s="12" t="b">
        <f t="shared" si="15"/>
        <v>0</v>
      </c>
      <c r="O211" s="1" t="s">
        <v>1938</v>
      </c>
      <c r="P211" s="1" t="s">
        <v>657</v>
      </c>
      <c r="Q211" s="1" t="s">
        <v>286</v>
      </c>
      <c r="R211" s="1" t="s">
        <v>287</v>
      </c>
      <c r="S211" s="1" t="s">
        <v>1939</v>
      </c>
      <c r="T211" s="1" t="s">
        <v>289</v>
      </c>
      <c r="U211" s="1" t="s">
        <v>290</v>
      </c>
      <c r="V211" s="13">
        <f>COUNTIF(L211:$M$1659,L211)</f>
        <v>25</v>
      </c>
      <c r="W211" s="1" t="s">
        <v>291</v>
      </c>
      <c r="X211">
        <v>517162.81</v>
      </c>
      <c r="Y211">
        <v>249642.72</v>
      </c>
      <c r="Z211">
        <v>14.659686000000001</v>
      </c>
      <c r="AA211">
        <v>107.839439</v>
      </c>
      <c r="AB211">
        <v>267520.09000000003</v>
      </c>
      <c r="AC211">
        <v>14.352316999999999</v>
      </c>
      <c r="AD211">
        <v>108.007831</v>
      </c>
      <c r="AE211" s="5">
        <f t="shared" si="16"/>
        <v>374.46408000000002</v>
      </c>
      <c r="AF211" s="5">
        <f t="shared" si="17"/>
        <v>401.28013500000003</v>
      </c>
      <c r="AG211" s="1" t="str">
        <f>TRIM(LEFT(L211,FIND("-",L211)-1))</f>
        <v>Đăk Tô</v>
      </c>
      <c r="AH211" s="1" t="str">
        <f>TRIM(RIGHT(L211, LEN(L211) - FIND("-", L211)))</f>
        <v>TT2 Kon Tum</v>
      </c>
      <c r="AJ211">
        <f t="shared" si="18"/>
        <v>249.64272</v>
      </c>
      <c r="AK211">
        <f t="shared" si="19"/>
        <v>267.52009000000004</v>
      </c>
      <c r="AL211">
        <f>VLOOKUP(L211,'[1]Tuyến cáp H04'!$B:$E,3,0)/1000</f>
        <v>43.9602</v>
      </c>
      <c r="AM211" t="str">
        <f>VLOOKUP(L211,'[1]Tuyến cáp H04'!$B:$E,4,0)</f>
        <v>Mạng cấp 3</v>
      </c>
    </row>
    <row r="212" spans="1:39" x14ac:dyDescent="0.25">
      <c r="A212" s="1" t="s">
        <v>1940</v>
      </c>
      <c r="B212" s="1" t="s">
        <v>240</v>
      </c>
      <c r="C212" s="1" t="s">
        <v>241</v>
      </c>
      <c r="D212" s="1" t="s">
        <v>278</v>
      </c>
      <c r="E212" s="1" t="s">
        <v>279</v>
      </c>
      <c r="F212" s="1" t="s">
        <v>1941</v>
      </c>
      <c r="G212" s="1" t="s">
        <v>14281</v>
      </c>
      <c r="H212" s="1" t="s">
        <v>14282</v>
      </c>
      <c r="I212" s="1" t="s">
        <v>14335</v>
      </c>
      <c r="J212" s="1" t="s">
        <v>23</v>
      </c>
      <c r="K212" s="1"/>
      <c r="L212" s="1" t="s">
        <v>283</v>
      </c>
      <c r="M212" s="8" t="s">
        <v>681</v>
      </c>
      <c r="N212" s="12" t="b">
        <f t="shared" si="15"/>
        <v>0</v>
      </c>
      <c r="O212" s="1" t="s">
        <v>1942</v>
      </c>
      <c r="P212" s="1" t="s">
        <v>1939</v>
      </c>
      <c r="Q212" s="1" t="s">
        <v>289</v>
      </c>
      <c r="R212" s="1" t="s">
        <v>290</v>
      </c>
      <c r="S212" s="1" t="s">
        <v>285</v>
      </c>
      <c r="T212" s="1" t="s">
        <v>286</v>
      </c>
      <c r="U212" s="1" t="s">
        <v>287</v>
      </c>
      <c r="V212" s="13">
        <f>COUNTIF(L212:$M$1659,L212)</f>
        <v>24</v>
      </c>
      <c r="W212" s="1" t="s">
        <v>291</v>
      </c>
      <c r="X212">
        <v>520104.28</v>
      </c>
      <c r="Y212">
        <v>267520.09000000003</v>
      </c>
      <c r="Z212">
        <v>14.352316999999999</v>
      </c>
      <c r="AA212">
        <v>108.007831</v>
      </c>
      <c r="AB212">
        <v>252584.19</v>
      </c>
      <c r="AC212">
        <v>14.659686000000001</v>
      </c>
      <c r="AD212">
        <v>107.839439</v>
      </c>
      <c r="AE212" s="5">
        <f t="shared" si="16"/>
        <v>401.28013500000003</v>
      </c>
      <c r="AF212" s="5">
        <f t="shared" si="17"/>
        <v>378.87628500000005</v>
      </c>
      <c r="AG212" s="1" t="str">
        <f>TRIM(LEFT(L212,FIND("-",L212)-1))</f>
        <v>Đăk Tô</v>
      </c>
      <c r="AH212" s="1" t="str">
        <f>TRIM(RIGHT(L212, LEN(L212) - FIND("-", L212)))</f>
        <v>TT2 Kon Tum</v>
      </c>
      <c r="AJ212">
        <f t="shared" si="18"/>
        <v>267.52009000000004</v>
      </c>
      <c r="AK212">
        <f t="shared" si="19"/>
        <v>252.58419000000001</v>
      </c>
      <c r="AL212">
        <f>VLOOKUP(L212,'[1]Tuyến cáp H04'!$B:$E,3,0)/1000</f>
        <v>43.9602</v>
      </c>
      <c r="AM212" t="str">
        <f>VLOOKUP(L212,'[1]Tuyến cáp H04'!$B:$E,4,0)</f>
        <v>Mạng cấp 3</v>
      </c>
    </row>
    <row r="213" spans="1:39" x14ac:dyDescent="0.25">
      <c r="A213" s="1" t="s">
        <v>1943</v>
      </c>
      <c r="B213" s="1" t="s">
        <v>278</v>
      </c>
      <c r="C213" s="1" t="s">
        <v>279</v>
      </c>
      <c r="D213" s="1" t="s">
        <v>92</v>
      </c>
      <c r="E213" s="1" t="s">
        <v>93</v>
      </c>
      <c r="F213" s="1" t="s">
        <v>1944</v>
      </c>
      <c r="G213" s="1" t="s">
        <v>14281</v>
      </c>
      <c r="H213" s="1" t="s">
        <v>14282</v>
      </c>
      <c r="I213" s="1" t="s">
        <v>14336</v>
      </c>
      <c r="J213" s="1" t="s">
        <v>23</v>
      </c>
      <c r="K213" s="1"/>
      <c r="L213" s="1" t="s">
        <v>283</v>
      </c>
      <c r="M213" s="8" t="s">
        <v>2441</v>
      </c>
      <c r="N213" s="12" t="b">
        <f t="shared" si="15"/>
        <v>0</v>
      </c>
      <c r="O213" s="1" t="s">
        <v>1945</v>
      </c>
      <c r="P213" s="1" t="s">
        <v>285</v>
      </c>
      <c r="Q213" s="1" t="s">
        <v>286</v>
      </c>
      <c r="R213" s="1" t="s">
        <v>287</v>
      </c>
      <c r="S213" s="1" t="s">
        <v>1946</v>
      </c>
      <c r="T213" s="1" t="s">
        <v>289</v>
      </c>
      <c r="U213" s="1" t="s">
        <v>290</v>
      </c>
      <c r="V213" s="13">
        <f>COUNTIF(L213:$M$1659,L213)</f>
        <v>23</v>
      </c>
      <c r="W213" s="1" t="s">
        <v>291</v>
      </c>
      <c r="X213">
        <v>519374.19</v>
      </c>
      <c r="Y213">
        <v>252584.19</v>
      </c>
      <c r="Z213">
        <v>14.659686000000001</v>
      </c>
      <c r="AA213">
        <v>107.839439</v>
      </c>
      <c r="AB213">
        <v>266790</v>
      </c>
      <c r="AC213">
        <v>14.352316999999999</v>
      </c>
      <c r="AD213">
        <v>108.007831</v>
      </c>
      <c r="AE213" s="5">
        <f t="shared" si="16"/>
        <v>378.87628500000005</v>
      </c>
      <c r="AF213" s="5">
        <f t="shared" si="17"/>
        <v>400.185</v>
      </c>
      <c r="AG213" s="1" t="str">
        <f>TRIM(LEFT(L213,FIND("-",L213)-1))</f>
        <v>Đăk Tô</v>
      </c>
      <c r="AH213" s="1" t="str">
        <f>TRIM(RIGHT(L213, LEN(L213) - FIND("-", L213)))</f>
        <v>TT2 Kon Tum</v>
      </c>
      <c r="AJ213">
        <f t="shared" si="18"/>
        <v>252.58419000000001</v>
      </c>
      <c r="AK213">
        <f t="shared" si="19"/>
        <v>266.79000000000002</v>
      </c>
      <c r="AL213">
        <f>VLOOKUP(L213,'[1]Tuyến cáp H04'!$B:$E,3,0)/1000</f>
        <v>43.9602</v>
      </c>
      <c r="AM213" t="str">
        <f>VLOOKUP(L213,'[1]Tuyến cáp H04'!$B:$E,4,0)</f>
        <v>Mạng cấp 3</v>
      </c>
    </row>
    <row r="214" spans="1:39" x14ac:dyDescent="0.25">
      <c r="A214" s="1" t="s">
        <v>1947</v>
      </c>
      <c r="B214" s="1" t="s">
        <v>92</v>
      </c>
      <c r="C214" s="1" t="s">
        <v>93</v>
      </c>
      <c r="D214" s="1" t="s">
        <v>1948</v>
      </c>
      <c r="E214" s="1" t="s">
        <v>1949</v>
      </c>
      <c r="F214" s="1" t="s">
        <v>1950</v>
      </c>
      <c r="G214" s="1" t="s">
        <v>14281</v>
      </c>
      <c r="H214" s="1" t="s">
        <v>14282</v>
      </c>
      <c r="I214" s="1" t="s">
        <v>14337</v>
      </c>
      <c r="J214" s="1" t="s">
        <v>23</v>
      </c>
      <c r="K214" s="1"/>
      <c r="L214" s="1" t="s">
        <v>1389</v>
      </c>
      <c r="M214" s="8" t="s">
        <v>1389</v>
      </c>
      <c r="N214" s="1" t="b">
        <f t="shared" si="15"/>
        <v>1</v>
      </c>
      <c r="O214" s="1" t="s">
        <v>1951</v>
      </c>
      <c r="P214" s="1" t="s">
        <v>1394</v>
      </c>
      <c r="Q214" s="1" t="s">
        <v>1395</v>
      </c>
      <c r="R214" s="1" t="s">
        <v>1396</v>
      </c>
      <c r="S214" s="1" t="s">
        <v>1391</v>
      </c>
      <c r="T214" s="1" t="s">
        <v>1392</v>
      </c>
      <c r="U214" s="1" t="s">
        <v>1393</v>
      </c>
      <c r="V214" s="13">
        <f>COUNTIF(L214:$M$1659,L214)</f>
        <v>2</v>
      </c>
      <c r="W214" s="1" t="s">
        <v>1397</v>
      </c>
      <c r="X214">
        <v>496.08</v>
      </c>
      <c r="Y214">
        <v>483.94</v>
      </c>
      <c r="Z214">
        <v>12.243709000000001</v>
      </c>
      <c r="AA214">
        <v>109.185958</v>
      </c>
      <c r="AB214">
        <v>12.14</v>
      </c>
      <c r="AC214">
        <v>12.231814999999999</v>
      </c>
      <c r="AD214">
        <v>109.196006</v>
      </c>
      <c r="AE214" s="5">
        <f t="shared" si="16"/>
        <v>0.72590999999999994</v>
      </c>
      <c r="AF214" s="5">
        <f t="shared" si="17"/>
        <v>1.821E-2</v>
      </c>
      <c r="AG214" s="1" t="str">
        <f>TRIM(LEFT(L214,FIND("-",L214)-1))</f>
        <v>1.CAT Khánh Hòa</v>
      </c>
      <c r="AH214" s="1" t="str">
        <f>TRIM(RIGHT(L214, LEN(L214) - FIND("-", L214)))</f>
        <v>Diên Khánh</v>
      </c>
      <c r="AJ214">
        <f t="shared" si="18"/>
        <v>0.48393999999999998</v>
      </c>
      <c r="AK214">
        <f t="shared" si="19"/>
        <v>1.214E-2</v>
      </c>
      <c r="AL214" t="e">
        <f>VLOOKUP(L214,'[1]Tuyến cáp H04'!$B:$E,3,0)/1000</f>
        <v>#N/A</v>
      </c>
      <c r="AM214" t="e">
        <f>VLOOKUP(L214,'[1]Tuyến cáp H04'!$B:$E,4,0)</f>
        <v>#N/A</v>
      </c>
    </row>
    <row r="215" spans="1:39" x14ac:dyDescent="0.25">
      <c r="A215" s="1" t="s">
        <v>1952</v>
      </c>
      <c r="B215" s="1" t="s">
        <v>34</v>
      </c>
      <c r="C215" s="1" t="s">
        <v>35</v>
      </c>
      <c r="D215" s="1" t="s">
        <v>1953</v>
      </c>
      <c r="E215" s="1" t="s">
        <v>1954</v>
      </c>
      <c r="F215" s="1" t="s">
        <v>1955</v>
      </c>
      <c r="G215" s="1" t="s">
        <v>14281</v>
      </c>
      <c r="H215" s="1" t="s">
        <v>14282</v>
      </c>
      <c r="I215" s="1" t="s">
        <v>14338</v>
      </c>
      <c r="J215" s="1" t="s">
        <v>23</v>
      </c>
      <c r="K215" s="1"/>
      <c r="L215" s="1" t="s">
        <v>39</v>
      </c>
      <c r="M215" s="8" t="s">
        <v>39</v>
      </c>
      <c r="N215" s="1" t="b">
        <f t="shared" si="15"/>
        <v>1</v>
      </c>
      <c r="O215" s="1" t="s">
        <v>1956</v>
      </c>
      <c r="P215" s="1" t="s">
        <v>41</v>
      </c>
      <c r="Q215" s="1" t="s">
        <v>42</v>
      </c>
      <c r="R215" s="1" t="s">
        <v>43</v>
      </c>
      <c r="S215" s="1" t="s">
        <v>1957</v>
      </c>
      <c r="T215" s="1" t="s">
        <v>1958</v>
      </c>
      <c r="U215" s="1" t="s">
        <v>1959</v>
      </c>
      <c r="V215" s="13">
        <f>COUNTIF(L215:$M$1659,L215)</f>
        <v>6</v>
      </c>
      <c r="W215" s="1" t="s">
        <v>47</v>
      </c>
      <c r="X215">
        <v>354.2</v>
      </c>
      <c r="Y215">
        <v>206.48</v>
      </c>
      <c r="Z215">
        <v>12.278732</v>
      </c>
      <c r="AA215">
        <v>109.188858</v>
      </c>
      <c r="AB215">
        <v>147.72</v>
      </c>
      <c r="AC215">
        <v>12.271108999999999</v>
      </c>
      <c r="AD215">
        <v>109.198149</v>
      </c>
      <c r="AE215" s="5">
        <f t="shared" si="16"/>
        <v>0.30972</v>
      </c>
      <c r="AF215" s="5">
        <f t="shared" si="17"/>
        <v>0.22157999999999997</v>
      </c>
      <c r="AG215" s="1" t="str">
        <f>TRIM(LEFT(L215,FIND("-",L215)-1))</f>
        <v>1.CAT Khánh Hòa</v>
      </c>
      <c r="AH215" s="1" t="str">
        <f>TRIM(RIGHT(L215, LEN(L215) - FIND("-", L215)))</f>
        <v>PK02 cs1</v>
      </c>
      <c r="AJ215">
        <f t="shared" si="18"/>
        <v>0.20648</v>
      </c>
      <c r="AK215">
        <f t="shared" si="19"/>
        <v>0.14771999999999999</v>
      </c>
      <c r="AL215" t="e">
        <f>VLOOKUP(L215,'[1]Tuyến cáp H04'!$B:$E,3,0)/1000</f>
        <v>#N/A</v>
      </c>
      <c r="AM215" t="e">
        <f>VLOOKUP(L215,'[1]Tuyến cáp H04'!$B:$E,4,0)</f>
        <v>#N/A</v>
      </c>
    </row>
    <row r="216" spans="1:39" x14ac:dyDescent="0.25">
      <c r="A216" s="1" t="s">
        <v>1960</v>
      </c>
      <c r="B216" s="1" t="s">
        <v>34</v>
      </c>
      <c r="C216" s="1" t="s">
        <v>35</v>
      </c>
      <c r="D216" s="1" t="s">
        <v>1961</v>
      </c>
      <c r="E216" s="1" t="s">
        <v>1962</v>
      </c>
      <c r="F216" s="1" t="s">
        <v>1963</v>
      </c>
      <c r="G216" s="1" t="s">
        <v>14281</v>
      </c>
      <c r="H216" s="1" t="s">
        <v>14282</v>
      </c>
      <c r="I216" s="1" t="s">
        <v>14339</v>
      </c>
      <c r="J216" s="1" t="s">
        <v>23</v>
      </c>
      <c r="K216" s="1"/>
      <c r="L216" s="1" t="s">
        <v>39</v>
      </c>
      <c r="M216" s="8" t="s">
        <v>39</v>
      </c>
      <c r="N216" s="1" t="b">
        <f t="shared" si="15"/>
        <v>1</v>
      </c>
      <c r="O216" s="1" t="s">
        <v>1964</v>
      </c>
      <c r="P216" s="1" t="s">
        <v>41</v>
      </c>
      <c r="Q216" s="1" t="s">
        <v>42</v>
      </c>
      <c r="R216" s="1" t="s">
        <v>43</v>
      </c>
      <c r="S216" s="1" t="s">
        <v>1965</v>
      </c>
      <c r="T216" s="1" t="s">
        <v>720</v>
      </c>
      <c r="U216" s="1" t="s">
        <v>721</v>
      </c>
      <c r="V216" s="13">
        <f>COUNTIF(L216:$M$1659,L216)</f>
        <v>4</v>
      </c>
      <c r="W216" s="1" t="s">
        <v>47</v>
      </c>
      <c r="X216">
        <v>1122.72</v>
      </c>
      <c r="Y216">
        <v>206.48</v>
      </c>
      <c r="Z216">
        <v>12.278732</v>
      </c>
      <c r="AA216">
        <v>109.188858</v>
      </c>
      <c r="AB216">
        <v>916.23</v>
      </c>
      <c r="AC216">
        <v>12.279788999999999</v>
      </c>
      <c r="AD216">
        <v>109.195205</v>
      </c>
      <c r="AE216" s="5">
        <f t="shared" si="16"/>
        <v>0.30972</v>
      </c>
      <c r="AF216" s="5">
        <f t="shared" si="17"/>
        <v>1.3743449999999999</v>
      </c>
      <c r="AG216" s="1" t="str">
        <f>TRIM(LEFT(L216,FIND("-",L216)-1))</f>
        <v>1.CAT Khánh Hòa</v>
      </c>
      <c r="AH216" s="1" t="str">
        <f>TRIM(RIGHT(L216, LEN(L216) - FIND("-", L216)))</f>
        <v>PK02 cs1</v>
      </c>
      <c r="AJ216">
        <f t="shared" si="18"/>
        <v>0.20648</v>
      </c>
      <c r="AK216">
        <f t="shared" si="19"/>
        <v>0.91622999999999999</v>
      </c>
      <c r="AL216" t="e">
        <f>VLOOKUP(L216,'[1]Tuyến cáp H04'!$B:$E,3,0)/1000</f>
        <v>#N/A</v>
      </c>
      <c r="AM216" t="e">
        <f>VLOOKUP(L216,'[1]Tuyến cáp H04'!$B:$E,4,0)</f>
        <v>#N/A</v>
      </c>
    </row>
    <row r="217" spans="1:39" x14ac:dyDescent="0.25">
      <c r="A217" s="1" t="s">
        <v>1966</v>
      </c>
      <c r="B217" s="1" t="s">
        <v>1152</v>
      </c>
      <c r="C217" s="1" t="s">
        <v>1153</v>
      </c>
      <c r="D217" s="1" t="s">
        <v>1967</v>
      </c>
      <c r="E217" s="1" t="s">
        <v>1968</v>
      </c>
      <c r="F217" s="1" t="s">
        <v>1969</v>
      </c>
      <c r="G217" s="1" t="s">
        <v>14281</v>
      </c>
      <c r="H217" s="1" t="s">
        <v>14282</v>
      </c>
      <c r="I217" s="1" t="s">
        <v>14340</v>
      </c>
      <c r="J217" s="1" t="s">
        <v>23</v>
      </c>
      <c r="K217" s="1"/>
      <c r="L217" s="1" t="s">
        <v>1155</v>
      </c>
      <c r="M217" s="8" t="s">
        <v>1155</v>
      </c>
      <c r="N217" s="1" t="b">
        <f t="shared" si="15"/>
        <v>1</v>
      </c>
      <c r="O217" s="1" t="s">
        <v>1970</v>
      </c>
      <c r="P217" s="1" t="s">
        <v>1160</v>
      </c>
      <c r="Q217" s="1" t="s">
        <v>1161</v>
      </c>
      <c r="R217" s="1" t="s">
        <v>1162</v>
      </c>
      <c r="S217" s="1" t="s">
        <v>1971</v>
      </c>
      <c r="T217" s="1" t="s">
        <v>1972</v>
      </c>
      <c r="U217" s="1" t="s">
        <v>1973</v>
      </c>
      <c r="V217" s="13">
        <f>COUNTIF(L217:$M$1659,L217)</f>
        <v>4</v>
      </c>
      <c r="W217" s="1" t="s">
        <v>1163</v>
      </c>
      <c r="X217">
        <v>2356.9299999999998</v>
      </c>
      <c r="Y217">
        <v>185.95</v>
      </c>
      <c r="Z217">
        <v>12.481263999999999</v>
      </c>
      <c r="AA217">
        <v>109.131214</v>
      </c>
      <c r="AB217">
        <v>2170.9899999999998</v>
      </c>
      <c r="AC217">
        <v>12.464891</v>
      </c>
      <c r="AD217">
        <v>109.122587</v>
      </c>
      <c r="AE217" s="5">
        <f t="shared" si="16"/>
        <v>0.27892499999999998</v>
      </c>
      <c r="AF217" s="5">
        <f t="shared" si="17"/>
        <v>3.2564849999999996</v>
      </c>
      <c r="AG217" s="1" t="str">
        <f>TRIM(LEFT(L217,FIND("-",L217)-1))</f>
        <v>4.PK02 cs2</v>
      </c>
      <c r="AH217" s="1" t="str">
        <f>TRIM(RIGHT(L217, LEN(L217) - FIND("-", L217)))</f>
        <v>Trạm CSGT Ninh An cũ</v>
      </c>
      <c r="AJ217">
        <f t="shared" si="18"/>
        <v>0.18594999999999998</v>
      </c>
      <c r="AK217">
        <f t="shared" si="19"/>
        <v>2.1709899999999998</v>
      </c>
      <c r="AL217" t="e">
        <f>VLOOKUP(L217,'[1]Tuyến cáp H04'!$B:$E,3,0)/1000</f>
        <v>#N/A</v>
      </c>
      <c r="AM217" t="e">
        <f>VLOOKUP(L217,'[1]Tuyến cáp H04'!$B:$E,4,0)</f>
        <v>#N/A</v>
      </c>
    </row>
    <row r="218" spans="1:39" x14ac:dyDescent="0.25">
      <c r="A218" s="1" t="s">
        <v>1974</v>
      </c>
      <c r="B218" s="1" t="s">
        <v>1445</v>
      </c>
      <c r="C218" s="1" t="s">
        <v>1446</v>
      </c>
      <c r="D218" s="1" t="s">
        <v>1975</v>
      </c>
      <c r="E218" s="1" t="s">
        <v>1976</v>
      </c>
      <c r="F218" s="1" t="s">
        <v>1977</v>
      </c>
      <c r="G218" s="1" t="s">
        <v>14281</v>
      </c>
      <c r="H218" s="1" t="s">
        <v>14282</v>
      </c>
      <c r="I218" s="1" t="s">
        <v>14341</v>
      </c>
      <c r="J218" s="1" t="s">
        <v>23</v>
      </c>
      <c r="K218" s="1"/>
      <c r="L218" s="1" t="s">
        <v>1675</v>
      </c>
      <c r="M218" s="8" t="s">
        <v>1675</v>
      </c>
      <c r="N218" s="1" t="b">
        <f t="shared" si="15"/>
        <v>1</v>
      </c>
      <c r="O218" s="1" t="s">
        <v>1978</v>
      </c>
      <c r="P218" s="1" t="s">
        <v>1677</v>
      </c>
      <c r="Q218" s="1" t="s">
        <v>1678</v>
      </c>
      <c r="R218" s="1" t="s">
        <v>1679</v>
      </c>
      <c r="S218" s="1" t="s">
        <v>1979</v>
      </c>
      <c r="T218" s="1" t="s">
        <v>1980</v>
      </c>
      <c r="U218" s="1" t="s">
        <v>1981</v>
      </c>
      <c r="V218" s="13">
        <f>COUNTIF(L218:$M$1659,L218)</f>
        <v>2</v>
      </c>
      <c r="W218" s="1" t="s">
        <v>1683</v>
      </c>
      <c r="X218">
        <v>86.63</v>
      </c>
      <c r="Y218">
        <v>5.23</v>
      </c>
      <c r="Z218">
        <v>12.555443</v>
      </c>
      <c r="AA218">
        <v>109.217606</v>
      </c>
      <c r="AB218">
        <v>81.41</v>
      </c>
      <c r="AC218">
        <v>12.549189999999999</v>
      </c>
      <c r="AD218">
        <v>109.215142</v>
      </c>
      <c r="AE218" s="5">
        <f t="shared" si="16"/>
        <v>7.8450000000000013E-3</v>
      </c>
      <c r="AF218" s="5">
        <f t="shared" si="17"/>
        <v>0.122115</v>
      </c>
      <c r="AG218" s="1" t="str">
        <f>TRIM(LEFT(L218,FIND("-",L218)-1))</f>
        <v>1.CA Ninh Hòa</v>
      </c>
      <c r="AH218" s="1" t="str">
        <f>TRIM(RIGHT(L218, LEN(L218) - FIND("-", L218)))</f>
        <v>CA Đông Ninh Hòa_Đoạn cột trung thế</v>
      </c>
      <c r="AJ218">
        <f t="shared" si="18"/>
        <v>5.2300000000000003E-3</v>
      </c>
      <c r="AK218">
        <f t="shared" si="19"/>
        <v>8.1409999999999996E-2</v>
      </c>
      <c r="AL218" t="e">
        <f>VLOOKUP(L218,'[1]Tuyến cáp H04'!$B:$E,3,0)/1000</f>
        <v>#N/A</v>
      </c>
      <c r="AM218" t="e">
        <f>VLOOKUP(L218,'[1]Tuyến cáp H04'!$B:$E,4,0)</f>
        <v>#N/A</v>
      </c>
    </row>
    <row r="219" spans="1:39" x14ac:dyDescent="0.25">
      <c r="A219" s="1" t="s">
        <v>1982</v>
      </c>
      <c r="B219" s="1" t="s">
        <v>1187</v>
      </c>
      <c r="C219" s="1" t="s">
        <v>1188</v>
      </c>
      <c r="D219" s="1" t="s">
        <v>1983</v>
      </c>
      <c r="E219" s="1" t="s">
        <v>1984</v>
      </c>
      <c r="F219" s="1" t="s">
        <v>1985</v>
      </c>
      <c r="G219" s="1" t="s">
        <v>14281</v>
      </c>
      <c r="H219" s="1" t="s">
        <v>14282</v>
      </c>
      <c r="I219" s="1" t="s">
        <v>14342</v>
      </c>
      <c r="J219" s="1" t="s">
        <v>23</v>
      </c>
      <c r="K219" s="1"/>
      <c r="L219" s="1" t="s">
        <v>577</v>
      </c>
      <c r="M219" s="8" t="s">
        <v>577</v>
      </c>
      <c r="N219" s="1" t="b">
        <f t="shared" si="15"/>
        <v>1</v>
      </c>
      <c r="O219" s="1" t="s">
        <v>1986</v>
      </c>
      <c r="P219" s="1" t="s">
        <v>1194</v>
      </c>
      <c r="Q219" s="1" t="s">
        <v>1195</v>
      </c>
      <c r="R219" s="1" t="s">
        <v>1196</v>
      </c>
      <c r="S219" s="1" t="s">
        <v>1987</v>
      </c>
      <c r="T219" s="1" t="s">
        <v>1988</v>
      </c>
      <c r="U219" s="1" t="s">
        <v>1989</v>
      </c>
      <c r="V219" s="13">
        <f>COUNTIF(L219:$M$1659,L219)</f>
        <v>10</v>
      </c>
      <c r="W219" s="1" t="s">
        <v>1197</v>
      </c>
      <c r="X219">
        <v>435.85</v>
      </c>
      <c r="Y219">
        <v>381.98</v>
      </c>
      <c r="Z219">
        <v>12.49287</v>
      </c>
      <c r="AA219">
        <v>109.11403300000001</v>
      </c>
      <c r="AB219">
        <v>53.87</v>
      </c>
      <c r="AC219">
        <v>12.494854</v>
      </c>
      <c r="AD219">
        <v>109.132463</v>
      </c>
      <c r="AE219" s="5">
        <f t="shared" si="16"/>
        <v>0.57296999999999998</v>
      </c>
      <c r="AF219" s="5">
        <f t="shared" si="17"/>
        <v>8.0804999999999988E-2</v>
      </c>
      <c r="AG219" s="1" t="str">
        <f>TRIM(LEFT(L219,FIND("-",L219)-1))</f>
        <v>3.CA Tân Định</v>
      </c>
      <c r="AH219" s="1" t="str">
        <f>TRIM(RIGHT(L219, LEN(L219) - FIND("-", L219)))</f>
        <v>CA Ninh Hòa</v>
      </c>
      <c r="AJ219">
        <f t="shared" si="18"/>
        <v>0.38198000000000004</v>
      </c>
      <c r="AK219">
        <f t="shared" si="19"/>
        <v>5.3869999999999994E-2</v>
      </c>
      <c r="AL219" t="e">
        <f>VLOOKUP(L219,'[1]Tuyến cáp H04'!$B:$E,3,0)/1000</f>
        <v>#N/A</v>
      </c>
      <c r="AM219" t="e">
        <f>VLOOKUP(L219,'[1]Tuyến cáp H04'!$B:$E,4,0)</f>
        <v>#N/A</v>
      </c>
    </row>
    <row r="220" spans="1:39" x14ac:dyDescent="0.25">
      <c r="A220" s="1" t="s">
        <v>1990</v>
      </c>
      <c r="B220" s="1" t="s">
        <v>1685</v>
      </c>
      <c r="C220" s="1" t="s">
        <v>1686</v>
      </c>
      <c r="D220" s="1" t="s">
        <v>1991</v>
      </c>
      <c r="E220" s="1" t="s">
        <v>1992</v>
      </c>
      <c r="F220" s="1" t="s">
        <v>1993</v>
      </c>
      <c r="G220" s="1" t="s">
        <v>14281</v>
      </c>
      <c r="H220" s="1" t="s">
        <v>14282</v>
      </c>
      <c r="I220" s="1" t="s">
        <v>14343</v>
      </c>
      <c r="J220" s="1" t="s">
        <v>23</v>
      </c>
      <c r="K220" s="1"/>
      <c r="L220" s="1" t="s">
        <v>1529</v>
      </c>
      <c r="M220" s="8" t="s">
        <v>1529</v>
      </c>
      <c r="N220" s="1" t="b">
        <f t="shared" si="15"/>
        <v>1</v>
      </c>
      <c r="O220" s="1" t="s">
        <v>1994</v>
      </c>
      <c r="P220" s="1" t="s">
        <v>1798</v>
      </c>
      <c r="Q220" s="1" t="s">
        <v>1799</v>
      </c>
      <c r="R220" s="1" t="s">
        <v>1800</v>
      </c>
      <c r="S220" s="1" t="s">
        <v>1995</v>
      </c>
      <c r="T220" s="1" t="s">
        <v>1780</v>
      </c>
      <c r="U220" s="1" t="s">
        <v>1781</v>
      </c>
      <c r="V220" s="13">
        <f>COUNTIF(L220:$M$1659,L220)</f>
        <v>2</v>
      </c>
      <c r="W220" s="1" t="s">
        <v>1537</v>
      </c>
      <c r="X220">
        <v>1062.3900000000001</v>
      </c>
      <c r="Y220">
        <v>967.94</v>
      </c>
      <c r="Z220">
        <v>12.525967</v>
      </c>
      <c r="AA220">
        <v>109.167119</v>
      </c>
      <c r="AB220">
        <v>94.45</v>
      </c>
      <c r="AC220">
        <v>12.534793000000001</v>
      </c>
      <c r="AD220">
        <v>109.18621899999999</v>
      </c>
      <c r="AE220" s="5">
        <f t="shared" si="16"/>
        <v>1.45191</v>
      </c>
      <c r="AF220" s="5">
        <f t="shared" si="17"/>
        <v>0.14167500000000002</v>
      </c>
      <c r="AG220" s="1" t="str">
        <f>TRIM(LEFT(L220,FIND("-",L220)-1))</f>
        <v>4.Ninh Hòa</v>
      </c>
      <c r="AH220" s="1" t="str">
        <f>TRIM(RIGHT(L220, LEN(L220) - FIND("-", L220)))</f>
        <v>Vạn Ninh</v>
      </c>
      <c r="AJ220">
        <f t="shared" si="18"/>
        <v>0.96794000000000002</v>
      </c>
      <c r="AK220">
        <f t="shared" si="19"/>
        <v>9.4450000000000006E-2</v>
      </c>
      <c r="AL220" t="e">
        <f>VLOOKUP(L220,'[1]Tuyến cáp H04'!$B:$E,3,0)/1000</f>
        <v>#N/A</v>
      </c>
      <c r="AM220" t="e">
        <f>VLOOKUP(L220,'[1]Tuyến cáp H04'!$B:$E,4,0)</f>
        <v>#N/A</v>
      </c>
    </row>
    <row r="221" spans="1:39" x14ac:dyDescent="0.25">
      <c r="A221" s="1" t="s">
        <v>1996</v>
      </c>
      <c r="B221" s="1" t="s">
        <v>1187</v>
      </c>
      <c r="C221" s="1" t="s">
        <v>1188</v>
      </c>
      <c r="D221" s="1" t="s">
        <v>1997</v>
      </c>
      <c r="E221" s="1" t="s">
        <v>1998</v>
      </c>
      <c r="F221" s="1" t="s">
        <v>1999</v>
      </c>
      <c r="G221" s="1" t="s">
        <v>14281</v>
      </c>
      <c r="H221" s="1" t="s">
        <v>14282</v>
      </c>
      <c r="I221" s="1" t="s">
        <v>14344</v>
      </c>
      <c r="J221" s="1" t="s">
        <v>23</v>
      </c>
      <c r="K221" s="1"/>
      <c r="L221" s="1" t="s">
        <v>577</v>
      </c>
      <c r="M221" s="8" t="s">
        <v>577</v>
      </c>
      <c r="N221" s="1" t="b">
        <f t="shared" si="15"/>
        <v>1</v>
      </c>
      <c r="O221" s="1" t="s">
        <v>2000</v>
      </c>
      <c r="P221" s="1" t="s">
        <v>1194</v>
      </c>
      <c r="Q221" s="1" t="s">
        <v>1195</v>
      </c>
      <c r="R221" s="1" t="s">
        <v>1196</v>
      </c>
      <c r="S221" s="1" t="s">
        <v>2001</v>
      </c>
      <c r="T221" s="1" t="s">
        <v>2002</v>
      </c>
      <c r="U221" s="1" t="s">
        <v>2003</v>
      </c>
      <c r="V221" s="13">
        <f>COUNTIF(L221:$M$1659,L221)</f>
        <v>8</v>
      </c>
      <c r="W221" s="1" t="s">
        <v>1197</v>
      </c>
      <c r="X221">
        <v>1319.89</v>
      </c>
      <c r="Y221">
        <v>381.98</v>
      </c>
      <c r="Z221">
        <v>12.49287</v>
      </c>
      <c r="AA221">
        <v>109.11403300000001</v>
      </c>
      <c r="AB221">
        <v>937.9</v>
      </c>
      <c r="AC221">
        <v>12.497920000000001</v>
      </c>
      <c r="AD221">
        <v>109.113754</v>
      </c>
      <c r="AE221" s="5">
        <f t="shared" si="16"/>
        <v>0.57296999999999998</v>
      </c>
      <c r="AF221" s="5">
        <f t="shared" si="17"/>
        <v>1.4068499999999999</v>
      </c>
      <c r="AG221" s="1" t="str">
        <f>TRIM(LEFT(L221,FIND("-",L221)-1))</f>
        <v>3.CA Tân Định</v>
      </c>
      <c r="AH221" s="1" t="str">
        <f>TRIM(RIGHT(L221, LEN(L221) - FIND("-", L221)))</f>
        <v>CA Ninh Hòa</v>
      </c>
      <c r="AJ221">
        <f t="shared" si="18"/>
        <v>0.38198000000000004</v>
      </c>
      <c r="AK221">
        <f t="shared" si="19"/>
        <v>0.93789999999999996</v>
      </c>
      <c r="AL221" t="e">
        <f>VLOOKUP(L221,'[1]Tuyến cáp H04'!$B:$E,3,0)/1000</f>
        <v>#N/A</v>
      </c>
      <c r="AM221" t="e">
        <f>VLOOKUP(L221,'[1]Tuyến cáp H04'!$B:$E,4,0)</f>
        <v>#N/A</v>
      </c>
    </row>
    <row r="222" spans="1:39" x14ac:dyDescent="0.25">
      <c r="A222" s="1" t="s">
        <v>2004</v>
      </c>
      <c r="B222" s="1" t="s">
        <v>1685</v>
      </c>
      <c r="C222" s="1" t="s">
        <v>1686</v>
      </c>
      <c r="D222" s="1" t="s">
        <v>2005</v>
      </c>
      <c r="E222" s="1" t="s">
        <v>2006</v>
      </c>
      <c r="F222" s="1" t="s">
        <v>2007</v>
      </c>
      <c r="G222" s="1" t="s">
        <v>14281</v>
      </c>
      <c r="H222" s="1" t="s">
        <v>14282</v>
      </c>
      <c r="I222" s="1" t="s">
        <v>14345</v>
      </c>
      <c r="J222" s="1" t="s">
        <v>23</v>
      </c>
      <c r="K222" s="1"/>
      <c r="L222" s="1" t="s">
        <v>1552</v>
      </c>
      <c r="M222" s="8" t="s">
        <v>1552</v>
      </c>
      <c r="N222" s="1" t="b">
        <f t="shared" si="15"/>
        <v>1</v>
      </c>
      <c r="O222" s="1" t="s">
        <v>2008</v>
      </c>
      <c r="P222" s="1" t="s">
        <v>2009</v>
      </c>
      <c r="Q222" s="1" t="s">
        <v>2010</v>
      </c>
      <c r="R222" s="1" t="s">
        <v>2011</v>
      </c>
      <c r="S222" s="1" t="s">
        <v>2012</v>
      </c>
      <c r="T222" s="1" t="s">
        <v>2013</v>
      </c>
      <c r="U222" s="1" t="s">
        <v>2014</v>
      </c>
      <c r="V222" s="13">
        <f>COUNTIF(L222:$M$1659,L222)</f>
        <v>16</v>
      </c>
      <c r="W222" s="1" t="s">
        <v>2015</v>
      </c>
      <c r="X222">
        <v>1826.66</v>
      </c>
      <c r="Y222">
        <v>27.93</v>
      </c>
      <c r="Z222">
        <v>12.531679</v>
      </c>
      <c r="AA222">
        <v>109.160657</v>
      </c>
      <c r="AB222">
        <v>1798.73</v>
      </c>
      <c r="AC222">
        <v>12.541454999999999</v>
      </c>
      <c r="AD222">
        <v>109.16320399999999</v>
      </c>
      <c r="AE222" s="5">
        <f t="shared" si="16"/>
        <v>4.1894999999999995E-2</v>
      </c>
      <c r="AF222" s="5">
        <f t="shared" si="17"/>
        <v>2.6980950000000004</v>
      </c>
      <c r="AG222" s="1" t="str">
        <f>TRIM(LEFT(L222,FIND("-",L222)-1))</f>
        <v>5.Vạn Ninh</v>
      </c>
      <c r="AH222" s="1" t="str">
        <f>TRIM(RIGHT(L222, LEN(L222) - FIND("-", L222)))</f>
        <v>CAT Khánh Hòa</v>
      </c>
      <c r="AJ222">
        <f t="shared" si="18"/>
        <v>2.793E-2</v>
      </c>
      <c r="AK222">
        <f t="shared" si="19"/>
        <v>1.7987299999999999</v>
      </c>
      <c r="AL222" t="e">
        <f>VLOOKUP(L222,'[1]Tuyến cáp H04'!$B:$E,3,0)/1000</f>
        <v>#N/A</v>
      </c>
      <c r="AM222" t="e">
        <f>VLOOKUP(L222,'[1]Tuyến cáp H04'!$B:$E,4,0)</f>
        <v>#N/A</v>
      </c>
    </row>
    <row r="223" spans="1:39" x14ac:dyDescent="0.25">
      <c r="A223" s="1" t="s">
        <v>2016</v>
      </c>
      <c r="B223" s="1" t="s">
        <v>1685</v>
      </c>
      <c r="C223" s="1" t="s">
        <v>1686</v>
      </c>
      <c r="D223" s="1" t="s">
        <v>2017</v>
      </c>
      <c r="E223" s="1" t="s">
        <v>2018</v>
      </c>
      <c r="F223" s="1" t="s">
        <v>2019</v>
      </c>
      <c r="G223" s="1" t="s">
        <v>14281</v>
      </c>
      <c r="H223" s="1" t="s">
        <v>14282</v>
      </c>
      <c r="I223" s="1" t="s">
        <v>14346</v>
      </c>
      <c r="J223" s="1" t="s">
        <v>23</v>
      </c>
      <c r="K223" s="1"/>
      <c r="L223" s="1" t="s">
        <v>1155</v>
      </c>
      <c r="M223" s="8" t="s">
        <v>1155</v>
      </c>
      <c r="N223" s="1" t="b">
        <f t="shared" si="15"/>
        <v>1</v>
      </c>
      <c r="O223" s="1" t="s">
        <v>2020</v>
      </c>
      <c r="P223" s="1" t="s">
        <v>2021</v>
      </c>
      <c r="Q223" s="1" t="s">
        <v>2022</v>
      </c>
      <c r="R223" s="1" t="s">
        <v>2023</v>
      </c>
      <c r="S223" s="1" t="s">
        <v>2024</v>
      </c>
      <c r="T223" s="1" t="s">
        <v>2025</v>
      </c>
      <c r="U223" s="1" t="s">
        <v>2026</v>
      </c>
      <c r="V223" s="13">
        <f>COUNTIF(L223:$M$1659,L223)</f>
        <v>2</v>
      </c>
      <c r="W223" s="1" t="s">
        <v>2027</v>
      </c>
      <c r="X223">
        <v>285.31</v>
      </c>
      <c r="Y223">
        <v>32.4</v>
      </c>
      <c r="Z223">
        <v>12.53181</v>
      </c>
      <c r="AA223">
        <v>109.16067200000001</v>
      </c>
      <c r="AB223">
        <v>252.91</v>
      </c>
      <c r="AC223">
        <v>12.513339</v>
      </c>
      <c r="AD223">
        <v>109.154017</v>
      </c>
      <c r="AE223" s="5">
        <f t="shared" si="16"/>
        <v>4.8599999999999997E-2</v>
      </c>
      <c r="AF223" s="5">
        <f t="shared" si="17"/>
        <v>0.37936500000000001</v>
      </c>
      <c r="AG223" s="1" t="str">
        <f>TRIM(LEFT(L223,FIND("-",L223)-1))</f>
        <v>4.PK02 cs2</v>
      </c>
      <c r="AH223" s="1" t="str">
        <f>TRIM(RIGHT(L223, LEN(L223) - FIND("-", L223)))</f>
        <v>Trạm CSGT Ninh An cũ</v>
      </c>
      <c r="AJ223">
        <f t="shared" si="18"/>
        <v>3.2399999999999998E-2</v>
      </c>
      <c r="AK223">
        <f t="shared" si="19"/>
        <v>0.25291000000000002</v>
      </c>
      <c r="AL223" t="e">
        <f>VLOOKUP(L223,'[1]Tuyến cáp H04'!$B:$E,3,0)/1000</f>
        <v>#N/A</v>
      </c>
      <c r="AM223" t="e">
        <f>VLOOKUP(L223,'[1]Tuyến cáp H04'!$B:$E,4,0)</f>
        <v>#N/A</v>
      </c>
    </row>
    <row r="224" spans="1:39" x14ac:dyDescent="0.25">
      <c r="A224" s="1" t="s">
        <v>2028</v>
      </c>
      <c r="B224" s="1" t="s">
        <v>1644</v>
      </c>
      <c r="C224" s="1" t="s">
        <v>1645</v>
      </c>
      <c r="D224" s="1" t="s">
        <v>2029</v>
      </c>
      <c r="E224" s="1" t="s">
        <v>2030</v>
      </c>
      <c r="F224" s="1" t="s">
        <v>2031</v>
      </c>
      <c r="G224" s="1" t="s">
        <v>14281</v>
      </c>
      <c r="H224" s="1" t="s">
        <v>14282</v>
      </c>
      <c r="I224" s="1" t="s">
        <v>14347</v>
      </c>
      <c r="J224" s="1" t="s">
        <v>23</v>
      </c>
      <c r="K224" s="1"/>
      <c r="L224" s="1" t="s">
        <v>1647</v>
      </c>
      <c r="M224" s="8" t="s">
        <v>1647</v>
      </c>
      <c r="N224" s="1" t="b">
        <f t="shared" si="15"/>
        <v>1</v>
      </c>
      <c r="O224" s="1" t="s">
        <v>2032</v>
      </c>
      <c r="P224" s="1" t="s">
        <v>1652</v>
      </c>
      <c r="Q224" s="1" t="s">
        <v>1653</v>
      </c>
      <c r="R224" s="1" t="s">
        <v>1654</v>
      </c>
      <c r="S224" s="1" t="s">
        <v>2033</v>
      </c>
      <c r="T224" s="1" t="s">
        <v>2034</v>
      </c>
      <c r="U224" s="1" t="s">
        <v>2035</v>
      </c>
      <c r="V224" s="13">
        <f>COUNTIF(L224:$M$1659,L224)</f>
        <v>8</v>
      </c>
      <c r="W224" s="1" t="s">
        <v>1655</v>
      </c>
      <c r="X224">
        <v>2886.35</v>
      </c>
      <c r="Y224">
        <v>6.55</v>
      </c>
      <c r="Z224">
        <v>12.803207</v>
      </c>
      <c r="AA224">
        <v>109.33374000000001</v>
      </c>
      <c r="AB224">
        <v>2879.8</v>
      </c>
      <c r="AC224">
        <v>12.804639</v>
      </c>
      <c r="AD224">
        <v>109.33377299999999</v>
      </c>
      <c r="AE224" s="5">
        <f t="shared" si="16"/>
        <v>9.8249999999999987E-3</v>
      </c>
      <c r="AF224" s="5">
        <f t="shared" si="17"/>
        <v>4.319700000000001</v>
      </c>
      <c r="AG224" s="1" t="str">
        <f>TRIM(LEFT(L224,FIND("-",L224)-1))</f>
        <v>3.CA Tu Bông</v>
      </c>
      <c r="AH224" s="1" t="str">
        <f>TRIM(RIGHT(L224, LEN(L224) - FIND("-", L224)))</f>
        <v>CA Đại Lãnh_Cột trung thế</v>
      </c>
      <c r="AJ224">
        <f t="shared" si="18"/>
        <v>6.5499999999999994E-3</v>
      </c>
      <c r="AK224">
        <f t="shared" si="19"/>
        <v>2.8798000000000004</v>
      </c>
      <c r="AL224" t="e">
        <f>VLOOKUP(L224,'[1]Tuyến cáp H04'!$B:$E,3,0)/1000</f>
        <v>#N/A</v>
      </c>
      <c r="AM224" t="e">
        <f>VLOOKUP(L224,'[1]Tuyến cáp H04'!$B:$E,4,0)</f>
        <v>#N/A</v>
      </c>
    </row>
    <row r="225" spans="1:39" x14ac:dyDescent="0.25">
      <c r="A225" s="1" t="s">
        <v>2036</v>
      </c>
      <c r="B225" s="1" t="s">
        <v>92</v>
      </c>
      <c r="C225" s="1" t="s">
        <v>93</v>
      </c>
      <c r="D225" s="1" t="s">
        <v>2037</v>
      </c>
      <c r="E225" s="1" t="s">
        <v>2038</v>
      </c>
      <c r="F225" s="1" t="s">
        <v>2039</v>
      </c>
      <c r="G225" s="1" t="s">
        <v>14281</v>
      </c>
      <c r="H225" s="1" t="s">
        <v>14282</v>
      </c>
      <c r="I225" s="1" t="s">
        <v>14348</v>
      </c>
      <c r="J225" s="1" t="s">
        <v>23</v>
      </c>
      <c r="K225" s="1"/>
      <c r="L225" s="1" t="s">
        <v>1223</v>
      </c>
      <c r="M225" s="8" t="s">
        <v>1223</v>
      </c>
      <c r="N225" s="1" t="b">
        <f t="shared" si="15"/>
        <v>1</v>
      </c>
      <c r="O225" s="1" t="s">
        <v>2040</v>
      </c>
      <c r="P225" s="1" t="s">
        <v>1240</v>
      </c>
      <c r="Q225" s="1" t="s">
        <v>1241</v>
      </c>
      <c r="R225" s="1" t="s">
        <v>1242</v>
      </c>
      <c r="S225" s="1" t="s">
        <v>2041</v>
      </c>
      <c r="T225" s="1" t="s">
        <v>1238</v>
      </c>
      <c r="U225" s="1" t="s">
        <v>1239</v>
      </c>
      <c r="V225" s="13">
        <f>COUNTIF(L225:$M$1659,L225)</f>
        <v>4</v>
      </c>
      <c r="W225" s="1" t="s">
        <v>1243</v>
      </c>
      <c r="X225">
        <v>210.89</v>
      </c>
      <c r="Y225">
        <v>130.81</v>
      </c>
      <c r="Z225">
        <v>12.245825999999999</v>
      </c>
      <c r="AA225">
        <v>109.19040800000001</v>
      </c>
      <c r="AB225">
        <v>80.08</v>
      </c>
      <c r="AC225">
        <v>12.243195999999999</v>
      </c>
      <c r="AD225">
        <v>109.192182</v>
      </c>
      <c r="AE225" s="5">
        <f t="shared" si="16"/>
        <v>0.196215</v>
      </c>
      <c r="AF225" s="5">
        <f t="shared" si="17"/>
        <v>0.12012</v>
      </c>
      <c r="AG225" s="1" t="str">
        <f>TRIM(LEFT(L225,FIND("-",L225)-1))</f>
        <v>1.CAT Khánh Hòa</v>
      </c>
      <c r="AH225" s="1" t="str">
        <f>TRIM(RIGHT(L225, LEN(L225) - FIND("-", L225)))</f>
        <v>CATP Nha Trang cũ</v>
      </c>
      <c r="AJ225">
        <f t="shared" si="18"/>
        <v>0.13081000000000001</v>
      </c>
      <c r="AK225">
        <f t="shared" si="19"/>
        <v>8.0079999999999998E-2</v>
      </c>
      <c r="AL225" t="e">
        <f>VLOOKUP(L225,'[1]Tuyến cáp H04'!$B:$E,3,0)/1000</f>
        <v>#N/A</v>
      </c>
      <c r="AM225" t="e">
        <f>VLOOKUP(L225,'[1]Tuyến cáp H04'!$B:$E,4,0)</f>
        <v>#N/A</v>
      </c>
    </row>
    <row r="226" spans="1:39" x14ac:dyDescent="0.25">
      <c r="A226" s="1" t="s">
        <v>2042</v>
      </c>
      <c r="B226" s="1" t="s">
        <v>2043</v>
      </c>
      <c r="C226" s="1" t="s">
        <v>2044</v>
      </c>
      <c r="D226" s="1" t="s">
        <v>2045</v>
      </c>
      <c r="E226" s="1" t="s">
        <v>2046</v>
      </c>
      <c r="F226" s="1" t="s">
        <v>2047</v>
      </c>
      <c r="G226" s="1" t="s">
        <v>14281</v>
      </c>
      <c r="H226" s="1" t="s">
        <v>14282</v>
      </c>
      <c r="I226" s="1" t="s">
        <v>14349</v>
      </c>
      <c r="J226" s="1" t="s">
        <v>23</v>
      </c>
      <c r="K226" s="1"/>
      <c r="L226" s="1" t="s">
        <v>2048</v>
      </c>
      <c r="M226" s="8" t="s">
        <v>2048</v>
      </c>
      <c r="N226" s="1" t="b">
        <f t="shared" si="15"/>
        <v>1</v>
      </c>
      <c r="O226" s="1" t="s">
        <v>2049</v>
      </c>
      <c r="P226" s="1" t="s">
        <v>2050</v>
      </c>
      <c r="Q226" s="1" t="s">
        <v>2051</v>
      </c>
      <c r="R226" s="1" t="s">
        <v>2052</v>
      </c>
      <c r="S226" s="1" t="s">
        <v>2053</v>
      </c>
      <c r="T226" s="1" t="s">
        <v>2054</v>
      </c>
      <c r="U226" s="1" t="s">
        <v>2055</v>
      </c>
      <c r="V226" s="13">
        <f>COUNTIF(L226:$M$1659,L226)</f>
        <v>4</v>
      </c>
      <c r="W226" s="1" t="s">
        <v>2056</v>
      </c>
      <c r="X226">
        <v>92.02</v>
      </c>
      <c r="Y226">
        <v>3.43</v>
      </c>
      <c r="Z226">
        <v>12.405989999999999</v>
      </c>
      <c r="AA226">
        <v>108.95707</v>
      </c>
      <c r="AB226">
        <v>88.59</v>
      </c>
      <c r="AC226">
        <v>12.384285999999999</v>
      </c>
      <c r="AD226">
        <v>108.95461400000001</v>
      </c>
      <c r="AE226" s="5">
        <f t="shared" si="16"/>
        <v>5.1450000000000003E-3</v>
      </c>
      <c r="AF226" s="5">
        <f t="shared" si="17"/>
        <v>0.132885</v>
      </c>
      <c r="AG226" s="1" t="str">
        <f>TRIM(LEFT(L226,FIND("-",L226)-1))</f>
        <v>Tuyến nhánh CA Bắc Khánh Vĩnh</v>
      </c>
      <c r="AH226" s="1" t="str">
        <f>TRIM(RIGHT(L226, LEN(L226) - FIND("-", L226)))</f>
        <v>Trung tâm Cai nghiện Khánh Bình_Cột trung thế</v>
      </c>
      <c r="AJ226">
        <f t="shared" si="18"/>
        <v>3.4300000000000003E-3</v>
      </c>
      <c r="AK226">
        <f t="shared" si="19"/>
        <v>8.8590000000000002E-2</v>
      </c>
      <c r="AL226" t="e">
        <f>VLOOKUP(L226,'[1]Tuyến cáp H04'!$B:$E,3,0)/1000</f>
        <v>#N/A</v>
      </c>
      <c r="AM226" t="e">
        <f>VLOOKUP(L226,'[1]Tuyến cáp H04'!$B:$E,4,0)</f>
        <v>#N/A</v>
      </c>
    </row>
    <row r="227" spans="1:39" x14ac:dyDescent="0.25">
      <c r="A227" s="1" t="s">
        <v>2057</v>
      </c>
      <c r="B227" s="1" t="s">
        <v>896</v>
      </c>
      <c r="C227" s="1" t="s">
        <v>897</v>
      </c>
      <c r="D227" s="1" t="s">
        <v>2058</v>
      </c>
      <c r="E227" s="1" t="s">
        <v>2059</v>
      </c>
      <c r="F227" s="1" t="s">
        <v>2060</v>
      </c>
      <c r="G227" s="1" t="s">
        <v>14281</v>
      </c>
      <c r="H227" s="1" t="s">
        <v>14282</v>
      </c>
      <c r="I227" s="1" t="s">
        <v>14350</v>
      </c>
      <c r="J227" s="1" t="s">
        <v>23</v>
      </c>
      <c r="K227" s="1"/>
      <c r="L227" s="1" t="s">
        <v>899</v>
      </c>
      <c r="M227" s="8" t="s">
        <v>899</v>
      </c>
      <c r="N227" s="1" t="b">
        <f t="shared" si="15"/>
        <v>1</v>
      </c>
      <c r="O227" s="1" t="s">
        <v>2061</v>
      </c>
      <c r="P227" s="1" t="s">
        <v>922</v>
      </c>
      <c r="Q227" s="1" t="s">
        <v>923</v>
      </c>
      <c r="R227" s="1" t="s">
        <v>924</v>
      </c>
      <c r="S227" s="1" t="s">
        <v>2062</v>
      </c>
      <c r="T227" s="1" t="s">
        <v>926</v>
      </c>
      <c r="U227" s="1" t="s">
        <v>927</v>
      </c>
      <c r="V227" s="13">
        <f>COUNTIF(L227:$M$1659,L227)</f>
        <v>2</v>
      </c>
      <c r="W227" s="1" t="s">
        <v>928</v>
      </c>
      <c r="X227">
        <v>3004.62</v>
      </c>
      <c r="Y227">
        <v>5.18</v>
      </c>
      <c r="Z227">
        <v>11.998255</v>
      </c>
      <c r="AA227">
        <v>109.218788</v>
      </c>
      <c r="AB227">
        <v>2999.45</v>
      </c>
      <c r="AC227">
        <v>12.001106999999999</v>
      </c>
      <c r="AD227">
        <v>109.209318</v>
      </c>
      <c r="AE227" s="5">
        <f t="shared" si="16"/>
        <v>7.77E-3</v>
      </c>
      <c r="AF227" s="5">
        <f t="shared" si="17"/>
        <v>4.4991749999999993</v>
      </c>
      <c r="AG227" s="1" t="str">
        <f>TRIM(LEFT(L227,FIND("-",L227)-1))</f>
        <v>Tuyến nhánh CA Bắc Cam Ranh</v>
      </c>
      <c r="AH227" s="1" t="str">
        <f>TRIM(RIGHT(L227, LEN(L227) - FIND("-", L227)))</f>
        <v>Cảng HKQT Cam Ranh</v>
      </c>
      <c r="AJ227">
        <f t="shared" si="18"/>
        <v>5.1799999999999997E-3</v>
      </c>
      <c r="AK227">
        <f t="shared" si="19"/>
        <v>2.9994499999999999</v>
      </c>
      <c r="AL227" t="e">
        <f>VLOOKUP(L227,'[1]Tuyến cáp H04'!$B:$E,3,0)/1000</f>
        <v>#N/A</v>
      </c>
      <c r="AM227" t="e">
        <f>VLOOKUP(L227,'[1]Tuyến cáp H04'!$B:$E,4,0)</f>
        <v>#N/A</v>
      </c>
    </row>
    <row r="228" spans="1:39" x14ac:dyDescent="0.25">
      <c r="A228" s="1" t="s">
        <v>2063</v>
      </c>
      <c r="B228" s="1" t="s">
        <v>263</v>
      </c>
      <c r="C228" s="1" t="s">
        <v>264</v>
      </c>
      <c r="D228" s="1" t="s">
        <v>2064</v>
      </c>
      <c r="E228" s="1" t="s">
        <v>2065</v>
      </c>
      <c r="F228" s="1" t="s">
        <v>2066</v>
      </c>
      <c r="G228" s="1" t="s">
        <v>14281</v>
      </c>
      <c r="H228" s="1" t="s">
        <v>14282</v>
      </c>
      <c r="I228" s="1" t="s">
        <v>14351</v>
      </c>
      <c r="J228" s="1" t="s">
        <v>23</v>
      </c>
      <c r="K228" s="1"/>
      <c r="L228" s="1" t="s">
        <v>296</v>
      </c>
      <c r="M228" s="8" t="s">
        <v>296</v>
      </c>
      <c r="N228" s="1" t="b">
        <f t="shared" si="15"/>
        <v>1</v>
      </c>
      <c r="O228" s="1" t="s">
        <v>2067</v>
      </c>
      <c r="P228" s="1" t="s">
        <v>670</v>
      </c>
      <c r="Q228" s="1" t="s">
        <v>671</v>
      </c>
      <c r="R228" s="1" t="s">
        <v>672</v>
      </c>
      <c r="S228" s="1" t="s">
        <v>2068</v>
      </c>
      <c r="T228" s="1" t="s">
        <v>1357</v>
      </c>
      <c r="U228" s="1" t="s">
        <v>1358</v>
      </c>
      <c r="V228" s="13">
        <f>COUNTIF(L228:$M$1659,L228)</f>
        <v>2</v>
      </c>
      <c r="W228" s="1" t="s">
        <v>676</v>
      </c>
      <c r="X228">
        <v>433.01</v>
      </c>
      <c r="Y228">
        <v>80.62</v>
      </c>
      <c r="Z228">
        <v>12.249428</v>
      </c>
      <c r="AA228">
        <v>109.184727</v>
      </c>
      <c r="AB228">
        <v>352.39</v>
      </c>
      <c r="AC228">
        <v>12.252969</v>
      </c>
      <c r="AD228">
        <v>109.17461900000001</v>
      </c>
      <c r="AE228" s="5">
        <f t="shared" si="16"/>
        <v>0.12093000000000001</v>
      </c>
      <c r="AF228" s="5">
        <f t="shared" si="17"/>
        <v>0.52858500000000008</v>
      </c>
      <c r="AG228" s="1" t="str">
        <f>TRIM(LEFT(L228,FIND("-",L228)-1))</f>
        <v>3. Trại giam A2</v>
      </c>
      <c r="AH228" s="1" t="str">
        <f>TRIM(RIGHT(L228, LEN(L228) - FIND("-", L228)))</f>
        <v>CATP Nha trang cũ</v>
      </c>
      <c r="AJ228">
        <f t="shared" si="18"/>
        <v>8.0620000000000011E-2</v>
      </c>
      <c r="AK228">
        <f t="shared" si="19"/>
        <v>0.35238999999999998</v>
      </c>
      <c r="AL228" t="e">
        <f>VLOOKUP(L228,'[1]Tuyến cáp H04'!$B:$E,3,0)/1000</f>
        <v>#N/A</v>
      </c>
      <c r="AM228" t="e">
        <f>VLOOKUP(L228,'[1]Tuyến cáp H04'!$B:$E,4,0)</f>
        <v>#N/A</v>
      </c>
    </row>
    <row r="229" spans="1:39" x14ac:dyDescent="0.25">
      <c r="A229" s="1" t="s">
        <v>2069</v>
      </c>
      <c r="B229" s="1" t="s">
        <v>263</v>
      </c>
      <c r="C229" s="1" t="s">
        <v>264</v>
      </c>
      <c r="D229" s="1" t="s">
        <v>1908</v>
      </c>
      <c r="E229" s="1" t="s">
        <v>1909</v>
      </c>
      <c r="F229" s="1" t="s">
        <v>2070</v>
      </c>
      <c r="G229" s="1" t="s">
        <v>14281</v>
      </c>
      <c r="H229" s="1" t="s">
        <v>14282</v>
      </c>
      <c r="I229" s="1" t="s">
        <v>14352</v>
      </c>
      <c r="J229" s="1" t="s">
        <v>23</v>
      </c>
      <c r="K229" s="1"/>
      <c r="L229" s="1" t="s">
        <v>24</v>
      </c>
      <c r="M229" s="8" t="s">
        <v>24</v>
      </c>
      <c r="N229" s="1" t="b">
        <f t="shared" si="15"/>
        <v>1</v>
      </c>
      <c r="O229" s="1" t="s">
        <v>2071</v>
      </c>
      <c r="P229" s="1" t="s">
        <v>412</v>
      </c>
      <c r="Q229" s="1" t="s">
        <v>2072</v>
      </c>
      <c r="R229" s="1" t="s">
        <v>2073</v>
      </c>
      <c r="S229" s="1" t="s">
        <v>156</v>
      </c>
      <c r="T229" s="1" t="s">
        <v>157</v>
      </c>
      <c r="U229" s="1" t="s">
        <v>158</v>
      </c>
      <c r="V229" s="13">
        <f>COUNTIF(L229:$M$1659,L229)</f>
        <v>6</v>
      </c>
      <c r="W229" s="1" t="s">
        <v>32</v>
      </c>
      <c r="X229">
        <v>119.37</v>
      </c>
      <c r="Y229">
        <v>2.33</v>
      </c>
      <c r="Z229">
        <v>12.249037</v>
      </c>
      <c r="AA229">
        <v>109.184079</v>
      </c>
      <c r="AB229">
        <v>117.04</v>
      </c>
      <c r="AC229">
        <v>12.253</v>
      </c>
      <c r="AD229">
        <v>109.193</v>
      </c>
      <c r="AE229" s="5">
        <f t="shared" si="16"/>
        <v>3.4950000000000003E-3</v>
      </c>
      <c r="AF229" s="5">
        <f t="shared" si="17"/>
        <v>0.17555999999999999</v>
      </c>
      <c r="AG229" s="1" t="str">
        <f>TRIM(LEFT(L229,FIND("-",L229)-1))</f>
        <v>5.PA06 cs1</v>
      </c>
      <c r="AH229" s="1" t="str">
        <f>TRIM(RIGHT(L229, LEN(L229) - FIND("-", L229)))</f>
        <v>PC08 csc_Cột trung thế</v>
      </c>
      <c r="AJ229">
        <f t="shared" si="18"/>
        <v>2.33E-3</v>
      </c>
      <c r="AK229">
        <f t="shared" si="19"/>
        <v>0.11704000000000001</v>
      </c>
      <c r="AL229" t="e">
        <f>VLOOKUP(L229,'[1]Tuyến cáp H04'!$B:$E,3,0)/1000</f>
        <v>#N/A</v>
      </c>
      <c r="AM229" t="e">
        <f>VLOOKUP(L229,'[1]Tuyến cáp H04'!$B:$E,4,0)</f>
        <v>#N/A</v>
      </c>
    </row>
    <row r="230" spans="1:39" x14ac:dyDescent="0.25">
      <c r="A230" s="1" t="s">
        <v>2074</v>
      </c>
      <c r="B230" s="1" t="s">
        <v>1644</v>
      </c>
      <c r="C230" s="1" t="s">
        <v>1645</v>
      </c>
      <c r="D230" s="1" t="s">
        <v>2075</v>
      </c>
      <c r="E230" s="1" t="s">
        <v>2076</v>
      </c>
      <c r="F230" s="1" t="s">
        <v>2077</v>
      </c>
      <c r="G230" s="1" t="s">
        <v>14281</v>
      </c>
      <c r="H230" s="1" t="s">
        <v>14282</v>
      </c>
      <c r="I230" s="1" t="s">
        <v>14353</v>
      </c>
      <c r="J230" s="1" t="s">
        <v>23</v>
      </c>
      <c r="K230" s="1"/>
      <c r="L230" s="1" t="s">
        <v>1647</v>
      </c>
      <c r="M230" s="8" t="s">
        <v>1647</v>
      </c>
      <c r="N230" s="1" t="b">
        <f t="shared" si="15"/>
        <v>1</v>
      </c>
      <c r="O230" s="1" t="s">
        <v>2078</v>
      </c>
      <c r="P230" s="1" t="s">
        <v>1652</v>
      </c>
      <c r="Q230" s="1" t="s">
        <v>1653</v>
      </c>
      <c r="R230" s="1" t="s">
        <v>1654</v>
      </c>
      <c r="S230" s="1" t="s">
        <v>2079</v>
      </c>
      <c r="T230" s="1" t="s">
        <v>2034</v>
      </c>
      <c r="U230" s="1" t="s">
        <v>2035</v>
      </c>
      <c r="V230" s="13">
        <f>COUNTIF(L230:$M$1659,L230)</f>
        <v>6</v>
      </c>
      <c r="W230" s="1" t="s">
        <v>1655</v>
      </c>
      <c r="X230">
        <v>3298.92</v>
      </c>
      <c r="Y230">
        <v>6.55</v>
      </c>
      <c r="Z230">
        <v>12.803207</v>
      </c>
      <c r="AA230">
        <v>109.33374000000001</v>
      </c>
      <c r="AB230">
        <v>3292.36</v>
      </c>
      <c r="AC230">
        <v>12.804639</v>
      </c>
      <c r="AD230">
        <v>109.33377299999999</v>
      </c>
      <c r="AE230" s="5">
        <f t="shared" si="16"/>
        <v>9.8249999999999987E-3</v>
      </c>
      <c r="AF230" s="5">
        <f t="shared" si="17"/>
        <v>4.9385399999999997</v>
      </c>
      <c r="AG230" s="1" t="str">
        <f>TRIM(LEFT(L230,FIND("-",L230)-1))</f>
        <v>3.CA Tu Bông</v>
      </c>
      <c r="AH230" s="1" t="str">
        <f>TRIM(RIGHT(L230, LEN(L230) - FIND("-", L230)))</f>
        <v>CA Đại Lãnh_Cột trung thế</v>
      </c>
      <c r="AJ230">
        <f t="shared" si="18"/>
        <v>6.5499999999999994E-3</v>
      </c>
      <c r="AK230">
        <f t="shared" si="19"/>
        <v>3.29236</v>
      </c>
      <c r="AL230" t="e">
        <f>VLOOKUP(L230,'[1]Tuyến cáp H04'!$B:$E,3,0)/1000</f>
        <v>#N/A</v>
      </c>
      <c r="AM230" t="e">
        <f>VLOOKUP(L230,'[1]Tuyến cáp H04'!$B:$E,4,0)</f>
        <v>#N/A</v>
      </c>
    </row>
    <row r="231" spans="1:39" x14ac:dyDescent="0.25">
      <c r="A231" s="1" t="s">
        <v>2080</v>
      </c>
      <c r="B231" s="1" t="s">
        <v>1312</v>
      </c>
      <c r="C231" s="1" t="s">
        <v>1313</v>
      </c>
      <c r="D231" s="1" t="s">
        <v>2081</v>
      </c>
      <c r="E231" s="1" t="s">
        <v>2082</v>
      </c>
      <c r="F231" s="1" t="s">
        <v>2083</v>
      </c>
      <c r="G231" s="1" t="s">
        <v>14281</v>
      </c>
      <c r="H231" s="1" t="s">
        <v>14282</v>
      </c>
      <c r="I231" s="1" t="s">
        <v>14354</v>
      </c>
      <c r="J231" s="1" t="s">
        <v>23</v>
      </c>
      <c r="K231" s="1"/>
      <c r="L231" s="1" t="s">
        <v>1315</v>
      </c>
      <c r="M231" s="8" t="s">
        <v>1315</v>
      </c>
      <c r="N231" s="1" t="b">
        <f t="shared" si="15"/>
        <v>1</v>
      </c>
      <c r="O231" s="1" t="s">
        <v>2084</v>
      </c>
      <c r="P231" s="1" t="s">
        <v>2085</v>
      </c>
      <c r="Q231" s="1" t="s">
        <v>2086</v>
      </c>
      <c r="R231" s="1" t="s">
        <v>2087</v>
      </c>
      <c r="S231" s="1" t="s">
        <v>2088</v>
      </c>
      <c r="T231" s="1" t="s">
        <v>2089</v>
      </c>
      <c r="U231" s="1" t="s">
        <v>2090</v>
      </c>
      <c r="V231" s="13">
        <f>COUNTIF(L231:$M$1659,L231)</f>
        <v>4</v>
      </c>
      <c r="W231" s="1" t="s">
        <v>2091</v>
      </c>
      <c r="X231">
        <v>29.14</v>
      </c>
      <c r="Y231">
        <v>3.8</v>
      </c>
      <c r="Z231">
        <v>12.197634000000001</v>
      </c>
      <c r="AA231">
        <v>109.215698</v>
      </c>
      <c r="AB231">
        <v>25.34</v>
      </c>
      <c r="AC231">
        <v>12.202631999999999</v>
      </c>
      <c r="AD231">
        <v>109.21503800000001</v>
      </c>
      <c r="AE231" s="5">
        <f t="shared" si="16"/>
        <v>5.6999999999999993E-3</v>
      </c>
      <c r="AF231" s="5">
        <f t="shared" si="17"/>
        <v>3.8009999999999995E-2</v>
      </c>
      <c r="AG231" s="1" t="str">
        <f>TRIM(LEFT(L231,FIND("-",L231)-1))</f>
        <v>Tuyến nhánh PC02</v>
      </c>
      <c r="AH231" s="1" t="str">
        <f>TRIM(RIGHT(L231, LEN(L231) - FIND("-", L231)))</f>
        <v>PC08 (CSGT đường thủy)</v>
      </c>
      <c r="AJ231">
        <f t="shared" si="18"/>
        <v>3.8E-3</v>
      </c>
      <c r="AK231">
        <f t="shared" si="19"/>
        <v>2.5340000000000001E-2</v>
      </c>
      <c r="AL231" t="e">
        <f>VLOOKUP(L231,'[1]Tuyến cáp H04'!$B:$E,3,0)/1000</f>
        <v>#N/A</v>
      </c>
      <c r="AM231" t="e">
        <f>VLOOKUP(L231,'[1]Tuyến cáp H04'!$B:$E,4,0)</f>
        <v>#N/A</v>
      </c>
    </row>
    <row r="232" spans="1:39" x14ac:dyDescent="0.25">
      <c r="A232" s="1" t="s">
        <v>2092</v>
      </c>
      <c r="B232" s="1" t="s">
        <v>2093</v>
      </c>
      <c r="C232" s="1" t="s">
        <v>2094</v>
      </c>
      <c r="D232" s="1" t="s">
        <v>263</v>
      </c>
      <c r="E232" s="1" t="s">
        <v>264</v>
      </c>
      <c r="F232" s="1" t="s">
        <v>2095</v>
      </c>
      <c r="G232" s="1" t="s">
        <v>14281</v>
      </c>
      <c r="H232" s="1" t="s">
        <v>14282</v>
      </c>
      <c r="I232" s="1" t="s">
        <v>14355</v>
      </c>
      <c r="J232" s="1" t="s">
        <v>23</v>
      </c>
      <c r="K232" s="1"/>
      <c r="L232" s="1" t="s">
        <v>24</v>
      </c>
      <c r="M232" s="8" t="s">
        <v>24</v>
      </c>
      <c r="N232" s="1" t="b">
        <f t="shared" si="15"/>
        <v>1</v>
      </c>
      <c r="O232" s="1" t="s">
        <v>2096</v>
      </c>
      <c r="P232" s="1" t="s">
        <v>2097</v>
      </c>
      <c r="Q232" s="1" t="s">
        <v>2098</v>
      </c>
      <c r="R232" s="1" t="s">
        <v>2099</v>
      </c>
      <c r="S232" s="1" t="s">
        <v>412</v>
      </c>
      <c r="T232" s="1" t="s">
        <v>2072</v>
      </c>
      <c r="U232" s="1" t="s">
        <v>2073</v>
      </c>
      <c r="V232" s="13">
        <f>COUNTIF(L232:$M$1659,L232)</f>
        <v>4</v>
      </c>
      <c r="W232" s="1" t="s">
        <v>32</v>
      </c>
      <c r="X232">
        <v>131.11000000000001</v>
      </c>
      <c r="Y232">
        <v>128.78</v>
      </c>
      <c r="Z232">
        <v>12.253722</v>
      </c>
      <c r="AA232">
        <v>109.194215</v>
      </c>
      <c r="AB232">
        <v>2.33</v>
      </c>
      <c r="AC232">
        <v>12.249037</v>
      </c>
      <c r="AD232">
        <v>109.184079</v>
      </c>
      <c r="AE232" s="5">
        <f t="shared" si="16"/>
        <v>0.19317000000000001</v>
      </c>
      <c r="AF232" s="5">
        <f t="shared" si="17"/>
        <v>3.4950000000000003E-3</v>
      </c>
      <c r="AG232" s="1" t="str">
        <f>TRIM(LEFT(L232,FIND("-",L232)-1))</f>
        <v>5.PA06 cs1</v>
      </c>
      <c r="AH232" s="1" t="str">
        <f>TRIM(RIGHT(L232, LEN(L232) - FIND("-", L232)))</f>
        <v>PC08 csc_Cột trung thế</v>
      </c>
      <c r="AJ232">
        <f t="shared" si="18"/>
        <v>0.12878000000000001</v>
      </c>
      <c r="AK232">
        <f t="shared" si="19"/>
        <v>2.33E-3</v>
      </c>
      <c r="AL232" t="e">
        <f>VLOOKUP(L232,'[1]Tuyến cáp H04'!$B:$E,3,0)/1000</f>
        <v>#N/A</v>
      </c>
      <c r="AM232" t="e">
        <f>VLOOKUP(L232,'[1]Tuyến cáp H04'!$B:$E,4,0)</f>
        <v>#N/A</v>
      </c>
    </row>
    <row r="233" spans="1:39" x14ac:dyDescent="0.25">
      <c r="A233" s="1" t="s">
        <v>2100</v>
      </c>
      <c r="B233" s="1" t="s">
        <v>2101</v>
      </c>
      <c r="C233" s="1" t="s">
        <v>2102</v>
      </c>
      <c r="D233" s="1" t="s">
        <v>362</v>
      </c>
      <c r="E233" s="1" t="s">
        <v>363</v>
      </c>
      <c r="F233" s="1" t="s">
        <v>2103</v>
      </c>
      <c r="G233" s="1" t="s">
        <v>14281</v>
      </c>
      <c r="H233" s="1" t="s">
        <v>14282</v>
      </c>
      <c r="I233" s="1" t="s">
        <v>14356</v>
      </c>
      <c r="J233" s="1" t="s">
        <v>23</v>
      </c>
      <c r="K233" s="1"/>
      <c r="L233" s="1" t="s">
        <v>367</v>
      </c>
      <c r="M233" s="8" t="s">
        <v>367</v>
      </c>
      <c r="N233" s="1" t="b">
        <f t="shared" si="15"/>
        <v>1</v>
      </c>
      <c r="O233" s="1" t="s">
        <v>2104</v>
      </c>
      <c r="P233" s="1" t="s">
        <v>2105</v>
      </c>
      <c r="Q233" s="1" t="s">
        <v>2106</v>
      </c>
      <c r="R233" s="1" t="s">
        <v>2107</v>
      </c>
      <c r="S233" s="1" t="s">
        <v>369</v>
      </c>
      <c r="T233" s="1" t="s">
        <v>370</v>
      </c>
      <c r="U233" s="1" t="s">
        <v>371</v>
      </c>
      <c r="V233" s="13">
        <f>COUNTIF(L233:$M$1659,L233)</f>
        <v>2</v>
      </c>
      <c r="W233" s="1" t="s">
        <v>375</v>
      </c>
      <c r="X233">
        <v>801.16</v>
      </c>
      <c r="Y233">
        <v>676.15</v>
      </c>
      <c r="Z233">
        <v>11.987859</v>
      </c>
      <c r="AA233">
        <v>109.168706</v>
      </c>
      <c r="AB233">
        <v>125</v>
      </c>
      <c r="AC233">
        <v>11.976645</v>
      </c>
      <c r="AD233">
        <v>109.19567600000001</v>
      </c>
      <c r="AE233" s="5">
        <f t="shared" si="16"/>
        <v>1.0142249999999999</v>
      </c>
      <c r="AF233" s="5">
        <f t="shared" si="17"/>
        <v>0.1875</v>
      </c>
      <c r="AG233" s="1" t="str">
        <f>TRIM(LEFT(L233,FIND("-",L233)-1))</f>
        <v>2.CA Bắc Cam Ranh</v>
      </c>
      <c r="AH233" s="1" t="str">
        <f>TRIM(RIGHT(L233, LEN(L233) - FIND("-", L233)))</f>
        <v>CA Cam An</v>
      </c>
      <c r="AJ233">
        <f t="shared" si="18"/>
        <v>0.67615000000000003</v>
      </c>
      <c r="AK233">
        <f t="shared" si="19"/>
        <v>0.125</v>
      </c>
      <c r="AL233" t="e">
        <f>VLOOKUP(L233,'[1]Tuyến cáp H04'!$B:$E,3,0)/1000</f>
        <v>#N/A</v>
      </c>
      <c r="AM233" t="e">
        <f>VLOOKUP(L233,'[1]Tuyến cáp H04'!$B:$E,4,0)</f>
        <v>#N/A</v>
      </c>
    </row>
    <row r="234" spans="1:39" x14ac:dyDescent="0.25">
      <c r="A234" s="1" t="s">
        <v>2108</v>
      </c>
      <c r="B234" s="1" t="s">
        <v>2109</v>
      </c>
      <c r="C234" s="1" t="s">
        <v>2110</v>
      </c>
      <c r="D234" s="1" t="s">
        <v>278</v>
      </c>
      <c r="E234" s="1" t="s">
        <v>279</v>
      </c>
      <c r="F234" s="1" t="s">
        <v>2111</v>
      </c>
      <c r="G234" s="1" t="s">
        <v>14281</v>
      </c>
      <c r="H234" s="1" t="s">
        <v>14282</v>
      </c>
      <c r="I234" s="1" t="s">
        <v>14357</v>
      </c>
      <c r="J234" s="1" t="s">
        <v>23</v>
      </c>
      <c r="K234" s="1"/>
      <c r="L234" s="1" t="s">
        <v>283</v>
      </c>
      <c r="M234" s="8" t="s">
        <v>2196</v>
      </c>
      <c r="N234" s="12" t="b">
        <f t="shared" si="15"/>
        <v>0</v>
      </c>
      <c r="O234" s="1" t="s">
        <v>2112</v>
      </c>
      <c r="P234" s="1" t="s">
        <v>2113</v>
      </c>
      <c r="Q234" s="1" t="s">
        <v>289</v>
      </c>
      <c r="R234" s="1" t="s">
        <v>290</v>
      </c>
      <c r="S234" s="1" t="s">
        <v>285</v>
      </c>
      <c r="T234" s="1" t="s">
        <v>286</v>
      </c>
      <c r="U234" s="1" t="s">
        <v>287</v>
      </c>
      <c r="V234" s="13">
        <f>COUNTIF(L234:$M$1659,L234)</f>
        <v>22</v>
      </c>
      <c r="W234" s="1" t="s">
        <v>291</v>
      </c>
      <c r="X234">
        <v>522437.58</v>
      </c>
      <c r="Y234">
        <v>269853.38</v>
      </c>
      <c r="Z234">
        <v>14.352316999999999</v>
      </c>
      <c r="AA234">
        <v>108.007831</v>
      </c>
      <c r="AB234">
        <v>252584.19</v>
      </c>
      <c r="AC234">
        <v>14.659686000000001</v>
      </c>
      <c r="AD234">
        <v>107.839439</v>
      </c>
      <c r="AE234" s="5">
        <f t="shared" si="16"/>
        <v>404.78007000000002</v>
      </c>
      <c r="AF234" s="5">
        <f t="shared" si="17"/>
        <v>378.87628500000005</v>
      </c>
      <c r="AG234" s="1" t="str">
        <f>TRIM(LEFT(L234,FIND("-",L234)-1))</f>
        <v>Đăk Tô</v>
      </c>
      <c r="AH234" s="1" t="str">
        <f>TRIM(RIGHT(L234, LEN(L234) - FIND("-", L234)))</f>
        <v>TT2 Kon Tum</v>
      </c>
      <c r="AJ234">
        <f t="shared" si="18"/>
        <v>269.85338000000002</v>
      </c>
      <c r="AK234">
        <f t="shared" si="19"/>
        <v>252.58419000000001</v>
      </c>
      <c r="AL234">
        <f>VLOOKUP(L234,'[1]Tuyến cáp H04'!$B:$E,3,0)/1000</f>
        <v>43.9602</v>
      </c>
      <c r="AM234" t="str">
        <f>VLOOKUP(L234,'[1]Tuyến cáp H04'!$B:$E,4,0)</f>
        <v>Mạng cấp 3</v>
      </c>
    </row>
    <row r="235" spans="1:39" x14ac:dyDescent="0.25">
      <c r="A235" s="1" t="s">
        <v>2114</v>
      </c>
      <c r="B235" s="1" t="s">
        <v>2115</v>
      </c>
      <c r="C235" s="1" t="s">
        <v>2116</v>
      </c>
      <c r="D235" s="1" t="s">
        <v>77</v>
      </c>
      <c r="E235" s="1" t="s">
        <v>78</v>
      </c>
      <c r="F235" s="1" t="s">
        <v>2117</v>
      </c>
      <c r="G235" s="1" t="s">
        <v>14281</v>
      </c>
      <c r="H235" s="1" t="s">
        <v>14282</v>
      </c>
      <c r="I235" s="1" t="s">
        <v>14358</v>
      </c>
      <c r="J235" s="1" t="s">
        <v>23</v>
      </c>
      <c r="K235" s="1"/>
      <c r="L235" s="1" t="s">
        <v>110</v>
      </c>
      <c r="M235" s="8" t="s">
        <v>110</v>
      </c>
      <c r="N235" s="1" t="b">
        <f t="shared" si="15"/>
        <v>1</v>
      </c>
      <c r="O235" s="1" t="s">
        <v>2118</v>
      </c>
      <c r="P235" s="1" t="s">
        <v>2119</v>
      </c>
      <c r="Q235" s="1" t="s">
        <v>2120</v>
      </c>
      <c r="R235" s="1" t="s">
        <v>2121</v>
      </c>
      <c r="S235" s="1" t="s">
        <v>112</v>
      </c>
      <c r="T235" s="1" t="s">
        <v>113</v>
      </c>
      <c r="U235" s="1" t="s">
        <v>114</v>
      </c>
      <c r="V235" s="13">
        <f>COUNTIF(L235:$M$1659,L235)</f>
        <v>8</v>
      </c>
      <c r="W235" s="1" t="s">
        <v>118</v>
      </c>
      <c r="X235">
        <v>119.5</v>
      </c>
      <c r="Y235">
        <v>116.16</v>
      </c>
      <c r="Z235">
        <v>12.181132</v>
      </c>
      <c r="AA235">
        <v>109.173</v>
      </c>
      <c r="AB235">
        <v>3.34</v>
      </c>
      <c r="AC235">
        <v>12.175723</v>
      </c>
      <c r="AD235">
        <v>109.17368</v>
      </c>
      <c r="AE235" s="5">
        <f t="shared" si="16"/>
        <v>0.17424000000000001</v>
      </c>
      <c r="AF235" s="5">
        <f t="shared" si="17"/>
        <v>5.0099999999999997E-3</v>
      </c>
      <c r="AG235" s="1" t="str">
        <f>TRIM(LEFT(L235,FIND("-",L235)-1))</f>
        <v>4.PC11a</v>
      </c>
      <c r="AH235" s="1" t="str">
        <f>TRIM(RIGHT(L235, LEN(L235) - FIND("-", L235)))</f>
        <v>PC02_Đoạn cột trung thế</v>
      </c>
      <c r="AJ235">
        <f t="shared" si="18"/>
        <v>0.11616</v>
      </c>
      <c r="AK235">
        <f t="shared" si="19"/>
        <v>3.3399999999999997E-3</v>
      </c>
      <c r="AL235" t="e">
        <f>VLOOKUP(L235,'[1]Tuyến cáp H04'!$B:$E,3,0)/1000</f>
        <v>#N/A</v>
      </c>
      <c r="AM235" t="e">
        <f>VLOOKUP(L235,'[1]Tuyến cáp H04'!$B:$E,4,0)</f>
        <v>#N/A</v>
      </c>
    </row>
    <row r="236" spans="1:39" x14ac:dyDescent="0.25">
      <c r="A236" s="1" t="s">
        <v>2122</v>
      </c>
      <c r="B236" s="1" t="s">
        <v>2123</v>
      </c>
      <c r="C236" s="1" t="s">
        <v>2124</v>
      </c>
      <c r="D236" s="1" t="s">
        <v>77</v>
      </c>
      <c r="E236" s="1" t="s">
        <v>78</v>
      </c>
      <c r="F236" s="1" t="s">
        <v>2125</v>
      </c>
      <c r="G236" s="1" t="s">
        <v>14281</v>
      </c>
      <c r="H236" s="1" t="s">
        <v>14282</v>
      </c>
      <c r="I236" s="1" t="s">
        <v>14359</v>
      </c>
      <c r="J236" s="1" t="s">
        <v>23</v>
      </c>
      <c r="K236" s="1"/>
      <c r="L236" s="1" t="s">
        <v>490</v>
      </c>
      <c r="M236" s="8" t="s">
        <v>490</v>
      </c>
      <c r="N236" s="1" t="b">
        <f t="shared" si="15"/>
        <v>1</v>
      </c>
      <c r="O236" s="1" t="s">
        <v>2126</v>
      </c>
      <c r="P236" s="1" t="s">
        <v>2127</v>
      </c>
      <c r="Q236" s="1" t="s">
        <v>2128</v>
      </c>
      <c r="R236" s="1" t="s">
        <v>2129</v>
      </c>
      <c r="S236" s="1" t="s">
        <v>492</v>
      </c>
      <c r="T236" s="1" t="s">
        <v>493</v>
      </c>
      <c r="U236" s="1" t="s">
        <v>494</v>
      </c>
      <c r="V236" s="13">
        <f>COUNTIF(L236:$M$1659,L236)</f>
        <v>10</v>
      </c>
      <c r="W236" s="1" t="s">
        <v>498</v>
      </c>
      <c r="X236">
        <v>1039.93</v>
      </c>
      <c r="Y236">
        <v>903.85</v>
      </c>
      <c r="Z236">
        <v>12.173728000000001</v>
      </c>
      <c r="AA236">
        <v>109.177217</v>
      </c>
      <c r="AB236">
        <v>136.09</v>
      </c>
      <c r="AC236">
        <v>12.175768</v>
      </c>
      <c r="AD236">
        <v>109.17495</v>
      </c>
      <c r="AE236" s="5">
        <f t="shared" si="16"/>
        <v>1.3557750000000002</v>
      </c>
      <c r="AF236" s="5">
        <f t="shared" si="17"/>
        <v>0.20413499999999998</v>
      </c>
      <c r="AG236" s="1" t="str">
        <f>TRIM(LEFT(L236,FIND("-",L236)-1))</f>
        <v>1.CAT Khánh Hòa</v>
      </c>
      <c r="AH236" s="1" t="str">
        <f>TRIM(RIGHT(L236, LEN(L236) - FIND("-", L236)))</f>
        <v>Cam Lâm</v>
      </c>
      <c r="AJ236">
        <f t="shared" si="18"/>
        <v>0.90385000000000004</v>
      </c>
      <c r="AK236">
        <f t="shared" si="19"/>
        <v>0.13609000000000002</v>
      </c>
      <c r="AL236" t="e">
        <f>VLOOKUP(L236,'[1]Tuyến cáp H04'!$B:$E,3,0)/1000</f>
        <v>#N/A</v>
      </c>
      <c r="AM236" t="e">
        <f>VLOOKUP(L236,'[1]Tuyến cáp H04'!$B:$E,4,0)</f>
        <v>#N/A</v>
      </c>
    </row>
    <row r="237" spans="1:39" x14ac:dyDescent="0.25">
      <c r="A237" s="1" t="s">
        <v>2130</v>
      </c>
      <c r="B237" s="1" t="s">
        <v>2131</v>
      </c>
      <c r="C237" s="1" t="s">
        <v>2132</v>
      </c>
      <c r="D237" s="1" t="s">
        <v>77</v>
      </c>
      <c r="E237" s="1" t="s">
        <v>78</v>
      </c>
      <c r="F237" s="1" t="s">
        <v>2133</v>
      </c>
      <c r="G237" s="1" t="s">
        <v>14281</v>
      </c>
      <c r="H237" s="1" t="s">
        <v>14282</v>
      </c>
      <c r="I237" s="1" t="s">
        <v>14360</v>
      </c>
      <c r="J237" s="1" t="s">
        <v>23</v>
      </c>
      <c r="K237" s="1"/>
      <c r="L237" s="1" t="s">
        <v>110</v>
      </c>
      <c r="M237" s="8" t="s">
        <v>110</v>
      </c>
      <c r="N237" s="1" t="b">
        <f t="shared" si="15"/>
        <v>1</v>
      </c>
      <c r="O237" s="1" t="s">
        <v>2134</v>
      </c>
      <c r="P237" s="1" t="s">
        <v>2135</v>
      </c>
      <c r="Q237" s="1" t="s">
        <v>2136</v>
      </c>
      <c r="R237" s="1" t="s">
        <v>2137</v>
      </c>
      <c r="S237" s="1" t="s">
        <v>112</v>
      </c>
      <c r="T237" s="1" t="s">
        <v>113</v>
      </c>
      <c r="U237" s="1" t="s">
        <v>114</v>
      </c>
      <c r="V237" s="13">
        <f>COUNTIF(L237:$M$1659,L237)</f>
        <v>6</v>
      </c>
      <c r="W237" s="1" t="s">
        <v>118</v>
      </c>
      <c r="X237">
        <v>318.5</v>
      </c>
      <c r="Y237">
        <v>315.14999999999998</v>
      </c>
      <c r="Z237">
        <v>12.190372999999999</v>
      </c>
      <c r="AA237">
        <v>109.170748</v>
      </c>
      <c r="AB237">
        <v>3.34</v>
      </c>
      <c r="AC237">
        <v>12.175723</v>
      </c>
      <c r="AD237">
        <v>109.17368</v>
      </c>
      <c r="AE237" s="5">
        <f t="shared" si="16"/>
        <v>0.47272499999999995</v>
      </c>
      <c r="AF237" s="5">
        <f t="shared" si="17"/>
        <v>5.0099999999999997E-3</v>
      </c>
      <c r="AG237" s="1" t="str">
        <f>TRIM(LEFT(L237,FIND("-",L237)-1))</f>
        <v>4.PC11a</v>
      </c>
      <c r="AH237" s="1" t="str">
        <f>TRIM(RIGHT(L237, LEN(L237) - FIND("-", L237)))</f>
        <v>PC02_Đoạn cột trung thế</v>
      </c>
      <c r="AJ237">
        <f t="shared" si="18"/>
        <v>0.31514999999999999</v>
      </c>
      <c r="AK237">
        <f t="shared" si="19"/>
        <v>3.3399999999999997E-3</v>
      </c>
      <c r="AL237" t="e">
        <f>VLOOKUP(L237,'[1]Tuyến cáp H04'!$B:$E,3,0)/1000</f>
        <v>#N/A</v>
      </c>
      <c r="AM237" t="e">
        <f>VLOOKUP(L237,'[1]Tuyến cáp H04'!$B:$E,4,0)</f>
        <v>#N/A</v>
      </c>
    </row>
    <row r="238" spans="1:39" x14ac:dyDescent="0.25">
      <c r="A238" s="1" t="s">
        <v>2138</v>
      </c>
      <c r="B238" s="1" t="s">
        <v>2139</v>
      </c>
      <c r="C238" s="1" t="s">
        <v>2140</v>
      </c>
      <c r="D238" s="1" t="s">
        <v>263</v>
      </c>
      <c r="E238" s="1" t="s">
        <v>264</v>
      </c>
      <c r="F238" s="1" t="s">
        <v>2141</v>
      </c>
      <c r="G238" s="1" t="s">
        <v>14281</v>
      </c>
      <c r="H238" s="1" t="s">
        <v>14282</v>
      </c>
      <c r="I238" s="1" t="s">
        <v>14361</v>
      </c>
      <c r="J238" s="1" t="s">
        <v>23</v>
      </c>
      <c r="K238" s="1"/>
      <c r="L238" s="1" t="s">
        <v>268</v>
      </c>
      <c r="M238" s="8" t="s">
        <v>268</v>
      </c>
      <c r="N238" s="1" t="b">
        <f t="shared" si="15"/>
        <v>1</v>
      </c>
      <c r="O238" s="1" t="s">
        <v>2142</v>
      </c>
      <c r="P238" s="1" t="s">
        <v>2143</v>
      </c>
      <c r="Q238" s="1" t="s">
        <v>2144</v>
      </c>
      <c r="R238" s="1" t="s">
        <v>2145</v>
      </c>
      <c r="S238" s="1" t="s">
        <v>270</v>
      </c>
      <c r="T238" s="1" t="s">
        <v>271</v>
      </c>
      <c r="U238" s="1" t="s">
        <v>272</v>
      </c>
      <c r="V238" s="13">
        <f>COUNTIF(L238:$M$1659,L238)</f>
        <v>4</v>
      </c>
      <c r="W238" s="1" t="s">
        <v>276</v>
      </c>
      <c r="X238">
        <v>198.19</v>
      </c>
      <c r="Y238">
        <v>7.17</v>
      </c>
      <c r="Z238">
        <v>12.252446000000001</v>
      </c>
      <c r="AA238">
        <v>109.182911</v>
      </c>
      <c r="AB238">
        <v>191.02</v>
      </c>
      <c r="AC238">
        <v>12.250641</v>
      </c>
      <c r="AD238">
        <v>109.18473899999999</v>
      </c>
      <c r="AE238" s="5">
        <f t="shared" si="16"/>
        <v>1.0754999999999999E-2</v>
      </c>
      <c r="AF238" s="5">
        <f t="shared" si="17"/>
        <v>0.28653000000000001</v>
      </c>
      <c r="AG238" s="1" t="str">
        <f>TRIM(LEFT(L238,FIND("-",L238)-1))</f>
        <v>4.CA Tây Nha Trang</v>
      </c>
      <c r="AH238" s="1" t="str">
        <f>TRIM(RIGHT(L238, LEN(L238) - FIND("-", L238)))</f>
        <v>TTCMKV Diên Khánh</v>
      </c>
      <c r="AJ238">
        <f t="shared" si="18"/>
        <v>7.1700000000000002E-3</v>
      </c>
      <c r="AK238">
        <f t="shared" si="19"/>
        <v>0.19102000000000002</v>
      </c>
      <c r="AL238" t="e">
        <f>VLOOKUP(L238,'[1]Tuyến cáp H04'!$B:$E,3,0)/1000</f>
        <v>#N/A</v>
      </c>
      <c r="AM238" t="e">
        <f>VLOOKUP(L238,'[1]Tuyến cáp H04'!$B:$E,4,0)</f>
        <v>#N/A</v>
      </c>
    </row>
    <row r="239" spans="1:39" x14ac:dyDescent="0.25">
      <c r="A239" s="1" t="s">
        <v>2146</v>
      </c>
      <c r="B239" s="1" t="s">
        <v>2147</v>
      </c>
      <c r="C239" s="1" t="s">
        <v>2148</v>
      </c>
      <c r="D239" s="1" t="s">
        <v>198</v>
      </c>
      <c r="E239" s="1" t="s">
        <v>199</v>
      </c>
      <c r="F239" s="1" t="s">
        <v>2149</v>
      </c>
      <c r="G239" s="1" t="s">
        <v>14281</v>
      </c>
      <c r="H239" s="1" t="s">
        <v>14282</v>
      </c>
      <c r="I239" s="1" t="s">
        <v>14362</v>
      </c>
      <c r="J239" s="1" t="s">
        <v>23</v>
      </c>
      <c r="K239" s="1"/>
      <c r="L239" s="1" t="s">
        <v>2150</v>
      </c>
      <c r="M239" s="8" t="s">
        <v>2150</v>
      </c>
      <c r="N239" s="1" t="b">
        <f t="shared" si="15"/>
        <v>1</v>
      </c>
      <c r="O239" s="1" t="s">
        <v>2151</v>
      </c>
      <c r="P239" s="1" t="s">
        <v>2152</v>
      </c>
      <c r="Q239" s="1" t="s">
        <v>2153</v>
      </c>
      <c r="R239" s="1" t="s">
        <v>2154</v>
      </c>
      <c r="S239" s="1" t="s">
        <v>922</v>
      </c>
      <c r="T239" s="1" t="s">
        <v>2153</v>
      </c>
      <c r="U239" s="1" t="s">
        <v>2154</v>
      </c>
      <c r="V239" s="13">
        <f>COUNTIF(L239:$M$1659,L239)</f>
        <v>6</v>
      </c>
      <c r="W239" s="1" t="s">
        <v>2155</v>
      </c>
      <c r="X239">
        <v>907.58</v>
      </c>
      <c r="Y239">
        <v>902.4</v>
      </c>
      <c r="Z239">
        <v>12.256762</v>
      </c>
      <c r="AA239">
        <v>109.197648</v>
      </c>
      <c r="AB239">
        <v>5.18</v>
      </c>
      <c r="AC239">
        <v>12.256762</v>
      </c>
      <c r="AD239">
        <v>109.197648</v>
      </c>
      <c r="AE239" s="5">
        <f t="shared" si="16"/>
        <v>1.3535999999999999</v>
      </c>
      <c r="AF239" s="5">
        <f t="shared" si="17"/>
        <v>7.77E-3</v>
      </c>
      <c r="AG239" s="1" t="str">
        <f>TRIM(LEFT(L239,FIND("-",L239)-1))</f>
        <v>Tuyến nhánh PA06 cs1</v>
      </c>
      <c r="AH239" s="1" t="str">
        <f>TRIM(RIGHT(L239, LEN(L239) - FIND("-", L239)))</f>
        <v>Nhà nghỉ dưỡng 378 BCA_Cột trung thế</v>
      </c>
      <c r="AJ239">
        <f t="shared" si="18"/>
        <v>0.90239999999999998</v>
      </c>
      <c r="AK239">
        <f t="shared" si="19"/>
        <v>5.1799999999999997E-3</v>
      </c>
      <c r="AL239" t="e">
        <f>VLOOKUP(L239,'[1]Tuyến cáp H04'!$B:$E,3,0)/1000</f>
        <v>#N/A</v>
      </c>
      <c r="AM239" t="e">
        <f>VLOOKUP(L239,'[1]Tuyến cáp H04'!$B:$E,4,0)</f>
        <v>#N/A</v>
      </c>
    </row>
    <row r="240" spans="1:39" x14ac:dyDescent="0.25">
      <c r="A240" s="1" t="s">
        <v>2156</v>
      </c>
      <c r="B240" s="1" t="s">
        <v>2157</v>
      </c>
      <c r="C240" s="1" t="s">
        <v>2158</v>
      </c>
      <c r="D240" s="1" t="s">
        <v>160</v>
      </c>
      <c r="E240" s="1" t="s">
        <v>161</v>
      </c>
      <c r="F240" s="1" t="s">
        <v>2159</v>
      </c>
      <c r="G240" s="1" t="s">
        <v>14281</v>
      </c>
      <c r="H240" s="1" t="s">
        <v>14282</v>
      </c>
      <c r="I240" s="1" t="s">
        <v>14363</v>
      </c>
      <c r="J240" s="1" t="s">
        <v>23</v>
      </c>
      <c r="K240" s="1"/>
      <c r="L240" s="1" t="s">
        <v>1414</v>
      </c>
      <c r="M240" s="8" t="s">
        <v>1414</v>
      </c>
      <c r="N240" s="1" t="b">
        <f t="shared" si="15"/>
        <v>1</v>
      </c>
      <c r="O240" s="1" t="s">
        <v>2160</v>
      </c>
      <c r="P240" s="1" t="s">
        <v>2161</v>
      </c>
      <c r="Q240" s="1" t="s">
        <v>2162</v>
      </c>
      <c r="R240" s="1" t="s">
        <v>2163</v>
      </c>
      <c r="S240" s="1" t="s">
        <v>1419</v>
      </c>
      <c r="T240" s="1" t="s">
        <v>42</v>
      </c>
      <c r="U240" s="1" t="s">
        <v>1420</v>
      </c>
      <c r="V240" s="13">
        <f>COUNTIF(L240:$M$1659,L240)</f>
        <v>4</v>
      </c>
      <c r="W240" s="1" t="s">
        <v>1421</v>
      </c>
      <c r="X240">
        <v>789.77</v>
      </c>
      <c r="Y240">
        <v>785.02</v>
      </c>
      <c r="Z240">
        <v>12.280041000000001</v>
      </c>
      <c r="AA240">
        <v>109.188703</v>
      </c>
      <c r="AB240">
        <v>4.75</v>
      </c>
      <c r="AC240">
        <v>12.278732</v>
      </c>
      <c r="AD240">
        <v>109.18886000000001</v>
      </c>
      <c r="AE240" s="5">
        <f t="shared" si="16"/>
        <v>1.17753</v>
      </c>
      <c r="AF240" s="5">
        <f t="shared" si="17"/>
        <v>7.1250000000000003E-3</v>
      </c>
      <c r="AG240" s="1" t="str">
        <f>TRIM(LEFT(L240,FIND("-",L240)-1))</f>
        <v>2.PK02 cs1</v>
      </c>
      <c r="AH240" s="1" t="str">
        <f>TRIM(RIGHT(L240, LEN(L240) - FIND("-", L240)))</f>
        <v>Trung đoàn CSCĐ-E23_Cột trung thế</v>
      </c>
      <c r="AJ240">
        <f t="shared" si="18"/>
        <v>0.78501999999999994</v>
      </c>
      <c r="AK240">
        <f t="shared" si="19"/>
        <v>4.7499999999999999E-3</v>
      </c>
      <c r="AL240" t="e">
        <f>VLOOKUP(L240,'[1]Tuyến cáp H04'!$B:$E,3,0)/1000</f>
        <v>#N/A</v>
      </c>
      <c r="AM240" t="e">
        <f>VLOOKUP(L240,'[1]Tuyến cáp H04'!$B:$E,4,0)</f>
        <v>#N/A</v>
      </c>
    </row>
    <row r="241" spans="1:39" x14ac:dyDescent="0.25">
      <c r="A241" s="1" t="s">
        <v>2164</v>
      </c>
      <c r="B241" s="1" t="s">
        <v>2165</v>
      </c>
      <c r="C241" s="1" t="s">
        <v>2166</v>
      </c>
      <c r="D241" s="1" t="s">
        <v>198</v>
      </c>
      <c r="E241" s="1" t="s">
        <v>199</v>
      </c>
      <c r="F241" s="1" t="s">
        <v>2167</v>
      </c>
      <c r="G241" s="1" t="s">
        <v>14281</v>
      </c>
      <c r="H241" s="1" t="s">
        <v>14282</v>
      </c>
      <c r="I241" s="1" t="s">
        <v>14364</v>
      </c>
      <c r="J241" s="1" t="s">
        <v>23</v>
      </c>
      <c r="K241" s="1"/>
      <c r="L241" s="1" t="s">
        <v>201</v>
      </c>
      <c r="M241" s="8" t="s">
        <v>201</v>
      </c>
      <c r="N241" s="1" t="b">
        <f t="shared" si="15"/>
        <v>1</v>
      </c>
      <c r="O241" s="1" t="s">
        <v>2168</v>
      </c>
      <c r="P241" s="1" t="s">
        <v>2169</v>
      </c>
      <c r="Q241" s="1" t="s">
        <v>204</v>
      </c>
      <c r="R241" s="1" t="s">
        <v>205</v>
      </c>
      <c r="S241" s="1" t="s">
        <v>206</v>
      </c>
      <c r="T241" s="1" t="s">
        <v>207</v>
      </c>
      <c r="U241" s="1" t="s">
        <v>208</v>
      </c>
      <c r="V241" s="13">
        <f>COUNTIF(L241:$M$1659,L241)</f>
        <v>4</v>
      </c>
      <c r="W241" s="1" t="s">
        <v>209</v>
      </c>
      <c r="X241">
        <v>2220.85</v>
      </c>
      <c r="Y241">
        <v>1245.98</v>
      </c>
      <c r="Z241">
        <v>12.280430000000001</v>
      </c>
      <c r="AA241">
        <v>109.194828</v>
      </c>
      <c r="AB241">
        <v>974.88</v>
      </c>
      <c r="AC241">
        <v>12.265409</v>
      </c>
      <c r="AD241">
        <v>109.196133</v>
      </c>
      <c r="AE241" s="5">
        <f t="shared" si="16"/>
        <v>1.86897</v>
      </c>
      <c r="AF241" s="5">
        <f t="shared" si="17"/>
        <v>1.4623199999999998</v>
      </c>
      <c r="AG241" s="1" t="str">
        <f>TRIM(LEFT(L241,FIND("-",L241)-1))</f>
        <v>3.CA Bắc Nha Trang</v>
      </c>
      <c r="AH241" s="1" t="str">
        <f>TRIM(RIGHT(L241, LEN(L241) - FIND("-", L241)))</f>
        <v>CAT Khánh Hòa</v>
      </c>
      <c r="AJ241">
        <f t="shared" si="18"/>
        <v>1.2459800000000001</v>
      </c>
      <c r="AK241">
        <f t="shared" si="19"/>
        <v>0.97487999999999997</v>
      </c>
      <c r="AL241" t="e">
        <f>VLOOKUP(L241,'[1]Tuyến cáp H04'!$B:$E,3,0)/1000</f>
        <v>#N/A</v>
      </c>
      <c r="AM241" t="e">
        <f>VLOOKUP(L241,'[1]Tuyến cáp H04'!$B:$E,4,0)</f>
        <v>#N/A</v>
      </c>
    </row>
    <row r="242" spans="1:39" x14ac:dyDescent="0.25">
      <c r="A242" s="1" t="s">
        <v>2170</v>
      </c>
      <c r="B242" s="1" t="s">
        <v>2171</v>
      </c>
      <c r="C242" s="1" t="s">
        <v>2172</v>
      </c>
      <c r="D242" s="1" t="s">
        <v>160</v>
      </c>
      <c r="E242" s="1" t="s">
        <v>161</v>
      </c>
      <c r="F242" s="1" t="s">
        <v>2173</v>
      </c>
      <c r="G242" s="1" t="s">
        <v>14281</v>
      </c>
      <c r="H242" s="1" t="s">
        <v>14282</v>
      </c>
      <c r="I242" s="1" t="s">
        <v>14365</v>
      </c>
      <c r="J242" s="1" t="s">
        <v>23</v>
      </c>
      <c r="K242" s="1"/>
      <c r="L242" s="1" t="s">
        <v>1414</v>
      </c>
      <c r="M242" s="8" t="s">
        <v>1414</v>
      </c>
      <c r="N242" s="1" t="b">
        <f t="shared" si="15"/>
        <v>1</v>
      </c>
      <c r="O242" s="1" t="s">
        <v>2174</v>
      </c>
      <c r="P242" s="1" t="s">
        <v>2175</v>
      </c>
      <c r="Q242" s="1" t="s">
        <v>1417</v>
      </c>
      <c r="R242" s="1" t="s">
        <v>1418</v>
      </c>
      <c r="S242" s="1" t="s">
        <v>1419</v>
      </c>
      <c r="T242" s="1" t="s">
        <v>42</v>
      </c>
      <c r="U242" s="1" t="s">
        <v>1420</v>
      </c>
      <c r="V242" s="13">
        <f>COUNTIF(L242:$M$1659,L242)</f>
        <v>2</v>
      </c>
      <c r="W242" s="1" t="s">
        <v>1421</v>
      </c>
      <c r="X242">
        <v>727.92</v>
      </c>
      <c r="Y242">
        <v>723.17</v>
      </c>
      <c r="Z242">
        <v>12.279755</v>
      </c>
      <c r="AA242">
        <v>109.177725</v>
      </c>
      <c r="AB242">
        <v>4.75</v>
      </c>
      <c r="AC242">
        <v>12.278732</v>
      </c>
      <c r="AD242">
        <v>109.18886000000001</v>
      </c>
      <c r="AE242" s="5">
        <f t="shared" si="16"/>
        <v>1.0847549999999999</v>
      </c>
      <c r="AF242" s="5">
        <f t="shared" si="17"/>
        <v>7.1250000000000003E-3</v>
      </c>
      <c r="AG242" s="1" t="str">
        <f>TRIM(LEFT(L242,FIND("-",L242)-1))</f>
        <v>2.PK02 cs1</v>
      </c>
      <c r="AH242" s="1" t="str">
        <f>TRIM(RIGHT(L242, LEN(L242) - FIND("-", L242)))</f>
        <v>Trung đoàn CSCĐ-E23_Cột trung thế</v>
      </c>
      <c r="AJ242">
        <f t="shared" si="18"/>
        <v>0.72316999999999998</v>
      </c>
      <c r="AK242">
        <f t="shared" si="19"/>
        <v>4.7499999999999999E-3</v>
      </c>
      <c r="AL242" t="e">
        <f>VLOOKUP(L242,'[1]Tuyến cáp H04'!$B:$E,3,0)/1000</f>
        <v>#N/A</v>
      </c>
      <c r="AM242" t="e">
        <f>VLOOKUP(L242,'[1]Tuyến cáp H04'!$B:$E,4,0)</f>
        <v>#N/A</v>
      </c>
    </row>
    <row r="243" spans="1:39" x14ac:dyDescent="0.25">
      <c r="A243" s="1" t="s">
        <v>2176</v>
      </c>
      <c r="B243" s="1" t="s">
        <v>2177</v>
      </c>
      <c r="C243" s="1" t="s">
        <v>2178</v>
      </c>
      <c r="D243" s="1" t="s">
        <v>196</v>
      </c>
      <c r="E243" s="1" t="s">
        <v>197</v>
      </c>
      <c r="F243" s="1" t="s">
        <v>2179</v>
      </c>
      <c r="G243" s="1" t="s">
        <v>14281</v>
      </c>
      <c r="H243" s="1" t="s">
        <v>14282</v>
      </c>
      <c r="I243" s="1" t="s">
        <v>14366</v>
      </c>
      <c r="J243" s="1" t="s">
        <v>23</v>
      </c>
      <c r="K243" s="1"/>
      <c r="L243" s="1" t="s">
        <v>186</v>
      </c>
      <c r="M243" s="8" t="s">
        <v>186</v>
      </c>
      <c r="N243" s="1" t="b">
        <f t="shared" si="15"/>
        <v>1</v>
      </c>
      <c r="O243" s="1" t="s">
        <v>2180</v>
      </c>
      <c r="P243" s="1" t="s">
        <v>2181</v>
      </c>
      <c r="Q243" s="1" t="s">
        <v>2182</v>
      </c>
      <c r="R243" s="1" t="s">
        <v>2183</v>
      </c>
      <c r="S243" s="1" t="s">
        <v>339</v>
      </c>
      <c r="T243" s="1" t="s">
        <v>340</v>
      </c>
      <c r="U243" s="1" t="s">
        <v>341</v>
      </c>
      <c r="V243" s="13">
        <f>COUNTIF(L243:$M$1659,L243)</f>
        <v>6</v>
      </c>
      <c r="W243" s="1" t="s">
        <v>345</v>
      </c>
      <c r="X243">
        <v>53.74</v>
      </c>
      <c r="Y243">
        <v>52.86</v>
      </c>
      <c r="Z243">
        <v>12.285190999999999</v>
      </c>
      <c r="AA243">
        <v>109.19182000000001</v>
      </c>
      <c r="AB243">
        <v>0.89</v>
      </c>
      <c r="AC243">
        <v>12.282335</v>
      </c>
      <c r="AD243">
        <v>109.198106</v>
      </c>
      <c r="AE243" s="5">
        <f t="shared" si="16"/>
        <v>7.9289999999999985E-2</v>
      </c>
      <c r="AF243" s="5">
        <f t="shared" si="17"/>
        <v>1.335E-3</v>
      </c>
      <c r="AG243" s="1" t="str">
        <f>TRIM(LEFT(L243,FIND("-",L243)-1))</f>
        <v>2.CA Diên Điền</v>
      </c>
      <c r="AH243" s="1" t="str">
        <f>TRIM(RIGHT(L243, LEN(L243) - FIND("-", L243)))</f>
        <v>CA Bắc Nha Trang</v>
      </c>
      <c r="AJ243">
        <f t="shared" si="18"/>
        <v>5.2859999999999997E-2</v>
      </c>
      <c r="AK243">
        <f t="shared" si="19"/>
        <v>8.9000000000000006E-4</v>
      </c>
      <c r="AL243" t="e">
        <f>VLOOKUP(L243,'[1]Tuyến cáp H04'!$B:$E,3,0)/1000</f>
        <v>#N/A</v>
      </c>
      <c r="AM243" t="e">
        <f>VLOOKUP(L243,'[1]Tuyến cáp H04'!$B:$E,4,0)</f>
        <v>#N/A</v>
      </c>
    </row>
    <row r="244" spans="1:39" x14ac:dyDescent="0.25">
      <c r="A244" s="1" t="s">
        <v>2184</v>
      </c>
      <c r="B244" s="1" t="s">
        <v>2185</v>
      </c>
      <c r="C244" s="1" t="s">
        <v>2186</v>
      </c>
      <c r="D244" s="1" t="s">
        <v>77</v>
      </c>
      <c r="E244" s="1" t="s">
        <v>78</v>
      </c>
      <c r="F244" s="1" t="s">
        <v>2187</v>
      </c>
      <c r="G244" s="1" t="s">
        <v>14281</v>
      </c>
      <c r="H244" s="1" t="s">
        <v>14282</v>
      </c>
      <c r="I244" s="1" t="s">
        <v>14367</v>
      </c>
      <c r="J244" s="1" t="s">
        <v>23</v>
      </c>
      <c r="K244" s="1"/>
      <c r="L244" s="1" t="s">
        <v>490</v>
      </c>
      <c r="M244" s="8" t="s">
        <v>490</v>
      </c>
      <c r="N244" s="1" t="b">
        <f t="shared" si="15"/>
        <v>1</v>
      </c>
      <c r="O244" s="1" t="s">
        <v>2188</v>
      </c>
      <c r="P244" s="1" t="s">
        <v>2189</v>
      </c>
      <c r="Q244" s="1" t="s">
        <v>2190</v>
      </c>
      <c r="R244" s="1" t="s">
        <v>2191</v>
      </c>
      <c r="S244" s="1" t="s">
        <v>492</v>
      </c>
      <c r="T244" s="1" t="s">
        <v>493</v>
      </c>
      <c r="U244" s="1" t="s">
        <v>494</v>
      </c>
      <c r="V244" s="13">
        <f>COUNTIF(L244:$M$1659,L244)</f>
        <v>8</v>
      </c>
      <c r="W244" s="1" t="s">
        <v>498</v>
      </c>
      <c r="X244">
        <v>222.3</v>
      </c>
      <c r="Y244">
        <v>86.21</v>
      </c>
      <c r="Z244">
        <v>12.169498000000001</v>
      </c>
      <c r="AA244">
        <v>109.19072</v>
      </c>
      <c r="AB244">
        <v>136.09</v>
      </c>
      <c r="AC244">
        <v>12.175768</v>
      </c>
      <c r="AD244">
        <v>109.17495</v>
      </c>
      <c r="AE244" s="5">
        <f t="shared" si="16"/>
        <v>0.12931499999999999</v>
      </c>
      <c r="AF244" s="5">
        <f t="shared" si="17"/>
        <v>0.20413499999999998</v>
      </c>
      <c r="AG244" s="1" t="str">
        <f>TRIM(LEFT(L244,FIND("-",L244)-1))</f>
        <v>1.CAT Khánh Hòa</v>
      </c>
      <c r="AH244" s="1" t="str">
        <f>TRIM(RIGHT(L244, LEN(L244) - FIND("-", L244)))</f>
        <v>Cam Lâm</v>
      </c>
      <c r="AJ244">
        <f t="shared" si="18"/>
        <v>8.6209999999999995E-2</v>
      </c>
      <c r="AK244">
        <f t="shared" si="19"/>
        <v>0.13609000000000002</v>
      </c>
      <c r="AL244" t="e">
        <f>VLOOKUP(L244,'[1]Tuyến cáp H04'!$B:$E,3,0)/1000</f>
        <v>#N/A</v>
      </c>
      <c r="AM244" t="e">
        <f>VLOOKUP(L244,'[1]Tuyến cáp H04'!$B:$E,4,0)</f>
        <v>#N/A</v>
      </c>
    </row>
    <row r="245" spans="1:39" x14ac:dyDescent="0.25">
      <c r="A245" s="1" t="s">
        <v>2192</v>
      </c>
      <c r="B245" s="1" t="s">
        <v>2193</v>
      </c>
      <c r="C245" s="1" t="s">
        <v>2194</v>
      </c>
      <c r="D245" s="1" t="s">
        <v>263</v>
      </c>
      <c r="E245" s="1" t="s">
        <v>264</v>
      </c>
      <c r="F245" s="1" t="s">
        <v>2195</v>
      </c>
      <c r="G245" s="1" t="s">
        <v>14281</v>
      </c>
      <c r="H245" s="1" t="s">
        <v>14282</v>
      </c>
      <c r="I245" s="1" t="s">
        <v>14368</v>
      </c>
      <c r="J245" s="1" t="s">
        <v>23</v>
      </c>
      <c r="K245" s="1"/>
      <c r="L245" s="1" t="s">
        <v>2196</v>
      </c>
      <c r="M245" s="8" t="s">
        <v>2196</v>
      </c>
      <c r="N245" s="1" t="b">
        <f t="shared" si="15"/>
        <v>1</v>
      </c>
      <c r="O245" s="1" t="s">
        <v>2197</v>
      </c>
      <c r="P245" s="1" t="s">
        <v>2198</v>
      </c>
      <c r="Q245" s="1" t="s">
        <v>2199</v>
      </c>
      <c r="R245" s="1" t="s">
        <v>2200</v>
      </c>
      <c r="S245" s="1" t="s">
        <v>2201</v>
      </c>
      <c r="T245" s="1" t="s">
        <v>2202</v>
      </c>
      <c r="U245" s="1" t="s">
        <v>2203</v>
      </c>
      <c r="V245" s="13">
        <f>COUNTIF(L245:$M$1659,L245)</f>
        <v>3</v>
      </c>
      <c r="W245" s="1" t="s">
        <v>2204</v>
      </c>
      <c r="X245">
        <v>32.28</v>
      </c>
      <c r="Y245">
        <v>30.03</v>
      </c>
      <c r="Z245">
        <v>12.246561</v>
      </c>
      <c r="AA245">
        <v>109.181628</v>
      </c>
      <c r="AB245">
        <v>2.25</v>
      </c>
      <c r="AC245">
        <v>12.249053</v>
      </c>
      <c r="AD245">
        <v>109.184084</v>
      </c>
      <c r="AE245" s="5">
        <f t="shared" si="16"/>
        <v>4.5045000000000002E-2</v>
      </c>
      <c r="AF245" s="5">
        <f t="shared" si="17"/>
        <v>3.375E-3</v>
      </c>
      <c r="AG245" s="1" t="str">
        <f>TRIM(LEFT(L245,FIND("-",L245)-1))</f>
        <v>6.PC08 csc</v>
      </c>
      <c r="AH245" s="1" t="str">
        <f>TRIM(RIGHT(L245, LEN(L245) - FIND("-", L245)))</f>
        <v>CAT Khánh Hòa_Cột trung thế</v>
      </c>
      <c r="AJ245">
        <f t="shared" si="18"/>
        <v>3.0030000000000001E-2</v>
      </c>
      <c r="AK245">
        <f t="shared" si="19"/>
        <v>2.2499999999999998E-3</v>
      </c>
      <c r="AL245" t="e">
        <f>VLOOKUP(L245,'[1]Tuyến cáp H04'!$B:$E,3,0)/1000</f>
        <v>#N/A</v>
      </c>
      <c r="AM245" t="e">
        <f>VLOOKUP(L245,'[1]Tuyến cáp H04'!$B:$E,4,0)</f>
        <v>#N/A</v>
      </c>
    </row>
    <row r="246" spans="1:39" x14ac:dyDescent="0.25">
      <c r="A246" s="1" t="s">
        <v>2205</v>
      </c>
      <c r="B246" s="1" t="s">
        <v>2206</v>
      </c>
      <c r="C246" s="1" t="s">
        <v>2207</v>
      </c>
      <c r="D246" s="1" t="s">
        <v>196</v>
      </c>
      <c r="E246" s="1" t="s">
        <v>197</v>
      </c>
      <c r="F246" s="1" t="s">
        <v>2208</v>
      </c>
      <c r="G246" s="1" t="s">
        <v>14281</v>
      </c>
      <c r="H246" s="1" t="s">
        <v>14282</v>
      </c>
      <c r="I246" s="1" t="s">
        <v>14369</v>
      </c>
      <c r="J246" s="1" t="s">
        <v>23</v>
      </c>
      <c r="K246" s="1"/>
      <c r="L246" s="1" t="s">
        <v>1552</v>
      </c>
      <c r="M246" s="8" t="s">
        <v>1552</v>
      </c>
      <c r="N246" s="1" t="b">
        <f t="shared" si="15"/>
        <v>1</v>
      </c>
      <c r="O246" s="1" t="s">
        <v>2209</v>
      </c>
      <c r="P246" s="1" t="s">
        <v>2210</v>
      </c>
      <c r="Q246" s="1" t="s">
        <v>2211</v>
      </c>
      <c r="R246" s="1" t="s">
        <v>2212</v>
      </c>
      <c r="S246" s="1" t="s">
        <v>2213</v>
      </c>
      <c r="T246" s="1" t="s">
        <v>2214</v>
      </c>
      <c r="U246" s="1" t="s">
        <v>2215</v>
      </c>
      <c r="V246" s="13">
        <f>COUNTIF(L246:$M$1659,L246)</f>
        <v>14</v>
      </c>
      <c r="W246" s="1" t="s">
        <v>1560</v>
      </c>
      <c r="X246">
        <v>626.92999999999995</v>
      </c>
      <c r="Y246">
        <v>200.82</v>
      </c>
      <c r="Z246">
        <v>12.300356000000001</v>
      </c>
      <c r="AA246">
        <v>109.186825</v>
      </c>
      <c r="AB246">
        <v>426.12</v>
      </c>
      <c r="AC246">
        <v>12.279659000000001</v>
      </c>
      <c r="AD246">
        <v>109.19529799999999</v>
      </c>
      <c r="AE246" s="5">
        <f t="shared" si="16"/>
        <v>0.30123</v>
      </c>
      <c r="AF246" s="5">
        <f t="shared" si="17"/>
        <v>0.63918000000000008</v>
      </c>
      <c r="AG246" s="1" t="str">
        <f>TRIM(LEFT(L246,FIND("-",L246)-1))</f>
        <v>5.Vạn Ninh</v>
      </c>
      <c r="AH246" s="1" t="str">
        <f>TRIM(RIGHT(L246, LEN(L246) - FIND("-", L246)))</f>
        <v>CAT Khánh Hòa</v>
      </c>
      <c r="AJ246">
        <f t="shared" si="18"/>
        <v>0.20082</v>
      </c>
      <c r="AK246">
        <f t="shared" si="19"/>
        <v>0.42612</v>
      </c>
      <c r="AL246" t="e">
        <f>VLOOKUP(L246,'[1]Tuyến cáp H04'!$B:$E,3,0)/1000</f>
        <v>#N/A</v>
      </c>
      <c r="AM246" t="e">
        <f>VLOOKUP(L246,'[1]Tuyến cáp H04'!$B:$E,4,0)</f>
        <v>#N/A</v>
      </c>
    </row>
    <row r="247" spans="1:39" x14ac:dyDescent="0.25">
      <c r="A247" s="1" t="s">
        <v>2216</v>
      </c>
      <c r="B247" s="1" t="s">
        <v>2217</v>
      </c>
      <c r="C247" s="1" t="s">
        <v>2218</v>
      </c>
      <c r="D247" s="1" t="s">
        <v>92</v>
      </c>
      <c r="E247" s="1" t="s">
        <v>93</v>
      </c>
      <c r="F247" s="1" t="s">
        <v>2219</v>
      </c>
      <c r="G247" s="1" t="s">
        <v>14281</v>
      </c>
      <c r="H247" s="1" t="s">
        <v>14282</v>
      </c>
      <c r="I247" s="1" t="s">
        <v>14370</v>
      </c>
      <c r="J247" s="1" t="s">
        <v>23</v>
      </c>
      <c r="K247" s="1"/>
      <c r="L247" s="1" t="s">
        <v>1223</v>
      </c>
      <c r="M247" s="8" t="s">
        <v>1223</v>
      </c>
      <c r="N247" s="1" t="b">
        <f t="shared" si="15"/>
        <v>1</v>
      </c>
      <c r="O247" s="1" t="s">
        <v>2220</v>
      </c>
      <c r="P247" s="1" t="s">
        <v>2221</v>
      </c>
      <c r="Q247" s="1" t="s">
        <v>1238</v>
      </c>
      <c r="R247" s="1" t="s">
        <v>1239</v>
      </c>
      <c r="S247" s="1" t="s">
        <v>1240</v>
      </c>
      <c r="T247" s="1" t="s">
        <v>1241</v>
      </c>
      <c r="U247" s="1" t="s">
        <v>1242</v>
      </c>
      <c r="V247" s="13">
        <f>COUNTIF(L247:$M$1659,L247)</f>
        <v>2</v>
      </c>
      <c r="W247" s="1" t="s">
        <v>1243</v>
      </c>
      <c r="X247">
        <v>598.85</v>
      </c>
      <c r="Y247">
        <v>468.04</v>
      </c>
      <c r="Z247">
        <v>12.243195999999999</v>
      </c>
      <c r="AA247">
        <v>109.192182</v>
      </c>
      <c r="AB247">
        <v>130.81</v>
      </c>
      <c r="AC247">
        <v>12.245825999999999</v>
      </c>
      <c r="AD247">
        <v>109.19040800000001</v>
      </c>
      <c r="AE247" s="5">
        <f t="shared" si="16"/>
        <v>0.70206000000000002</v>
      </c>
      <c r="AF247" s="5">
        <f t="shared" si="17"/>
        <v>0.196215</v>
      </c>
      <c r="AG247" s="1" t="str">
        <f>TRIM(LEFT(L247,FIND("-",L247)-1))</f>
        <v>1.CAT Khánh Hòa</v>
      </c>
      <c r="AH247" s="1" t="str">
        <f>TRIM(RIGHT(L247, LEN(L247) - FIND("-", L247)))</f>
        <v>CATP Nha Trang cũ</v>
      </c>
      <c r="AJ247">
        <f t="shared" si="18"/>
        <v>0.46804000000000001</v>
      </c>
      <c r="AK247">
        <f t="shared" si="19"/>
        <v>0.13081000000000001</v>
      </c>
      <c r="AL247" t="e">
        <f>VLOOKUP(L247,'[1]Tuyến cáp H04'!$B:$E,3,0)/1000</f>
        <v>#N/A</v>
      </c>
      <c r="AM247" t="e">
        <f>VLOOKUP(L247,'[1]Tuyến cáp H04'!$B:$E,4,0)</f>
        <v>#N/A</v>
      </c>
    </row>
    <row r="248" spans="1:39" x14ac:dyDescent="0.25">
      <c r="A248" s="1" t="s">
        <v>2222</v>
      </c>
      <c r="B248" s="1" t="s">
        <v>2223</v>
      </c>
      <c r="C248" s="1" t="s">
        <v>2224</v>
      </c>
      <c r="D248" s="1" t="s">
        <v>600</v>
      </c>
      <c r="E248" s="1" t="s">
        <v>601</v>
      </c>
      <c r="F248" s="1" t="s">
        <v>2225</v>
      </c>
      <c r="G248" s="1" t="s">
        <v>14281</v>
      </c>
      <c r="H248" s="1" t="s">
        <v>14282</v>
      </c>
      <c r="I248" s="1" t="s">
        <v>14371</v>
      </c>
      <c r="J248" s="1" t="s">
        <v>23</v>
      </c>
      <c r="K248" s="1"/>
      <c r="L248" s="1" t="s">
        <v>352</v>
      </c>
      <c r="M248" s="8" t="s">
        <v>352</v>
      </c>
      <c r="N248" s="1" t="b">
        <f t="shared" si="15"/>
        <v>1</v>
      </c>
      <c r="O248" s="1" t="s">
        <v>2226</v>
      </c>
      <c r="P248" s="1" t="s">
        <v>2227</v>
      </c>
      <c r="Q248" s="1" t="s">
        <v>2228</v>
      </c>
      <c r="R248" s="1" t="s">
        <v>2229</v>
      </c>
      <c r="S248" s="1" t="s">
        <v>1002</v>
      </c>
      <c r="T248" s="1" t="s">
        <v>1003</v>
      </c>
      <c r="U248" s="1" t="s">
        <v>1004</v>
      </c>
      <c r="V248" s="13">
        <f>COUNTIF(L248:$M$1659,L248)</f>
        <v>4</v>
      </c>
      <c r="W248" s="1" t="s">
        <v>360</v>
      </c>
      <c r="X248">
        <v>521.46</v>
      </c>
      <c r="Y248">
        <v>386.95</v>
      </c>
      <c r="Z248">
        <v>11.974342999999999</v>
      </c>
      <c r="AA248">
        <v>109.068472</v>
      </c>
      <c r="AB248">
        <v>134.52000000000001</v>
      </c>
      <c r="AC248">
        <v>11.962002999999999</v>
      </c>
      <c r="AD248">
        <v>109.094218</v>
      </c>
      <c r="AE248" s="5">
        <f t="shared" si="16"/>
        <v>0.58042499999999997</v>
      </c>
      <c r="AF248" s="5">
        <f t="shared" si="17"/>
        <v>0.20178000000000004</v>
      </c>
      <c r="AG248" s="1" t="str">
        <f>TRIM(LEFT(L248,FIND("-",L248)-1))</f>
        <v>3.Cam Ranh</v>
      </c>
      <c r="AH248" s="1" t="str">
        <f>TRIM(RIGHT(L248, LEN(L248) - FIND("-", L248)))</f>
        <v>Khánh Sơn</v>
      </c>
      <c r="AJ248">
        <f t="shared" si="18"/>
        <v>0.38695000000000002</v>
      </c>
      <c r="AK248">
        <f t="shared" si="19"/>
        <v>0.13452</v>
      </c>
      <c r="AL248" t="e">
        <f>VLOOKUP(L248,'[1]Tuyến cáp H04'!$B:$E,3,0)/1000</f>
        <v>#N/A</v>
      </c>
      <c r="AM248" t="e">
        <f>VLOOKUP(L248,'[1]Tuyến cáp H04'!$B:$E,4,0)</f>
        <v>#N/A</v>
      </c>
    </row>
    <row r="249" spans="1:39" x14ac:dyDescent="0.25">
      <c r="A249" s="1" t="s">
        <v>2230</v>
      </c>
      <c r="B249" s="1" t="s">
        <v>2231</v>
      </c>
      <c r="C249" s="1" t="s">
        <v>2232</v>
      </c>
      <c r="D249" s="1" t="s">
        <v>362</v>
      </c>
      <c r="E249" s="1" t="s">
        <v>363</v>
      </c>
      <c r="F249" s="1" t="s">
        <v>2233</v>
      </c>
      <c r="G249" s="1" t="s">
        <v>14281</v>
      </c>
      <c r="H249" s="1" t="s">
        <v>14282</v>
      </c>
      <c r="I249" s="1" t="s">
        <v>14372</v>
      </c>
      <c r="J249" s="1" t="s">
        <v>23</v>
      </c>
      <c r="K249" s="1"/>
      <c r="L249" s="1" t="s">
        <v>861</v>
      </c>
      <c r="M249" s="8" t="s">
        <v>861</v>
      </c>
      <c r="N249" s="1" t="b">
        <f t="shared" si="15"/>
        <v>1</v>
      </c>
      <c r="O249" s="1" t="s">
        <v>2234</v>
      </c>
      <c r="P249" s="1" t="s">
        <v>2235</v>
      </c>
      <c r="Q249" s="1" t="s">
        <v>2236</v>
      </c>
      <c r="R249" s="1" t="s">
        <v>2237</v>
      </c>
      <c r="S249" s="1" t="s">
        <v>863</v>
      </c>
      <c r="T249" s="1" t="s">
        <v>864</v>
      </c>
      <c r="U249" s="1" t="s">
        <v>865</v>
      </c>
      <c r="V249" s="13">
        <f>COUNTIF(L249:$M$1659,L249)</f>
        <v>2</v>
      </c>
      <c r="W249" s="1" t="s">
        <v>869</v>
      </c>
      <c r="X249">
        <v>1651.48</v>
      </c>
      <c r="Y249">
        <v>976.58</v>
      </c>
      <c r="Z249">
        <v>12.018553000000001</v>
      </c>
      <c r="AA249">
        <v>109.192533</v>
      </c>
      <c r="AB249">
        <v>674.9</v>
      </c>
      <c r="AC249">
        <v>11.970426</v>
      </c>
      <c r="AD249">
        <v>109.192857</v>
      </c>
      <c r="AE249" s="5">
        <f t="shared" si="16"/>
        <v>1.4648700000000001</v>
      </c>
      <c r="AF249" s="5">
        <f t="shared" si="17"/>
        <v>1.0123499999999999</v>
      </c>
      <c r="AG249" s="1" t="str">
        <f>TRIM(LEFT(L249,FIND("-",L249)-1))</f>
        <v>2.Cam Lâm</v>
      </c>
      <c r="AH249" s="1" t="str">
        <f>TRIM(RIGHT(L249, LEN(L249) - FIND("-", L249)))</f>
        <v>Cam Ranh</v>
      </c>
      <c r="AJ249">
        <f t="shared" si="18"/>
        <v>0.97658</v>
      </c>
      <c r="AK249">
        <f t="shared" si="19"/>
        <v>0.67489999999999994</v>
      </c>
      <c r="AL249" t="e">
        <f>VLOOKUP(L249,'[1]Tuyến cáp H04'!$B:$E,3,0)/1000</f>
        <v>#N/A</v>
      </c>
      <c r="AM249" t="e">
        <f>VLOOKUP(L249,'[1]Tuyến cáp H04'!$B:$E,4,0)</f>
        <v>#N/A</v>
      </c>
    </row>
    <row r="250" spans="1:39" x14ac:dyDescent="0.25">
      <c r="A250" s="1" t="s">
        <v>2238</v>
      </c>
      <c r="B250" s="1" t="s">
        <v>2239</v>
      </c>
      <c r="C250" s="1" t="s">
        <v>2240</v>
      </c>
      <c r="D250" s="1" t="s">
        <v>780</v>
      </c>
      <c r="E250" s="1" t="s">
        <v>781</v>
      </c>
      <c r="F250" s="1" t="s">
        <v>2241</v>
      </c>
      <c r="G250" s="1" t="s">
        <v>14281</v>
      </c>
      <c r="H250" s="1" t="s">
        <v>14282</v>
      </c>
      <c r="I250" s="1" t="s">
        <v>14373</v>
      </c>
      <c r="J250" s="1" t="s">
        <v>23</v>
      </c>
      <c r="K250" s="1"/>
      <c r="L250" s="1" t="s">
        <v>490</v>
      </c>
      <c r="M250" s="8" t="s">
        <v>490</v>
      </c>
      <c r="N250" s="1" t="b">
        <f t="shared" si="15"/>
        <v>1</v>
      </c>
      <c r="O250" s="1" t="s">
        <v>2242</v>
      </c>
      <c r="P250" s="1" t="s">
        <v>2243</v>
      </c>
      <c r="Q250" s="1" t="s">
        <v>2244</v>
      </c>
      <c r="R250" s="1" t="s">
        <v>2245</v>
      </c>
      <c r="S250" s="1" t="s">
        <v>784</v>
      </c>
      <c r="T250" s="1" t="s">
        <v>785</v>
      </c>
      <c r="U250" s="1" t="s">
        <v>786</v>
      </c>
      <c r="V250" s="13">
        <f>COUNTIF(L250:$M$1659,L250)</f>
        <v>6</v>
      </c>
      <c r="W250" s="1" t="s">
        <v>498</v>
      </c>
      <c r="X250">
        <v>87.53</v>
      </c>
      <c r="Y250">
        <v>85.5</v>
      </c>
      <c r="Z250">
        <v>12.080638</v>
      </c>
      <c r="AA250">
        <v>109.180874</v>
      </c>
      <c r="AB250">
        <v>2.0299999999999998</v>
      </c>
      <c r="AC250">
        <v>12.074439</v>
      </c>
      <c r="AD250">
        <v>109.168081</v>
      </c>
      <c r="AE250" s="5">
        <f t="shared" si="16"/>
        <v>0.12825</v>
      </c>
      <c r="AF250" s="5">
        <f t="shared" si="17"/>
        <v>3.045E-3</v>
      </c>
      <c r="AG250" s="1" t="str">
        <f>TRIM(LEFT(L250,FIND("-",L250)-1))</f>
        <v>1.CAT Khánh Hòa</v>
      </c>
      <c r="AH250" s="1" t="str">
        <f>TRIM(RIGHT(L250, LEN(L250) - FIND("-", L250)))</f>
        <v>Cam Lâm</v>
      </c>
      <c r="AJ250">
        <f t="shared" si="18"/>
        <v>8.5500000000000007E-2</v>
      </c>
      <c r="AK250">
        <f t="shared" si="19"/>
        <v>2.0299999999999997E-3</v>
      </c>
      <c r="AL250" t="e">
        <f>VLOOKUP(L250,'[1]Tuyến cáp H04'!$B:$E,3,0)/1000</f>
        <v>#N/A</v>
      </c>
      <c r="AM250" t="e">
        <f>VLOOKUP(L250,'[1]Tuyến cáp H04'!$B:$E,4,0)</f>
        <v>#N/A</v>
      </c>
    </row>
    <row r="251" spans="1:39" x14ac:dyDescent="0.25">
      <c r="A251" s="1" t="s">
        <v>2246</v>
      </c>
      <c r="B251" s="1" t="s">
        <v>2247</v>
      </c>
      <c r="C251" s="1" t="s">
        <v>2248</v>
      </c>
      <c r="D251" s="1" t="s">
        <v>780</v>
      </c>
      <c r="E251" s="1" t="s">
        <v>781</v>
      </c>
      <c r="F251" s="1" t="s">
        <v>2249</v>
      </c>
      <c r="G251" s="1" t="s">
        <v>14281</v>
      </c>
      <c r="H251" s="1" t="s">
        <v>14282</v>
      </c>
      <c r="I251" s="1" t="s">
        <v>14374</v>
      </c>
      <c r="J251" s="1" t="s">
        <v>23</v>
      </c>
      <c r="K251" s="1"/>
      <c r="L251" s="1" t="s">
        <v>490</v>
      </c>
      <c r="M251" s="8" t="s">
        <v>490</v>
      </c>
      <c r="N251" s="1" t="b">
        <f t="shared" si="15"/>
        <v>1</v>
      </c>
      <c r="O251" s="1" t="s">
        <v>2250</v>
      </c>
      <c r="P251" s="1" t="s">
        <v>2251</v>
      </c>
      <c r="Q251" s="1" t="s">
        <v>2252</v>
      </c>
      <c r="R251" s="1" t="s">
        <v>2253</v>
      </c>
      <c r="S251" s="1" t="s">
        <v>784</v>
      </c>
      <c r="T251" s="1" t="s">
        <v>785</v>
      </c>
      <c r="U251" s="1" t="s">
        <v>786</v>
      </c>
      <c r="V251" s="13">
        <f>COUNTIF(L251:$M$1659,L251)</f>
        <v>4</v>
      </c>
      <c r="W251" s="1" t="s">
        <v>498</v>
      </c>
      <c r="X251">
        <v>1691.44</v>
      </c>
      <c r="Y251">
        <v>1689.41</v>
      </c>
      <c r="Z251">
        <v>12.079611999999999</v>
      </c>
      <c r="AA251">
        <v>109.179793</v>
      </c>
      <c r="AB251">
        <v>2.0299999999999998</v>
      </c>
      <c r="AC251">
        <v>12.074439</v>
      </c>
      <c r="AD251">
        <v>109.168081</v>
      </c>
      <c r="AE251" s="5">
        <f t="shared" si="16"/>
        <v>2.5341150000000003</v>
      </c>
      <c r="AF251" s="5">
        <f t="shared" si="17"/>
        <v>3.045E-3</v>
      </c>
      <c r="AG251" s="1" t="str">
        <f>TRIM(LEFT(L251,FIND("-",L251)-1))</f>
        <v>1.CAT Khánh Hòa</v>
      </c>
      <c r="AH251" s="1" t="str">
        <f>TRIM(RIGHT(L251, LEN(L251) - FIND("-", L251)))</f>
        <v>Cam Lâm</v>
      </c>
      <c r="AJ251">
        <f t="shared" si="18"/>
        <v>1.6894100000000001</v>
      </c>
      <c r="AK251">
        <f t="shared" si="19"/>
        <v>2.0299999999999997E-3</v>
      </c>
      <c r="AL251" t="e">
        <f>VLOOKUP(L251,'[1]Tuyến cáp H04'!$B:$E,3,0)/1000</f>
        <v>#N/A</v>
      </c>
      <c r="AM251" t="e">
        <f>VLOOKUP(L251,'[1]Tuyến cáp H04'!$B:$E,4,0)</f>
        <v>#N/A</v>
      </c>
    </row>
    <row r="252" spans="1:39" x14ac:dyDescent="0.25">
      <c r="A252" s="1" t="s">
        <v>2254</v>
      </c>
      <c r="B252" s="1" t="s">
        <v>2255</v>
      </c>
      <c r="C252" s="1" t="s">
        <v>2256</v>
      </c>
      <c r="D252" s="1" t="s">
        <v>780</v>
      </c>
      <c r="E252" s="1" t="s">
        <v>781</v>
      </c>
      <c r="F252" s="1" t="s">
        <v>2257</v>
      </c>
      <c r="G252" s="1" t="s">
        <v>14281</v>
      </c>
      <c r="H252" s="1" t="s">
        <v>14282</v>
      </c>
      <c r="I252" s="1" t="s">
        <v>14375</v>
      </c>
      <c r="J252" s="1" t="s">
        <v>23</v>
      </c>
      <c r="K252" s="1"/>
      <c r="L252" s="1" t="s">
        <v>490</v>
      </c>
      <c r="M252" s="8" t="s">
        <v>490</v>
      </c>
      <c r="N252" s="1" t="b">
        <f t="shared" si="15"/>
        <v>1</v>
      </c>
      <c r="O252" s="1" t="s">
        <v>2258</v>
      </c>
      <c r="P252" s="1" t="s">
        <v>2259</v>
      </c>
      <c r="Q252" s="1" t="s">
        <v>1099</v>
      </c>
      <c r="R252" s="1" t="s">
        <v>1100</v>
      </c>
      <c r="S252" s="1" t="s">
        <v>784</v>
      </c>
      <c r="T252" s="1" t="s">
        <v>785</v>
      </c>
      <c r="U252" s="1" t="s">
        <v>786</v>
      </c>
      <c r="V252" s="13">
        <f>COUNTIF(L252:$M$1659,L252)</f>
        <v>2</v>
      </c>
      <c r="W252" s="1" t="s">
        <v>498</v>
      </c>
      <c r="X252">
        <v>240.1</v>
      </c>
      <c r="Y252">
        <v>238.07</v>
      </c>
      <c r="Z252">
        <v>12.09661</v>
      </c>
      <c r="AA252">
        <v>109.188524</v>
      </c>
      <c r="AB252">
        <v>2.0299999999999998</v>
      </c>
      <c r="AC252">
        <v>12.074439</v>
      </c>
      <c r="AD252">
        <v>109.168081</v>
      </c>
      <c r="AE252" s="5">
        <f t="shared" si="16"/>
        <v>0.35710500000000001</v>
      </c>
      <c r="AF252" s="5">
        <f t="shared" si="17"/>
        <v>3.045E-3</v>
      </c>
      <c r="AG252" s="1" t="str">
        <f>TRIM(LEFT(L252,FIND("-",L252)-1))</f>
        <v>1.CAT Khánh Hòa</v>
      </c>
      <c r="AH252" s="1" t="str">
        <f>TRIM(RIGHT(L252, LEN(L252) - FIND("-", L252)))</f>
        <v>Cam Lâm</v>
      </c>
      <c r="AJ252">
        <f t="shared" si="18"/>
        <v>0.23807</v>
      </c>
      <c r="AK252">
        <f t="shared" si="19"/>
        <v>2.0299999999999997E-3</v>
      </c>
      <c r="AL252" t="e">
        <f>VLOOKUP(L252,'[1]Tuyến cáp H04'!$B:$E,3,0)/1000</f>
        <v>#N/A</v>
      </c>
      <c r="AM252" t="e">
        <f>VLOOKUP(L252,'[1]Tuyến cáp H04'!$B:$E,4,0)</f>
        <v>#N/A</v>
      </c>
    </row>
    <row r="253" spans="1:39" x14ac:dyDescent="0.25">
      <c r="A253" s="1" t="s">
        <v>2260</v>
      </c>
      <c r="B253" s="1" t="s">
        <v>2261</v>
      </c>
      <c r="C253" s="1" t="s">
        <v>2262</v>
      </c>
      <c r="D253" s="1" t="s">
        <v>181</v>
      </c>
      <c r="E253" s="1" t="s">
        <v>182</v>
      </c>
      <c r="F253" s="1" t="s">
        <v>2263</v>
      </c>
      <c r="G253" s="1" t="s">
        <v>14281</v>
      </c>
      <c r="H253" s="1" t="s">
        <v>14282</v>
      </c>
      <c r="I253" s="1" t="s">
        <v>14376</v>
      </c>
      <c r="J253" s="1" t="s">
        <v>23</v>
      </c>
      <c r="K253" s="1"/>
      <c r="L253" s="1" t="s">
        <v>186</v>
      </c>
      <c r="M253" s="8" t="s">
        <v>186</v>
      </c>
      <c r="N253" s="1" t="b">
        <f t="shared" si="15"/>
        <v>1</v>
      </c>
      <c r="O253" s="1" t="s">
        <v>2264</v>
      </c>
      <c r="P253" s="1" t="s">
        <v>2265</v>
      </c>
      <c r="Q253" s="1" t="s">
        <v>311</v>
      </c>
      <c r="R253" s="1" t="s">
        <v>312</v>
      </c>
      <c r="S253" s="1" t="s">
        <v>188</v>
      </c>
      <c r="T253" s="1" t="s">
        <v>189</v>
      </c>
      <c r="U253" s="1" t="s">
        <v>190</v>
      </c>
      <c r="V253" s="13">
        <f>COUNTIF(L253:$M$1659,L253)</f>
        <v>4</v>
      </c>
      <c r="W253" s="1" t="s">
        <v>194</v>
      </c>
      <c r="X253">
        <v>1091.49</v>
      </c>
      <c r="Y253">
        <v>1085.42</v>
      </c>
      <c r="Z253">
        <v>12.278650000000001</v>
      </c>
      <c r="AA253">
        <v>109.12745</v>
      </c>
      <c r="AB253">
        <v>6.07</v>
      </c>
      <c r="AC253">
        <v>12.276066999999999</v>
      </c>
      <c r="AD253">
        <v>109.120259</v>
      </c>
      <c r="AE253" s="5">
        <f t="shared" si="16"/>
        <v>1.6281300000000001</v>
      </c>
      <c r="AF253" s="5">
        <f t="shared" si="17"/>
        <v>9.1050000000000002E-3</v>
      </c>
      <c r="AG253" s="1" t="str">
        <f>TRIM(LEFT(L253,FIND("-",L253)-1))</f>
        <v>2.CA Diên Điền</v>
      </c>
      <c r="AH253" s="1" t="str">
        <f>TRIM(RIGHT(L253, LEN(L253) - FIND("-", L253)))</f>
        <v>CA Bắc Nha Trang</v>
      </c>
      <c r="AJ253">
        <f t="shared" si="18"/>
        <v>1.0854200000000001</v>
      </c>
      <c r="AK253">
        <f t="shared" si="19"/>
        <v>6.0699999999999999E-3</v>
      </c>
      <c r="AL253" t="e">
        <f>VLOOKUP(L253,'[1]Tuyến cáp H04'!$B:$E,3,0)/1000</f>
        <v>#N/A</v>
      </c>
      <c r="AM253" t="e">
        <f>VLOOKUP(L253,'[1]Tuyến cáp H04'!$B:$E,4,0)</f>
        <v>#N/A</v>
      </c>
    </row>
    <row r="254" spans="1:39" x14ac:dyDescent="0.25">
      <c r="A254" s="1" t="s">
        <v>2266</v>
      </c>
      <c r="B254" s="1" t="s">
        <v>2267</v>
      </c>
      <c r="C254" s="1" t="s">
        <v>2268</v>
      </c>
      <c r="D254" s="1" t="s">
        <v>51</v>
      </c>
      <c r="E254" s="1" t="s">
        <v>52</v>
      </c>
      <c r="F254" s="1" t="s">
        <v>2269</v>
      </c>
      <c r="G254" s="1" t="s">
        <v>14281</v>
      </c>
      <c r="H254" s="1" t="s">
        <v>14282</v>
      </c>
      <c r="I254" s="1" t="s">
        <v>14377</v>
      </c>
      <c r="J254" s="1" t="s">
        <v>23</v>
      </c>
      <c r="K254" s="1"/>
      <c r="L254" s="1" t="s">
        <v>67</v>
      </c>
      <c r="M254" s="8" t="s">
        <v>67</v>
      </c>
      <c r="N254" s="1" t="b">
        <f t="shared" si="15"/>
        <v>1</v>
      </c>
      <c r="O254" s="1" t="s">
        <v>2270</v>
      </c>
      <c r="P254" s="1" t="s">
        <v>2271</v>
      </c>
      <c r="Q254" s="1" t="s">
        <v>2272</v>
      </c>
      <c r="R254" s="1" t="s">
        <v>2273</v>
      </c>
      <c r="S254" s="1" t="s">
        <v>69</v>
      </c>
      <c r="T254" s="1" t="s">
        <v>70</v>
      </c>
      <c r="U254" s="1" t="s">
        <v>71</v>
      </c>
      <c r="V254" s="13">
        <f>COUNTIF(L254:$M$1659,L254)</f>
        <v>2</v>
      </c>
      <c r="W254" s="1" t="s">
        <v>75</v>
      </c>
      <c r="X254">
        <v>2282.34</v>
      </c>
      <c r="Y254">
        <v>2128.44</v>
      </c>
      <c r="Z254">
        <v>12.215051000000001</v>
      </c>
      <c r="AA254">
        <v>109.074147</v>
      </c>
      <c r="AB254">
        <v>153.9</v>
      </c>
      <c r="AC254">
        <v>12.220518999999999</v>
      </c>
      <c r="AD254">
        <v>109.08248</v>
      </c>
      <c r="AE254" s="5">
        <f t="shared" si="16"/>
        <v>3.1926600000000001</v>
      </c>
      <c r="AF254" s="5">
        <f t="shared" si="17"/>
        <v>0.23085000000000003</v>
      </c>
      <c r="AG254" s="1" t="str">
        <f>TRIM(LEFT(L254,FIND("-",L254)-1))</f>
        <v>2.CA Suối Hiệp</v>
      </c>
      <c r="AH254" s="1" t="str">
        <f>TRIM(RIGHT(L254, LEN(L254) - FIND("-", L254)))</f>
        <v>CA Suối Dầu</v>
      </c>
      <c r="AJ254">
        <f t="shared" si="18"/>
        <v>2.1284399999999999</v>
      </c>
      <c r="AK254">
        <f t="shared" si="19"/>
        <v>0.15390000000000001</v>
      </c>
      <c r="AL254" t="e">
        <f>VLOOKUP(L254,'[1]Tuyến cáp H04'!$B:$E,3,0)/1000</f>
        <v>#N/A</v>
      </c>
      <c r="AM254" t="e">
        <f>VLOOKUP(L254,'[1]Tuyến cáp H04'!$B:$E,4,0)</f>
        <v>#N/A</v>
      </c>
    </row>
    <row r="255" spans="1:39" x14ac:dyDescent="0.25">
      <c r="A255" s="1" t="s">
        <v>2274</v>
      </c>
      <c r="B255" s="1" t="s">
        <v>1923</v>
      </c>
      <c r="C255" s="1" t="s">
        <v>1924</v>
      </c>
      <c r="D255" s="1" t="s">
        <v>1360</v>
      </c>
      <c r="E255" s="1" t="s">
        <v>1361</v>
      </c>
      <c r="F255" s="1" t="s">
        <v>2275</v>
      </c>
      <c r="G255" s="1" t="s">
        <v>14281</v>
      </c>
      <c r="H255" s="1" t="s">
        <v>14282</v>
      </c>
      <c r="I255" s="1" t="s">
        <v>14378</v>
      </c>
      <c r="J255" s="1" t="s">
        <v>23</v>
      </c>
      <c r="K255" s="1"/>
      <c r="L255" s="1" t="s">
        <v>54</v>
      </c>
      <c r="M255" s="8" t="s">
        <v>54</v>
      </c>
      <c r="N255" s="1" t="b">
        <f t="shared" si="15"/>
        <v>1</v>
      </c>
      <c r="O255" s="1" t="s">
        <v>1926</v>
      </c>
      <c r="P255" s="1" t="s">
        <v>1927</v>
      </c>
      <c r="Q255" s="1" t="s">
        <v>1928</v>
      </c>
      <c r="R255" s="1" t="s">
        <v>1929</v>
      </c>
      <c r="S255" s="1" t="s">
        <v>1808</v>
      </c>
      <c r="T255" s="1" t="s">
        <v>1873</v>
      </c>
      <c r="U255" s="1" t="s">
        <v>1874</v>
      </c>
      <c r="V255" s="13">
        <f>COUNTIF(L255:$M$1659,L255)</f>
        <v>2</v>
      </c>
      <c r="W255" s="1" t="s">
        <v>62</v>
      </c>
      <c r="X255">
        <v>698.36</v>
      </c>
      <c r="Y255">
        <v>693.48</v>
      </c>
      <c r="Z255">
        <v>12.252197000000001</v>
      </c>
      <c r="AA255">
        <v>109.097283</v>
      </c>
      <c r="AB255">
        <v>4.88</v>
      </c>
      <c r="AC255">
        <v>12.256322000000001</v>
      </c>
      <c r="AD255">
        <v>109.094061</v>
      </c>
      <c r="AE255" s="5">
        <f t="shared" si="16"/>
        <v>1.0402199999999999</v>
      </c>
      <c r="AF255" s="5">
        <f t="shared" si="17"/>
        <v>7.3200000000000001E-3</v>
      </c>
      <c r="AG255" s="1" t="str">
        <f>TRIM(LEFT(L255,FIND("-",L255)-1))</f>
        <v>1.CA Diên Khánh</v>
      </c>
      <c r="AH255" s="1" t="str">
        <f>TRIM(RIGHT(L255, LEN(L255) - FIND("-", L255)))</f>
        <v>CA Suối Hiệp</v>
      </c>
      <c r="AJ255">
        <f t="shared" si="18"/>
        <v>0.69347999999999999</v>
      </c>
      <c r="AK255">
        <f t="shared" si="19"/>
        <v>4.8799999999999998E-3</v>
      </c>
      <c r="AL255" t="e">
        <f>VLOOKUP(L255,'[1]Tuyến cáp H04'!$B:$E,3,0)/1000</f>
        <v>#N/A</v>
      </c>
      <c r="AM255" t="e">
        <f>VLOOKUP(L255,'[1]Tuyến cáp H04'!$B:$E,4,0)</f>
        <v>#N/A</v>
      </c>
    </row>
    <row r="256" spans="1:39" x14ac:dyDescent="0.25">
      <c r="A256" s="1" t="s">
        <v>2276</v>
      </c>
      <c r="B256" s="1" t="s">
        <v>2277</v>
      </c>
      <c r="C256" s="1" t="s">
        <v>2278</v>
      </c>
      <c r="D256" s="1" t="s">
        <v>1187</v>
      </c>
      <c r="E256" s="1" t="s">
        <v>1188</v>
      </c>
      <c r="F256" s="1" t="s">
        <v>2279</v>
      </c>
      <c r="G256" s="1" t="s">
        <v>14281</v>
      </c>
      <c r="H256" s="1" t="s">
        <v>14282</v>
      </c>
      <c r="I256" s="1" t="s">
        <v>14379</v>
      </c>
      <c r="J256" s="1" t="s">
        <v>23</v>
      </c>
      <c r="K256" s="1"/>
      <c r="L256" s="1" t="s">
        <v>577</v>
      </c>
      <c r="M256" s="8" t="s">
        <v>577</v>
      </c>
      <c r="N256" s="1" t="b">
        <f t="shared" si="15"/>
        <v>1</v>
      </c>
      <c r="O256" s="1" t="s">
        <v>2280</v>
      </c>
      <c r="P256" s="1" t="s">
        <v>2281</v>
      </c>
      <c r="Q256" s="1" t="s">
        <v>1631</v>
      </c>
      <c r="R256" s="1" t="s">
        <v>1632</v>
      </c>
      <c r="S256" s="1" t="s">
        <v>1194</v>
      </c>
      <c r="T256" s="1" t="s">
        <v>1195</v>
      </c>
      <c r="U256" s="1" t="s">
        <v>1196</v>
      </c>
      <c r="V256" s="13">
        <f>COUNTIF(L256:$M$1659,L256)</f>
        <v>6</v>
      </c>
      <c r="W256" s="1" t="s">
        <v>1197</v>
      </c>
      <c r="X256">
        <v>1168.3599999999999</v>
      </c>
      <c r="Y256">
        <v>786.37</v>
      </c>
      <c r="Z256">
        <v>12.499727999999999</v>
      </c>
      <c r="AA256">
        <v>109.13266</v>
      </c>
      <c r="AB256">
        <v>381.98</v>
      </c>
      <c r="AC256">
        <v>12.49287</v>
      </c>
      <c r="AD256">
        <v>109.11403300000001</v>
      </c>
      <c r="AE256" s="5">
        <f t="shared" si="16"/>
        <v>1.1795550000000001</v>
      </c>
      <c r="AF256" s="5">
        <f t="shared" si="17"/>
        <v>0.57296999999999998</v>
      </c>
      <c r="AG256" s="1" t="str">
        <f>TRIM(LEFT(L256,FIND("-",L256)-1))</f>
        <v>3.CA Tân Định</v>
      </c>
      <c r="AH256" s="1" t="str">
        <f>TRIM(RIGHT(L256, LEN(L256) - FIND("-", L256)))</f>
        <v>CA Ninh Hòa</v>
      </c>
      <c r="AJ256">
        <f t="shared" si="18"/>
        <v>0.78637000000000001</v>
      </c>
      <c r="AK256">
        <f t="shared" si="19"/>
        <v>0.38198000000000004</v>
      </c>
      <c r="AL256" t="e">
        <f>VLOOKUP(L256,'[1]Tuyến cáp H04'!$B:$E,3,0)/1000</f>
        <v>#N/A</v>
      </c>
      <c r="AM256" t="e">
        <f>VLOOKUP(L256,'[1]Tuyến cáp H04'!$B:$E,4,0)</f>
        <v>#N/A</v>
      </c>
    </row>
    <row r="257" spans="1:39" x14ac:dyDescent="0.25">
      <c r="A257" s="1" t="s">
        <v>2282</v>
      </c>
      <c r="B257" s="1" t="s">
        <v>2283</v>
      </c>
      <c r="C257" s="1" t="s">
        <v>2284</v>
      </c>
      <c r="D257" s="1" t="s">
        <v>1152</v>
      </c>
      <c r="E257" s="1" t="s">
        <v>1153</v>
      </c>
      <c r="F257" s="1" t="s">
        <v>2285</v>
      </c>
      <c r="G257" s="1" t="s">
        <v>14281</v>
      </c>
      <c r="H257" s="1" t="s">
        <v>14282</v>
      </c>
      <c r="I257" s="1" t="s">
        <v>14380</v>
      </c>
      <c r="J257" s="1" t="s">
        <v>23</v>
      </c>
      <c r="K257" s="1"/>
      <c r="L257" s="1" t="s">
        <v>1552</v>
      </c>
      <c r="M257" s="8" t="s">
        <v>1552</v>
      </c>
      <c r="N257" s="1" t="b">
        <f t="shared" si="15"/>
        <v>1</v>
      </c>
      <c r="O257" s="1" t="s">
        <v>2286</v>
      </c>
      <c r="P257" s="1" t="s">
        <v>2287</v>
      </c>
      <c r="Q257" s="1" t="s">
        <v>2288</v>
      </c>
      <c r="R257" s="1" t="s">
        <v>2289</v>
      </c>
      <c r="S257" s="1" t="s">
        <v>1160</v>
      </c>
      <c r="T257" s="1" t="s">
        <v>1161</v>
      </c>
      <c r="U257" s="1" t="s">
        <v>1162</v>
      </c>
      <c r="V257" s="13">
        <f>COUNTIF(L257:$M$1659,L257)</f>
        <v>12</v>
      </c>
      <c r="W257" s="1" t="s">
        <v>1560</v>
      </c>
      <c r="X257">
        <v>1216.54</v>
      </c>
      <c r="Y257">
        <v>1030.5899999999999</v>
      </c>
      <c r="Z257">
        <v>12.455375</v>
      </c>
      <c r="AA257">
        <v>109.121938</v>
      </c>
      <c r="AB257">
        <v>185.95</v>
      </c>
      <c r="AC257">
        <v>12.481263999999999</v>
      </c>
      <c r="AD257">
        <v>109.131214</v>
      </c>
      <c r="AE257" s="5">
        <f t="shared" si="16"/>
        <v>1.5458849999999997</v>
      </c>
      <c r="AF257" s="5">
        <f t="shared" si="17"/>
        <v>0.27892499999999998</v>
      </c>
      <c r="AG257" s="1" t="str">
        <f>TRIM(LEFT(L257,FIND("-",L257)-1))</f>
        <v>5.Vạn Ninh</v>
      </c>
      <c r="AH257" s="1" t="str">
        <f>TRIM(RIGHT(L257, LEN(L257) - FIND("-", L257)))</f>
        <v>CAT Khánh Hòa</v>
      </c>
      <c r="AJ257">
        <f t="shared" si="18"/>
        <v>1.0305899999999999</v>
      </c>
      <c r="AK257">
        <f t="shared" si="19"/>
        <v>0.18594999999999998</v>
      </c>
      <c r="AL257" t="e">
        <f>VLOOKUP(L257,'[1]Tuyến cáp H04'!$B:$E,3,0)/1000</f>
        <v>#N/A</v>
      </c>
      <c r="AM257" t="e">
        <f>VLOOKUP(L257,'[1]Tuyến cáp H04'!$B:$E,4,0)</f>
        <v>#N/A</v>
      </c>
    </row>
    <row r="258" spans="1:39" x14ac:dyDescent="0.25">
      <c r="A258" s="1" t="s">
        <v>2290</v>
      </c>
      <c r="B258" s="1" t="s">
        <v>2291</v>
      </c>
      <c r="C258" s="1" t="s">
        <v>2292</v>
      </c>
      <c r="D258" s="1" t="s">
        <v>1187</v>
      </c>
      <c r="E258" s="1" t="s">
        <v>1188</v>
      </c>
      <c r="F258" s="1" t="s">
        <v>2293</v>
      </c>
      <c r="G258" s="1" t="s">
        <v>14281</v>
      </c>
      <c r="H258" s="1" t="s">
        <v>14282</v>
      </c>
      <c r="I258" s="1" t="s">
        <v>14381</v>
      </c>
      <c r="J258" s="1" t="s">
        <v>23</v>
      </c>
      <c r="K258" s="1"/>
      <c r="L258" s="1" t="s">
        <v>577</v>
      </c>
      <c r="M258" s="8" t="s">
        <v>577</v>
      </c>
      <c r="N258" s="1" t="b">
        <f t="shared" si="15"/>
        <v>1</v>
      </c>
      <c r="O258" s="1" t="s">
        <v>2294</v>
      </c>
      <c r="P258" s="1" t="s">
        <v>2295</v>
      </c>
      <c r="Q258" s="1" t="s">
        <v>1988</v>
      </c>
      <c r="R258" s="1" t="s">
        <v>1989</v>
      </c>
      <c r="S258" s="1" t="s">
        <v>1194</v>
      </c>
      <c r="T258" s="1" t="s">
        <v>1195</v>
      </c>
      <c r="U258" s="1" t="s">
        <v>1196</v>
      </c>
      <c r="V258" s="13">
        <f>COUNTIF(L258:$M$1659,L258)</f>
        <v>4</v>
      </c>
      <c r="W258" s="1" t="s">
        <v>1197</v>
      </c>
      <c r="X258">
        <v>1477.34</v>
      </c>
      <c r="Y258">
        <v>1095.3499999999999</v>
      </c>
      <c r="Z258">
        <v>12.494854</v>
      </c>
      <c r="AA258">
        <v>109.132463</v>
      </c>
      <c r="AB258">
        <v>381.98</v>
      </c>
      <c r="AC258">
        <v>12.49287</v>
      </c>
      <c r="AD258">
        <v>109.11403300000001</v>
      </c>
      <c r="AE258" s="5">
        <f t="shared" si="16"/>
        <v>1.643025</v>
      </c>
      <c r="AF258" s="5">
        <f t="shared" si="17"/>
        <v>0.57296999999999998</v>
      </c>
      <c r="AG258" s="1" t="str">
        <f>TRIM(LEFT(L258,FIND("-",L258)-1))</f>
        <v>3.CA Tân Định</v>
      </c>
      <c r="AH258" s="1" t="str">
        <f>TRIM(RIGHT(L258, LEN(L258) - FIND("-", L258)))</f>
        <v>CA Ninh Hòa</v>
      </c>
      <c r="AJ258">
        <f t="shared" si="18"/>
        <v>1.0953499999999998</v>
      </c>
      <c r="AK258">
        <f t="shared" si="19"/>
        <v>0.38198000000000004</v>
      </c>
      <c r="AL258" t="e">
        <f>VLOOKUP(L258,'[1]Tuyến cáp H04'!$B:$E,3,0)/1000</f>
        <v>#N/A</v>
      </c>
      <c r="AM258" t="e">
        <f>VLOOKUP(L258,'[1]Tuyến cáp H04'!$B:$E,4,0)</f>
        <v>#N/A</v>
      </c>
    </row>
    <row r="259" spans="1:39" x14ac:dyDescent="0.25">
      <c r="A259" s="1" t="s">
        <v>2296</v>
      </c>
      <c r="B259" s="1" t="s">
        <v>2297</v>
      </c>
      <c r="C259" s="1" t="s">
        <v>2298</v>
      </c>
      <c r="D259" s="1" t="s">
        <v>1445</v>
      </c>
      <c r="E259" s="1" t="s">
        <v>1446</v>
      </c>
      <c r="F259" s="1" t="s">
        <v>2299</v>
      </c>
      <c r="G259" s="1" t="s">
        <v>14281</v>
      </c>
      <c r="H259" s="1" t="s">
        <v>14282</v>
      </c>
      <c r="I259" s="1" t="s">
        <v>14382</v>
      </c>
      <c r="J259" s="1" t="s">
        <v>23</v>
      </c>
      <c r="K259" s="1"/>
      <c r="L259" s="1" t="s">
        <v>1448</v>
      </c>
      <c r="M259" s="8" t="s">
        <v>1448</v>
      </c>
      <c r="N259" s="1" t="b">
        <f t="shared" ref="N259:N322" si="20">L259=M259</f>
        <v>1</v>
      </c>
      <c r="O259" s="1" t="s">
        <v>2300</v>
      </c>
      <c r="P259" s="1" t="s">
        <v>2301</v>
      </c>
      <c r="Q259" s="1" t="s">
        <v>2302</v>
      </c>
      <c r="R259" s="1" t="s">
        <v>2303</v>
      </c>
      <c r="S259" s="1" t="s">
        <v>1453</v>
      </c>
      <c r="T259" s="1" t="s">
        <v>1454</v>
      </c>
      <c r="U259" s="1" t="s">
        <v>1455</v>
      </c>
      <c r="V259" s="13">
        <f>COUNTIF(L259:$M$1659,L259)</f>
        <v>2</v>
      </c>
      <c r="W259" s="1" t="s">
        <v>1456</v>
      </c>
      <c r="X259">
        <v>2074.1799999999998</v>
      </c>
      <c r="Y259">
        <v>2069.92</v>
      </c>
      <c r="Z259">
        <v>12.559901999999999</v>
      </c>
      <c r="AA259">
        <v>109.21615</v>
      </c>
      <c r="AB259">
        <v>4.26</v>
      </c>
      <c r="AC259">
        <v>12.555453</v>
      </c>
      <c r="AD259">
        <v>109.217609</v>
      </c>
      <c r="AE259" s="5">
        <f t="shared" ref="AE259:AE322" si="21">Y259*1.5/1000</f>
        <v>3.1048800000000001</v>
      </c>
      <c r="AF259" s="5">
        <f t="shared" ref="AF259:AF322" si="22">AB259*1.5/1000</f>
        <v>6.3899999999999998E-3</v>
      </c>
      <c r="AG259" s="1" t="str">
        <f>TRIM(LEFT(L259,FIND("-",L259)-1))</f>
        <v>2.CA Đông Ninh Hòa</v>
      </c>
      <c r="AH259" s="1" t="str">
        <f>TRIM(RIGHT(L259, LEN(L259) - FIND("-", L259)))</f>
        <v>CA Bắc Ninh Hòa</v>
      </c>
      <c r="AJ259">
        <f t="shared" ref="AJ259:AJ322" si="23">Y259/1000</f>
        <v>2.0699200000000002</v>
      </c>
      <c r="AK259">
        <f t="shared" ref="AK259:AK322" si="24">AB259/1000</f>
        <v>4.2599999999999999E-3</v>
      </c>
      <c r="AL259" t="e">
        <f>VLOOKUP(L259,'[1]Tuyến cáp H04'!$B:$E,3,0)/1000</f>
        <v>#N/A</v>
      </c>
      <c r="AM259" t="e">
        <f>VLOOKUP(L259,'[1]Tuyến cáp H04'!$B:$E,4,0)</f>
        <v>#N/A</v>
      </c>
    </row>
    <row r="260" spans="1:39" x14ac:dyDescent="0.25">
      <c r="A260" s="1" t="s">
        <v>2304</v>
      </c>
      <c r="B260" s="1" t="s">
        <v>2305</v>
      </c>
      <c r="C260" s="1" t="s">
        <v>2306</v>
      </c>
      <c r="D260" s="1" t="s">
        <v>1187</v>
      </c>
      <c r="E260" s="1" t="s">
        <v>1188</v>
      </c>
      <c r="F260" s="1" t="s">
        <v>2307</v>
      </c>
      <c r="G260" s="1" t="s">
        <v>14281</v>
      </c>
      <c r="H260" s="1" t="s">
        <v>14282</v>
      </c>
      <c r="I260" s="1" t="s">
        <v>14383</v>
      </c>
      <c r="J260" s="1" t="s">
        <v>23</v>
      </c>
      <c r="K260" s="1"/>
      <c r="L260" s="1" t="s">
        <v>577</v>
      </c>
      <c r="M260" s="8" t="s">
        <v>577</v>
      </c>
      <c r="N260" s="1" t="b">
        <f t="shared" si="20"/>
        <v>1</v>
      </c>
      <c r="O260" s="1" t="s">
        <v>2308</v>
      </c>
      <c r="P260" s="1" t="s">
        <v>2309</v>
      </c>
      <c r="Q260" s="1" t="s">
        <v>2310</v>
      </c>
      <c r="R260" s="1" t="s">
        <v>2311</v>
      </c>
      <c r="S260" s="1" t="s">
        <v>1194</v>
      </c>
      <c r="T260" s="1" t="s">
        <v>1195</v>
      </c>
      <c r="U260" s="1" t="s">
        <v>1196</v>
      </c>
      <c r="V260" s="13">
        <f>COUNTIF(L260:$M$1659,L260)</f>
        <v>2</v>
      </c>
      <c r="W260" s="1" t="s">
        <v>1197</v>
      </c>
      <c r="X260">
        <v>681.08</v>
      </c>
      <c r="Y260">
        <v>299.08999999999997</v>
      </c>
      <c r="Z260">
        <v>12.494325</v>
      </c>
      <c r="AA260">
        <v>109.128719</v>
      </c>
      <c r="AB260">
        <v>381.98</v>
      </c>
      <c r="AC260">
        <v>12.49287</v>
      </c>
      <c r="AD260">
        <v>109.11403300000001</v>
      </c>
      <c r="AE260" s="5">
        <f t="shared" si="21"/>
        <v>0.44863500000000001</v>
      </c>
      <c r="AF260" s="5">
        <f t="shared" si="22"/>
        <v>0.57296999999999998</v>
      </c>
      <c r="AG260" s="1" t="str">
        <f>TRIM(LEFT(L260,FIND("-",L260)-1))</f>
        <v>3.CA Tân Định</v>
      </c>
      <c r="AH260" s="1" t="str">
        <f>TRIM(RIGHT(L260, LEN(L260) - FIND("-", L260)))</f>
        <v>CA Ninh Hòa</v>
      </c>
      <c r="AJ260">
        <f t="shared" si="23"/>
        <v>0.29908999999999997</v>
      </c>
      <c r="AK260">
        <f t="shared" si="24"/>
        <v>0.38198000000000004</v>
      </c>
      <c r="AL260" t="e">
        <f>VLOOKUP(L260,'[1]Tuyến cáp H04'!$B:$E,3,0)/1000</f>
        <v>#N/A</v>
      </c>
      <c r="AM260" t="e">
        <f>VLOOKUP(L260,'[1]Tuyến cáp H04'!$B:$E,4,0)</f>
        <v>#N/A</v>
      </c>
    </row>
    <row r="261" spans="1:39" x14ac:dyDescent="0.25">
      <c r="A261" s="1" t="s">
        <v>2312</v>
      </c>
      <c r="B261" s="1" t="s">
        <v>2313</v>
      </c>
      <c r="C261" s="1" t="s">
        <v>2314</v>
      </c>
      <c r="D261" s="1" t="s">
        <v>1152</v>
      </c>
      <c r="E261" s="1" t="s">
        <v>1153</v>
      </c>
      <c r="F261" s="1" t="s">
        <v>2315</v>
      </c>
      <c r="G261" s="1" t="s">
        <v>14281</v>
      </c>
      <c r="H261" s="1" t="s">
        <v>14282</v>
      </c>
      <c r="I261" s="1" t="s">
        <v>14384</v>
      </c>
      <c r="J261" s="1" t="s">
        <v>23</v>
      </c>
      <c r="K261" s="1"/>
      <c r="L261" s="1" t="s">
        <v>1552</v>
      </c>
      <c r="M261" s="8" t="s">
        <v>1552</v>
      </c>
      <c r="N261" s="1" t="b">
        <f t="shared" si="20"/>
        <v>1</v>
      </c>
      <c r="O261" s="1" t="s">
        <v>2316</v>
      </c>
      <c r="P261" s="1" t="s">
        <v>2317</v>
      </c>
      <c r="Q261" s="1" t="s">
        <v>2318</v>
      </c>
      <c r="R261" s="1" t="s">
        <v>2319</v>
      </c>
      <c r="S261" s="1" t="s">
        <v>1160</v>
      </c>
      <c r="T261" s="1" t="s">
        <v>1161</v>
      </c>
      <c r="U261" s="1" t="s">
        <v>1162</v>
      </c>
      <c r="V261" s="13">
        <f>COUNTIF(L261:$M$1659,L261)</f>
        <v>10</v>
      </c>
      <c r="W261" s="1" t="s">
        <v>1560</v>
      </c>
      <c r="X261">
        <v>1889.42</v>
      </c>
      <c r="Y261">
        <v>1703.47</v>
      </c>
      <c r="Z261">
        <v>12.471017</v>
      </c>
      <c r="AA261">
        <v>109.12625300000001</v>
      </c>
      <c r="AB261">
        <v>185.95</v>
      </c>
      <c r="AC261">
        <v>12.481263999999999</v>
      </c>
      <c r="AD261">
        <v>109.131214</v>
      </c>
      <c r="AE261" s="5">
        <f t="shared" si="21"/>
        <v>2.5552049999999999</v>
      </c>
      <c r="AF261" s="5">
        <f t="shared" si="22"/>
        <v>0.27892499999999998</v>
      </c>
      <c r="AG261" s="1" t="str">
        <f>TRIM(LEFT(L261,FIND("-",L261)-1))</f>
        <v>5.Vạn Ninh</v>
      </c>
      <c r="AH261" s="1" t="str">
        <f>TRIM(RIGHT(L261, LEN(L261) - FIND("-", L261)))</f>
        <v>CAT Khánh Hòa</v>
      </c>
      <c r="AJ261">
        <f t="shared" si="23"/>
        <v>1.70347</v>
      </c>
      <c r="AK261">
        <f t="shared" si="24"/>
        <v>0.18594999999999998</v>
      </c>
      <c r="AL261" t="e">
        <f>VLOOKUP(L261,'[1]Tuyến cáp H04'!$B:$E,3,0)/1000</f>
        <v>#N/A</v>
      </c>
      <c r="AM261" t="e">
        <f>VLOOKUP(L261,'[1]Tuyến cáp H04'!$B:$E,4,0)</f>
        <v>#N/A</v>
      </c>
    </row>
    <row r="262" spans="1:39" x14ac:dyDescent="0.25">
      <c r="A262" s="1" t="s">
        <v>2320</v>
      </c>
      <c r="B262" s="1" t="s">
        <v>2321</v>
      </c>
      <c r="C262" s="1" t="s">
        <v>2322</v>
      </c>
      <c r="D262" s="1" t="s">
        <v>1614</v>
      </c>
      <c r="E262" s="1" t="s">
        <v>1615</v>
      </c>
      <c r="F262" s="1" t="s">
        <v>2323</v>
      </c>
      <c r="G262" s="1" t="s">
        <v>14281</v>
      </c>
      <c r="H262" s="1" t="s">
        <v>14282</v>
      </c>
      <c r="I262" s="1" t="s">
        <v>14385</v>
      </c>
      <c r="J262" s="1" t="s">
        <v>23</v>
      </c>
      <c r="K262" s="1"/>
      <c r="L262" s="1" t="s">
        <v>1552</v>
      </c>
      <c r="M262" s="8" t="s">
        <v>1552</v>
      </c>
      <c r="N262" s="1" t="b">
        <f t="shared" si="20"/>
        <v>1</v>
      </c>
      <c r="O262" s="1" t="s">
        <v>2324</v>
      </c>
      <c r="P262" s="1" t="s">
        <v>2325</v>
      </c>
      <c r="Q262" s="1" t="s">
        <v>2326</v>
      </c>
      <c r="R262" s="1" t="s">
        <v>2327</v>
      </c>
      <c r="S262" s="1" t="s">
        <v>1618</v>
      </c>
      <c r="T262" s="1" t="s">
        <v>1619</v>
      </c>
      <c r="U262" s="1" t="s">
        <v>1620</v>
      </c>
      <c r="V262" s="13">
        <f>COUNTIF(L262:$M$1659,L262)</f>
        <v>8</v>
      </c>
      <c r="W262" s="1" t="s">
        <v>1560</v>
      </c>
      <c r="X262">
        <v>138.19</v>
      </c>
      <c r="Y262">
        <v>20.96</v>
      </c>
      <c r="Z262">
        <v>12.364604999999999</v>
      </c>
      <c r="AA262">
        <v>109.194498</v>
      </c>
      <c r="AB262">
        <v>117.23</v>
      </c>
      <c r="AC262">
        <v>12.338984999999999</v>
      </c>
      <c r="AD262">
        <v>109.19412199999999</v>
      </c>
      <c r="AE262" s="5">
        <f t="shared" si="21"/>
        <v>3.1440000000000003E-2</v>
      </c>
      <c r="AF262" s="5">
        <f t="shared" si="22"/>
        <v>0.175845</v>
      </c>
      <c r="AG262" s="1" t="str">
        <f>TRIM(LEFT(L262,FIND("-",L262)-1))</f>
        <v>5.Vạn Ninh</v>
      </c>
      <c r="AH262" s="1" t="str">
        <f>TRIM(RIGHT(L262, LEN(L262) - FIND("-", L262)))</f>
        <v>CAT Khánh Hòa</v>
      </c>
      <c r="AJ262">
        <f t="shared" si="23"/>
        <v>2.0959999999999999E-2</v>
      </c>
      <c r="AK262">
        <f t="shared" si="24"/>
        <v>0.11723</v>
      </c>
      <c r="AL262" t="e">
        <f>VLOOKUP(L262,'[1]Tuyến cáp H04'!$B:$E,3,0)/1000</f>
        <v>#N/A</v>
      </c>
      <c r="AM262" t="e">
        <f>VLOOKUP(L262,'[1]Tuyến cáp H04'!$B:$E,4,0)</f>
        <v>#N/A</v>
      </c>
    </row>
    <row r="263" spans="1:39" x14ac:dyDescent="0.25">
      <c r="A263" s="1" t="s">
        <v>2328</v>
      </c>
      <c r="B263" s="1" t="s">
        <v>2329</v>
      </c>
      <c r="C263" s="1" t="s">
        <v>2330</v>
      </c>
      <c r="D263" s="1" t="s">
        <v>1614</v>
      </c>
      <c r="E263" s="1" t="s">
        <v>1615</v>
      </c>
      <c r="F263" s="1" t="s">
        <v>2331</v>
      </c>
      <c r="G263" s="1" t="s">
        <v>14281</v>
      </c>
      <c r="H263" s="1" t="s">
        <v>14282</v>
      </c>
      <c r="I263" s="1" t="s">
        <v>14386</v>
      </c>
      <c r="J263" s="1" t="s">
        <v>23</v>
      </c>
      <c r="K263" s="1"/>
      <c r="L263" s="1" t="s">
        <v>1552</v>
      </c>
      <c r="M263" s="8" t="s">
        <v>1552</v>
      </c>
      <c r="N263" s="1" t="b">
        <f t="shared" si="20"/>
        <v>1</v>
      </c>
      <c r="O263" s="1" t="s">
        <v>2332</v>
      </c>
      <c r="P263" s="1" t="s">
        <v>2333</v>
      </c>
      <c r="Q263" s="1" t="s">
        <v>2334</v>
      </c>
      <c r="R263" s="1" t="s">
        <v>2335</v>
      </c>
      <c r="S263" s="1" t="s">
        <v>1618</v>
      </c>
      <c r="T263" s="1" t="s">
        <v>1619</v>
      </c>
      <c r="U263" s="1" t="s">
        <v>1620</v>
      </c>
      <c r="V263" s="13">
        <f>COUNTIF(L263:$M$1659,L263)</f>
        <v>6</v>
      </c>
      <c r="W263" s="1" t="s">
        <v>1560</v>
      </c>
      <c r="X263">
        <v>251.61</v>
      </c>
      <c r="Y263">
        <v>134.38</v>
      </c>
      <c r="Z263">
        <v>12.384585</v>
      </c>
      <c r="AA263">
        <v>109.194734</v>
      </c>
      <c r="AB263">
        <v>117.23</v>
      </c>
      <c r="AC263">
        <v>12.338984999999999</v>
      </c>
      <c r="AD263">
        <v>109.19412199999999</v>
      </c>
      <c r="AE263" s="5">
        <f t="shared" si="21"/>
        <v>0.20157</v>
      </c>
      <c r="AF263" s="5">
        <f t="shared" si="22"/>
        <v>0.175845</v>
      </c>
      <c r="AG263" s="1" t="str">
        <f>TRIM(LEFT(L263,FIND("-",L263)-1))</f>
        <v>5.Vạn Ninh</v>
      </c>
      <c r="AH263" s="1" t="str">
        <f>TRIM(RIGHT(L263, LEN(L263) - FIND("-", L263)))</f>
        <v>CAT Khánh Hòa</v>
      </c>
      <c r="AJ263">
        <f t="shared" si="23"/>
        <v>0.13438</v>
      </c>
      <c r="AK263">
        <f t="shared" si="24"/>
        <v>0.11723</v>
      </c>
      <c r="AL263" t="e">
        <f>VLOOKUP(L263,'[1]Tuyến cáp H04'!$B:$E,3,0)/1000</f>
        <v>#N/A</v>
      </c>
      <c r="AM263" t="e">
        <f>VLOOKUP(L263,'[1]Tuyến cáp H04'!$B:$E,4,0)</f>
        <v>#N/A</v>
      </c>
    </row>
    <row r="264" spans="1:39" x14ac:dyDescent="0.25">
      <c r="A264" s="1" t="s">
        <v>2336</v>
      </c>
      <c r="B264" s="1" t="s">
        <v>2337</v>
      </c>
      <c r="C264" s="1" t="s">
        <v>2338</v>
      </c>
      <c r="D264" s="1" t="s">
        <v>557</v>
      </c>
      <c r="E264" s="1" t="s">
        <v>558</v>
      </c>
      <c r="F264" s="1" t="s">
        <v>2339</v>
      </c>
      <c r="G264" s="1" t="s">
        <v>14281</v>
      </c>
      <c r="H264" s="1" t="s">
        <v>14282</v>
      </c>
      <c r="I264" s="1" t="s">
        <v>14387</v>
      </c>
      <c r="J264" s="1" t="s">
        <v>23</v>
      </c>
      <c r="K264" s="1"/>
      <c r="L264" s="1" t="s">
        <v>1168</v>
      </c>
      <c r="M264" s="8" t="s">
        <v>1168</v>
      </c>
      <c r="N264" s="1" t="b">
        <f t="shared" si="20"/>
        <v>1</v>
      </c>
      <c r="O264" s="1" t="s">
        <v>2340</v>
      </c>
      <c r="P264" s="1" t="s">
        <v>2341</v>
      </c>
      <c r="Q264" s="1" t="s">
        <v>2342</v>
      </c>
      <c r="R264" s="1" t="s">
        <v>2343</v>
      </c>
      <c r="S264" s="1" t="s">
        <v>1173</v>
      </c>
      <c r="T264" s="1" t="s">
        <v>1174</v>
      </c>
      <c r="U264" s="1" t="s">
        <v>1175</v>
      </c>
      <c r="V264" s="13">
        <f>COUNTIF(L264:$M$1659,L264)</f>
        <v>4</v>
      </c>
      <c r="W264" s="1" t="s">
        <v>1176</v>
      </c>
      <c r="X264">
        <v>93.36</v>
      </c>
      <c r="Y264">
        <v>88.78</v>
      </c>
      <c r="Z264">
        <v>12.540544000000001</v>
      </c>
      <c r="AA264">
        <v>109.009872</v>
      </c>
      <c r="AB264">
        <v>4.59</v>
      </c>
      <c r="AC264">
        <v>12.540865</v>
      </c>
      <c r="AD264">
        <v>109.00747800000001</v>
      </c>
      <c r="AE264" s="5">
        <f t="shared" si="21"/>
        <v>0.13317000000000001</v>
      </c>
      <c r="AF264" s="5">
        <f t="shared" si="22"/>
        <v>6.8849999999999996E-3</v>
      </c>
      <c r="AG264" s="1" t="str">
        <f>TRIM(LEFT(L264,FIND("-",L264)-1))</f>
        <v>2.CA Nam Ninh Hòa</v>
      </c>
      <c r="AH264" s="1" t="str">
        <f>TRIM(RIGHT(L264, LEN(L264) - FIND("-", L264)))</f>
        <v>CA Tây Ninh Hòa</v>
      </c>
      <c r="AJ264">
        <f t="shared" si="23"/>
        <v>8.8779999999999998E-2</v>
      </c>
      <c r="AK264">
        <f t="shared" si="24"/>
        <v>4.5899999999999995E-3</v>
      </c>
      <c r="AL264" t="e">
        <f>VLOOKUP(L264,'[1]Tuyến cáp H04'!$B:$E,3,0)/1000</f>
        <v>#N/A</v>
      </c>
      <c r="AM264" t="e">
        <f>VLOOKUP(L264,'[1]Tuyến cáp H04'!$B:$E,4,0)</f>
        <v>#N/A</v>
      </c>
    </row>
    <row r="265" spans="1:39" x14ac:dyDescent="0.25">
      <c r="A265" s="1" t="s">
        <v>2344</v>
      </c>
      <c r="B265" s="1" t="s">
        <v>2345</v>
      </c>
      <c r="C265" s="1" t="s">
        <v>2346</v>
      </c>
      <c r="D265" s="1" t="s">
        <v>557</v>
      </c>
      <c r="E265" s="1" t="s">
        <v>558</v>
      </c>
      <c r="F265" s="1" t="s">
        <v>2347</v>
      </c>
      <c r="G265" s="1" t="s">
        <v>14281</v>
      </c>
      <c r="H265" s="1" t="s">
        <v>14282</v>
      </c>
      <c r="I265" s="1" t="s">
        <v>14388</v>
      </c>
      <c r="J265" s="1" t="s">
        <v>23</v>
      </c>
      <c r="K265" s="1"/>
      <c r="L265" s="1" t="s">
        <v>1168</v>
      </c>
      <c r="M265" s="8" t="s">
        <v>1168</v>
      </c>
      <c r="N265" s="1" t="b">
        <f t="shared" si="20"/>
        <v>1</v>
      </c>
      <c r="O265" s="1" t="s">
        <v>2348</v>
      </c>
      <c r="P265" s="1" t="s">
        <v>2349</v>
      </c>
      <c r="Q265" s="1" t="s">
        <v>2350</v>
      </c>
      <c r="R265" s="1" t="s">
        <v>2351</v>
      </c>
      <c r="S265" s="1" t="s">
        <v>1173</v>
      </c>
      <c r="T265" s="1" t="s">
        <v>1174</v>
      </c>
      <c r="U265" s="1" t="s">
        <v>1175</v>
      </c>
      <c r="V265" s="13">
        <f>COUNTIF(L265:$M$1659,L265)</f>
        <v>2</v>
      </c>
      <c r="W265" s="1" t="s">
        <v>1176</v>
      </c>
      <c r="X265">
        <v>3042.21</v>
      </c>
      <c r="Y265">
        <v>3037.62</v>
      </c>
      <c r="Z265">
        <v>12.519499</v>
      </c>
      <c r="AA265">
        <v>109.042643</v>
      </c>
      <c r="AB265">
        <v>4.59</v>
      </c>
      <c r="AC265">
        <v>12.540865</v>
      </c>
      <c r="AD265">
        <v>109.00747800000001</v>
      </c>
      <c r="AE265" s="5">
        <f t="shared" si="21"/>
        <v>4.5564300000000006</v>
      </c>
      <c r="AF265" s="5">
        <f t="shared" si="22"/>
        <v>6.8849999999999996E-3</v>
      </c>
      <c r="AG265" s="1" t="str">
        <f>TRIM(LEFT(L265,FIND("-",L265)-1))</f>
        <v>2.CA Nam Ninh Hòa</v>
      </c>
      <c r="AH265" s="1" t="str">
        <f>TRIM(RIGHT(L265, LEN(L265) - FIND("-", L265)))</f>
        <v>CA Tây Ninh Hòa</v>
      </c>
      <c r="AJ265">
        <f t="shared" si="23"/>
        <v>3.03762</v>
      </c>
      <c r="AK265">
        <f t="shared" si="24"/>
        <v>4.5899999999999995E-3</v>
      </c>
      <c r="AL265" t="e">
        <f>VLOOKUP(L265,'[1]Tuyến cáp H04'!$B:$E,3,0)/1000</f>
        <v>#N/A</v>
      </c>
      <c r="AM265" t="e">
        <f>VLOOKUP(L265,'[1]Tuyến cáp H04'!$B:$E,4,0)</f>
        <v>#N/A</v>
      </c>
    </row>
    <row r="266" spans="1:39" x14ac:dyDescent="0.25">
      <c r="A266" s="1" t="s">
        <v>2352</v>
      </c>
      <c r="B266" s="1" t="s">
        <v>2353</v>
      </c>
      <c r="C266" s="1" t="s">
        <v>2354</v>
      </c>
      <c r="D266" s="1" t="s">
        <v>756</v>
      </c>
      <c r="E266" s="1" t="s">
        <v>757</v>
      </c>
      <c r="F266" s="1" t="s">
        <v>2355</v>
      </c>
      <c r="G266" s="1" t="s">
        <v>14281</v>
      </c>
      <c r="H266" s="1" t="s">
        <v>14282</v>
      </c>
      <c r="I266" s="1" t="s">
        <v>14389</v>
      </c>
      <c r="J266" s="1" t="s">
        <v>23</v>
      </c>
      <c r="K266" s="1"/>
      <c r="L266" s="1" t="s">
        <v>1012</v>
      </c>
      <c r="M266" s="8" t="s">
        <v>1012</v>
      </c>
      <c r="N266" s="1" t="b">
        <f t="shared" si="20"/>
        <v>1</v>
      </c>
      <c r="O266" s="1" t="s">
        <v>2356</v>
      </c>
      <c r="P266" s="1" t="s">
        <v>2357</v>
      </c>
      <c r="Q266" s="1" t="s">
        <v>1056</v>
      </c>
      <c r="R266" s="1" t="s">
        <v>1057</v>
      </c>
      <c r="S266" s="1" t="s">
        <v>1017</v>
      </c>
      <c r="T266" s="1" t="s">
        <v>1018</v>
      </c>
      <c r="U266" s="1" t="s">
        <v>1019</v>
      </c>
      <c r="V266" s="13">
        <f>COUNTIF(L266:$M$1659,L266)</f>
        <v>2</v>
      </c>
      <c r="W266" s="1" t="s">
        <v>1020</v>
      </c>
      <c r="X266">
        <v>1311.74</v>
      </c>
      <c r="Y266">
        <v>1308.17</v>
      </c>
      <c r="Z266">
        <v>12.70477</v>
      </c>
      <c r="AA266">
        <v>109.2372</v>
      </c>
      <c r="AB266">
        <v>3.57</v>
      </c>
      <c r="AC266">
        <v>12.690783</v>
      </c>
      <c r="AD266">
        <v>109.22087000000001</v>
      </c>
      <c r="AE266" s="5">
        <f t="shared" si="21"/>
        <v>1.9622550000000001</v>
      </c>
      <c r="AF266" s="5">
        <f t="shared" si="22"/>
        <v>5.3549999999999995E-3</v>
      </c>
      <c r="AG266" s="1" t="str">
        <f>TRIM(LEFT(L266,FIND("-",L266)-1))</f>
        <v>1.CA Vạn Ninh</v>
      </c>
      <c r="AH266" s="1" t="str">
        <f>TRIM(RIGHT(L266, LEN(L266) - FIND("-", L266)))</f>
        <v>CA Vạn Thắng_Cột trung thế</v>
      </c>
      <c r="AJ266">
        <f t="shared" si="23"/>
        <v>1.3081700000000001</v>
      </c>
      <c r="AK266">
        <f t="shared" si="24"/>
        <v>3.5699999999999998E-3</v>
      </c>
      <c r="AL266" t="e">
        <f>VLOOKUP(L266,'[1]Tuyến cáp H04'!$B:$E,3,0)/1000</f>
        <v>#N/A</v>
      </c>
      <c r="AM266" t="e">
        <f>VLOOKUP(L266,'[1]Tuyến cáp H04'!$B:$E,4,0)</f>
        <v>#N/A</v>
      </c>
    </row>
    <row r="267" spans="1:39" x14ac:dyDescent="0.25">
      <c r="A267" s="1" t="s">
        <v>2358</v>
      </c>
      <c r="B267" s="1" t="s">
        <v>1642</v>
      </c>
      <c r="C267" s="1" t="s">
        <v>2359</v>
      </c>
      <c r="D267" s="1" t="s">
        <v>1642</v>
      </c>
      <c r="E267" s="1" t="s">
        <v>1643</v>
      </c>
      <c r="F267" s="1" t="s">
        <v>2360</v>
      </c>
      <c r="G267" s="1" t="s">
        <v>14281</v>
      </c>
      <c r="H267" s="1" t="s">
        <v>14282</v>
      </c>
      <c r="I267" s="1" t="s">
        <v>14390</v>
      </c>
      <c r="J267" s="1" t="s">
        <v>23</v>
      </c>
      <c r="K267" s="1"/>
      <c r="L267" s="1" t="s">
        <v>1767</v>
      </c>
      <c r="M267" s="8" t="s">
        <v>1767</v>
      </c>
      <c r="N267" s="1" t="b">
        <f t="shared" si="20"/>
        <v>1</v>
      </c>
      <c r="O267" s="1" t="s">
        <v>2361</v>
      </c>
      <c r="P267" s="1" t="s">
        <v>2362</v>
      </c>
      <c r="Q267" s="1" t="s">
        <v>2363</v>
      </c>
      <c r="R267" s="1" t="s">
        <v>2364</v>
      </c>
      <c r="S267" s="1" t="s">
        <v>1772</v>
      </c>
      <c r="T267" s="1" t="s">
        <v>1773</v>
      </c>
      <c r="U267" s="1" t="s">
        <v>1774</v>
      </c>
      <c r="V267" s="13">
        <f>COUNTIF(L267:$M$1659,L267)</f>
        <v>2</v>
      </c>
      <c r="W267" s="1" t="s">
        <v>1775</v>
      </c>
      <c r="X267">
        <v>365.75</v>
      </c>
      <c r="Y267">
        <v>365.4</v>
      </c>
      <c r="Z267">
        <v>12.778753</v>
      </c>
      <c r="AA267">
        <v>109.313261</v>
      </c>
      <c r="AB267">
        <v>0.35</v>
      </c>
      <c r="AC267">
        <v>12.77881</v>
      </c>
      <c r="AD267">
        <v>109.312703</v>
      </c>
      <c r="AE267" s="5">
        <f t="shared" si="21"/>
        <v>0.54809999999999992</v>
      </c>
      <c r="AF267" s="5">
        <f t="shared" si="22"/>
        <v>5.2499999999999986E-4</v>
      </c>
      <c r="AG267" s="1" t="str">
        <f>TRIM(LEFT(L267,FIND("-",L267)-1))</f>
        <v>2.CA Vạn Thắng</v>
      </c>
      <c r="AH267" s="1" t="str">
        <f>TRIM(RIGHT(L267, LEN(L267) - FIND("-", L267)))</f>
        <v>CA Tu Bông_Cột trung thế</v>
      </c>
      <c r="AJ267">
        <f t="shared" si="23"/>
        <v>0.3654</v>
      </c>
      <c r="AK267">
        <f t="shared" si="24"/>
        <v>3.5E-4</v>
      </c>
      <c r="AL267" t="e">
        <f>VLOOKUP(L267,'[1]Tuyến cáp H04'!$B:$E,3,0)/1000</f>
        <v>#N/A</v>
      </c>
      <c r="AM267" t="e">
        <f>VLOOKUP(L267,'[1]Tuyến cáp H04'!$B:$E,4,0)</f>
        <v>#N/A</v>
      </c>
    </row>
    <row r="268" spans="1:39" x14ac:dyDescent="0.25">
      <c r="A268" s="1" t="s">
        <v>2365</v>
      </c>
      <c r="B268" s="1" t="s">
        <v>2366</v>
      </c>
      <c r="C268" s="1" t="s">
        <v>2367</v>
      </c>
      <c r="D268" s="1" t="s">
        <v>1642</v>
      </c>
      <c r="E268" s="1" t="s">
        <v>1643</v>
      </c>
      <c r="F268" s="1" t="s">
        <v>2368</v>
      </c>
      <c r="G268" s="1" t="s">
        <v>14281</v>
      </c>
      <c r="H268" s="1" t="s">
        <v>14282</v>
      </c>
      <c r="I268" s="1" t="s">
        <v>14391</v>
      </c>
      <c r="J268" s="1" t="s">
        <v>23</v>
      </c>
      <c r="K268" s="1"/>
      <c r="L268" s="1" t="s">
        <v>1647</v>
      </c>
      <c r="M268" s="8" t="s">
        <v>1647</v>
      </c>
      <c r="N268" s="1" t="b">
        <f t="shared" si="20"/>
        <v>1</v>
      </c>
      <c r="O268" s="1" t="s">
        <v>2369</v>
      </c>
      <c r="P268" s="1" t="s">
        <v>2370</v>
      </c>
      <c r="Q268" s="1" t="s">
        <v>2371</v>
      </c>
      <c r="R268" s="1" t="s">
        <v>2372</v>
      </c>
      <c r="S268" s="1" t="s">
        <v>1649</v>
      </c>
      <c r="T268" s="1" t="s">
        <v>1650</v>
      </c>
      <c r="U268" s="1" t="s">
        <v>1651</v>
      </c>
      <c r="V268" s="13">
        <f>COUNTIF(L268:$M$1659,L268)</f>
        <v>4</v>
      </c>
      <c r="W268" s="1" t="s">
        <v>1655</v>
      </c>
      <c r="X268">
        <v>177.99</v>
      </c>
      <c r="Y268">
        <v>175.91</v>
      </c>
      <c r="Z268">
        <v>12.784682</v>
      </c>
      <c r="AA268">
        <v>109.30530400000001</v>
      </c>
      <c r="AB268">
        <v>2.08</v>
      </c>
      <c r="AC268">
        <v>12.778815</v>
      </c>
      <c r="AD268">
        <v>109.312718</v>
      </c>
      <c r="AE268" s="5">
        <f t="shared" si="21"/>
        <v>0.26386500000000002</v>
      </c>
      <c r="AF268" s="5">
        <f t="shared" si="22"/>
        <v>3.1199999999999999E-3</v>
      </c>
      <c r="AG268" s="1" t="str">
        <f>TRIM(LEFT(L268,FIND("-",L268)-1))</f>
        <v>3.CA Tu Bông</v>
      </c>
      <c r="AH268" s="1" t="str">
        <f>TRIM(RIGHT(L268, LEN(L268) - FIND("-", L268)))</f>
        <v>CA Đại Lãnh_Cột trung thế</v>
      </c>
      <c r="AJ268">
        <f t="shared" si="23"/>
        <v>0.17590999999999998</v>
      </c>
      <c r="AK268">
        <f t="shared" si="24"/>
        <v>2.0800000000000003E-3</v>
      </c>
      <c r="AL268" t="e">
        <f>VLOOKUP(L268,'[1]Tuyến cáp H04'!$B:$E,3,0)/1000</f>
        <v>#N/A</v>
      </c>
      <c r="AM268" t="e">
        <f>VLOOKUP(L268,'[1]Tuyến cáp H04'!$B:$E,4,0)</f>
        <v>#N/A</v>
      </c>
    </row>
    <row r="269" spans="1:39" x14ac:dyDescent="0.25">
      <c r="A269" s="1" t="s">
        <v>2373</v>
      </c>
      <c r="B269" s="1" t="s">
        <v>2374</v>
      </c>
      <c r="C269" s="1" t="s">
        <v>2375</v>
      </c>
      <c r="D269" s="1" t="s">
        <v>278</v>
      </c>
      <c r="E269" s="1" t="s">
        <v>279</v>
      </c>
      <c r="F269" s="1" t="s">
        <v>2376</v>
      </c>
      <c r="G269" s="1" t="s">
        <v>14281</v>
      </c>
      <c r="H269" s="1" t="s">
        <v>14282</v>
      </c>
      <c r="I269" s="1" t="s">
        <v>14392</v>
      </c>
      <c r="J269" s="1" t="s">
        <v>23</v>
      </c>
      <c r="K269" s="1"/>
      <c r="L269" s="1" t="s">
        <v>283</v>
      </c>
      <c r="M269" s="8" t="s">
        <v>2196</v>
      </c>
      <c r="N269" s="12" t="b">
        <f t="shared" si="20"/>
        <v>0</v>
      </c>
      <c r="O269" s="1" t="s">
        <v>2377</v>
      </c>
      <c r="P269" s="1" t="s">
        <v>2378</v>
      </c>
      <c r="Q269" s="1" t="s">
        <v>289</v>
      </c>
      <c r="R269" s="1" t="s">
        <v>290</v>
      </c>
      <c r="S269" s="1" t="s">
        <v>285</v>
      </c>
      <c r="T269" s="1" t="s">
        <v>286</v>
      </c>
      <c r="U269" s="1" t="s">
        <v>287</v>
      </c>
      <c r="V269" s="13">
        <f>COUNTIF(L269:$M$1659,L269)</f>
        <v>21</v>
      </c>
      <c r="W269" s="1" t="s">
        <v>291</v>
      </c>
      <c r="X269">
        <v>520316.29</v>
      </c>
      <c r="Y269">
        <v>267732.09999999998</v>
      </c>
      <c r="Z269">
        <v>14.352316999999999</v>
      </c>
      <c r="AA269">
        <v>108.007831</v>
      </c>
      <c r="AB269">
        <v>252584.19</v>
      </c>
      <c r="AC269">
        <v>14.659686000000001</v>
      </c>
      <c r="AD269">
        <v>107.839439</v>
      </c>
      <c r="AE269" s="5">
        <f t="shared" si="21"/>
        <v>401.59814999999998</v>
      </c>
      <c r="AF269" s="5">
        <f t="shared" si="22"/>
        <v>378.87628500000005</v>
      </c>
      <c r="AG269" s="1" t="str">
        <f>TRIM(LEFT(L269,FIND("-",L269)-1))</f>
        <v>Đăk Tô</v>
      </c>
      <c r="AH269" s="1" t="str">
        <f>TRIM(RIGHT(L269, LEN(L269) - FIND("-", L269)))</f>
        <v>TT2 Kon Tum</v>
      </c>
      <c r="AJ269">
        <f t="shared" si="23"/>
        <v>267.7321</v>
      </c>
      <c r="AK269">
        <f t="shared" si="24"/>
        <v>252.58419000000001</v>
      </c>
      <c r="AL269">
        <f>VLOOKUP(L269,'[1]Tuyến cáp H04'!$B:$E,3,0)/1000</f>
        <v>43.9602</v>
      </c>
      <c r="AM269" t="str">
        <f>VLOOKUP(L269,'[1]Tuyến cáp H04'!$B:$E,4,0)</f>
        <v>Mạng cấp 3</v>
      </c>
    </row>
    <row r="270" spans="1:39" x14ac:dyDescent="0.25">
      <c r="A270" s="1" t="s">
        <v>2379</v>
      </c>
      <c r="B270" s="1" t="s">
        <v>2380</v>
      </c>
      <c r="C270" s="1" t="s">
        <v>2381</v>
      </c>
      <c r="D270" s="1" t="s">
        <v>128</v>
      </c>
      <c r="E270" s="1" t="s">
        <v>129</v>
      </c>
      <c r="F270" s="1" t="s">
        <v>2382</v>
      </c>
      <c r="G270" s="1" t="s">
        <v>14281</v>
      </c>
      <c r="H270" s="1" t="s">
        <v>14282</v>
      </c>
      <c r="I270" s="1" t="s">
        <v>14393</v>
      </c>
      <c r="J270" s="1" t="s">
        <v>23</v>
      </c>
      <c r="K270" s="1"/>
      <c r="L270" s="1" t="s">
        <v>283</v>
      </c>
      <c r="M270" s="8" t="s">
        <v>1328</v>
      </c>
      <c r="N270" s="12" t="b">
        <f t="shared" si="20"/>
        <v>0</v>
      </c>
      <c r="O270" s="1" t="s">
        <v>2383</v>
      </c>
      <c r="P270" s="1" t="s">
        <v>2384</v>
      </c>
      <c r="Q270" s="1" t="s">
        <v>289</v>
      </c>
      <c r="R270" s="1" t="s">
        <v>290</v>
      </c>
      <c r="S270" s="1" t="s">
        <v>657</v>
      </c>
      <c r="T270" s="1" t="s">
        <v>286</v>
      </c>
      <c r="U270" s="1" t="s">
        <v>287</v>
      </c>
      <c r="V270" s="13">
        <f>COUNTIF(L270:$M$1659,L270)</f>
        <v>20</v>
      </c>
      <c r="W270" s="1" t="s">
        <v>291</v>
      </c>
      <c r="X270">
        <v>517037.19</v>
      </c>
      <c r="Y270">
        <v>267394.46999999997</v>
      </c>
      <c r="Z270">
        <v>14.352316999999999</v>
      </c>
      <c r="AA270">
        <v>108.007831</v>
      </c>
      <c r="AB270">
        <v>249642.72</v>
      </c>
      <c r="AC270">
        <v>14.659686000000001</v>
      </c>
      <c r="AD270">
        <v>107.839439</v>
      </c>
      <c r="AE270" s="5">
        <f t="shared" si="21"/>
        <v>401.09170499999993</v>
      </c>
      <c r="AF270" s="5">
        <f t="shared" si="22"/>
        <v>374.46408000000002</v>
      </c>
      <c r="AG270" s="1" t="str">
        <f>TRIM(LEFT(L270,FIND("-",L270)-1))</f>
        <v>Đăk Tô</v>
      </c>
      <c r="AH270" s="1" t="str">
        <f>TRIM(RIGHT(L270, LEN(L270) - FIND("-", L270)))</f>
        <v>TT2 Kon Tum</v>
      </c>
      <c r="AJ270">
        <f t="shared" si="23"/>
        <v>267.39446999999996</v>
      </c>
      <c r="AK270">
        <f t="shared" si="24"/>
        <v>249.64272</v>
      </c>
      <c r="AL270">
        <f>VLOOKUP(L270,'[1]Tuyến cáp H04'!$B:$E,3,0)/1000</f>
        <v>43.9602</v>
      </c>
      <c r="AM270" t="str">
        <f>VLOOKUP(L270,'[1]Tuyến cáp H04'!$B:$E,4,0)</f>
        <v>Mạng cấp 3</v>
      </c>
    </row>
    <row r="271" spans="1:39" x14ac:dyDescent="0.25">
      <c r="A271" s="1" t="s">
        <v>2385</v>
      </c>
      <c r="B271" s="1" t="s">
        <v>2386</v>
      </c>
      <c r="C271" s="1" t="s">
        <v>2387</v>
      </c>
      <c r="D271" s="1" t="s">
        <v>18</v>
      </c>
      <c r="E271" s="1" t="s">
        <v>19</v>
      </c>
      <c r="F271" s="1" t="s">
        <v>2388</v>
      </c>
      <c r="G271" s="1" t="s">
        <v>14281</v>
      </c>
      <c r="H271" s="1" t="s">
        <v>14282</v>
      </c>
      <c r="I271" s="1" t="s">
        <v>14394</v>
      </c>
      <c r="J271" s="1" t="s">
        <v>23</v>
      </c>
      <c r="K271" s="1"/>
      <c r="L271" s="1" t="s">
        <v>24</v>
      </c>
      <c r="M271" s="8" t="s">
        <v>24</v>
      </c>
      <c r="N271" s="1" t="b">
        <f t="shared" si="20"/>
        <v>1</v>
      </c>
      <c r="O271" s="1" t="s">
        <v>2389</v>
      </c>
      <c r="P271" s="1" t="s">
        <v>2390</v>
      </c>
      <c r="Q271" s="1" t="s">
        <v>2391</v>
      </c>
      <c r="R271" s="1" t="s">
        <v>2392</v>
      </c>
      <c r="S271" s="1" t="s">
        <v>26</v>
      </c>
      <c r="T271" s="1" t="s">
        <v>27</v>
      </c>
      <c r="U271" s="1" t="s">
        <v>28</v>
      </c>
      <c r="V271" s="13">
        <f>COUNTIF(L271:$M$1659,L271)</f>
        <v>2</v>
      </c>
      <c r="W271" s="1" t="s">
        <v>32</v>
      </c>
      <c r="X271">
        <v>254.76</v>
      </c>
      <c r="Y271">
        <v>94.09</v>
      </c>
      <c r="Z271">
        <v>12.251268</v>
      </c>
      <c r="AA271">
        <v>109.189643</v>
      </c>
      <c r="AB271">
        <v>160.66999999999999</v>
      </c>
      <c r="AC271">
        <v>12.249511999999999</v>
      </c>
      <c r="AD271">
        <v>109.185703</v>
      </c>
      <c r="AE271" s="5">
        <f t="shared" si="21"/>
        <v>0.14113499999999998</v>
      </c>
      <c r="AF271" s="5">
        <f t="shared" si="22"/>
        <v>0.241005</v>
      </c>
      <c r="AG271" s="1" t="str">
        <f>TRIM(LEFT(L271,FIND("-",L271)-1))</f>
        <v>5.PA06 cs1</v>
      </c>
      <c r="AH271" s="1" t="str">
        <f>TRIM(RIGHT(L271, LEN(L271) - FIND("-", L271)))</f>
        <v>PC08 csc_Cột trung thế</v>
      </c>
      <c r="AJ271">
        <f t="shared" si="23"/>
        <v>9.4090000000000007E-2</v>
      </c>
      <c r="AK271">
        <f t="shared" si="24"/>
        <v>0.16066999999999998</v>
      </c>
      <c r="AL271" t="e">
        <f>VLOOKUP(L271,'[1]Tuyến cáp H04'!$B:$E,3,0)/1000</f>
        <v>#N/A</v>
      </c>
      <c r="AM271" t="e">
        <f>VLOOKUP(L271,'[1]Tuyến cáp H04'!$B:$E,4,0)</f>
        <v>#N/A</v>
      </c>
    </row>
    <row r="272" spans="1:39" x14ac:dyDescent="0.25">
      <c r="A272" s="1" t="s">
        <v>2393</v>
      </c>
      <c r="B272" s="1" t="s">
        <v>2394</v>
      </c>
      <c r="C272" s="1" t="s">
        <v>2395</v>
      </c>
      <c r="D272" s="1" t="s">
        <v>393</v>
      </c>
      <c r="E272" s="1" t="s">
        <v>394</v>
      </c>
      <c r="F272" s="1" t="s">
        <v>2396</v>
      </c>
      <c r="G272" s="1" t="s">
        <v>14281</v>
      </c>
      <c r="H272" s="1" t="s">
        <v>14282</v>
      </c>
      <c r="I272" s="1" t="s">
        <v>14395</v>
      </c>
      <c r="J272" s="1" t="s">
        <v>23</v>
      </c>
      <c r="K272" s="1"/>
      <c r="L272" s="1" t="s">
        <v>1569</v>
      </c>
      <c r="M272" s="8" t="s">
        <v>1569</v>
      </c>
      <c r="N272" s="1" t="b">
        <f t="shared" si="20"/>
        <v>1</v>
      </c>
      <c r="O272" s="1" t="s">
        <v>2397</v>
      </c>
      <c r="P272" s="1" t="s">
        <v>2398</v>
      </c>
      <c r="Q272" s="1" t="s">
        <v>2399</v>
      </c>
      <c r="R272" s="1" t="s">
        <v>2400</v>
      </c>
      <c r="S272" s="1" t="s">
        <v>1571</v>
      </c>
      <c r="T272" s="1" t="s">
        <v>1572</v>
      </c>
      <c r="U272" s="1" t="s">
        <v>1573</v>
      </c>
      <c r="V272" s="13">
        <f>COUNTIF(L272:$M$1659,L272)</f>
        <v>2</v>
      </c>
      <c r="W272" s="1" t="s">
        <v>1577</v>
      </c>
      <c r="X272">
        <v>814.18</v>
      </c>
      <c r="Y272">
        <v>65.98</v>
      </c>
      <c r="Z272">
        <v>12.238942</v>
      </c>
      <c r="AA272">
        <v>109.008505</v>
      </c>
      <c r="AB272">
        <v>748.2</v>
      </c>
      <c r="AC272">
        <v>12.262793</v>
      </c>
      <c r="AD272">
        <v>109.03595900000001</v>
      </c>
      <c r="AE272" s="5">
        <f t="shared" si="21"/>
        <v>9.8970000000000002E-2</v>
      </c>
      <c r="AF272" s="5">
        <f t="shared" si="22"/>
        <v>1.1223000000000001</v>
      </c>
      <c r="AG272" s="1" t="str">
        <f>TRIM(LEFT(L272,FIND("-",L272)-1))</f>
        <v>4.CA Diên Thọ</v>
      </c>
      <c r="AH272" s="1" t="str">
        <f>TRIM(RIGHT(L272, LEN(L272) - FIND("-", L272)))</f>
        <v>CA Diên Khánh</v>
      </c>
      <c r="AJ272">
        <f t="shared" si="23"/>
        <v>6.5980000000000011E-2</v>
      </c>
      <c r="AK272">
        <f t="shared" si="24"/>
        <v>0.74820000000000009</v>
      </c>
      <c r="AL272" t="e">
        <f>VLOOKUP(L272,'[1]Tuyến cáp H04'!$B:$E,3,0)/1000</f>
        <v>#N/A</v>
      </c>
      <c r="AM272" t="e">
        <f>VLOOKUP(L272,'[1]Tuyến cáp H04'!$B:$E,4,0)</f>
        <v>#N/A</v>
      </c>
    </row>
    <row r="273" spans="1:39" x14ac:dyDescent="0.25">
      <c r="A273" s="1" t="s">
        <v>2401</v>
      </c>
      <c r="B273" s="1" t="s">
        <v>2402</v>
      </c>
      <c r="C273" s="1" t="s">
        <v>2403</v>
      </c>
      <c r="D273" s="1" t="s">
        <v>572</v>
      </c>
      <c r="E273" s="1" t="s">
        <v>573</v>
      </c>
      <c r="F273" s="1" t="s">
        <v>2404</v>
      </c>
      <c r="G273" s="1" t="s">
        <v>14281</v>
      </c>
      <c r="H273" s="1" t="s">
        <v>14282</v>
      </c>
      <c r="I273" s="1" t="s">
        <v>14396</v>
      </c>
      <c r="J273" s="1" t="s">
        <v>23</v>
      </c>
      <c r="K273" s="1"/>
      <c r="L273" s="1" t="s">
        <v>1803</v>
      </c>
      <c r="M273" s="8" t="s">
        <v>1803</v>
      </c>
      <c r="N273" s="1" t="b">
        <f t="shared" si="20"/>
        <v>1</v>
      </c>
      <c r="O273" s="1" t="s">
        <v>2405</v>
      </c>
      <c r="P273" s="1" t="s">
        <v>2406</v>
      </c>
      <c r="Q273" s="1" t="s">
        <v>2407</v>
      </c>
      <c r="R273" s="1" t="s">
        <v>2408</v>
      </c>
      <c r="S273" s="1" t="s">
        <v>1808</v>
      </c>
      <c r="T273" s="1" t="s">
        <v>1809</v>
      </c>
      <c r="U273" s="1" t="s">
        <v>1810</v>
      </c>
      <c r="V273" s="13">
        <f>COUNTIF(L273:$M$1659,L273)</f>
        <v>2</v>
      </c>
      <c r="W273" s="1" t="s">
        <v>1811</v>
      </c>
      <c r="X273">
        <v>1820.48</v>
      </c>
      <c r="Y273">
        <v>1815.59</v>
      </c>
      <c r="Z273">
        <v>12.476967</v>
      </c>
      <c r="AA273">
        <v>109.12887000000001</v>
      </c>
      <c r="AB273">
        <v>4.88</v>
      </c>
      <c r="AC273">
        <v>12.509729999999999</v>
      </c>
      <c r="AD273">
        <v>109.137455</v>
      </c>
      <c r="AE273" s="5">
        <f t="shared" si="21"/>
        <v>2.7233849999999999</v>
      </c>
      <c r="AF273" s="5">
        <f t="shared" si="22"/>
        <v>7.3200000000000001E-3</v>
      </c>
      <c r="AG273" s="1" t="str">
        <f>TRIM(LEFT(L273,FIND("-",L273)-1))</f>
        <v>1.CA Ninh Hòa</v>
      </c>
      <c r="AH273" s="1" t="str">
        <f>TRIM(RIGHT(L273, LEN(L273) - FIND("-", L273)))</f>
        <v>CA Nam Ninh Hòa_Cột trung thế</v>
      </c>
      <c r="AJ273">
        <f t="shared" si="23"/>
        <v>1.8155899999999998</v>
      </c>
      <c r="AK273">
        <f t="shared" si="24"/>
        <v>4.8799999999999998E-3</v>
      </c>
      <c r="AL273" t="e">
        <f>VLOOKUP(L273,'[1]Tuyến cáp H04'!$B:$E,3,0)/1000</f>
        <v>#N/A</v>
      </c>
      <c r="AM273" t="e">
        <f>VLOOKUP(L273,'[1]Tuyến cáp H04'!$B:$E,4,0)</f>
        <v>#N/A</v>
      </c>
    </row>
    <row r="274" spans="1:39" x14ac:dyDescent="0.25">
      <c r="A274" s="1" t="s">
        <v>2409</v>
      </c>
      <c r="B274" s="1" t="s">
        <v>2410</v>
      </c>
      <c r="C274" s="1" t="s">
        <v>2411</v>
      </c>
      <c r="D274" s="1" t="s">
        <v>160</v>
      </c>
      <c r="E274" s="1" t="s">
        <v>161</v>
      </c>
      <c r="F274" s="1" t="s">
        <v>2412</v>
      </c>
      <c r="G274" s="1" t="s">
        <v>14281</v>
      </c>
      <c r="H274" s="1" t="s">
        <v>14282</v>
      </c>
      <c r="I274" s="1" t="s">
        <v>14397</v>
      </c>
      <c r="J274" s="1" t="s">
        <v>23</v>
      </c>
      <c r="K274" s="1"/>
      <c r="L274" s="1" t="s">
        <v>39</v>
      </c>
      <c r="M274" s="8" t="s">
        <v>39</v>
      </c>
      <c r="N274" s="1" t="b">
        <f t="shared" si="20"/>
        <v>1</v>
      </c>
      <c r="O274" s="1" t="s">
        <v>2413</v>
      </c>
      <c r="P274" s="1" t="s">
        <v>2414</v>
      </c>
      <c r="Q274" s="1" t="s">
        <v>2415</v>
      </c>
      <c r="R274" s="1" t="s">
        <v>2416</v>
      </c>
      <c r="S274" s="1" t="s">
        <v>2417</v>
      </c>
      <c r="T274" s="1" t="s">
        <v>42</v>
      </c>
      <c r="U274" s="1" t="s">
        <v>43</v>
      </c>
      <c r="V274" s="13">
        <f>COUNTIF(L274:$M$1659,L274)</f>
        <v>2</v>
      </c>
      <c r="W274" s="1" t="s">
        <v>47</v>
      </c>
      <c r="X274">
        <v>93.87</v>
      </c>
      <c r="Y274">
        <v>88.92</v>
      </c>
      <c r="Z274">
        <v>12.279602000000001</v>
      </c>
      <c r="AA274">
        <v>109.190867</v>
      </c>
      <c r="AB274">
        <v>4.96</v>
      </c>
      <c r="AC274">
        <v>12.278732</v>
      </c>
      <c r="AD274">
        <v>109.188858</v>
      </c>
      <c r="AE274" s="5">
        <f t="shared" si="21"/>
        <v>0.13338</v>
      </c>
      <c r="AF274" s="5">
        <f t="shared" si="22"/>
        <v>7.4399999999999996E-3</v>
      </c>
      <c r="AG274" s="1" t="str">
        <f>TRIM(LEFT(L274,FIND("-",L274)-1))</f>
        <v>1.CAT Khánh Hòa</v>
      </c>
      <c r="AH274" s="1" t="str">
        <f>TRIM(RIGHT(L274, LEN(L274) - FIND("-", L274)))</f>
        <v>PK02 cs1</v>
      </c>
      <c r="AJ274">
        <f t="shared" si="23"/>
        <v>8.8919999999999999E-2</v>
      </c>
      <c r="AK274">
        <f t="shared" si="24"/>
        <v>4.96E-3</v>
      </c>
      <c r="AL274" t="e">
        <f>VLOOKUP(L274,'[1]Tuyến cáp H04'!$B:$E,3,0)/1000</f>
        <v>#N/A</v>
      </c>
      <c r="AM274" t="e">
        <f>VLOOKUP(L274,'[1]Tuyến cáp H04'!$B:$E,4,0)</f>
        <v>#N/A</v>
      </c>
    </row>
    <row r="275" spans="1:39" x14ac:dyDescent="0.25">
      <c r="A275" s="1" t="s">
        <v>2418</v>
      </c>
      <c r="B275" s="1" t="s">
        <v>2419</v>
      </c>
      <c r="C275" s="1" t="s">
        <v>2420</v>
      </c>
      <c r="D275" s="1" t="s">
        <v>240</v>
      </c>
      <c r="E275" s="1" t="s">
        <v>241</v>
      </c>
      <c r="F275" s="1" t="s">
        <v>2421</v>
      </c>
      <c r="G275" s="1" t="s">
        <v>14281</v>
      </c>
      <c r="H275" s="1" t="s">
        <v>14282</v>
      </c>
      <c r="I275" s="1" t="s">
        <v>14398</v>
      </c>
      <c r="J275" s="1" t="s">
        <v>23</v>
      </c>
      <c r="K275" s="1"/>
      <c r="L275" s="1" t="s">
        <v>245</v>
      </c>
      <c r="M275" s="8" t="s">
        <v>245</v>
      </c>
      <c r="N275" s="1" t="b">
        <f t="shared" si="20"/>
        <v>1</v>
      </c>
      <c r="O275" s="1" t="s">
        <v>2422</v>
      </c>
      <c r="P275" s="1" t="s">
        <v>2423</v>
      </c>
      <c r="Q275" s="1" t="s">
        <v>251</v>
      </c>
      <c r="R275" s="1" t="s">
        <v>252</v>
      </c>
      <c r="S275" s="1" t="s">
        <v>247</v>
      </c>
      <c r="T275" s="1" t="s">
        <v>248</v>
      </c>
      <c r="U275" s="1" t="s">
        <v>249</v>
      </c>
      <c r="V275" s="13">
        <f>COUNTIF(L275:$M$1659,L275)</f>
        <v>4</v>
      </c>
      <c r="W275" s="1" t="s">
        <v>253</v>
      </c>
      <c r="X275">
        <v>2030.07</v>
      </c>
      <c r="Y275">
        <v>1856.87</v>
      </c>
      <c r="Z275">
        <v>12.235808</v>
      </c>
      <c r="AA275">
        <v>109.176413</v>
      </c>
      <c r="AB275">
        <v>173.2</v>
      </c>
      <c r="AC275">
        <v>12.235393999999999</v>
      </c>
      <c r="AD275">
        <v>109.18575199999999</v>
      </c>
      <c r="AE275" s="5">
        <f t="shared" si="21"/>
        <v>2.7853049999999997</v>
      </c>
      <c r="AF275" s="5">
        <f t="shared" si="22"/>
        <v>0.25979999999999998</v>
      </c>
      <c r="AG275" s="1" t="str">
        <f>TRIM(LEFT(L275,FIND("-",L275)-1))</f>
        <v>5. Cam Phước Đông</v>
      </c>
      <c r="AH275" s="1" t="str">
        <f>TRIM(RIGHT(L275, LEN(L275) - FIND("-", L275)))</f>
        <v>CAT Khánh Hòa</v>
      </c>
      <c r="AJ275">
        <f t="shared" si="23"/>
        <v>1.8568699999999998</v>
      </c>
      <c r="AK275">
        <f t="shared" si="24"/>
        <v>0.17319999999999999</v>
      </c>
      <c r="AL275" t="e">
        <f>VLOOKUP(L275,'[1]Tuyến cáp H04'!$B:$E,3,0)/1000</f>
        <v>#N/A</v>
      </c>
      <c r="AM275" t="e">
        <f>VLOOKUP(L275,'[1]Tuyến cáp H04'!$B:$E,4,0)</f>
        <v>#N/A</v>
      </c>
    </row>
    <row r="276" spans="1:39" x14ac:dyDescent="0.25">
      <c r="A276" s="1" t="s">
        <v>2424</v>
      </c>
      <c r="B276" s="1" t="s">
        <v>2425</v>
      </c>
      <c r="C276" s="1" t="s">
        <v>2426</v>
      </c>
      <c r="D276" s="1" t="s">
        <v>18</v>
      </c>
      <c r="E276" s="1" t="s">
        <v>19</v>
      </c>
      <c r="F276" s="1" t="s">
        <v>2427</v>
      </c>
      <c r="G276" s="1" t="s">
        <v>14281</v>
      </c>
      <c r="H276" s="1" t="s">
        <v>14282</v>
      </c>
      <c r="I276" s="1" t="s">
        <v>14399</v>
      </c>
      <c r="J276" s="1" t="s">
        <v>23</v>
      </c>
      <c r="K276" s="1"/>
      <c r="L276" s="1" t="s">
        <v>2428</v>
      </c>
      <c r="M276" s="8" t="s">
        <v>2428</v>
      </c>
      <c r="N276" s="1" t="b">
        <f t="shared" si="20"/>
        <v>1</v>
      </c>
      <c r="O276" s="1" t="s">
        <v>2429</v>
      </c>
      <c r="P276" s="1" t="s">
        <v>2430</v>
      </c>
      <c r="Q276" s="1" t="s">
        <v>2431</v>
      </c>
      <c r="R276" s="1" t="s">
        <v>2432</v>
      </c>
      <c r="S276" s="1" t="s">
        <v>2433</v>
      </c>
      <c r="T276" s="1" t="s">
        <v>2434</v>
      </c>
      <c r="U276" s="1" t="s">
        <v>2435</v>
      </c>
      <c r="V276" s="13">
        <f>COUNTIF(L276:$M$1659,L276)</f>
        <v>2</v>
      </c>
      <c r="W276" s="1" t="s">
        <v>2436</v>
      </c>
      <c r="X276">
        <v>277.79000000000002</v>
      </c>
      <c r="Y276">
        <v>276.13</v>
      </c>
      <c r="Z276">
        <v>12.248199</v>
      </c>
      <c r="AA276">
        <v>109.18584</v>
      </c>
      <c r="AB276">
        <v>1.67</v>
      </c>
      <c r="AC276">
        <v>12.248073</v>
      </c>
      <c r="AD276">
        <v>109.185785</v>
      </c>
      <c r="AE276" s="5">
        <f t="shared" si="21"/>
        <v>0.41419499999999998</v>
      </c>
      <c r="AF276" s="5">
        <f t="shared" si="22"/>
        <v>2.5049999999999998E-3</v>
      </c>
      <c r="AG276" s="1" t="str">
        <f>TRIM(LEFT(L276,FIND("-",L276)-1))</f>
        <v>Tuyến nhánh PC08 csc</v>
      </c>
      <c r="AH276" s="1" t="str">
        <f>TRIM(RIGHT(L276, LEN(L276) - FIND("-", L276)))</f>
        <v>PC08 (xử lý vi phạm)</v>
      </c>
      <c r="AJ276">
        <f t="shared" si="23"/>
        <v>0.27612999999999999</v>
      </c>
      <c r="AK276">
        <f t="shared" si="24"/>
        <v>1.6699999999999998E-3</v>
      </c>
      <c r="AL276" t="e">
        <f>VLOOKUP(L276,'[1]Tuyến cáp H04'!$B:$E,3,0)/1000</f>
        <v>#N/A</v>
      </c>
      <c r="AM276" t="e">
        <f>VLOOKUP(L276,'[1]Tuyến cáp H04'!$B:$E,4,0)</f>
        <v>#N/A</v>
      </c>
    </row>
    <row r="277" spans="1:39" x14ac:dyDescent="0.25">
      <c r="A277" s="1" t="s">
        <v>2437</v>
      </c>
      <c r="B277" s="1" t="s">
        <v>2438</v>
      </c>
      <c r="C277" s="1" t="s">
        <v>2439</v>
      </c>
      <c r="D277" s="1" t="s">
        <v>92</v>
      </c>
      <c r="E277" s="1" t="s">
        <v>93</v>
      </c>
      <c r="F277" s="1" t="s">
        <v>2440</v>
      </c>
      <c r="G277" s="1" t="s">
        <v>14281</v>
      </c>
      <c r="H277" s="1" t="s">
        <v>14282</v>
      </c>
      <c r="I277" s="1" t="s">
        <v>14400</v>
      </c>
      <c r="J277" s="1" t="s">
        <v>23</v>
      </c>
      <c r="K277" s="1"/>
      <c r="L277" s="1" t="s">
        <v>2441</v>
      </c>
      <c r="M277" s="8" t="s">
        <v>2441</v>
      </c>
      <c r="N277" s="1" t="b">
        <f t="shared" si="20"/>
        <v>1</v>
      </c>
      <c r="O277" s="1" t="s">
        <v>2442</v>
      </c>
      <c r="P277" s="1" t="s">
        <v>2142</v>
      </c>
      <c r="Q277" s="1" t="s">
        <v>2443</v>
      </c>
      <c r="R277" s="1" t="s">
        <v>2444</v>
      </c>
      <c r="S277" s="1" t="s">
        <v>2445</v>
      </c>
      <c r="T277" s="1" t="s">
        <v>2446</v>
      </c>
      <c r="U277" s="1" t="s">
        <v>2447</v>
      </c>
      <c r="V277" s="13">
        <f>COUNTIF(L277:$M$1659,L277)</f>
        <v>5</v>
      </c>
      <c r="W277" s="1" t="s">
        <v>2448</v>
      </c>
      <c r="X277">
        <v>481.67</v>
      </c>
      <c r="Y277">
        <v>198.19</v>
      </c>
      <c r="Z277">
        <v>12.239117</v>
      </c>
      <c r="AA277">
        <v>109.18664200000001</v>
      </c>
      <c r="AB277">
        <v>283.48</v>
      </c>
      <c r="AC277">
        <v>12.243925000000001</v>
      </c>
      <c r="AD277">
        <v>109.189556</v>
      </c>
      <c r="AE277" s="5">
        <f t="shared" si="21"/>
        <v>0.29728499999999997</v>
      </c>
      <c r="AF277" s="5">
        <f t="shared" si="22"/>
        <v>0.42522000000000004</v>
      </c>
      <c r="AG277" s="1" t="str">
        <f>TRIM(LEFT(L277,FIND("-",L277)-1))</f>
        <v>1.CATP Nha trang cũ</v>
      </c>
      <c r="AH277" s="1" t="str">
        <f>TRIM(RIGHT(L277, LEN(L277) - FIND("-", L277)))</f>
        <v>PC07</v>
      </c>
      <c r="AJ277">
        <f t="shared" si="23"/>
        <v>0.19819000000000001</v>
      </c>
      <c r="AK277">
        <f t="shared" si="24"/>
        <v>0.28348000000000001</v>
      </c>
      <c r="AL277" t="e">
        <f>VLOOKUP(L277,'[1]Tuyến cáp H04'!$B:$E,3,0)/1000</f>
        <v>#N/A</v>
      </c>
      <c r="AM277" t="e">
        <f>VLOOKUP(L277,'[1]Tuyến cáp H04'!$B:$E,4,0)</f>
        <v>#N/A</v>
      </c>
    </row>
    <row r="278" spans="1:39" x14ac:dyDescent="0.25">
      <c r="A278" s="1" t="s">
        <v>2449</v>
      </c>
      <c r="B278" s="1" t="s">
        <v>2450</v>
      </c>
      <c r="C278" s="1" t="s">
        <v>2451</v>
      </c>
      <c r="D278" s="1" t="s">
        <v>211</v>
      </c>
      <c r="E278" s="1" t="s">
        <v>212</v>
      </c>
      <c r="F278" s="1" t="s">
        <v>2452</v>
      </c>
      <c r="G278" s="1" t="s">
        <v>14281</v>
      </c>
      <c r="H278" s="1" t="s">
        <v>14282</v>
      </c>
      <c r="I278" s="1" t="s">
        <v>14401</v>
      </c>
      <c r="J278" s="1" t="s">
        <v>23</v>
      </c>
      <c r="K278" s="1"/>
      <c r="L278" s="1" t="s">
        <v>214</v>
      </c>
      <c r="M278" s="8" t="s">
        <v>214</v>
      </c>
      <c r="N278" s="1" t="b">
        <f t="shared" si="20"/>
        <v>1</v>
      </c>
      <c r="O278" s="1" t="s">
        <v>2453</v>
      </c>
      <c r="P278" s="1" t="s">
        <v>2454</v>
      </c>
      <c r="Q278" s="1" t="s">
        <v>2455</v>
      </c>
      <c r="R278" s="1" t="s">
        <v>2456</v>
      </c>
      <c r="S278" s="1" t="s">
        <v>219</v>
      </c>
      <c r="T278" s="1" t="s">
        <v>220</v>
      </c>
      <c r="U278" s="1" t="s">
        <v>221</v>
      </c>
      <c r="V278" s="13">
        <f>COUNTIF(L278:$M$1659,L278)</f>
        <v>2</v>
      </c>
      <c r="W278" s="1" t="s">
        <v>222</v>
      </c>
      <c r="X278">
        <v>415.64</v>
      </c>
      <c r="Y278">
        <v>411.64</v>
      </c>
      <c r="Z278">
        <v>12.252363000000001</v>
      </c>
      <c r="AA278">
        <v>109.192133</v>
      </c>
      <c r="AB278">
        <v>4</v>
      </c>
      <c r="AC278">
        <v>12.251158999999999</v>
      </c>
      <c r="AD278">
        <v>109.186369</v>
      </c>
      <c r="AE278" s="5">
        <f t="shared" si="21"/>
        <v>0.61746000000000001</v>
      </c>
      <c r="AF278" s="5">
        <f t="shared" si="22"/>
        <v>6.0000000000000001E-3</v>
      </c>
      <c r="AG278" s="1" t="str">
        <f>TRIM(LEFT(L278,FIND("-",L278)-1))</f>
        <v>3.CA Nha Trang</v>
      </c>
      <c r="AH278" s="1" t="str">
        <f>TRIM(RIGHT(L278, LEN(L278) - FIND("-", L278)))</f>
        <v>CA Tây Nha Trang_Cột trung thế</v>
      </c>
      <c r="AJ278">
        <f t="shared" si="23"/>
        <v>0.41164000000000001</v>
      </c>
      <c r="AK278">
        <f t="shared" si="24"/>
        <v>4.0000000000000001E-3</v>
      </c>
      <c r="AL278" t="e">
        <f>VLOOKUP(L278,'[1]Tuyến cáp H04'!$B:$E,3,0)/1000</f>
        <v>#N/A</v>
      </c>
      <c r="AM278" t="e">
        <f>VLOOKUP(L278,'[1]Tuyến cáp H04'!$B:$E,4,0)</f>
        <v>#N/A</v>
      </c>
    </row>
    <row r="279" spans="1:39" x14ac:dyDescent="0.25">
      <c r="A279" s="1" t="s">
        <v>2457</v>
      </c>
      <c r="B279" s="1" t="s">
        <v>2458</v>
      </c>
      <c r="C279" s="1" t="s">
        <v>2459</v>
      </c>
      <c r="D279" s="1" t="s">
        <v>211</v>
      </c>
      <c r="E279" s="1" t="s">
        <v>212</v>
      </c>
      <c r="F279" s="1" t="s">
        <v>2460</v>
      </c>
      <c r="G279" s="1" t="s">
        <v>14281</v>
      </c>
      <c r="H279" s="1" t="s">
        <v>14282</v>
      </c>
      <c r="I279" s="1" t="s">
        <v>14402</v>
      </c>
      <c r="J279" s="1" t="s">
        <v>23</v>
      </c>
      <c r="K279" s="1"/>
      <c r="L279" s="1" t="s">
        <v>268</v>
      </c>
      <c r="M279" s="8" t="s">
        <v>268</v>
      </c>
      <c r="N279" s="1" t="b">
        <f t="shared" si="20"/>
        <v>1</v>
      </c>
      <c r="O279" s="1" t="s">
        <v>2461</v>
      </c>
      <c r="P279" s="1" t="s">
        <v>2462</v>
      </c>
      <c r="Q279" s="1" t="s">
        <v>2463</v>
      </c>
      <c r="R279" s="1" t="s">
        <v>2464</v>
      </c>
      <c r="S279" s="1" t="s">
        <v>538</v>
      </c>
      <c r="T279" s="1" t="s">
        <v>539</v>
      </c>
      <c r="U279" s="1" t="s">
        <v>540</v>
      </c>
      <c r="V279" s="13">
        <f>COUNTIF(L279:$M$1659,L279)</f>
        <v>2</v>
      </c>
      <c r="W279" s="1" t="s">
        <v>276</v>
      </c>
      <c r="X279">
        <v>291.64</v>
      </c>
      <c r="Y279">
        <v>289.27</v>
      </c>
      <c r="Z279">
        <v>12.251707</v>
      </c>
      <c r="AA279">
        <v>109.186132</v>
      </c>
      <c r="AB279">
        <v>2.37</v>
      </c>
      <c r="AC279">
        <v>12.251134</v>
      </c>
      <c r="AD279">
        <v>109.186421</v>
      </c>
      <c r="AE279" s="5">
        <f t="shared" si="21"/>
        <v>0.43390499999999999</v>
      </c>
      <c r="AF279" s="5">
        <f t="shared" si="22"/>
        <v>3.555E-3</v>
      </c>
      <c r="AG279" s="1" t="str">
        <f>TRIM(LEFT(L279,FIND("-",L279)-1))</f>
        <v>4.CA Tây Nha Trang</v>
      </c>
      <c r="AH279" s="1" t="str">
        <f>TRIM(RIGHT(L279, LEN(L279) - FIND("-", L279)))</f>
        <v>TTCMKV Diên Khánh</v>
      </c>
      <c r="AJ279">
        <f t="shared" si="23"/>
        <v>0.28926999999999997</v>
      </c>
      <c r="AK279">
        <f t="shared" si="24"/>
        <v>2.3700000000000001E-3</v>
      </c>
      <c r="AL279" t="e">
        <f>VLOOKUP(L279,'[1]Tuyến cáp H04'!$B:$E,3,0)/1000</f>
        <v>#N/A</v>
      </c>
      <c r="AM279" t="e">
        <f>VLOOKUP(L279,'[1]Tuyến cáp H04'!$B:$E,4,0)</f>
        <v>#N/A</v>
      </c>
    </row>
    <row r="280" spans="1:39" x14ac:dyDescent="0.25">
      <c r="A280" s="1" t="s">
        <v>2465</v>
      </c>
      <c r="B280" s="1" t="s">
        <v>2466</v>
      </c>
      <c r="C280" s="1" t="s">
        <v>2467</v>
      </c>
      <c r="D280" s="1" t="s">
        <v>211</v>
      </c>
      <c r="E280" s="1" t="s">
        <v>212</v>
      </c>
      <c r="F280" s="1" t="s">
        <v>2468</v>
      </c>
      <c r="G280" s="1" t="s">
        <v>14281</v>
      </c>
      <c r="H280" s="1" t="s">
        <v>14282</v>
      </c>
      <c r="I280" s="1" t="s">
        <v>14403</v>
      </c>
      <c r="J280" s="1" t="s">
        <v>23</v>
      </c>
      <c r="K280" s="1"/>
      <c r="L280" s="1" t="s">
        <v>1552</v>
      </c>
      <c r="M280" s="8" t="s">
        <v>1552</v>
      </c>
      <c r="N280" s="1" t="b">
        <f t="shared" si="20"/>
        <v>1</v>
      </c>
      <c r="O280" s="1" t="s">
        <v>2469</v>
      </c>
      <c r="P280" s="1" t="s">
        <v>2470</v>
      </c>
      <c r="Q280" s="1" t="s">
        <v>2471</v>
      </c>
      <c r="R280" s="1" t="s">
        <v>2472</v>
      </c>
      <c r="S280" s="1" t="s">
        <v>2473</v>
      </c>
      <c r="T280" s="1" t="s">
        <v>2474</v>
      </c>
      <c r="U280" s="1" t="s">
        <v>2475</v>
      </c>
      <c r="V280" s="13">
        <f>COUNTIF(L280:$M$1659,L280)</f>
        <v>4</v>
      </c>
      <c r="W280" s="1" t="s">
        <v>2476</v>
      </c>
      <c r="X280">
        <v>492.85</v>
      </c>
      <c r="Y280">
        <v>63.74</v>
      </c>
      <c r="Z280">
        <v>12.26135</v>
      </c>
      <c r="AA280">
        <v>109.19110000000001</v>
      </c>
      <c r="AB280">
        <v>429.11</v>
      </c>
      <c r="AC280">
        <v>12.253068000000001</v>
      </c>
      <c r="AD280">
        <v>109.18982099999999</v>
      </c>
      <c r="AE280" s="5">
        <f t="shared" si="21"/>
        <v>9.5610000000000001E-2</v>
      </c>
      <c r="AF280" s="5">
        <f t="shared" si="22"/>
        <v>0.64366499999999993</v>
      </c>
      <c r="AG280" s="1" t="str">
        <f>TRIM(LEFT(L280,FIND("-",L280)-1))</f>
        <v>5.Vạn Ninh</v>
      </c>
      <c r="AH280" s="1" t="str">
        <f>TRIM(RIGHT(L280, LEN(L280) - FIND("-", L280)))</f>
        <v>CAT Khánh Hòa</v>
      </c>
      <c r="AJ280">
        <f t="shared" si="23"/>
        <v>6.3740000000000005E-2</v>
      </c>
      <c r="AK280">
        <f t="shared" si="24"/>
        <v>0.42910999999999999</v>
      </c>
      <c r="AL280" t="e">
        <f>VLOOKUP(L280,'[1]Tuyến cáp H04'!$B:$E,3,0)/1000</f>
        <v>#N/A</v>
      </c>
      <c r="AM280" t="e">
        <f>VLOOKUP(L280,'[1]Tuyến cáp H04'!$B:$E,4,0)</f>
        <v>#N/A</v>
      </c>
    </row>
    <row r="281" spans="1:39" x14ac:dyDescent="0.25">
      <c r="A281" s="1" t="s">
        <v>2477</v>
      </c>
      <c r="B281" s="1" t="s">
        <v>2478</v>
      </c>
      <c r="C281" s="1" t="s">
        <v>2479</v>
      </c>
      <c r="D281" s="1" t="s">
        <v>130</v>
      </c>
      <c r="E281" s="1" t="s">
        <v>131</v>
      </c>
      <c r="F281" s="1" t="s">
        <v>2480</v>
      </c>
      <c r="G281" s="1" t="s">
        <v>14281</v>
      </c>
      <c r="H281" s="1" t="s">
        <v>14282</v>
      </c>
      <c r="I281" s="1" t="s">
        <v>14404</v>
      </c>
      <c r="J281" s="1" t="s">
        <v>23</v>
      </c>
      <c r="K281" s="1"/>
      <c r="L281" s="1" t="s">
        <v>144</v>
      </c>
      <c r="M281" s="8" t="s">
        <v>2441</v>
      </c>
      <c r="N281" s="12" t="b">
        <f t="shared" si="20"/>
        <v>0</v>
      </c>
      <c r="O281" s="1" t="s">
        <v>2481</v>
      </c>
      <c r="P281" s="1" t="s">
        <v>2482</v>
      </c>
      <c r="Q281" s="1" t="s">
        <v>150</v>
      </c>
      <c r="R281" s="1" t="s">
        <v>151</v>
      </c>
      <c r="S281" s="1" t="s">
        <v>146</v>
      </c>
      <c r="T281" s="1" t="s">
        <v>147</v>
      </c>
      <c r="U281" s="1" t="s">
        <v>148</v>
      </c>
      <c r="V281" s="13">
        <f>COUNTIF(L281:$M$1659,L281)</f>
        <v>3</v>
      </c>
      <c r="W281" s="1" t="s">
        <v>152</v>
      </c>
      <c r="X281">
        <v>336266.77</v>
      </c>
      <c r="Y281">
        <v>192483.97</v>
      </c>
      <c r="Z281">
        <v>13.966175</v>
      </c>
      <c r="AA281">
        <v>109.030287</v>
      </c>
      <c r="AB281">
        <v>143782.79999999999</v>
      </c>
      <c r="AC281">
        <v>14.360149</v>
      </c>
      <c r="AD281">
        <v>108.97062</v>
      </c>
      <c r="AE281" s="5">
        <f t="shared" si="21"/>
        <v>288.725955</v>
      </c>
      <c r="AF281" s="5">
        <f t="shared" si="22"/>
        <v>215.67419999999998</v>
      </c>
      <c r="AG281" s="1" t="str">
        <f>TRIM(LEFT(L281,FIND("-",L281)-1))</f>
        <v>Hoài Ân</v>
      </c>
      <c r="AH281" s="1" t="str">
        <f>TRIM(RIGHT(L281, LEN(L281) - FIND("-", L281)))</f>
        <v>Vĩnh Kim</v>
      </c>
      <c r="AJ281">
        <f t="shared" si="23"/>
        <v>192.48397</v>
      </c>
      <c r="AK281">
        <f t="shared" si="24"/>
        <v>143.78279999999998</v>
      </c>
      <c r="AL281" t="e">
        <f>VLOOKUP(L281,'[1]Tuyến cáp H04'!$B:$E,3,0)/1000</f>
        <v>#N/A</v>
      </c>
      <c r="AM281" t="e">
        <f>VLOOKUP(L281,'[1]Tuyến cáp H04'!$B:$E,4,0)</f>
        <v>#N/A</v>
      </c>
    </row>
    <row r="282" spans="1:39" x14ac:dyDescent="0.25">
      <c r="A282" s="1" t="s">
        <v>2483</v>
      </c>
      <c r="B282" s="1" t="s">
        <v>2484</v>
      </c>
      <c r="C282" s="1" t="s">
        <v>2485</v>
      </c>
      <c r="D282" s="1" t="s">
        <v>198</v>
      </c>
      <c r="E282" s="1" t="s">
        <v>199</v>
      </c>
      <c r="F282" s="1" t="s">
        <v>2486</v>
      </c>
      <c r="G282" s="1" t="s">
        <v>14281</v>
      </c>
      <c r="H282" s="1" t="s">
        <v>14282</v>
      </c>
      <c r="I282" s="1" t="s">
        <v>14405</v>
      </c>
      <c r="J282" s="1" t="s">
        <v>23</v>
      </c>
      <c r="K282" s="1"/>
      <c r="L282" s="1" t="s">
        <v>2150</v>
      </c>
      <c r="M282" s="8" t="s">
        <v>2150</v>
      </c>
      <c r="N282" s="1" t="b">
        <f t="shared" si="20"/>
        <v>1</v>
      </c>
      <c r="O282" s="1" t="s">
        <v>2487</v>
      </c>
      <c r="P282" s="1" t="s">
        <v>2488</v>
      </c>
      <c r="Q282" s="1" t="s">
        <v>2153</v>
      </c>
      <c r="R282" s="1" t="s">
        <v>2154</v>
      </c>
      <c r="S282" s="1" t="s">
        <v>922</v>
      </c>
      <c r="T282" s="1" t="s">
        <v>2153</v>
      </c>
      <c r="U282" s="1" t="s">
        <v>2154</v>
      </c>
      <c r="V282" s="13">
        <f>COUNTIF(L282:$M$1659,L282)</f>
        <v>4</v>
      </c>
      <c r="W282" s="1" t="s">
        <v>2155</v>
      </c>
      <c r="X282">
        <v>1335.1</v>
      </c>
      <c r="Y282">
        <v>1329.92</v>
      </c>
      <c r="Z282">
        <v>12.256762</v>
      </c>
      <c r="AA282">
        <v>109.197648</v>
      </c>
      <c r="AB282">
        <v>5.18</v>
      </c>
      <c r="AC282">
        <v>12.256762</v>
      </c>
      <c r="AD282">
        <v>109.197648</v>
      </c>
      <c r="AE282" s="5">
        <f t="shared" si="21"/>
        <v>1.9948800000000002</v>
      </c>
      <c r="AF282" s="5">
        <f t="shared" si="22"/>
        <v>7.77E-3</v>
      </c>
      <c r="AG282" s="1" t="str">
        <f>TRIM(LEFT(L282,FIND("-",L282)-1))</f>
        <v>Tuyến nhánh PA06 cs1</v>
      </c>
      <c r="AH282" s="1" t="str">
        <f>TRIM(RIGHT(L282, LEN(L282) - FIND("-", L282)))</f>
        <v>Nhà nghỉ dưỡng 378 BCA_Cột trung thế</v>
      </c>
      <c r="AJ282">
        <f t="shared" si="23"/>
        <v>1.32992</v>
      </c>
      <c r="AK282">
        <f t="shared" si="24"/>
        <v>5.1799999999999997E-3</v>
      </c>
      <c r="AL282" t="e">
        <f>VLOOKUP(L282,'[1]Tuyến cáp H04'!$B:$E,3,0)/1000</f>
        <v>#N/A</v>
      </c>
      <c r="AM282" t="e">
        <f>VLOOKUP(L282,'[1]Tuyến cáp H04'!$B:$E,4,0)</f>
        <v>#N/A</v>
      </c>
    </row>
    <row r="283" spans="1:39" x14ac:dyDescent="0.25">
      <c r="A283" s="1" t="s">
        <v>2489</v>
      </c>
      <c r="B283" s="1" t="s">
        <v>2490</v>
      </c>
      <c r="C283" s="1" t="s">
        <v>2491</v>
      </c>
      <c r="D283" s="1" t="s">
        <v>2492</v>
      </c>
      <c r="E283" s="1" t="s">
        <v>2493</v>
      </c>
      <c r="F283" s="1" t="s">
        <v>2494</v>
      </c>
      <c r="G283" s="1" t="s">
        <v>14281</v>
      </c>
      <c r="H283" s="1" t="s">
        <v>14282</v>
      </c>
      <c r="I283" s="1" t="s">
        <v>14406</v>
      </c>
      <c r="J283" s="1" t="s">
        <v>23</v>
      </c>
      <c r="K283" s="1"/>
      <c r="L283" s="1" t="s">
        <v>434</v>
      </c>
      <c r="M283" s="8" t="s">
        <v>434</v>
      </c>
      <c r="N283" s="1" t="b">
        <f t="shared" si="20"/>
        <v>1</v>
      </c>
      <c r="O283" s="1" t="s">
        <v>2495</v>
      </c>
      <c r="P283" s="1" t="s">
        <v>2496</v>
      </c>
      <c r="Q283" s="1" t="s">
        <v>2497</v>
      </c>
      <c r="R283" s="1" t="s">
        <v>2498</v>
      </c>
      <c r="S283" s="1" t="s">
        <v>2499</v>
      </c>
      <c r="T283" s="1" t="s">
        <v>2500</v>
      </c>
      <c r="U283" s="1" t="s">
        <v>2501</v>
      </c>
      <c r="V283" s="13">
        <f>COUNTIF(L283:$M$1659,L283)</f>
        <v>2</v>
      </c>
      <c r="W283" s="1" t="s">
        <v>442</v>
      </c>
      <c r="X283">
        <v>208.64</v>
      </c>
      <c r="Y283">
        <v>205.15</v>
      </c>
      <c r="Z283">
        <v>12.351702</v>
      </c>
      <c r="AA283">
        <v>108.978459</v>
      </c>
      <c r="AB283">
        <v>3.48</v>
      </c>
      <c r="AC283">
        <v>12.358867999999999</v>
      </c>
      <c r="AD283">
        <v>108.96072599999999</v>
      </c>
      <c r="AE283" s="5">
        <f t="shared" si="21"/>
        <v>0.30772500000000003</v>
      </c>
      <c r="AF283" s="5">
        <f t="shared" si="22"/>
        <v>5.2199999999999998E-3</v>
      </c>
      <c r="AG283" s="1" t="str">
        <f>TRIM(LEFT(L283,FIND("-",L283)-1))</f>
        <v>3.CA Diên Lâm</v>
      </c>
      <c r="AH283" s="1" t="str">
        <f>TRIM(RIGHT(L283, LEN(L283) - FIND("-", L283)))</f>
        <v>CA Bắc Khánh Vĩnh_Cột trung thế</v>
      </c>
      <c r="AJ283">
        <f t="shared" si="23"/>
        <v>0.20515</v>
      </c>
      <c r="AK283">
        <f t="shared" si="24"/>
        <v>3.48E-3</v>
      </c>
      <c r="AL283" t="e">
        <f>VLOOKUP(L283,'[1]Tuyến cáp H04'!$B:$E,3,0)/1000</f>
        <v>#N/A</v>
      </c>
      <c r="AM283" t="e">
        <f>VLOOKUP(L283,'[1]Tuyến cáp H04'!$B:$E,4,0)</f>
        <v>#N/A</v>
      </c>
    </row>
    <row r="284" spans="1:39" x14ac:dyDescent="0.25">
      <c r="A284" s="1" t="s">
        <v>2502</v>
      </c>
      <c r="B284" s="1" t="s">
        <v>2045</v>
      </c>
      <c r="C284" s="1" t="s">
        <v>2046</v>
      </c>
      <c r="D284" s="1" t="s">
        <v>2492</v>
      </c>
      <c r="E284" s="1" t="s">
        <v>2493</v>
      </c>
      <c r="F284" s="1" t="s">
        <v>2503</v>
      </c>
      <c r="G284" s="1" t="s">
        <v>14281</v>
      </c>
      <c r="H284" s="1" t="s">
        <v>14282</v>
      </c>
      <c r="I284" s="1" t="s">
        <v>14407</v>
      </c>
      <c r="J284" s="1" t="s">
        <v>23</v>
      </c>
      <c r="K284" s="1"/>
      <c r="L284" s="1" t="s">
        <v>2048</v>
      </c>
      <c r="M284" s="8" t="s">
        <v>2048</v>
      </c>
      <c r="N284" s="1" t="b">
        <f t="shared" si="20"/>
        <v>1</v>
      </c>
      <c r="O284" s="1" t="s">
        <v>2504</v>
      </c>
      <c r="P284" s="1" t="s">
        <v>2053</v>
      </c>
      <c r="Q284" s="1" t="s">
        <v>2054</v>
      </c>
      <c r="R284" s="1" t="s">
        <v>2055</v>
      </c>
      <c r="S284" s="1" t="s">
        <v>2505</v>
      </c>
      <c r="T284" s="1" t="s">
        <v>2506</v>
      </c>
      <c r="U284" s="1" t="s">
        <v>2507</v>
      </c>
      <c r="V284" s="13">
        <f>COUNTIF(L284:$M$1659,L284)</f>
        <v>2</v>
      </c>
      <c r="W284" s="1" t="s">
        <v>2056</v>
      </c>
      <c r="X284">
        <v>90.56</v>
      </c>
      <c r="Y284">
        <v>88.59</v>
      </c>
      <c r="Z284">
        <v>12.384285999999999</v>
      </c>
      <c r="AA284">
        <v>108.95461400000001</v>
      </c>
      <c r="AB284">
        <v>1.97</v>
      </c>
      <c r="AC284">
        <v>12.358832</v>
      </c>
      <c r="AD284">
        <v>108.96069900000001</v>
      </c>
      <c r="AE284" s="5">
        <f t="shared" si="21"/>
        <v>0.132885</v>
      </c>
      <c r="AF284" s="5">
        <f t="shared" si="22"/>
        <v>2.9550000000000002E-3</v>
      </c>
      <c r="AG284" s="1" t="str">
        <f>TRIM(LEFT(L284,FIND("-",L284)-1))</f>
        <v>Tuyến nhánh CA Bắc Khánh Vĩnh</v>
      </c>
      <c r="AH284" s="1" t="str">
        <f>TRIM(RIGHT(L284, LEN(L284) - FIND("-", L284)))</f>
        <v>Trung tâm Cai nghiện Khánh Bình_Cột trung thế</v>
      </c>
      <c r="AJ284">
        <f t="shared" si="23"/>
        <v>8.8590000000000002E-2</v>
      </c>
      <c r="AK284">
        <f t="shared" si="24"/>
        <v>1.97E-3</v>
      </c>
      <c r="AL284" t="e">
        <f>VLOOKUP(L284,'[1]Tuyến cáp H04'!$B:$E,3,0)/1000</f>
        <v>#N/A</v>
      </c>
      <c r="AM284" t="e">
        <f>VLOOKUP(L284,'[1]Tuyến cáp H04'!$B:$E,4,0)</f>
        <v>#N/A</v>
      </c>
    </row>
    <row r="285" spans="1:39" x14ac:dyDescent="0.25">
      <c r="A285" s="1" t="s">
        <v>2508</v>
      </c>
      <c r="B285" s="1" t="s">
        <v>2509</v>
      </c>
      <c r="C285" s="1" t="s">
        <v>2510</v>
      </c>
      <c r="D285" s="1" t="s">
        <v>2492</v>
      </c>
      <c r="E285" s="1" t="s">
        <v>2493</v>
      </c>
      <c r="F285" s="1" t="s">
        <v>2511</v>
      </c>
      <c r="G285" s="1" t="s">
        <v>14281</v>
      </c>
      <c r="H285" s="1" t="s">
        <v>14282</v>
      </c>
      <c r="I285" s="1" t="s">
        <v>14408</v>
      </c>
      <c r="J285" s="1" t="s">
        <v>23</v>
      </c>
      <c r="K285" s="1"/>
      <c r="L285" s="1" t="s">
        <v>2512</v>
      </c>
      <c r="M285" s="8" t="s">
        <v>2512</v>
      </c>
      <c r="N285" s="1" t="b">
        <f t="shared" si="20"/>
        <v>1</v>
      </c>
      <c r="O285" s="1" t="s">
        <v>2513</v>
      </c>
      <c r="P285" s="1" t="s">
        <v>2514</v>
      </c>
      <c r="Q285" s="1" t="s">
        <v>2515</v>
      </c>
      <c r="R285" s="1" t="s">
        <v>2516</v>
      </c>
      <c r="S285" s="1" t="s">
        <v>2517</v>
      </c>
      <c r="T285" s="1" t="s">
        <v>2518</v>
      </c>
      <c r="U285" s="1" t="s">
        <v>2519</v>
      </c>
      <c r="V285" s="13">
        <f>COUNTIF(L285:$M$1659,L285)</f>
        <v>2</v>
      </c>
      <c r="W285" s="1" t="s">
        <v>2520</v>
      </c>
      <c r="X285">
        <v>80.53</v>
      </c>
      <c r="Y285">
        <v>77.17</v>
      </c>
      <c r="Z285">
        <v>12.376333000000001</v>
      </c>
      <c r="AA285">
        <v>108.936274</v>
      </c>
      <c r="AB285">
        <v>3.37</v>
      </c>
      <c r="AC285">
        <v>12.358874999999999</v>
      </c>
      <c r="AD285">
        <v>108.960717</v>
      </c>
      <c r="AE285" s="5">
        <f t="shared" si="21"/>
        <v>0.115755</v>
      </c>
      <c r="AF285" s="5">
        <f t="shared" si="22"/>
        <v>5.0549999999999996E-3</v>
      </c>
      <c r="AG285" s="1" t="str">
        <f>TRIM(LEFT(L285,FIND("-",L285)-1))</f>
        <v>4.CA Bắc Khánh Vĩnh</v>
      </c>
      <c r="AH285" s="1" t="str">
        <f>TRIM(RIGHT(L285, LEN(L285) - FIND("-", L285)))</f>
        <v>CA Trung Khánh Vĩnh_Cột trung thế</v>
      </c>
      <c r="AJ285">
        <f t="shared" si="23"/>
        <v>7.7170000000000002E-2</v>
      </c>
      <c r="AK285">
        <f t="shared" si="24"/>
        <v>3.3700000000000002E-3</v>
      </c>
      <c r="AL285" t="e">
        <f>VLOOKUP(L285,'[1]Tuyến cáp H04'!$B:$E,3,0)/1000</f>
        <v>#N/A</v>
      </c>
      <c r="AM285" t="e">
        <f>VLOOKUP(L285,'[1]Tuyến cáp H04'!$B:$E,4,0)</f>
        <v>#N/A</v>
      </c>
    </row>
    <row r="286" spans="1:39" x14ac:dyDescent="0.25">
      <c r="A286" s="1" t="s">
        <v>2521</v>
      </c>
      <c r="B286" s="1" t="s">
        <v>2522</v>
      </c>
      <c r="C286" s="1" t="s">
        <v>2523</v>
      </c>
      <c r="D286" s="1" t="s">
        <v>393</v>
      </c>
      <c r="E286" s="1" t="s">
        <v>394</v>
      </c>
      <c r="F286" s="1" t="s">
        <v>2524</v>
      </c>
      <c r="G286" s="1" t="s">
        <v>14281</v>
      </c>
      <c r="H286" s="1" t="s">
        <v>14282</v>
      </c>
      <c r="I286" s="1" t="s">
        <v>14409</v>
      </c>
      <c r="J286" s="1" t="s">
        <v>23</v>
      </c>
      <c r="K286" s="1"/>
      <c r="L286" s="1" t="s">
        <v>398</v>
      </c>
      <c r="M286" s="8" t="s">
        <v>398</v>
      </c>
      <c r="N286" s="1" t="b">
        <f t="shared" si="20"/>
        <v>1</v>
      </c>
      <c r="O286" s="1" t="s">
        <v>2525</v>
      </c>
      <c r="P286" s="1" t="s">
        <v>2526</v>
      </c>
      <c r="Q286" s="1" t="s">
        <v>2527</v>
      </c>
      <c r="R286" s="1" t="s">
        <v>2528</v>
      </c>
      <c r="S286" s="1" t="s">
        <v>400</v>
      </c>
      <c r="T286" s="1" t="s">
        <v>401</v>
      </c>
      <c r="U286" s="1" t="s">
        <v>402</v>
      </c>
      <c r="V286" s="13">
        <f>COUNTIF(L286:$M$1659,L286)</f>
        <v>2</v>
      </c>
      <c r="W286" s="1" t="s">
        <v>406</v>
      </c>
      <c r="X286">
        <v>1974.8</v>
      </c>
      <c r="Y286">
        <v>1971.41</v>
      </c>
      <c r="Z286">
        <v>12.262613</v>
      </c>
      <c r="AA286">
        <v>109.037289</v>
      </c>
      <c r="AB286">
        <v>3.39</v>
      </c>
      <c r="AC286">
        <v>12.269048</v>
      </c>
      <c r="AD286">
        <v>109.03337000000001</v>
      </c>
      <c r="AE286" s="5">
        <f t="shared" si="21"/>
        <v>2.9571150000000004</v>
      </c>
      <c r="AF286" s="5">
        <f t="shared" si="22"/>
        <v>5.0850000000000001E-3</v>
      </c>
      <c r="AG286" s="1" t="str">
        <f>TRIM(LEFT(L286,FIND("-",L286)-1))</f>
        <v>2.CA Diên Lạc</v>
      </c>
      <c r="AH286" s="1" t="str">
        <f>TRIM(RIGHT(L286, LEN(L286) - FIND("-", L286)))</f>
        <v>CA Diên Lâm</v>
      </c>
      <c r="AJ286">
        <f t="shared" si="23"/>
        <v>1.9714100000000001</v>
      </c>
      <c r="AK286">
        <f t="shared" si="24"/>
        <v>3.3900000000000002E-3</v>
      </c>
      <c r="AL286" t="e">
        <f>VLOOKUP(L286,'[1]Tuyến cáp H04'!$B:$E,3,0)/1000</f>
        <v>#N/A</v>
      </c>
      <c r="AM286" t="e">
        <f>VLOOKUP(L286,'[1]Tuyến cáp H04'!$B:$E,4,0)</f>
        <v>#N/A</v>
      </c>
    </row>
    <row r="287" spans="1:39" x14ac:dyDescent="0.25">
      <c r="A287" s="1" t="s">
        <v>2529</v>
      </c>
      <c r="B287" s="1" t="s">
        <v>2530</v>
      </c>
      <c r="C287" s="1" t="s">
        <v>2531</v>
      </c>
      <c r="D287" s="1" t="s">
        <v>196</v>
      </c>
      <c r="E287" s="1" t="s">
        <v>197</v>
      </c>
      <c r="F287" s="1" t="s">
        <v>2532</v>
      </c>
      <c r="G287" s="1" t="s">
        <v>14281</v>
      </c>
      <c r="H287" s="1" t="s">
        <v>14282</v>
      </c>
      <c r="I287" s="1" t="s">
        <v>14410</v>
      </c>
      <c r="J287" s="1" t="s">
        <v>23</v>
      </c>
      <c r="K287" s="1"/>
      <c r="L287" s="1" t="s">
        <v>201</v>
      </c>
      <c r="M287" s="8" t="s">
        <v>201</v>
      </c>
      <c r="N287" s="1" t="b">
        <f t="shared" si="20"/>
        <v>1</v>
      </c>
      <c r="O287" s="1" t="s">
        <v>2533</v>
      </c>
      <c r="P287" s="1" t="s">
        <v>2534</v>
      </c>
      <c r="Q287" s="1" t="s">
        <v>236</v>
      </c>
      <c r="R287" s="1" t="s">
        <v>237</v>
      </c>
      <c r="S287" s="1" t="s">
        <v>232</v>
      </c>
      <c r="T287" s="1" t="s">
        <v>233</v>
      </c>
      <c r="U287" s="1" t="s">
        <v>234</v>
      </c>
      <c r="V287" s="13">
        <f>COUNTIF(L287:$M$1659,L287)</f>
        <v>2</v>
      </c>
      <c r="W287" s="1" t="s">
        <v>238</v>
      </c>
      <c r="X287">
        <v>2238.9299999999998</v>
      </c>
      <c r="Y287">
        <v>2238.08</v>
      </c>
      <c r="Z287">
        <v>12.282302</v>
      </c>
      <c r="AA287">
        <v>109.19833800000001</v>
      </c>
      <c r="AB287">
        <v>0.85</v>
      </c>
      <c r="AC287">
        <v>12.282332</v>
      </c>
      <c r="AD287">
        <v>109.19810099999999</v>
      </c>
      <c r="AE287" s="5">
        <f t="shared" si="21"/>
        <v>3.3571200000000001</v>
      </c>
      <c r="AF287" s="5">
        <f t="shared" si="22"/>
        <v>1.2749999999999999E-3</v>
      </c>
      <c r="AG287" s="1" t="str">
        <f>TRIM(LEFT(L287,FIND("-",L287)-1))</f>
        <v>3.CA Bắc Nha Trang</v>
      </c>
      <c r="AH287" s="1" t="str">
        <f>TRIM(RIGHT(L287, LEN(L287) - FIND("-", L287)))</f>
        <v>CAT Khánh Hòa</v>
      </c>
      <c r="AJ287">
        <f t="shared" si="23"/>
        <v>2.2380800000000001</v>
      </c>
      <c r="AK287">
        <f t="shared" si="24"/>
        <v>8.4999999999999995E-4</v>
      </c>
      <c r="AL287" t="e">
        <f>VLOOKUP(L287,'[1]Tuyến cáp H04'!$B:$E,3,0)/1000</f>
        <v>#N/A</v>
      </c>
      <c r="AM287" t="e">
        <f>VLOOKUP(L287,'[1]Tuyến cáp H04'!$B:$E,4,0)</f>
        <v>#N/A</v>
      </c>
    </row>
    <row r="288" spans="1:39" x14ac:dyDescent="0.25">
      <c r="A288" s="1" t="s">
        <v>2535</v>
      </c>
      <c r="B288" s="1" t="s">
        <v>306</v>
      </c>
      <c r="C288" s="1" t="s">
        <v>307</v>
      </c>
      <c r="D288" s="1" t="s">
        <v>181</v>
      </c>
      <c r="E288" s="1" t="s">
        <v>182</v>
      </c>
      <c r="F288" s="1" t="s">
        <v>2536</v>
      </c>
      <c r="G288" s="1" t="s">
        <v>14281</v>
      </c>
      <c r="H288" s="1" t="s">
        <v>14282</v>
      </c>
      <c r="I288" s="1" t="s">
        <v>14411</v>
      </c>
      <c r="J288" s="1" t="s">
        <v>23</v>
      </c>
      <c r="K288" s="1"/>
      <c r="L288" s="1" t="s">
        <v>186</v>
      </c>
      <c r="M288" s="8" t="s">
        <v>186</v>
      </c>
      <c r="N288" s="1" t="b">
        <f t="shared" si="20"/>
        <v>1</v>
      </c>
      <c r="O288" s="1" t="s">
        <v>309</v>
      </c>
      <c r="P288" s="1" t="s">
        <v>310</v>
      </c>
      <c r="Q288" s="1" t="s">
        <v>311</v>
      </c>
      <c r="R288" s="1" t="s">
        <v>312</v>
      </c>
      <c r="S288" s="1" t="s">
        <v>188</v>
      </c>
      <c r="T288" s="1" t="s">
        <v>189</v>
      </c>
      <c r="U288" s="1" t="s">
        <v>190</v>
      </c>
      <c r="V288" s="13">
        <f>COUNTIF(L288:$M$1659,L288)</f>
        <v>2</v>
      </c>
      <c r="W288" s="1" t="s">
        <v>194</v>
      </c>
      <c r="X288">
        <v>265.61</v>
      </c>
      <c r="Y288">
        <v>259.54000000000002</v>
      </c>
      <c r="Z288">
        <v>12.278650000000001</v>
      </c>
      <c r="AA288">
        <v>109.12745</v>
      </c>
      <c r="AB288">
        <v>6.07</v>
      </c>
      <c r="AC288">
        <v>12.276066999999999</v>
      </c>
      <c r="AD288">
        <v>109.120259</v>
      </c>
      <c r="AE288" s="5">
        <f t="shared" si="21"/>
        <v>0.38931000000000004</v>
      </c>
      <c r="AF288" s="5">
        <f t="shared" si="22"/>
        <v>9.1050000000000002E-3</v>
      </c>
      <c r="AG288" s="1" t="str">
        <f>TRIM(LEFT(L288,FIND("-",L288)-1))</f>
        <v>2.CA Diên Điền</v>
      </c>
      <c r="AH288" s="1" t="str">
        <f>TRIM(RIGHT(L288, LEN(L288) - FIND("-", L288)))</f>
        <v>CA Bắc Nha Trang</v>
      </c>
      <c r="AJ288">
        <f t="shared" si="23"/>
        <v>0.25953999999999999</v>
      </c>
      <c r="AK288">
        <f t="shared" si="24"/>
        <v>6.0699999999999999E-3</v>
      </c>
      <c r="AL288" t="e">
        <f>VLOOKUP(L288,'[1]Tuyến cáp H04'!$B:$E,3,0)/1000</f>
        <v>#N/A</v>
      </c>
      <c r="AM288" t="e">
        <f>VLOOKUP(L288,'[1]Tuyến cáp H04'!$B:$E,4,0)</f>
        <v>#N/A</v>
      </c>
    </row>
    <row r="289" spans="1:39" x14ac:dyDescent="0.25">
      <c r="A289" s="1" t="s">
        <v>2537</v>
      </c>
      <c r="B289" s="1" t="s">
        <v>2538</v>
      </c>
      <c r="C289" s="1" t="s">
        <v>2539</v>
      </c>
      <c r="D289" s="1" t="s">
        <v>1644</v>
      </c>
      <c r="E289" s="1" t="s">
        <v>1645</v>
      </c>
      <c r="F289" s="1" t="s">
        <v>2540</v>
      </c>
      <c r="G289" s="1" t="s">
        <v>14281</v>
      </c>
      <c r="H289" s="1" t="s">
        <v>14282</v>
      </c>
      <c r="I289" s="1" t="s">
        <v>14412</v>
      </c>
      <c r="J289" s="1" t="s">
        <v>23</v>
      </c>
      <c r="K289" s="1"/>
      <c r="L289" s="1" t="s">
        <v>1025</v>
      </c>
      <c r="M289" s="8" t="s">
        <v>1025</v>
      </c>
      <c r="N289" s="1" t="b">
        <f t="shared" si="20"/>
        <v>1</v>
      </c>
      <c r="O289" s="1" t="s">
        <v>2541</v>
      </c>
      <c r="P289" s="1" t="s">
        <v>2542</v>
      </c>
      <c r="Q289" s="1" t="s">
        <v>2543</v>
      </c>
      <c r="R289" s="1" t="s">
        <v>2544</v>
      </c>
      <c r="S289" s="1" t="s">
        <v>1659</v>
      </c>
      <c r="T289" s="1" t="s">
        <v>1660</v>
      </c>
      <c r="U289" s="1" t="s">
        <v>1661</v>
      </c>
      <c r="V289" s="13">
        <f>COUNTIF(L289:$M$1659,L289)</f>
        <v>4</v>
      </c>
      <c r="W289" s="1" t="s">
        <v>1033</v>
      </c>
      <c r="X289">
        <v>2045.65</v>
      </c>
      <c r="Y289">
        <v>2038.93</v>
      </c>
      <c r="Z289">
        <v>12.803172999999999</v>
      </c>
      <c r="AA289">
        <v>109.33414500000001</v>
      </c>
      <c r="AB289">
        <v>6.73</v>
      </c>
      <c r="AC289">
        <v>12.8032</v>
      </c>
      <c r="AD289">
        <v>109.33373899999999</v>
      </c>
      <c r="AE289" s="5">
        <f t="shared" si="21"/>
        <v>3.058395</v>
      </c>
      <c r="AF289" s="5">
        <f t="shared" si="22"/>
        <v>1.0095E-2</v>
      </c>
      <c r="AG289" s="1" t="str">
        <f>TRIM(LEFT(L289,FIND("-",L289)-1))</f>
        <v>4.CA Đại Lãnh</v>
      </c>
      <c r="AH289" s="1" t="str">
        <f>TRIM(RIGHT(L289, LEN(L289) - FIND("-", L289)))</f>
        <v>CA Vạn Ninh</v>
      </c>
      <c r="AJ289">
        <f t="shared" si="23"/>
        <v>2.0389300000000001</v>
      </c>
      <c r="AK289">
        <f t="shared" si="24"/>
        <v>6.7300000000000007E-3</v>
      </c>
      <c r="AL289" t="e">
        <f>VLOOKUP(L289,'[1]Tuyến cáp H04'!$B:$E,3,0)/1000</f>
        <v>#N/A</v>
      </c>
      <c r="AM289" t="e">
        <f>VLOOKUP(L289,'[1]Tuyến cáp H04'!$B:$E,4,0)</f>
        <v>#N/A</v>
      </c>
    </row>
    <row r="290" spans="1:39" x14ac:dyDescent="0.25">
      <c r="A290" s="1" t="s">
        <v>2545</v>
      </c>
      <c r="B290" s="1" t="s">
        <v>2546</v>
      </c>
      <c r="C290" s="1" t="s">
        <v>2547</v>
      </c>
      <c r="D290" s="1" t="s">
        <v>1644</v>
      </c>
      <c r="E290" s="1" t="s">
        <v>1645</v>
      </c>
      <c r="F290" s="1" t="s">
        <v>2548</v>
      </c>
      <c r="G290" s="1" t="s">
        <v>14281</v>
      </c>
      <c r="H290" s="1" t="s">
        <v>14282</v>
      </c>
      <c r="I290" s="1" t="s">
        <v>14413</v>
      </c>
      <c r="J290" s="1" t="s">
        <v>23</v>
      </c>
      <c r="K290" s="1"/>
      <c r="L290" s="1" t="s">
        <v>1025</v>
      </c>
      <c r="M290" s="8" t="s">
        <v>1025</v>
      </c>
      <c r="N290" s="1" t="b">
        <f t="shared" si="20"/>
        <v>1</v>
      </c>
      <c r="O290" s="1" t="s">
        <v>2549</v>
      </c>
      <c r="P290" s="1" t="s">
        <v>2550</v>
      </c>
      <c r="Q290" s="1" t="s">
        <v>2543</v>
      </c>
      <c r="R290" s="1" t="s">
        <v>2544</v>
      </c>
      <c r="S290" s="1" t="s">
        <v>1659</v>
      </c>
      <c r="T290" s="1" t="s">
        <v>1660</v>
      </c>
      <c r="U290" s="1" t="s">
        <v>1661</v>
      </c>
      <c r="V290" s="13">
        <f>COUNTIF(L290:$M$1659,L290)</f>
        <v>2</v>
      </c>
      <c r="W290" s="1" t="s">
        <v>1033</v>
      </c>
      <c r="X290">
        <v>4013.08</v>
      </c>
      <c r="Y290">
        <v>4006.35</v>
      </c>
      <c r="Z290">
        <v>12.803172999999999</v>
      </c>
      <c r="AA290">
        <v>109.33414500000001</v>
      </c>
      <c r="AB290">
        <v>6.73</v>
      </c>
      <c r="AC290">
        <v>12.8032</v>
      </c>
      <c r="AD290">
        <v>109.33373899999999</v>
      </c>
      <c r="AE290" s="5">
        <f t="shared" si="21"/>
        <v>6.009525</v>
      </c>
      <c r="AF290" s="5">
        <f t="shared" si="22"/>
        <v>1.0095E-2</v>
      </c>
      <c r="AG290" s="1" t="str">
        <f>TRIM(LEFT(L290,FIND("-",L290)-1))</f>
        <v>4.CA Đại Lãnh</v>
      </c>
      <c r="AH290" s="1" t="str">
        <f>TRIM(RIGHT(L290, LEN(L290) - FIND("-", L290)))</f>
        <v>CA Vạn Ninh</v>
      </c>
      <c r="AJ290">
        <f t="shared" si="23"/>
        <v>4.0063500000000003</v>
      </c>
      <c r="AK290">
        <f t="shared" si="24"/>
        <v>6.7300000000000007E-3</v>
      </c>
      <c r="AL290" t="e">
        <f>VLOOKUP(L290,'[1]Tuyến cáp H04'!$B:$E,3,0)/1000</f>
        <v>#N/A</v>
      </c>
      <c r="AM290" t="e">
        <f>VLOOKUP(L290,'[1]Tuyến cáp H04'!$B:$E,4,0)</f>
        <v>#N/A</v>
      </c>
    </row>
    <row r="291" spans="1:39" x14ac:dyDescent="0.25">
      <c r="A291" s="1" t="s">
        <v>2551</v>
      </c>
      <c r="B291" s="1" t="s">
        <v>2552</v>
      </c>
      <c r="C291" s="1" t="s">
        <v>2553</v>
      </c>
      <c r="D291" s="1" t="s">
        <v>1644</v>
      </c>
      <c r="E291" s="1" t="s">
        <v>1645</v>
      </c>
      <c r="F291" s="1" t="s">
        <v>2554</v>
      </c>
      <c r="G291" s="1" t="s">
        <v>14281</v>
      </c>
      <c r="H291" s="1" t="s">
        <v>14282</v>
      </c>
      <c r="I291" s="1" t="s">
        <v>14414</v>
      </c>
      <c r="J291" s="1" t="s">
        <v>23</v>
      </c>
      <c r="K291" s="1"/>
      <c r="L291" s="1" t="s">
        <v>1647</v>
      </c>
      <c r="M291" s="8" t="s">
        <v>1647</v>
      </c>
      <c r="N291" s="1" t="b">
        <f t="shared" si="20"/>
        <v>1</v>
      </c>
      <c r="O291" s="1" t="s">
        <v>2555</v>
      </c>
      <c r="P291" s="1" t="s">
        <v>2556</v>
      </c>
      <c r="Q291" s="1" t="s">
        <v>2034</v>
      </c>
      <c r="R291" s="1" t="s">
        <v>2035</v>
      </c>
      <c r="S291" s="1" t="s">
        <v>1652</v>
      </c>
      <c r="T291" s="1" t="s">
        <v>1653</v>
      </c>
      <c r="U291" s="1" t="s">
        <v>1654</v>
      </c>
      <c r="V291" s="13">
        <f>COUNTIF(L291:$M$1659,L291)</f>
        <v>2</v>
      </c>
      <c r="W291" s="1" t="s">
        <v>1655</v>
      </c>
      <c r="X291">
        <v>4694.6499999999996</v>
      </c>
      <c r="Y291">
        <v>4688.09</v>
      </c>
      <c r="Z291">
        <v>12.804639</v>
      </c>
      <c r="AA291">
        <v>109.33377299999999</v>
      </c>
      <c r="AB291">
        <v>6.55</v>
      </c>
      <c r="AC291">
        <v>12.803207</v>
      </c>
      <c r="AD291">
        <v>109.33374000000001</v>
      </c>
      <c r="AE291" s="5">
        <f t="shared" si="21"/>
        <v>7.0321350000000002</v>
      </c>
      <c r="AF291" s="5">
        <f t="shared" si="22"/>
        <v>9.8249999999999987E-3</v>
      </c>
      <c r="AG291" s="1" t="str">
        <f>TRIM(LEFT(L291,FIND("-",L291)-1))</f>
        <v>3.CA Tu Bông</v>
      </c>
      <c r="AH291" s="1" t="str">
        <f>TRIM(RIGHT(L291, LEN(L291) - FIND("-", L291)))</f>
        <v>CA Đại Lãnh_Cột trung thế</v>
      </c>
      <c r="AJ291">
        <f t="shared" si="23"/>
        <v>4.6880899999999999</v>
      </c>
      <c r="AK291">
        <f t="shared" si="24"/>
        <v>6.5499999999999994E-3</v>
      </c>
      <c r="AL291" t="e">
        <f>VLOOKUP(L291,'[1]Tuyến cáp H04'!$B:$E,3,0)/1000</f>
        <v>#N/A</v>
      </c>
      <c r="AM291" t="e">
        <f>VLOOKUP(L291,'[1]Tuyến cáp H04'!$B:$E,4,0)</f>
        <v>#N/A</v>
      </c>
    </row>
    <row r="292" spans="1:39" x14ac:dyDescent="0.25">
      <c r="A292" s="1" t="s">
        <v>2557</v>
      </c>
      <c r="B292" s="1" t="s">
        <v>2558</v>
      </c>
      <c r="C292" s="1" t="s">
        <v>2559</v>
      </c>
      <c r="D292" s="1" t="s">
        <v>347</v>
      </c>
      <c r="E292" s="1" t="s">
        <v>348</v>
      </c>
      <c r="F292" s="1" t="s">
        <v>2560</v>
      </c>
      <c r="G292" s="1" t="s">
        <v>14281</v>
      </c>
      <c r="H292" s="1" t="s">
        <v>14282</v>
      </c>
      <c r="I292" s="1" t="s">
        <v>14415</v>
      </c>
      <c r="J292" s="1" t="s">
        <v>23</v>
      </c>
      <c r="K292" s="1"/>
      <c r="L292" s="1" t="s">
        <v>352</v>
      </c>
      <c r="M292" s="8" t="s">
        <v>352</v>
      </c>
      <c r="N292" s="1" t="b">
        <f t="shared" si="20"/>
        <v>1</v>
      </c>
      <c r="O292" s="1" t="s">
        <v>2561</v>
      </c>
      <c r="P292" s="1" t="s">
        <v>2562</v>
      </c>
      <c r="Q292" s="1" t="s">
        <v>2563</v>
      </c>
      <c r="R292" s="1" t="s">
        <v>2564</v>
      </c>
      <c r="S292" s="1" t="s">
        <v>354</v>
      </c>
      <c r="T292" s="1" t="s">
        <v>355</v>
      </c>
      <c r="U292" s="1" t="s">
        <v>356</v>
      </c>
      <c r="V292" s="13">
        <f>COUNTIF(L292:$M$1659,L292)</f>
        <v>2</v>
      </c>
      <c r="W292" s="1" t="s">
        <v>360</v>
      </c>
      <c r="X292">
        <v>252.14</v>
      </c>
      <c r="Y292">
        <v>152.13</v>
      </c>
      <c r="Z292">
        <v>11.923322000000001</v>
      </c>
      <c r="AA292">
        <v>109.126536</v>
      </c>
      <c r="AB292">
        <v>100</v>
      </c>
      <c r="AC292">
        <v>11.941592</v>
      </c>
      <c r="AD292">
        <v>109.11218100000001</v>
      </c>
      <c r="AE292" s="5">
        <f t="shared" si="21"/>
        <v>0.22819499999999998</v>
      </c>
      <c r="AF292" s="5">
        <f t="shared" si="22"/>
        <v>0.15</v>
      </c>
      <c r="AG292" s="1" t="str">
        <f>TRIM(LEFT(L292,FIND("-",L292)-1))</f>
        <v>3.Cam Ranh</v>
      </c>
      <c r="AH292" s="1" t="str">
        <f>TRIM(RIGHT(L292, LEN(L292) - FIND("-", L292)))</f>
        <v>Khánh Sơn</v>
      </c>
      <c r="AJ292">
        <f t="shared" si="23"/>
        <v>0.15212999999999999</v>
      </c>
      <c r="AK292">
        <f t="shared" si="24"/>
        <v>0.1</v>
      </c>
      <c r="AL292" t="e">
        <f>VLOOKUP(L292,'[1]Tuyến cáp H04'!$B:$E,3,0)/1000</f>
        <v>#N/A</v>
      </c>
      <c r="AM292" t="e">
        <f>VLOOKUP(L292,'[1]Tuyến cáp H04'!$B:$E,4,0)</f>
        <v>#N/A</v>
      </c>
    </row>
    <row r="293" spans="1:39" x14ac:dyDescent="0.25">
      <c r="A293" s="1" t="s">
        <v>2565</v>
      </c>
      <c r="B293" s="1" t="s">
        <v>2566</v>
      </c>
      <c r="C293" s="1" t="s">
        <v>2567</v>
      </c>
      <c r="D293" s="1" t="s">
        <v>347</v>
      </c>
      <c r="E293" s="1" t="s">
        <v>348</v>
      </c>
      <c r="F293" s="1" t="s">
        <v>2568</v>
      </c>
      <c r="G293" s="1" t="s">
        <v>14281</v>
      </c>
      <c r="H293" s="1" t="s">
        <v>14282</v>
      </c>
      <c r="I293" s="1" t="s">
        <v>14416</v>
      </c>
      <c r="J293" s="1" t="s">
        <v>23</v>
      </c>
      <c r="K293" s="1"/>
      <c r="L293" s="1" t="s">
        <v>245</v>
      </c>
      <c r="M293" s="8" t="s">
        <v>245</v>
      </c>
      <c r="N293" s="1" t="b">
        <f t="shared" si="20"/>
        <v>1</v>
      </c>
      <c r="O293" s="1" t="s">
        <v>2569</v>
      </c>
      <c r="P293" s="1" t="s">
        <v>2570</v>
      </c>
      <c r="Q293" s="1" t="s">
        <v>2571</v>
      </c>
      <c r="R293" s="1" t="s">
        <v>2572</v>
      </c>
      <c r="S293" s="1" t="s">
        <v>1281</v>
      </c>
      <c r="T293" s="1" t="s">
        <v>1282</v>
      </c>
      <c r="U293" s="1" t="s">
        <v>1283</v>
      </c>
      <c r="V293" s="13">
        <f>COUNTIF(L293:$M$1659,L293)</f>
        <v>2</v>
      </c>
      <c r="W293" s="1" t="s">
        <v>1284</v>
      </c>
      <c r="X293">
        <v>95.74</v>
      </c>
      <c r="Y293">
        <v>89.11</v>
      </c>
      <c r="Z293">
        <v>11.956004</v>
      </c>
      <c r="AA293">
        <v>109.103488</v>
      </c>
      <c r="AB293">
        <v>6.63</v>
      </c>
      <c r="AC293">
        <v>11.941641000000001</v>
      </c>
      <c r="AD293">
        <v>109.11304800000001</v>
      </c>
      <c r="AE293" s="5">
        <f t="shared" si="21"/>
        <v>0.13366499999999998</v>
      </c>
      <c r="AF293" s="5">
        <f t="shared" si="22"/>
        <v>9.9450000000000007E-3</v>
      </c>
      <c r="AG293" s="1" t="str">
        <f>TRIM(LEFT(L293,FIND("-",L293)-1))</f>
        <v>5. Cam Phước Đông</v>
      </c>
      <c r="AH293" s="1" t="str">
        <f>TRIM(RIGHT(L293, LEN(L293) - FIND("-", L293)))</f>
        <v>CAT Khánh Hòa</v>
      </c>
      <c r="AJ293">
        <f t="shared" si="23"/>
        <v>8.9109999999999995E-2</v>
      </c>
      <c r="AK293">
        <f t="shared" si="24"/>
        <v>6.6299999999999996E-3</v>
      </c>
      <c r="AL293" t="e">
        <f>VLOOKUP(L293,'[1]Tuyến cáp H04'!$B:$E,3,0)/1000</f>
        <v>#N/A</v>
      </c>
      <c r="AM293" t="e">
        <f>VLOOKUP(L293,'[1]Tuyến cáp H04'!$B:$E,4,0)</f>
        <v>#N/A</v>
      </c>
    </row>
    <row r="294" spans="1:39" x14ac:dyDescent="0.25">
      <c r="A294" s="1" t="s">
        <v>2573</v>
      </c>
      <c r="B294" s="1" t="s">
        <v>2574</v>
      </c>
      <c r="C294" s="1" t="s">
        <v>2575</v>
      </c>
      <c r="D294" s="1" t="s">
        <v>1685</v>
      </c>
      <c r="E294" s="1" t="s">
        <v>1686</v>
      </c>
      <c r="F294" s="1" t="s">
        <v>2576</v>
      </c>
      <c r="G294" s="1" t="s">
        <v>14281</v>
      </c>
      <c r="H294" s="1" t="s">
        <v>14282</v>
      </c>
      <c r="I294" s="1" t="s">
        <v>14417</v>
      </c>
      <c r="J294" s="1" t="s">
        <v>23</v>
      </c>
      <c r="K294" s="1"/>
      <c r="L294" s="1" t="s">
        <v>1552</v>
      </c>
      <c r="M294" s="8" t="s">
        <v>1552</v>
      </c>
      <c r="N294" s="1" t="b">
        <f t="shared" si="20"/>
        <v>1</v>
      </c>
      <c r="O294" s="1" t="s">
        <v>2577</v>
      </c>
      <c r="P294" s="1" t="s">
        <v>2578</v>
      </c>
      <c r="Q294" s="1" t="s">
        <v>2013</v>
      </c>
      <c r="R294" s="1" t="s">
        <v>2014</v>
      </c>
      <c r="S294" s="1" t="s">
        <v>2009</v>
      </c>
      <c r="T294" s="1" t="s">
        <v>2010</v>
      </c>
      <c r="U294" s="1" t="s">
        <v>2011</v>
      </c>
      <c r="V294" s="13">
        <f>COUNTIF(L294:$M$1659,L294)</f>
        <v>2</v>
      </c>
      <c r="W294" s="1" t="s">
        <v>2015</v>
      </c>
      <c r="X294">
        <v>191.34</v>
      </c>
      <c r="Y294">
        <v>163.41</v>
      </c>
      <c r="Z294">
        <v>12.541454999999999</v>
      </c>
      <c r="AA294">
        <v>109.16320399999999</v>
      </c>
      <c r="AB294">
        <v>27.93</v>
      </c>
      <c r="AC294">
        <v>12.531679</v>
      </c>
      <c r="AD294">
        <v>109.160657</v>
      </c>
      <c r="AE294" s="5">
        <f t="shared" si="21"/>
        <v>0.245115</v>
      </c>
      <c r="AF294" s="5">
        <f t="shared" si="22"/>
        <v>4.1894999999999995E-2</v>
      </c>
      <c r="AG294" s="1" t="str">
        <f>TRIM(LEFT(L294,FIND("-",L294)-1))</f>
        <v>5.Vạn Ninh</v>
      </c>
      <c r="AH294" s="1" t="str">
        <f>TRIM(RIGHT(L294, LEN(L294) - FIND("-", L294)))</f>
        <v>CAT Khánh Hòa</v>
      </c>
      <c r="AJ294">
        <f t="shared" si="23"/>
        <v>0.16341</v>
      </c>
      <c r="AK294">
        <f t="shared" si="24"/>
        <v>2.793E-2</v>
      </c>
      <c r="AL294" t="e">
        <f>VLOOKUP(L294,'[1]Tuyến cáp H04'!$B:$E,3,0)/1000</f>
        <v>#N/A</v>
      </c>
      <c r="AM294" t="e">
        <f>VLOOKUP(L294,'[1]Tuyến cáp H04'!$B:$E,4,0)</f>
        <v>#N/A</v>
      </c>
    </row>
    <row r="295" spans="1:39" x14ac:dyDescent="0.25">
      <c r="A295" s="1" t="s">
        <v>2579</v>
      </c>
      <c r="B295" s="1" t="s">
        <v>2580</v>
      </c>
      <c r="C295" s="1" t="s">
        <v>2581</v>
      </c>
      <c r="D295" s="1" t="s">
        <v>92</v>
      </c>
      <c r="E295" s="1" t="s">
        <v>93</v>
      </c>
      <c r="F295" s="1" t="s">
        <v>2582</v>
      </c>
      <c r="G295" s="1" t="s">
        <v>14281</v>
      </c>
      <c r="H295" s="1" t="s">
        <v>14282</v>
      </c>
      <c r="I295" s="1" t="s">
        <v>14418</v>
      </c>
      <c r="J295" s="1" t="s">
        <v>23</v>
      </c>
      <c r="K295" s="1"/>
      <c r="L295" s="1" t="s">
        <v>2441</v>
      </c>
      <c r="M295" s="8" t="s">
        <v>2441</v>
      </c>
      <c r="N295" s="1" t="b">
        <f t="shared" si="20"/>
        <v>1</v>
      </c>
      <c r="O295" s="1" t="s">
        <v>2583</v>
      </c>
      <c r="P295" s="1" t="s">
        <v>2584</v>
      </c>
      <c r="Q295" s="1" t="s">
        <v>2585</v>
      </c>
      <c r="R295" s="1" t="s">
        <v>2586</v>
      </c>
      <c r="S295" s="1" t="s">
        <v>2445</v>
      </c>
      <c r="T295" s="1" t="s">
        <v>2446</v>
      </c>
      <c r="U295" s="1" t="s">
        <v>2447</v>
      </c>
      <c r="V295" s="13">
        <f>COUNTIF(L295:$M$1659,L295)</f>
        <v>2</v>
      </c>
      <c r="W295" s="1" t="s">
        <v>2448</v>
      </c>
      <c r="X295">
        <v>615.16999999999996</v>
      </c>
      <c r="Y295">
        <v>331.69</v>
      </c>
      <c r="Z295">
        <v>12.238712</v>
      </c>
      <c r="AA295">
        <v>109.186746</v>
      </c>
      <c r="AB295">
        <v>283.48</v>
      </c>
      <c r="AC295">
        <v>12.243925000000001</v>
      </c>
      <c r="AD295">
        <v>109.189556</v>
      </c>
      <c r="AE295" s="5">
        <f t="shared" si="21"/>
        <v>0.49753499999999995</v>
      </c>
      <c r="AF295" s="5">
        <f t="shared" si="22"/>
        <v>0.42522000000000004</v>
      </c>
      <c r="AG295" s="1" t="str">
        <f>TRIM(LEFT(L295,FIND("-",L295)-1))</f>
        <v>1.CATP Nha trang cũ</v>
      </c>
      <c r="AH295" s="1" t="str">
        <f>TRIM(RIGHT(L295, LEN(L295) - FIND("-", L295)))</f>
        <v>PC07</v>
      </c>
      <c r="AJ295">
        <f t="shared" si="23"/>
        <v>0.33168999999999998</v>
      </c>
      <c r="AK295">
        <f t="shared" si="24"/>
        <v>0.28348000000000001</v>
      </c>
      <c r="AL295" t="e">
        <f>VLOOKUP(L295,'[1]Tuyến cáp H04'!$B:$E,3,0)/1000</f>
        <v>#N/A</v>
      </c>
      <c r="AM295" t="e">
        <f>VLOOKUP(L295,'[1]Tuyến cáp H04'!$B:$E,4,0)</f>
        <v>#N/A</v>
      </c>
    </row>
    <row r="296" spans="1:39" x14ac:dyDescent="0.25">
      <c r="A296" s="1" t="s">
        <v>2587</v>
      </c>
      <c r="B296" s="1" t="s">
        <v>2588</v>
      </c>
      <c r="C296" s="1" t="s">
        <v>2589</v>
      </c>
      <c r="D296" s="1" t="s">
        <v>77</v>
      </c>
      <c r="E296" s="1" t="s">
        <v>78</v>
      </c>
      <c r="F296" s="1" t="s">
        <v>2590</v>
      </c>
      <c r="G296" s="1" t="s">
        <v>14281</v>
      </c>
      <c r="H296" s="1" t="s">
        <v>14282</v>
      </c>
      <c r="I296" s="1" t="s">
        <v>14419</v>
      </c>
      <c r="J296" s="1" t="s">
        <v>23</v>
      </c>
      <c r="K296" s="1"/>
      <c r="L296" s="1" t="s">
        <v>110</v>
      </c>
      <c r="M296" s="8" t="s">
        <v>110</v>
      </c>
      <c r="N296" s="1" t="b">
        <f t="shared" si="20"/>
        <v>1</v>
      </c>
      <c r="O296" s="1" t="s">
        <v>2591</v>
      </c>
      <c r="P296" s="1" t="s">
        <v>2592</v>
      </c>
      <c r="Q296" s="1" t="s">
        <v>332</v>
      </c>
      <c r="R296" s="1" t="s">
        <v>333</v>
      </c>
      <c r="S296" s="1" t="s">
        <v>112</v>
      </c>
      <c r="T296" s="1" t="s">
        <v>113</v>
      </c>
      <c r="U296" s="1" t="s">
        <v>114</v>
      </c>
      <c r="V296" s="13">
        <f>COUNTIF(L296:$M$1659,L296)</f>
        <v>4</v>
      </c>
      <c r="W296" s="1" t="s">
        <v>118</v>
      </c>
      <c r="X296">
        <v>809.65</v>
      </c>
      <c r="Y296">
        <v>806.31</v>
      </c>
      <c r="Z296">
        <v>12.196674</v>
      </c>
      <c r="AA296">
        <v>109.174234</v>
      </c>
      <c r="AB296">
        <v>3.34</v>
      </c>
      <c r="AC296">
        <v>12.175723</v>
      </c>
      <c r="AD296">
        <v>109.17368</v>
      </c>
      <c r="AE296" s="5">
        <f t="shared" si="21"/>
        <v>1.209465</v>
      </c>
      <c r="AF296" s="5">
        <f t="shared" si="22"/>
        <v>5.0099999999999997E-3</v>
      </c>
      <c r="AG296" s="1" t="str">
        <f>TRIM(LEFT(L296,FIND("-",L296)-1))</f>
        <v>4.PC11a</v>
      </c>
      <c r="AH296" s="1" t="str">
        <f>TRIM(RIGHT(L296, LEN(L296) - FIND("-", L296)))</f>
        <v>PC02_Đoạn cột trung thế</v>
      </c>
      <c r="AJ296">
        <f t="shared" si="23"/>
        <v>0.80630999999999997</v>
      </c>
      <c r="AK296">
        <f t="shared" si="24"/>
        <v>3.3399999999999997E-3</v>
      </c>
      <c r="AL296" t="e">
        <f>VLOOKUP(L296,'[1]Tuyến cáp H04'!$B:$E,3,0)/1000</f>
        <v>#N/A</v>
      </c>
      <c r="AM296" t="e">
        <f>VLOOKUP(L296,'[1]Tuyến cáp H04'!$B:$E,4,0)</f>
        <v>#N/A</v>
      </c>
    </row>
    <row r="297" spans="1:39" x14ac:dyDescent="0.25">
      <c r="A297" s="1" t="s">
        <v>2593</v>
      </c>
      <c r="B297" s="1" t="s">
        <v>2594</v>
      </c>
      <c r="C297" s="1" t="s">
        <v>2595</v>
      </c>
      <c r="D297" s="1" t="s">
        <v>1469</v>
      </c>
      <c r="E297" s="1" t="s">
        <v>1470</v>
      </c>
      <c r="F297" s="1" t="s">
        <v>2596</v>
      </c>
      <c r="G297" s="1" t="s">
        <v>14281</v>
      </c>
      <c r="H297" s="1" t="s">
        <v>14282</v>
      </c>
      <c r="I297" s="1" t="s">
        <v>14420</v>
      </c>
      <c r="J297" s="1" t="s">
        <v>23</v>
      </c>
      <c r="K297" s="1"/>
      <c r="L297" s="1" t="s">
        <v>1315</v>
      </c>
      <c r="M297" s="8" t="s">
        <v>1315</v>
      </c>
      <c r="N297" s="1" t="b">
        <f t="shared" si="20"/>
        <v>1</v>
      </c>
      <c r="O297" s="1" t="s">
        <v>2597</v>
      </c>
      <c r="P297" s="1" t="s">
        <v>2598</v>
      </c>
      <c r="Q297" s="1" t="s">
        <v>2599</v>
      </c>
      <c r="R297" s="1" t="s">
        <v>2600</v>
      </c>
      <c r="S297" s="1" t="s">
        <v>2601</v>
      </c>
      <c r="T297" s="1" t="s">
        <v>2599</v>
      </c>
      <c r="U297" s="1" t="s">
        <v>2600</v>
      </c>
      <c r="V297" s="13">
        <f>COUNTIF(L297:$M$1659,L297)</f>
        <v>2</v>
      </c>
      <c r="W297" s="1" t="s">
        <v>1323</v>
      </c>
      <c r="X297">
        <v>55.58</v>
      </c>
      <c r="Y297">
        <v>53.53</v>
      </c>
      <c r="Z297">
        <v>12.219007</v>
      </c>
      <c r="AA297">
        <v>109.204294</v>
      </c>
      <c r="AB297">
        <v>2.04</v>
      </c>
      <c r="AC297">
        <v>12.219007</v>
      </c>
      <c r="AD297">
        <v>109.204294</v>
      </c>
      <c r="AE297" s="5">
        <f t="shared" si="21"/>
        <v>8.0295000000000005E-2</v>
      </c>
      <c r="AF297" s="5">
        <f t="shared" si="22"/>
        <v>3.0600000000000002E-3</v>
      </c>
      <c r="AG297" s="1" t="str">
        <f>TRIM(LEFT(L297,FIND("-",L297)-1))</f>
        <v>Tuyến nhánh PC02</v>
      </c>
      <c r="AH297" s="1" t="str">
        <f>TRIM(RIGHT(L297, LEN(L297) - FIND("-", L297)))</f>
        <v>PC08 (CSGT đường thủy)</v>
      </c>
      <c r="AJ297">
        <f t="shared" si="23"/>
        <v>5.3530000000000001E-2</v>
      </c>
      <c r="AK297">
        <f t="shared" si="24"/>
        <v>2.0400000000000001E-3</v>
      </c>
      <c r="AL297" t="e">
        <f>VLOOKUP(L297,'[1]Tuyến cáp H04'!$B:$E,3,0)/1000</f>
        <v>#N/A</v>
      </c>
      <c r="AM297" t="e">
        <f>VLOOKUP(L297,'[1]Tuyến cáp H04'!$B:$E,4,0)</f>
        <v>#N/A</v>
      </c>
    </row>
    <row r="298" spans="1:39" x14ac:dyDescent="0.25">
      <c r="A298" s="1" t="s">
        <v>2602</v>
      </c>
      <c r="B298" s="1" t="s">
        <v>2603</v>
      </c>
      <c r="C298" s="1" t="s">
        <v>2604</v>
      </c>
      <c r="D298" s="1" t="s">
        <v>198</v>
      </c>
      <c r="E298" s="1" t="s">
        <v>199</v>
      </c>
      <c r="F298" s="1" t="s">
        <v>2605</v>
      </c>
      <c r="G298" s="1" t="s">
        <v>14281</v>
      </c>
      <c r="H298" s="1" t="s">
        <v>14282</v>
      </c>
      <c r="I298" s="1" t="s">
        <v>14421</v>
      </c>
      <c r="J298" s="1" t="s">
        <v>23</v>
      </c>
      <c r="K298" s="1"/>
      <c r="L298" s="1" t="s">
        <v>2150</v>
      </c>
      <c r="M298" s="8" t="s">
        <v>2150</v>
      </c>
      <c r="N298" s="1" t="b">
        <f t="shared" si="20"/>
        <v>1</v>
      </c>
      <c r="O298" s="1" t="s">
        <v>2606</v>
      </c>
      <c r="P298" s="1" t="s">
        <v>2607</v>
      </c>
      <c r="Q298" s="1" t="s">
        <v>2153</v>
      </c>
      <c r="R298" s="1" t="s">
        <v>2154</v>
      </c>
      <c r="S298" s="1" t="s">
        <v>922</v>
      </c>
      <c r="T298" s="1" t="s">
        <v>2153</v>
      </c>
      <c r="U298" s="1" t="s">
        <v>2154</v>
      </c>
      <c r="V298" s="13">
        <f>COUNTIF(L298:$M$1659,L298)</f>
        <v>2</v>
      </c>
      <c r="W298" s="1" t="s">
        <v>2155</v>
      </c>
      <c r="X298">
        <v>1340.05</v>
      </c>
      <c r="Y298">
        <v>1334.87</v>
      </c>
      <c r="Z298">
        <v>12.256762</v>
      </c>
      <c r="AA298">
        <v>109.197648</v>
      </c>
      <c r="AB298">
        <v>5.18</v>
      </c>
      <c r="AC298">
        <v>12.256762</v>
      </c>
      <c r="AD298">
        <v>109.197648</v>
      </c>
      <c r="AE298" s="5">
        <f t="shared" si="21"/>
        <v>2.0023049999999998</v>
      </c>
      <c r="AF298" s="5">
        <f t="shared" si="22"/>
        <v>7.77E-3</v>
      </c>
      <c r="AG298" s="1" t="str">
        <f>TRIM(LEFT(L298,FIND("-",L298)-1))</f>
        <v>Tuyến nhánh PA06 cs1</v>
      </c>
      <c r="AH298" s="1" t="str">
        <f>TRIM(RIGHT(L298, LEN(L298) - FIND("-", L298)))</f>
        <v>Nhà nghỉ dưỡng 378 BCA_Cột trung thế</v>
      </c>
      <c r="AJ298">
        <f t="shared" si="23"/>
        <v>1.33487</v>
      </c>
      <c r="AK298">
        <f t="shared" si="24"/>
        <v>5.1799999999999997E-3</v>
      </c>
      <c r="AL298" t="e">
        <f>VLOOKUP(L298,'[1]Tuyến cáp H04'!$B:$E,3,0)/1000</f>
        <v>#N/A</v>
      </c>
      <c r="AM298" t="e">
        <f>VLOOKUP(L298,'[1]Tuyến cáp H04'!$B:$E,4,0)</f>
        <v>#N/A</v>
      </c>
    </row>
    <row r="299" spans="1:39" x14ac:dyDescent="0.25">
      <c r="A299" s="1" t="s">
        <v>2608</v>
      </c>
      <c r="B299" s="1" t="s">
        <v>2609</v>
      </c>
      <c r="C299" s="1" t="s">
        <v>2610</v>
      </c>
      <c r="D299" s="1" t="s">
        <v>1469</v>
      </c>
      <c r="E299" s="1" t="s">
        <v>1470</v>
      </c>
      <c r="F299" s="1" t="s">
        <v>2611</v>
      </c>
      <c r="G299" s="1" t="s">
        <v>14281</v>
      </c>
      <c r="H299" s="1" t="s">
        <v>14282</v>
      </c>
      <c r="I299" s="1" t="s">
        <v>14422</v>
      </c>
      <c r="J299" s="1" t="s">
        <v>23</v>
      </c>
      <c r="K299" s="1"/>
      <c r="L299" s="1" t="s">
        <v>110</v>
      </c>
      <c r="M299" s="8" t="s">
        <v>110</v>
      </c>
      <c r="N299" s="1" t="b">
        <f t="shared" si="20"/>
        <v>1</v>
      </c>
      <c r="O299" s="1" t="s">
        <v>2612</v>
      </c>
      <c r="P299" s="1" t="s">
        <v>2613</v>
      </c>
      <c r="Q299" s="1" t="s">
        <v>2614</v>
      </c>
      <c r="R299" s="1" t="s">
        <v>2615</v>
      </c>
      <c r="S299" s="1" t="s">
        <v>606</v>
      </c>
      <c r="T299" s="1" t="s">
        <v>1476</v>
      </c>
      <c r="U299" s="1" t="s">
        <v>1477</v>
      </c>
      <c r="V299" s="13">
        <f>COUNTIF(L299:$M$1659,L299)</f>
        <v>2</v>
      </c>
      <c r="W299" s="1" t="s">
        <v>118</v>
      </c>
      <c r="X299">
        <v>342.16</v>
      </c>
      <c r="Y299">
        <v>338.55</v>
      </c>
      <c r="Z299">
        <v>12.21711</v>
      </c>
      <c r="AA299">
        <v>109.20002700000001</v>
      </c>
      <c r="AB299">
        <v>3.61</v>
      </c>
      <c r="AC299">
        <v>12.219013</v>
      </c>
      <c r="AD299">
        <v>109.20427599999999</v>
      </c>
      <c r="AE299" s="5">
        <f t="shared" si="21"/>
        <v>0.50782500000000008</v>
      </c>
      <c r="AF299" s="5">
        <f t="shared" si="22"/>
        <v>5.4149999999999997E-3</v>
      </c>
      <c r="AG299" s="1" t="str">
        <f>TRIM(LEFT(L299,FIND("-",L299)-1))</f>
        <v>4.PC11a</v>
      </c>
      <c r="AH299" s="1" t="str">
        <f>TRIM(RIGHT(L299, LEN(L299) - FIND("-", L299)))</f>
        <v>PC02_Đoạn cột trung thế</v>
      </c>
      <c r="AJ299">
        <f t="shared" si="23"/>
        <v>0.33855000000000002</v>
      </c>
      <c r="AK299">
        <f t="shared" si="24"/>
        <v>3.6099999999999999E-3</v>
      </c>
      <c r="AL299" t="e">
        <f>VLOOKUP(L299,'[1]Tuyến cáp H04'!$B:$E,3,0)/1000</f>
        <v>#N/A</v>
      </c>
      <c r="AM299" t="e">
        <f>VLOOKUP(L299,'[1]Tuyến cáp H04'!$B:$E,4,0)</f>
        <v>#N/A</v>
      </c>
    </row>
    <row r="300" spans="1:39" x14ac:dyDescent="0.25">
      <c r="A300" s="1" t="s">
        <v>2616</v>
      </c>
      <c r="B300" s="1" t="s">
        <v>2617</v>
      </c>
      <c r="C300" s="1" t="s">
        <v>2618</v>
      </c>
      <c r="D300" s="1" t="s">
        <v>128</v>
      </c>
      <c r="E300" s="1" t="s">
        <v>129</v>
      </c>
      <c r="F300" s="1" t="s">
        <v>2619</v>
      </c>
      <c r="G300" s="1" t="s">
        <v>14281</v>
      </c>
      <c r="H300" s="1" t="s">
        <v>14282</v>
      </c>
      <c r="I300" s="1" t="s">
        <v>14423</v>
      </c>
      <c r="J300" s="1" t="s">
        <v>23</v>
      </c>
      <c r="K300" s="1"/>
      <c r="L300" s="1" t="s">
        <v>283</v>
      </c>
      <c r="M300" s="8" t="s">
        <v>1328</v>
      </c>
      <c r="N300" s="12" t="b">
        <f t="shared" si="20"/>
        <v>0</v>
      </c>
      <c r="O300" s="1" t="s">
        <v>2620</v>
      </c>
      <c r="P300" s="1" t="s">
        <v>2621</v>
      </c>
      <c r="Q300" s="1" t="s">
        <v>289</v>
      </c>
      <c r="R300" s="1" t="s">
        <v>290</v>
      </c>
      <c r="S300" s="1" t="s">
        <v>657</v>
      </c>
      <c r="T300" s="1" t="s">
        <v>286</v>
      </c>
      <c r="U300" s="1" t="s">
        <v>287</v>
      </c>
      <c r="V300" s="13">
        <f>COUNTIF(L300:$M$1659,L300)</f>
        <v>19</v>
      </c>
      <c r="W300" s="1" t="s">
        <v>291</v>
      </c>
      <c r="X300">
        <v>516275.44</v>
      </c>
      <c r="Y300">
        <v>266632.71999999997</v>
      </c>
      <c r="Z300">
        <v>14.352316999999999</v>
      </c>
      <c r="AA300">
        <v>108.007831</v>
      </c>
      <c r="AB300">
        <v>249642.72</v>
      </c>
      <c r="AC300">
        <v>14.659686000000001</v>
      </c>
      <c r="AD300">
        <v>107.839439</v>
      </c>
      <c r="AE300" s="5">
        <f t="shared" si="21"/>
        <v>399.94907999999998</v>
      </c>
      <c r="AF300" s="5">
        <f t="shared" si="22"/>
        <v>374.46408000000002</v>
      </c>
      <c r="AG300" s="1" t="str">
        <f>TRIM(LEFT(L300,FIND("-",L300)-1))</f>
        <v>Đăk Tô</v>
      </c>
      <c r="AH300" s="1" t="str">
        <f>TRIM(RIGHT(L300, LEN(L300) - FIND("-", L300)))</f>
        <v>TT2 Kon Tum</v>
      </c>
      <c r="AJ300">
        <f t="shared" si="23"/>
        <v>266.63271999999995</v>
      </c>
      <c r="AK300">
        <f t="shared" si="24"/>
        <v>249.64272</v>
      </c>
      <c r="AL300">
        <f>VLOOKUP(L300,'[1]Tuyến cáp H04'!$B:$E,3,0)/1000</f>
        <v>43.9602</v>
      </c>
      <c r="AM300" t="str">
        <f>VLOOKUP(L300,'[1]Tuyến cáp H04'!$B:$E,4,0)</f>
        <v>Mạng cấp 3</v>
      </c>
    </row>
    <row r="301" spans="1:39" x14ac:dyDescent="0.25">
      <c r="A301" s="1" t="s">
        <v>2622</v>
      </c>
      <c r="B301" s="1" t="s">
        <v>2623</v>
      </c>
      <c r="C301" s="1" t="s">
        <v>2624</v>
      </c>
      <c r="D301" s="1" t="s">
        <v>128</v>
      </c>
      <c r="E301" s="1" t="s">
        <v>129</v>
      </c>
      <c r="F301" s="1" t="s">
        <v>2625</v>
      </c>
      <c r="G301" s="1" t="s">
        <v>14129</v>
      </c>
      <c r="H301" s="1" t="s">
        <v>14130</v>
      </c>
      <c r="I301" s="1" t="s">
        <v>14424</v>
      </c>
      <c r="J301" s="1" t="s">
        <v>23</v>
      </c>
      <c r="K301" s="1"/>
      <c r="L301" s="1" t="s">
        <v>2626</v>
      </c>
      <c r="M301" s="1" t="s">
        <v>2626</v>
      </c>
      <c r="N301" s="12" t="b">
        <f t="shared" si="20"/>
        <v>1</v>
      </c>
      <c r="O301" s="1" t="s">
        <v>2627</v>
      </c>
      <c r="P301" s="1" t="s">
        <v>2628</v>
      </c>
      <c r="Q301" s="1" t="s">
        <v>2629</v>
      </c>
      <c r="R301" s="1" t="s">
        <v>2630</v>
      </c>
      <c r="S301" s="1" t="s">
        <v>2631</v>
      </c>
      <c r="T301" s="1" t="s">
        <v>2632</v>
      </c>
      <c r="U301" s="1" t="s">
        <v>2633</v>
      </c>
      <c r="V301" s="13">
        <f>COUNTIF(L301:$M$1659,L301)</f>
        <v>6</v>
      </c>
      <c r="W301" s="1" t="s">
        <v>2634</v>
      </c>
      <c r="X301">
        <v>2816.27</v>
      </c>
      <c r="Y301">
        <v>2735.78</v>
      </c>
      <c r="Z301">
        <v>16.798327</v>
      </c>
      <c r="AA301">
        <v>107.124168</v>
      </c>
      <c r="AB301">
        <v>80.489999999999995</v>
      </c>
      <c r="AC301">
        <v>16.790924</v>
      </c>
      <c r="AD301">
        <v>107.10477400000001</v>
      </c>
      <c r="AE301" s="5">
        <f t="shared" si="21"/>
        <v>4.1036700000000002</v>
      </c>
      <c r="AF301" s="5">
        <f t="shared" si="22"/>
        <v>0.12073499999999998</v>
      </c>
      <c r="AG301" s="1" t="str">
        <f>TRIM(LEFT(L301,FIND("-",L301)-1))</f>
        <v>CA Công an Quảng Trị</v>
      </c>
      <c r="AH301" s="1" t="str">
        <f>TRIM(RIGHT(L301, LEN(L301) - FIND("-", L301)))</f>
        <v>Triệu Phong</v>
      </c>
      <c r="AJ301">
        <f t="shared" si="23"/>
        <v>2.7357800000000001</v>
      </c>
      <c r="AK301">
        <f t="shared" si="24"/>
        <v>8.0489999999999992E-2</v>
      </c>
      <c r="AL301">
        <f>VLOOKUP(L301,'[1]Tuyến cáp H04'!$B:$E,3,0)/1000</f>
        <v>8.6597539999999995</v>
      </c>
      <c r="AM301" t="str">
        <f>VLOOKUP(L301,'[1]Tuyến cáp H04'!$B:$E,4,0)</f>
        <v>Mạng cấp 4</v>
      </c>
    </row>
    <row r="302" spans="1:39" x14ac:dyDescent="0.25">
      <c r="A302" s="1" t="s">
        <v>2635</v>
      </c>
      <c r="B302" s="1" t="s">
        <v>2636</v>
      </c>
      <c r="C302" s="1" t="s">
        <v>2637</v>
      </c>
      <c r="D302" s="1" t="s">
        <v>128</v>
      </c>
      <c r="E302" s="1" t="s">
        <v>129</v>
      </c>
      <c r="F302" s="1" t="s">
        <v>2638</v>
      </c>
      <c r="G302" s="1" t="s">
        <v>14129</v>
      </c>
      <c r="H302" s="1" t="s">
        <v>14130</v>
      </c>
      <c r="I302" s="1" t="s">
        <v>14425</v>
      </c>
      <c r="J302" s="1" t="s">
        <v>23</v>
      </c>
      <c r="K302" s="1"/>
      <c r="L302" s="1" t="s">
        <v>2639</v>
      </c>
      <c r="M302" s="1" t="s">
        <v>2639</v>
      </c>
      <c r="N302" s="12" t="b">
        <f t="shared" si="20"/>
        <v>1</v>
      </c>
      <c r="O302" s="1" t="s">
        <v>2640</v>
      </c>
      <c r="P302" s="1" t="s">
        <v>2641</v>
      </c>
      <c r="Q302" s="1" t="s">
        <v>2642</v>
      </c>
      <c r="R302" s="1" t="s">
        <v>2643</v>
      </c>
      <c r="S302" s="1" t="s">
        <v>2644</v>
      </c>
      <c r="T302" s="1" t="s">
        <v>2645</v>
      </c>
      <c r="U302" s="1" t="s">
        <v>2646</v>
      </c>
      <c r="V302" s="13">
        <f>COUNTIF(L302:$M$1659,L302)</f>
        <v>6</v>
      </c>
      <c r="W302" s="1" t="s">
        <v>2647</v>
      </c>
      <c r="X302">
        <v>8982.56</v>
      </c>
      <c r="Y302">
        <v>8918.31</v>
      </c>
      <c r="Z302">
        <v>16.803405000000001</v>
      </c>
      <c r="AA302">
        <v>107.021788</v>
      </c>
      <c r="AB302">
        <v>64.25</v>
      </c>
      <c r="AC302">
        <v>16.790624000000001</v>
      </c>
      <c r="AD302">
        <v>107.103763</v>
      </c>
      <c r="AE302" s="5">
        <f t="shared" si="21"/>
        <v>13.377465000000001</v>
      </c>
      <c r="AF302" s="5">
        <f t="shared" si="22"/>
        <v>9.6375000000000002E-2</v>
      </c>
      <c r="AG302" s="1" t="str">
        <f>TRIM(LEFT(L302,FIND("-",L302)-1))</f>
        <v>TT2 Quảng Trị</v>
      </c>
      <c r="AH302" s="1" t="str">
        <f>TRIM(RIGHT(L302, LEN(L302) - FIND("-", L302)))</f>
        <v>Đăk Rông</v>
      </c>
      <c r="AJ302">
        <f t="shared" si="23"/>
        <v>8.91831</v>
      </c>
      <c r="AK302">
        <f t="shared" si="24"/>
        <v>6.4250000000000002E-2</v>
      </c>
      <c r="AL302">
        <f>VLOOKUP(L302,'[1]Tuyến cáp H04'!$B:$E,3,0)/1000</f>
        <v>39.223027999999999</v>
      </c>
      <c r="AM302" t="str">
        <f>VLOOKUP(L302,'[1]Tuyến cáp H04'!$B:$E,4,0)</f>
        <v>Mạng cấp 3</v>
      </c>
    </row>
    <row r="303" spans="1:39" x14ac:dyDescent="0.25">
      <c r="A303" s="1" t="s">
        <v>2648</v>
      </c>
      <c r="B303" s="1" t="s">
        <v>2649</v>
      </c>
      <c r="C303" s="1" t="s">
        <v>2650</v>
      </c>
      <c r="D303" s="1" t="s">
        <v>128</v>
      </c>
      <c r="E303" s="1" t="s">
        <v>129</v>
      </c>
      <c r="F303" s="1" t="s">
        <v>2651</v>
      </c>
      <c r="G303" s="1" t="s">
        <v>14129</v>
      </c>
      <c r="H303" s="1" t="s">
        <v>14130</v>
      </c>
      <c r="I303" s="1" t="s">
        <v>14426</v>
      </c>
      <c r="J303" s="1" t="s">
        <v>23</v>
      </c>
      <c r="K303" s="1"/>
      <c r="L303" s="1" t="s">
        <v>2652</v>
      </c>
      <c r="M303" s="1" t="s">
        <v>2652</v>
      </c>
      <c r="N303" s="12" t="b">
        <f t="shared" si="20"/>
        <v>1</v>
      </c>
      <c r="O303" s="1" t="s">
        <v>2653</v>
      </c>
      <c r="P303" s="1" t="s">
        <v>2654</v>
      </c>
      <c r="Q303" s="1" t="s">
        <v>2655</v>
      </c>
      <c r="R303" s="1" t="s">
        <v>2656</v>
      </c>
      <c r="S303" s="1" t="s">
        <v>2657</v>
      </c>
      <c r="T303" s="1" t="s">
        <v>2658</v>
      </c>
      <c r="U303" s="1" t="s">
        <v>2659</v>
      </c>
      <c r="V303" s="13">
        <f>COUNTIF(L303:$M$1659,L303)</f>
        <v>4</v>
      </c>
      <c r="W303" s="1" t="s">
        <v>2660</v>
      </c>
      <c r="X303">
        <v>112.13</v>
      </c>
      <c r="Y303">
        <v>40.36</v>
      </c>
      <c r="Z303">
        <v>16.790599</v>
      </c>
      <c r="AA303">
        <v>107.091199</v>
      </c>
      <c r="AB303">
        <v>71.77</v>
      </c>
      <c r="AC303">
        <v>16.790613</v>
      </c>
      <c r="AD303">
        <v>107.10368</v>
      </c>
      <c r="AE303" s="5">
        <f t="shared" si="21"/>
        <v>6.0539999999999997E-2</v>
      </c>
      <c r="AF303" s="5">
        <f t="shared" si="22"/>
        <v>0.107655</v>
      </c>
      <c r="AG303" s="1" t="str">
        <f>TRIM(LEFT(L303,FIND("-",L303)-1))</f>
        <v>TT2 Quảng Trị</v>
      </c>
      <c r="AH303" s="1" t="str">
        <f>TRIM(RIGHT(L303, LEN(L303) - FIND("-", L303)))</f>
        <v>PC07</v>
      </c>
      <c r="AJ303">
        <f t="shared" si="23"/>
        <v>4.036E-2</v>
      </c>
      <c r="AK303">
        <f t="shared" si="24"/>
        <v>7.177E-2</v>
      </c>
      <c r="AL303" t="e">
        <f>VLOOKUP(L303,'[1]Tuyến cáp H04'!$B:$E,3,0)/1000</f>
        <v>#N/A</v>
      </c>
      <c r="AM303" t="e">
        <f>VLOOKUP(L303,'[1]Tuyến cáp H04'!$B:$E,4,0)</f>
        <v>#N/A</v>
      </c>
    </row>
    <row r="304" spans="1:39" x14ac:dyDescent="0.25">
      <c r="A304" s="1" t="s">
        <v>2661</v>
      </c>
      <c r="B304" s="1" t="s">
        <v>2662</v>
      </c>
      <c r="C304" s="1" t="s">
        <v>2663</v>
      </c>
      <c r="D304" s="1" t="s">
        <v>128</v>
      </c>
      <c r="E304" s="1" t="s">
        <v>129</v>
      </c>
      <c r="F304" s="1" t="s">
        <v>2664</v>
      </c>
      <c r="G304" s="1" t="s">
        <v>14129</v>
      </c>
      <c r="H304" s="1" t="s">
        <v>14133</v>
      </c>
      <c r="I304" s="1" t="s">
        <v>14427</v>
      </c>
      <c r="J304" s="1" t="s">
        <v>23</v>
      </c>
      <c r="K304" s="1"/>
      <c r="L304" s="1" t="s">
        <v>2665</v>
      </c>
      <c r="M304" s="1" t="s">
        <v>2665</v>
      </c>
      <c r="N304" s="12" t="b">
        <f t="shared" si="20"/>
        <v>1</v>
      </c>
      <c r="O304" s="1" t="s">
        <v>2666</v>
      </c>
      <c r="P304" s="1" t="s">
        <v>2667</v>
      </c>
      <c r="Q304" s="1" t="s">
        <v>2668</v>
      </c>
      <c r="R304" s="1" t="s">
        <v>2669</v>
      </c>
      <c r="S304" s="1" t="s">
        <v>2670</v>
      </c>
      <c r="T304" s="1" t="s">
        <v>2671</v>
      </c>
      <c r="U304" s="1" t="s">
        <v>2672</v>
      </c>
      <c r="V304" s="13">
        <f>COUNTIF(L304:$M$1659,L304)</f>
        <v>14</v>
      </c>
      <c r="W304" s="1" t="s">
        <v>2673</v>
      </c>
      <c r="X304">
        <v>4955.32</v>
      </c>
      <c r="Y304">
        <v>1526.92</v>
      </c>
      <c r="Z304">
        <v>16.749236</v>
      </c>
      <c r="AA304">
        <v>107.17827200000001</v>
      </c>
      <c r="AB304">
        <v>3428.4</v>
      </c>
      <c r="AC304">
        <v>16.791696000000002</v>
      </c>
      <c r="AD304">
        <v>107.136475</v>
      </c>
      <c r="AE304" s="5">
        <f t="shared" si="21"/>
        <v>2.2903800000000003</v>
      </c>
      <c r="AF304" s="5">
        <f t="shared" si="22"/>
        <v>5.1426000000000007</v>
      </c>
      <c r="AG304" s="1" t="str">
        <f>TRIM(LEFT(L304,FIND("-",L304)-1))</f>
        <v>Hải Lăng</v>
      </c>
      <c r="AH304" s="1" t="str">
        <f>TRIM(RIGHT(L304, LEN(L304) - FIND("-", L304)))</f>
        <v>TT2 Quảng Trị</v>
      </c>
      <c r="AJ304">
        <f t="shared" si="23"/>
        <v>1.5269200000000001</v>
      </c>
      <c r="AK304">
        <f t="shared" si="24"/>
        <v>3.4283999999999999</v>
      </c>
      <c r="AL304">
        <f>VLOOKUP(L304,'[1]Tuyến cáp H04'!$B:$E,3,0)/1000</f>
        <v>23.995881000000004</v>
      </c>
      <c r="AM304" t="str">
        <f>VLOOKUP(L304,'[1]Tuyến cáp H04'!$B:$E,4,0)</f>
        <v>Mạng cấp 3</v>
      </c>
    </row>
    <row r="305" spans="1:39" x14ac:dyDescent="0.25">
      <c r="A305" s="1" t="s">
        <v>2674</v>
      </c>
      <c r="B305" s="1" t="s">
        <v>2675</v>
      </c>
      <c r="C305" s="1" t="s">
        <v>2676</v>
      </c>
      <c r="D305" s="1" t="s">
        <v>128</v>
      </c>
      <c r="E305" s="1" t="s">
        <v>129</v>
      </c>
      <c r="F305" s="1" t="s">
        <v>2677</v>
      </c>
      <c r="G305" s="1" t="s">
        <v>14129</v>
      </c>
      <c r="H305" s="1" t="s">
        <v>14133</v>
      </c>
      <c r="I305" s="1" t="s">
        <v>14428</v>
      </c>
      <c r="J305" s="1" t="s">
        <v>23</v>
      </c>
      <c r="K305" s="1"/>
      <c r="L305" s="1" t="s">
        <v>2626</v>
      </c>
      <c r="M305" s="1" t="s">
        <v>2626</v>
      </c>
      <c r="N305" s="12" t="b">
        <f t="shared" si="20"/>
        <v>1</v>
      </c>
      <c r="O305" s="1" t="s">
        <v>2678</v>
      </c>
      <c r="P305" s="1" t="s">
        <v>2679</v>
      </c>
      <c r="Q305" s="1" t="s">
        <v>2629</v>
      </c>
      <c r="R305" s="1" t="s">
        <v>2630</v>
      </c>
      <c r="S305" s="1" t="s">
        <v>2631</v>
      </c>
      <c r="T305" s="1" t="s">
        <v>2632</v>
      </c>
      <c r="U305" s="1" t="s">
        <v>2633</v>
      </c>
      <c r="V305" s="13">
        <f>COUNTIF(L305:$M$1659,L305)</f>
        <v>4</v>
      </c>
      <c r="W305" s="1" t="s">
        <v>2634</v>
      </c>
      <c r="X305">
        <v>4033.4</v>
      </c>
      <c r="Y305">
        <v>3952.91</v>
      </c>
      <c r="Z305">
        <v>16.798327</v>
      </c>
      <c r="AA305">
        <v>107.124168</v>
      </c>
      <c r="AB305">
        <v>80.489999999999995</v>
      </c>
      <c r="AC305">
        <v>16.790924</v>
      </c>
      <c r="AD305">
        <v>107.10477400000001</v>
      </c>
      <c r="AE305" s="5">
        <f t="shared" si="21"/>
        <v>5.9293649999999998</v>
      </c>
      <c r="AF305" s="5">
        <f t="shared" si="22"/>
        <v>0.12073499999999998</v>
      </c>
      <c r="AG305" s="1" t="str">
        <f>TRIM(LEFT(L305,FIND("-",L305)-1))</f>
        <v>CA Công an Quảng Trị</v>
      </c>
      <c r="AH305" s="1" t="str">
        <f>TRIM(RIGHT(L305, LEN(L305) - FIND("-", L305)))</f>
        <v>Triệu Phong</v>
      </c>
      <c r="AJ305">
        <f t="shared" si="23"/>
        <v>3.9529099999999997</v>
      </c>
      <c r="AK305">
        <f t="shared" si="24"/>
        <v>8.0489999999999992E-2</v>
      </c>
      <c r="AL305">
        <f>VLOOKUP(L305,'[1]Tuyến cáp H04'!$B:$E,3,0)/1000</f>
        <v>8.6597539999999995</v>
      </c>
      <c r="AM305" t="str">
        <f>VLOOKUP(L305,'[1]Tuyến cáp H04'!$B:$E,4,0)</f>
        <v>Mạng cấp 4</v>
      </c>
    </row>
    <row r="306" spans="1:39" x14ac:dyDescent="0.25">
      <c r="A306" s="1" t="s">
        <v>2680</v>
      </c>
      <c r="B306" s="1" t="s">
        <v>2681</v>
      </c>
      <c r="C306" s="1" t="s">
        <v>2682</v>
      </c>
      <c r="D306" s="1" t="s">
        <v>2683</v>
      </c>
      <c r="E306" s="1" t="s">
        <v>2684</v>
      </c>
      <c r="F306" s="1" t="s">
        <v>2685</v>
      </c>
      <c r="G306" s="1" t="s">
        <v>14129</v>
      </c>
      <c r="H306" s="1" t="s">
        <v>14130</v>
      </c>
      <c r="I306" s="1" t="s">
        <v>14429</v>
      </c>
      <c r="J306" s="1" t="s">
        <v>23</v>
      </c>
      <c r="K306" s="1"/>
      <c r="L306" s="1" t="s">
        <v>2686</v>
      </c>
      <c r="M306" s="1" t="s">
        <v>2686</v>
      </c>
      <c r="N306" s="12" t="b">
        <f t="shared" si="20"/>
        <v>1</v>
      </c>
      <c r="O306" s="1" t="s">
        <v>2687</v>
      </c>
      <c r="P306" s="1" t="s">
        <v>2688</v>
      </c>
      <c r="Q306" s="1" t="s">
        <v>2689</v>
      </c>
      <c r="R306" s="1" t="s">
        <v>2690</v>
      </c>
      <c r="S306" s="1" t="s">
        <v>2691</v>
      </c>
      <c r="T306" s="1" t="s">
        <v>2692</v>
      </c>
      <c r="U306" s="1" t="s">
        <v>2693</v>
      </c>
      <c r="V306" s="13">
        <f>COUNTIF(L306:$M$1659,L306)</f>
        <v>8</v>
      </c>
      <c r="W306" s="1" t="s">
        <v>2694</v>
      </c>
      <c r="X306">
        <v>101.08</v>
      </c>
      <c r="Y306">
        <v>64.44</v>
      </c>
      <c r="Z306">
        <v>16.810813</v>
      </c>
      <c r="AA306">
        <v>107.05588299999999</v>
      </c>
      <c r="AB306">
        <v>36.65</v>
      </c>
      <c r="AC306">
        <v>16.804551</v>
      </c>
      <c r="AD306">
        <v>107.040873</v>
      </c>
      <c r="AE306" s="5">
        <f t="shared" si="21"/>
        <v>9.6659999999999996E-2</v>
      </c>
      <c r="AF306" s="5">
        <f t="shared" si="22"/>
        <v>5.4974999999999996E-2</v>
      </c>
      <c r="AG306" s="1" t="str">
        <f>TRIM(LEFT(L306,FIND("-",L306)-1))</f>
        <v>Cửa Việt</v>
      </c>
      <c r="AH306" s="1" t="str">
        <f>TRIM(RIGHT(L306, LEN(L306) - FIND("-", L306)))</f>
        <v>Hiếu Giang</v>
      </c>
      <c r="AJ306">
        <f t="shared" si="23"/>
        <v>6.4439999999999997E-2</v>
      </c>
      <c r="AK306">
        <f t="shared" si="24"/>
        <v>3.6650000000000002E-2</v>
      </c>
      <c r="AL306">
        <f>VLOOKUP(L306,'[1]Tuyến cáp H04'!$B:$E,3,0)/1000</f>
        <v>22.654578000000004</v>
      </c>
      <c r="AM306" t="str">
        <f>VLOOKUP(L306,'[1]Tuyến cáp H04'!$B:$E,4,0)</f>
        <v>Mạng cấp 4</v>
      </c>
    </row>
    <row r="307" spans="1:39" x14ac:dyDescent="0.25">
      <c r="A307" s="1" t="s">
        <v>2695</v>
      </c>
      <c r="B307" s="1" t="s">
        <v>2696</v>
      </c>
      <c r="C307" s="1" t="s">
        <v>2697</v>
      </c>
      <c r="D307" s="1" t="s">
        <v>2683</v>
      </c>
      <c r="E307" s="1" t="s">
        <v>2684</v>
      </c>
      <c r="F307" s="1" t="s">
        <v>2698</v>
      </c>
      <c r="G307" s="1" t="s">
        <v>14129</v>
      </c>
      <c r="H307" s="1" t="s">
        <v>14130</v>
      </c>
      <c r="I307" s="1" t="s">
        <v>14430</v>
      </c>
      <c r="J307" s="1" t="s">
        <v>23</v>
      </c>
      <c r="K307" s="1"/>
      <c r="L307" s="1" t="s">
        <v>2686</v>
      </c>
      <c r="M307" s="1" t="s">
        <v>2686</v>
      </c>
      <c r="N307" s="12" t="b">
        <f t="shared" si="20"/>
        <v>1</v>
      </c>
      <c r="O307" s="1" t="s">
        <v>2699</v>
      </c>
      <c r="P307" s="1" t="s">
        <v>2700</v>
      </c>
      <c r="Q307" s="1" t="s">
        <v>2701</v>
      </c>
      <c r="R307" s="1" t="s">
        <v>2702</v>
      </c>
      <c r="S307" s="1" t="s">
        <v>2691</v>
      </c>
      <c r="T307" s="1" t="s">
        <v>2692</v>
      </c>
      <c r="U307" s="1" t="s">
        <v>2693</v>
      </c>
      <c r="V307" s="13">
        <f>COUNTIF(L307:$M$1659,L307)</f>
        <v>6</v>
      </c>
      <c r="W307" s="1" t="s">
        <v>2694</v>
      </c>
      <c r="X307">
        <v>1511.86</v>
      </c>
      <c r="Y307">
        <v>1475.22</v>
      </c>
      <c r="Z307">
        <v>16.806809999999999</v>
      </c>
      <c r="AA307">
        <v>107.04599399999999</v>
      </c>
      <c r="AB307">
        <v>36.65</v>
      </c>
      <c r="AC307">
        <v>16.804551</v>
      </c>
      <c r="AD307">
        <v>107.040873</v>
      </c>
      <c r="AE307" s="5">
        <f t="shared" si="21"/>
        <v>2.2128299999999999</v>
      </c>
      <c r="AF307" s="5">
        <f t="shared" si="22"/>
        <v>5.4974999999999996E-2</v>
      </c>
      <c r="AG307" s="1" t="str">
        <f>TRIM(LEFT(L307,FIND("-",L307)-1))</f>
        <v>Cửa Việt</v>
      </c>
      <c r="AH307" s="1" t="str">
        <f>TRIM(RIGHT(L307, LEN(L307) - FIND("-", L307)))</f>
        <v>Hiếu Giang</v>
      </c>
      <c r="AJ307">
        <f t="shared" si="23"/>
        <v>1.47522</v>
      </c>
      <c r="AK307">
        <f t="shared" si="24"/>
        <v>3.6650000000000002E-2</v>
      </c>
      <c r="AL307">
        <f>VLOOKUP(L307,'[1]Tuyến cáp H04'!$B:$E,3,0)/1000</f>
        <v>22.654578000000004</v>
      </c>
      <c r="AM307" t="str">
        <f>VLOOKUP(L307,'[1]Tuyến cáp H04'!$B:$E,4,0)</f>
        <v>Mạng cấp 4</v>
      </c>
    </row>
    <row r="308" spans="1:39" x14ac:dyDescent="0.25">
      <c r="A308" s="1" t="s">
        <v>2703</v>
      </c>
      <c r="B308" s="1" t="s">
        <v>2704</v>
      </c>
      <c r="C308" s="1" t="s">
        <v>2705</v>
      </c>
      <c r="D308" s="1" t="s">
        <v>2706</v>
      </c>
      <c r="E308" s="1" t="s">
        <v>2707</v>
      </c>
      <c r="F308" s="1" t="s">
        <v>2708</v>
      </c>
      <c r="G308" s="1" t="s">
        <v>14129</v>
      </c>
      <c r="H308" s="1" t="s">
        <v>14130</v>
      </c>
      <c r="I308" s="1" t="s">
        <v>14431</v>
      </c>
      <c r="J308" s="1" t="s">
        <v>23</v>
      </c>
      <c r="K308" s="1"/>
      <c r="L308" s="1" t="s">
        <v>2686</v>
      </c>
      <c r="M308" s="1" t="s">
        <v>2686</v>
      </c>
      <c r="N308" s="12" t="b">
        <f t="shared" si="20"/>
        <v>1</v>
      </c>
      <c r="O308" s="1" t="s">
        <v>2709</v>
      </c>
      <c r="P308" s="1" t="s">
        <v>2710</v>
      </c>
      <c r="Q308" s="1" t="s">
        <v>2711</v>
      </c>
      <c r="R308" s="1" t="s">
        <v>2712</v>
      </c>
      <c r="S308" s="1" t="s">
        <v>2713</v>
      </c>
      <c r="T308" s="1" t="s">
        <v>2714</v>
      </c>
      <c r="U308" s="1" t="s">
        <v>2715</v>
      </c>
      <c r="V308" s="13">
        <f>COUNTIF(L308:$M$1659,L308)</f>
        <v>4</v>
      </c>
      <c r="W308" s="1" t="s">
        <v>2716</v>
      </c>
      <c r="X308">
        <v>56.57</v>
      </c>
      <c r="Y308">
        <v>44.34</v>
      </c>
      <c r="Z308">
        <v>16.90136</v>
      </c>
      <c r="AA308">
        <v>107.172324</v>
      </c>
      <c r="AB308">
        <v>12.23</v>
      </c>
      <c r="AC308">
        <v>16.905640999999999</v>
      </c>
      <c r="AD308">
        <v>107.176884</v>
      </c>
      <c r="AE308" s="5">
        <f t="shared" si="21"/>
        <v>6.651E-2</v>
      </c>
      <c r="AF308" s="5">
        <f t="shared" si="22"/>
        <v>1.8345E-2</v>
      </c>
      <c r="AG308" s="1" t="str">
        <f>TRIM(LEFT(L308,FIND("-",L308)-1))</f>
        <v>Cửa Việt</v>
      </c>
      <c r="AH308" s="1" t="str">
        <f>TRIM(RIGHT(L308, LEN(L308) - FIND("-", L308)))</f>
        <v>Hiếu Giang</v>
      </c>
      <c r="AJ308">
        <f t="shared" si="23"/>
        <v>4.4340000000000004E-2</v>
      </c>
      <c r="AK308">
        <f t="shared" si="24"/>
        <v>1.2230000000000001E-2</v>
      </c>
      <c r="AL308">
        <f>VLOOKUP(L308,'[1]Tuyến cáp H04'!$B:$E,3,0)/1000</f>
        <v>22.654578000000004</v>
      </c>
      <c r="AM308" t="str">
        <f>VLOOKUP(L308,'[1]Tuyến cáp H04'!$B:$E,4,0)</f>
        <v>Mạng cấp 4</v>
      </c>
    </row>
    <row r="309" spans="1:39" x14ac:dyDescent="0.25">
      <c r="A309" s="1" t="s">
        <v>2717</v>
      </c>
      <c r="B309" s="1" t="s">
        <v>2718</v>
      </c>
      <c r="C309" s="1" t="s">
        <v>2719</v>
      </c>
      <c r="D309" s="1" t="s">
        <v>2683</v>
      </c>
      <c r="E309" s="1" t="s">
        <v>2684</v>
      </c>
      <c r="F309" s="1" t="s">
        <v>2720</v>
      </c>
      <c r="G309" s="1" t="s">
        <v>14129</v>
      </c>
      <c r="H309" s="1" t="s">
        <v>14130</v>
      </c>
      <c r="I309" s="1" t="s">
        <v>14432</v>
      </c>
      <c r="J309" s="1" t="s">
        <v>23</v>
      </c>
      <c r="K309" s="1"/>
      <c r="L309" s="1" t="s">
        <v>2721</v>
      </c>
      <c r="M309" s="1" t="s">
        <v>2721</v>
      </c>
      <c r="N309" s="12" t="b">
        <f t="shared" si="20"/>
        <v>1</v>
      </c>
      <c r="O309" s="1" t="s">
        <v>2722</v>
      </c>
      <c r="P309" s="1" t="s">
        <v>2723</v>
      </c>
      <c r="Q309" s="1" t="s">
        <v>2724</v>
      </c>
      <c r="R309" s="1" t="s">
        <v>2725</v>
      </c>
      <c r="S309" s="1" t="s">
        <v>2726</v>
      </c>
      <c r="T309" s="1" t="s">
        <v>2727</v>
      </c>
      <c r="U309" s="1" t="s">
        <v>2728</v>
      </c>
      <c r="V309" s="13">
        <f>COUNTIF(L309:$M$1659,L309)</f>
        <v>4</v>
      </c>
      <c r="W309" s="1" t="s">
        <v>2729</v>
      </c>
      <c r="X309">
        <v>72.58</v>
      </c>
      <c r="Y309">
        <v>40.58</v>
      </c>
      <c r="Z309">
        <v>16.816952000000001</v>
      </c>
      <c r="AA309">
        <v>107.07738999999999</v>
      </c>
      <c r="AB309">
        <v>32</v>
      </c>
      <c r="AC309">
        <v>16.804628000000001</v>
      </c>
      <c r="AD309">
        <v>107.040678</v>
      </c>
      <c r="AE309" s="5">
        <f t="shared" si="21"/>
        <v>6.087E-2</v>
      </c>
      <c r="AF309" s="5">
        <f t="shared" si="22"/>
        <v>4.8000000000000001E-2</v>
      </c>
      <c r="AG309" s="1" t="str">
        <f>TRIM(LEFT(L309,FIND("-",L309)-1))</f>
        <v>Cam Lộ</v>
      </c>
      <c r="AH309" s="1" t="str">
        <f>TRIM(RIGHT(L309, LEN(L309) - FIND("-", L309)))</f>
        <v>Nam Đông Hà</v>
      </c>
      <c r="AJ309">
        <f t="shared" si="23"/>
        <v>4.0579999999999998E-2</v>
      </c>
      <c r="AK309">
        <f t="shared" si="24"/>
        <v>3.2000000000000001E-2</v>
      </c>
      <c r="AL309" t="e">
        <f>VLOOKUP(L309,'[1]Tuyến cáp H04'!$B:$E,3,0)/1000</f>
        <v>#N/A</v>
      </c>
      <c r="AM309" t="e">
        <f>VLOOKUP(L309,'[1]Tuyến cáp H04'!$B:$E,4,0)</f>
        <v>#N/A</v>
      </c>
    </row>
    <row r="310" spans="1:39" x14ac:dyDescent="0.25">
      <c r="A310" s="1" t="s">
        <v>2730</v>
      </c>
      <c r="B310" s="1" t="s">
        <v>2683</v>
      </c>
      <c r="C310" s="1" t="s">
        <v>2684</v>
      </c>
      <c r="D310" s="1" t="s">
        <v>2731</v>
      </c>
      <c r="E310" s="1" t="s">
        <v>2732</v>
      </c>
      <c r="F310" s="1" t="s">
        <v>2733</v>
      </c>
      <c r="G310" s="1" t="s">
        <v>14129</v>
      </c>
      <c r="H310" s="1" t="s">
        <v>14130</v>
      </c>
      <c r="I310" s="1" t="s">
        <v>14433</v>
      </c>
      <c r="J310" s="1" t="s">
        <v>23</v>
      </c>
      <c r="K310" s="1"/>
      <c r="L310" s="1" t="s">
        <v>2734</v>
      </c>
      <c r="M310" s="1" t="s">
        <v>2734</v>
      </c>
      <c r="N310" s="12" t="b">
        <f t="shared" si="20"/>
        <v>1</v>
      </c>
      <c r="O310" s="1" t="s">
        <v>2735</v>
      </c>
      <c r="P310" s="1" t="s">
        <v>2736</v>
      </c>
      <c r="Q310" s="1" t="s">
        <v>2737</v>
      </c>
      <c r="R310" s="1" t="s">
        <v>2738</v>
      </c>
      <c r="S310" s="1" t="s">
        <v>2739</v>
      </c>
      <c r="T310" s="1" t="s">
        <v>2740</v>
      </c>
      <c r="U310" s="1" t="s">
        <v>2741</v>
      </c>
      <c r="V310" s="13">
        <f>COUNTIF(L310:$M$1659,L310)</f>
        <v>4</v>
      </c>
      <c r="W310" s="1" t="s">
        <v>2742</v>
      </c>
      <c r="X310">
        <v>480.57</v>
      </c>
      <c r="Y310">
        <v>455.33</v>
      </c>
      <c r="Z310">
        <v>16.800270000000001</v>
      </c>
      <c r="AA310">
        <v>107.040229</v>
      </c>
      <c r="AB310">
        <v>25.24</v>
      </c>
      <c r="AC310">
        <v>16.807245999999999</v>
      </c>
      <c r="AD310">
        <v>106.99248</v>
      </c>
      <c r="AE310" s="5">
        <f t="shared" si="21"/>
        <v>0.68299500000000002</v>
      </c>
      <c r="AF310" s="5">
        <f t="shared" si="22"/>
        <v>3.7859999999999998E-2</v>
      </c>
      <c r="AG310" s="1" t="str">
        <f>TRIM(LEFT(L310,FIND("-",L310)-1))</f>
        <v>Cơ sở cai nghiện (Cam Hiếu, Cam Lộ)</v>
      </c>
      <c r="AH310" s="1" t="str">
        <f>TRIM(RIGHT(L310, LEN(L310) - FIND("-", L310)))</f>
        <v>TTCMKV Cam Lộ</v>
      </c>
      <c r="AJ310">
        <f t="shared" si="23"/>
        <v>0.45532999999999996</v>
      </c>
      <c r="AK310">
        <f t="shared" si="24"/>
        <v>2.5239999999999999E-2</v>
      </c>
      <c r="AL310">
        <f>VLOOKUP(L310,'[1]Tuyến cáp H04'!$B:$E,3,0)/1000</f>
        <v>8.266138999999999</v>
      </c>
      <c r="AM310" t="str">
        <f>VLOOKUP(L310,'[1]Tuyến cáp H04'!$B:$E,4,0)</f>
        <v>Mạng cấp 3</v>
      </c>
    </row>
    <row r="311" spans="1:39" x14ac:dyDescent="0.25">
      <c r="A311" s="1" t="s">
        <v>2743</v>
      </c>
      <c r="B311" s="1" t="s">
        <v>2744</v>
      </c>
      <c r="C311" s="1" t="s">
        <v>2745</v>
      </c>
      <c r="D311" s="1" t="s">
        <v>2706</v>
      </c>
      <c r="E311" s="1" t="s">
        <v>2707</v>
      </c>
      <c r="F311" s="1" t="s">
        <v>2746</v>
      </c>
      <c r="G311" s="1" t="s">
        <v>14129</v>
      </c>
      <c r="H311" s="1" t="s">
        <v>14130</v>
      </c>
      <c r="I311" s="1" t="s">
        <v>14434</v>
      </c>
      <c r="J311" s="1" t="s">
        <v>23</v>
      </c>
      <c r="K311" s="1"/>
      <c r="L311" s="1" t="s">
        <v>2686</v>
      </c>
      <c r="M311" s="1" t="s">
        <v>2686</v>
      </c>
      <c r="N311" s="12" t="b">
        <f t="shared" si="20"/>
        <v>1</v>
      </c>
      <c r="O311" s="1" t="s">
        <v>2747</v>
      </c>
      <c r="P311" s="1" t="s">
        <v>2748</v>
      </c>
      <c r="Q311" s="1" t="s">
        <v>2749</v>
      </c>
      <c r="R311" s="1" t="s">
        <v>2750</v>
      </c>
      <c r="S311" s="1" t="s">
        <v>2751</v>
      </c>
      <c r="T311" s="1" t="s">
        <v>2752</v>
      </c>
      <c r="U311" s="1" t="s">
        <v>2753</v>
      </c>
      <c r="V311" s="13">
        <f>COUNTIF(L311:$M$1659,L311)</f>
        <v>2</v>
      </c>
      <c r="W311" s="1" t="s">
        <v>2754</v>
      </c>
      <c r="X311">
        <v>8215.07</v>
      </c>
      <c r="Y311">
        <v>4809.76</v>
      </c>
      <c r="Z311">
        <v>16.858868000000001</v>
      </c>
      <c r="AA311">
        <v>107.116151</v>
      </c>
      <c r="AB311">
        <v>3405.32</v>
      </c>
      <c r="AC311">
        <v>16.886192999999999</v>
      </c>
      <c r="AD311">
        <v>107.15227</v>
      </c>
      <c r="AE311" s="5">
        <f t="shared" si="21"/>
        <v>7.2146400000000002</v>
      </c>
      <c r="AF311" s="5">
        <f t="shared" si="22"/>
        <v>5.1079800000000004</v>
      </c>
      <c r="AG311" s="1" t="str">
        <f>TRIM(LEFT(L311,FIND("-",L311)-1))</f>
        <v>Cửa Việt</v>
      </c>
      <c r="AH311" s="1" t="str">
        <f>TRIM(RIGHT(L311, LEN(L311) - FIND("-", L311)))</f>
        <v>Hiếu Giang</v>
      </c>
      <c r="AJ311">
        <f t="shared" si="23"/>
        <v>4.8097599999999998</v>
      </c>
      <c r="AK311">
        <f t="shared" si="24"/>
        <v>3.4053200000000001</v>
      </c>
      <c r="AL311">
        <f>VLOOKUP(L311,'[1]Tuyến cáp H04'!$B:$E,3,0)/1000</f>
        <v>22.654578000000004</v>
      </c>
      <c r="AM311" t="str">
        <f>VLOOKUP(L311,'[1]Tuyến cáp H04'!$B:$E,4,0)</f>
        <v>Mạng cấp 4</v>
      </c>
    </row>
    <row r="312" spans="1:39" x14ac:dyDescent="0.25">
      <c r="A312" s="1" t="s">
        <v>2755</v>
      </c>
      <c r="B312" s="1" t="s">
        <v>2706</v>
      </c>
      <c r="C312" s="1" t="s">
        <v>2707</v>
      </c>
      <c r="D312" s="1" t="s">
        <v>2756</v>
      </c>
      <c r="E312" s="1" t="s">
        <v>2757</v>
      </c>
      <c r="F312" s="1" t="s">
        <v>2758</v>
      </c>
      <c r="G312" s="1" t="s">
        <v>14129</v>
      </c>
      <c r="H312" s="1" t="s">
        <v>14130</v>
      </c>
      <c r="I312" s="1" t="s">
        <v>14435</v>
      </c>
      <c r="J312" s="1" t="s">
        <v>23</v>
      </c>
      <c r="K312" s="1"/>
      <c r="L312" s="1" t="s">
        <v>2759</v>
      </c>
      <c r="M312" s="1" t="s">
        <v>2759</v>
      </c>
      <c r="N312" s="12" t="b">
        <f t="shared" si="20"/>
        <v>1</v>
      </c>
      <c r="O312" s="1" t="s">
        <v>2760</v>
      </c>
      <c r="P312" s="1" t="s">
        <v>2761</v>
      </c>
      <c r="Q312" s="1" t="s">
        <v>2762</v>
      </c>
      <c r="R312" s="1" t="s">
        <v>2763</v>
      </c>
      <c r="S312" s="1" t="s">
        <v>2764</v>
      </c>
      <c r="T312" s="1" t="s">
        <v>2765</v>
      </c>
      <c r="U312" s="1" t="s">
        <v>2766</v>
      </c>
      <c r="V312" s="13">
        <f>COUNTIF(L312:$M$1659,L312)</f>
        <v>8</v>
      </c>
      <c r="W312" s="1" t="s">
        <v>2767</v>
      </c>
      <c r="X312">
        <v>3488.89</v>
      </c>
      <c r="Y312">
        <v>584.17999999999995</v>
      </c>
      <c r="Z312">
        <v>16.90917</v>
      </c>
      <c r="AA312">
        <v>107.18106899999999</v>
      </c>
      <c r="AB312">
        <v>2904.71</v>
      </c>
      <c r="AC312">
        <v>16.944780999999999</v>
      </c>
      <c r="AD312">
        <v>107.152832</v>
      </c>
      <c r="AE312" s="5">
        <f t="shared" si="21"/>
        <v>0.87626999999999999</v>
      </c>
      <c r="AF312" s="5">
        <f t="shared" si="22"/>
        <v>4.3570650000000004</v>
      </c>
      <c r="AG312" s="1" t="str">
        <f>TRIM(LEFT(L312,FIND("-",L312)-1))</f>
        <v>Cửa Tùng</v>
      </c>
      <c r="AH312" s="1" t="str">
        <f>TRIM(RIGHT(L312, LEN(L312) - FIND("-", L312)))</f>
        <v>Phòng PH10 (Nhà Nghỉ dưỡng Cửa Việt)</v>
      </c>
      <c r="AJ312">
        <f t="shared" si="23"/>
        <v>0.58417999999999992</v>
      </c>
      <c r="AK312">
        <f t="shared" si="24"/>
        <v>2.9047100000000001</v>
      </c>
      <c r="AL312">
        <f>VLOOKUP(L312,'[1]Tuyến cáp H04'!$B:$E,3,0)/1000</f>
        <v>21.485168000000002</v>
      </c>
      <c r="AM312" t="str">
        <f>VLOOKUP(L312,'[1]Tuyến cáp H04'!$B:$E,4,0)</f>
        <v>Mạng cấp 4</v>
      </c>
    </row>
    <row r="313" spans="1:39" x14ac:dyDescent="0.25">
      <c r="A313" s="1" t="s">
        <v>2768</v>
      </c>
      <c r="B313" s="1" t="s">
        <v>2756</v>
      </c>
      <c r="C313" s="1" t="s">
        <v>2757</v>
      </c>
      <c r="D313" s="1" t="s">
        <v>2769</v>
      </c>
      <c r="E313" s="1" t="s">
        <v>2770</v>
      </c>
      <c r="F313" s="1" t="s">
        <v>2771</v>
      </c>
      <c r="G313" s="1" t="s">
        <v>14129</v>
      </c>
      <c r="H313" s="1" t="s">
        <v>14130</v>
      </c>
      <c r="I313" s="1" t="s">
        <v>14436</v>
      </c>
      <c r="J313" s="1" t="s">
        <v>23</v>
      </c>
      <c r="K313" s="1"/>
      <c r="L313" s="1" t="s">
        <v>2759</v>
      </c>
      <c r="M313" s="1" t="s">
        <v>2759</v>
      </c>
      <c r="N313" s="12" t="b">
        <f t="shared" si="20"/>
        <v>1</v>
      </c>
      <c r="O313" s="1" t="s">
        <v>2772</v>
      </c>
      <c r="P313" s="1" t="s">
        <v>2773</v>
      </c>
      <c r="Q313" s="1" t="s">
        <v>2774</v>
      </c>
      <c r="R313" s="1" t="s">
        <v>2775</v>
      </c>
      <c r="S313" s="1" t="s">
        <v>2776</v>
      </c>
      <c r="T313" s="1" t="s">
        <v>2777</v>
      </c>
      <c r="U313" s="1" t="s">
        <v>2778</v>
      </c>
      <c r="V313" s="13">
        <f>COUNTIF(L313:$M$1659,L313)</f>
        <v>6</v>
      </c>
      <c r="W313" s="1" t="s">
        <v>2779</v>
      </c>
      <c r="X313">
        <v>1654.97</v>
      </c>
      <c r="Y313">
        <v>1632.07</v>
      </c>
      <c r="Z313">
        <v>16.978663999999998</v>
      </c>
      <c r="AA313">
        <v>107.129091</v>
      </c>
      <c r="AB313">
        <v>22.9</v>
      </c>
      <c r="AC313">
        <v>16.988969000000001</v>
      </c>
      <c r="AD313">
        <v>107.106525</v>
      </c>
      <c r="AE313" s="5">
        <f t="shared" si="21"/>
        <v>2.448105</v>
      </c>
      <c r="AF313" s="5">
        <f t="shared" si="22"/>
        <v>3.4349999999999992E-2</v>
      </c>
      <c r="AG313" s="1" t="str">
        <f>TRIM(LEFT(L313,FIND("-",L313)-1))</f>
        <v>Cửa Tùng</v>
      </c>
      <c r="AH313" s="1" t="str">
        <f>TRIM(RIGHT(L313, LEN(L313) - FIND("-", L313)))</f>
        <v>Phòng PH10 (Nhà Nghỉ dưỡng Cửa Việt)</v>
      </c>
      <c r="AJ313">
        <f t="shared" si="23"/>
        <v>1.6320699999999999</v>
      </c>
      <c r="AK313">
        <f t="shared" si="24"/>
        <v>2.29E-2</v>
      </c>
      <c r="AL313">
        <f>VLOOKUP(L313,'[1]Tuyến cáp H04'!$B:$E,3,0)/1000</f>
        <v>21.485168000000002</v>
      </c>
      <c r="AM313" t="str">
        <f>VLOOKUP(L313,'[1]Tuyến cáp H04'!$B:$E,4,0)</f>
        <v>Mạng cấp 4</v>
      </c>
    </row>
    <row r="314" spans="1:39" x14ac:dyDescent="0.25">
      <c r="A314" s="1" t="s">
        <v>2780</v>
      </c>
      <c r="B314" s="1" t="s">
        <v>2769</v>
      </c>
      <c r="C314" s="1" t="s">
        <v>2770</v>
      </c>
      <c r="D314" s="1" t="s">
        <v>2781</v>
      </c>
      <c r="E314" s="1" t="s">
        <v>2782</v>
      </c>
      <c r="F314" s="1" t="s">
        <v>2783</v>
      </c>
      <c r="G314" s="1" t="s">
        <v>14129</v>
      </c>
      <c r="H314" s="1" t="s">
        <v>14130</v>
      </c>
      <c r="I314" s="1" t="s">
        <v>14437</v>
      </c>
      <c r="J314" s="1" t="s">
        <v>23</v>
      </c>
      <c r="K314" s="1"/>
      <c r="L314" s="1" t="s">
        <v>2784</v>
      </c>
      <c r="M314" s="1" t="s">
        <v>2784</v>
      </c>
      <c r="N314" s="12" t="b">
        <f t="shared" si="20"/>
        <v>1</v>
      </c>
      <c r="O314" s="1" t="s">
        <v>2785</v>
      </c>
      <c r="P314" s="1" t="s">
        <v>2786</v>
      </c>
      <c r="Q314" s="1" t="s">
        <v>2787</v>
      </c>
      <c r="R314" s="1" t="s">
        <v>2788</v>
      </c>
      <c r="S314" s="1" t="s">
        <v>2789</v>
      </c>
      <c r="T314" s="1" t="s">
        <v>2790</v>
      </c>
      <c r="U314" s="1" t="s">
        <v>2791</v>
      </c>
      <c r="V314" s="13">
        <f>COUNTIF(L314:$M$1659,L314)</f>
        <v>4</v>
      </c>
      <c r="W314" s="1" t="s">
        <v>2792</v>
      </c>
      <c r="X314">
        <v>784.07</v>
      </c>
      <c r="Y314">
        <v>21.88</v>
      </c>
      <c r="Z314">
        <v>16.988904000000002</v>
      </c>
      <c r="AA314">
        <v>107.106632</v>
      </c>
      <c r="AB314">
        <v>762.2</v>
      </c>
      <c r="AC314">
        <v>16.970361</v>
      </c>
      <c r="AD314">
        <v>107.075029</v>
      </c>
      <c r="AE314" s="5">
        <f t="shared" si="21"/>
        <v>3.2820000000000002E-2</v>
      </c>
      <c r="AF314" s="5">
        <f t="shared" si="22"/>
        <v>1.1433000000000002</v>
      </c>
      <c r="AG314" s="1" t="str">
        <f>TRIM(LEFT(L314,FIND("-",L314)-1))</f>
        <v>Bến Hải</v>
      </c>
      <c r="AH314" s="1" t="str">
        <f>TRIM(RIGHT(L314, LEN(L314) - FIND("-", L314)))</f>
        <v>PC07 (Đội PCCC khu vực 4)</v>
      </c>
      <c r="AJ314">
        <f t="shared" si="23"/>
        <v>2.188E-2</v>
      </c>
      <c r="AK314">
        <f t="shared" si="24"/>
        <v>0.7622000000000001</v>
      </c>
      <c r="AL314">
        <f>VLOOKUP(L314,'[1]Tuyến cáp H04'!$B:$E,3,0)/1000</f>
        <v>12.900144000000001</v>
      </c>
      <c r="AM314" t="str">
        <f>VLOOKUP(L314,'[1]Tuyến cáp H04'!$B:$E,4,0)</f>
        <v>Mạng cấp 4</v>
      </c>
    </row>
    <row r="315" spans="1:39" x14ac:dyDescent="0.25">
      <c r="A315" s="1" t="s">
        <v>2793</v>
      </c>
      <c r="B315" s="1" t="s">
        <v>2794</v>
      </c>
      <c r="C315" s="1" t="s">
        <v>2795</v>
      </c>
      <c r="D315" s="1" t="s">
        <v>2731</v>
      </c>
      <c r="E315" s="1" t="s">
        <v>2732</v>
      </c>
      <c r="F315" s="1" t="s">
        <v>2796</v>
      </c>
      <c r="G315" s="1" t="s">
        <v>14129</v>
      </c>
      <c r="H315" s="1" t="s">
        <v>14130</v>
      </c>
      <c r="I315" s="1" t="s">
        <v>14438</v>
      </c>
      <c r="J315" s="1" t="s">
        <v>23</v>
      </c>
      <c r="K315" s="1"/>
      <c r="L315" s="1" t="s">
        <v>2797</v>
      </c>
      <c r="M315" s="1" t="s">
        <v>2797</v>
      </c>
      <c r="N315" s="12" t="b">
        <f t="shared" si="20"/>
        <v>1</v>
      </c>
      <c r="O315" s="1" t="s">
        <v>2798</v>
      </c>
      <c r="P315" s="1" t="s">
        <v>2799</v>
      </c>
      <c r="Q315" s="1" t="s">
        <v>2800</v>
      </c>
      <c r="R315" s="1" t="s">
        <v>2801</v>
      </c>
      <c r="S315" s="1" t="s">
        <v>2802</v>
      </c>
      <c r="T315" s="1" t="s">
        <v>2803</v>
      </c>
      <c r="U315" s="1" t="s">
        <v>2804</v>
      </c>
      <c r="V315" s="13">
        <f>COUNTIF(L315:$M$1659,L315)</f>
        <v>2</v>
      </c>
      <c r="W315" s="1" t="s">
        <v>2805</v>
      </c>
      <c r="X315">
        <v>305.69</v>
      </c>
      <c r="Y315">
        <v>99.07</v>
      </c>
      <c r="Z315">
        <v>16.827306</v>
      </c>
      <c r="AA315">
        <v>107.003486</v>
      </c>
      <c r="AB315">
        <v>206.63</v>
      </c>
      <c r="AC315">
        <v>16.808361000000001</v>
      </c>
      <c r="AD315">
        <v>106.994315</v>
      </c>
      <c r="AE315" s="5">
        <f t="shared" si="21"/>
        <v>0.14860499999999999</v>
      </c>
      <c r="AF315" s="5">
        <f t="shared" si="22"/>
        <v>0.30994499999999997</v>
      </c>
      <c r="AG315" s="1" t="str">
        <f>TRIM(LEFT(L315,FIND("-",L315)-1))</f>
        <v>Cam Lộ</v>
      </c>
      <c r="AH315" s="1" t="str">
        <f>TRIM(RIGHT(L315, LEN(L315) - FIND("-", L315)))</f>
        <v>Vĩnh Linh</v>
      </c>
      <c r="AJ315">
        <f t="shared" si="23"/>
        <v>9.9069999999999991E-2</v>
      </c>
      <c r="AK315">
        <f t="shared" si="24"/>
        <v>0.20663000000000001</v>
      </c>
      <c r="AL315">
        <f>VLOOKUP(L315,'[1]Tuyến cáp H04'!$B:$E,3,0)/1000</f>
        <v>50.119461999999999</v>
      </c>
      <c r="AM315" t="str">
        <f>VLOOKUP(L315,'[1]Tuyến cáp H04'!$B:$E,4,0)</f>
        <v>Mạng cấp 3</v>
      </c>
    </row>
    <row r="316" spans="1:39" x14ac:dyDescent="0.25">
      <c r="A316" s="1" t="s">
        <v>2806</v>
      </c>
      <c r="B316" s="1" t="s">
        <v>2731</v>
      </c>
      <c r="C316" s="1" t="s">
        <v>2732</v>
      </c>
      <c r="D316" s="1" t="s">
        <v>2807</v>
      </c>
      <c r="E316" s="1" t="s">
        <v>2808</v>
      </c>
      <c r="F316" s="1" t="s">
        <v>2809</v>
      </c>
      <c r="G316" s="1" t="s">
        <v>14129</v>
      </c>
      <c r="H316" s="1" t="s">
        <v>14130</v>
      </c>
      <c r="I316" s="1" t="s">
        <v>14439</v>
      </c>
      <c r="J316" s="1" t="s">
        <v>23</v>
      </c>
      <c r="K316" s="1"/>
      <c r="L316" s="1" t="s">
        <v>2639</v>
      </c>
      <c r="M316" s="1" t="s">
        <v>2639</v>
      </c>
      <c r="N316" s="12" t="b">
        <f t="shared" si="20"/>
        <v>1</v>
      </c>
      <c r="O316" s="1" t="s">
        <v>2810</v>
      </c>
      <c r="P316" s="1" t="s">
        <v>2811</v>
      </c>
      <c r="Q316" s="1" t="s">
        <v>2812</v>
      </c>
      <c r="R316" s="1" t="s">
        <v>2741</v>
      </c>
      <c r="S316" s="1" t="s">
        <v>2813</v>
      </c>
      <c r="T316" s="1" t="s">
        <v>2814</v>
      </c>
      <c r="U316" s="1" t="s">
        <v>2815</v>
      </c>
      <c r="V316" s="13">
        <f>COUNTIF(L316:$M$1659,L316)</f>
        <v>4</v>
      </c>
      <c r="W316" s="1" t="s">
        <v>2816</v>
      </c>
      <c r="X316">
        <v>140.93</v>
      </c>
      <c r="Y316">
        <v>25.04</v>
      </c>
      <c r="Z316">
        <v>16.80725</v>
      </c>
      <c r="AA316">
        <v>106.99248</v>
      </c>
      <c r="AB316">
        <v>115.89</v>
      </c>
      <c r="AC316">
        <v>16.794359</v>
      </c>
      <c r="AD316">
        <v>106.968371</v>
      </c>
      <c r="AE316" s="5">
        <f t="shared" si="21"/>
        <v>3.7560000000000003E-2</v>
      </c>
      <c r="AF316" s="5">
        <f t="shared" si="22"/>
        <v>0.17383500000000002</v>
      </c>
      <c r="AG316" s="1" t="str">
        <f>TRIM(LEFT(L316,FIND("-",L316)-1))</f>
        <v>TT2 Quảng Trị</v>
      </c>
      <c r="AH316" s="1" t="str">
        <f>TRIM(RIGHT(L316, LEN(L316) - FIND("-", L316)))</f>
        <v>Đăk Rông</v>
      </c>
      <c r="AJ316">
        <f t="shared" si="23"/>
        <v>2.504E-2</v>
      </c>
      <c r="AK316">
        <f t="shared" si="24"/>
        <v>0.11589000000000001</v>
      </c>
      <c r="AL316">
        <f>VLOOKUP(L316,'[1]Tuyến cáp H04'!$B:$E,3,0)/1000</f>
        <v>39.223027999999999</v>
      </c>
      <c r="AM316" t="str">
        <f>VLOOKUP(L316,'[1]Tuyến cáp H04'!$B:$E,4,0)</f>
        <v>Mạng cấp 3</v>
      </c>
    </row>
    <row r="317" spans="1:39" x14ac:dyDescent="0.25">
      <c r="A317" s="1" t="s">
        <v>2817</v>
      </c>
      <c r="B317" s="1" t="s">
        <v>2818</v>
      </c>
      <c r="C317" s="1" t="s">
        <v>2819</v>
      </c>
      <c r="D317" s="1" t="s">
        <v>2820</v>
      </c>
      <c r="E317" s="1" t="s">
        <v>2821</v>
      </c>
      <c r="F317" s="1" t="s">
        <v>2822</v>
      </c>
      <c r="G317" s="1" t="s">
        <v>14129</v>
      </c>
      <c r="H317" s="1" t="s">
        <v>14130</v>
      </c>
      <c r="I317" s="1" t="s">
        <v>14440</v>
      </c>
      <c r="J317" s="1" t="s">
        <v>23</v>
      </c>
      <c r="K317" s="1"/>
      <c r="L317" s="1" t="s">
        <v>2823</v>
      </c>
      <c r="M317" s="1" t="s">
        <v>2823</v>
      </c>
      <c r="N317" s="12" t="b">
        <f t="shared" si="20"/>
        <v>1</v>
      </c>
      <c r="O317" s="1" t="s">
        <v>2824</v>
      </c>
      <c r="P317" s="1" t="s">
        <v>2825</v>
      </c>
      <c r="Q317" s="1" t="s">
        <v>2826</v>
      </c>
      <c r="R317" s="1" t="s">
        <v>2827</v>
      </c>
      <c r="S317" s="1" t="s">
        <v>2828</v>
      </c>
      <c r="T317" s="1" t="s">
        <v>2829</v>
      </c>
      <c r="U317" s="1" t="s">
        <v>2830</v>
      </c>
      <c r="V317" s="13">
        <f>COUNTIF(L317:$M$1659,L317)</f>
        <v>14</v>
      </c>
      <c r="W317" s="1" t="s">
        <v>2831</v>
      </c>
      <c r="X317">
        <v>832.84</v>
      </c>
      <c r="Y317">
        <v>170.69</v>
      </c>
      <c r="Z317">
        <v>16.814188999999999</v>
      </c>
      <c r="AA317">
        <v>107.10494</v>
      </c>
      <c r="AB317">
        <v>662.15</v>
      </c>
      <c r="AC317">
        <v>16.810613</v>
      </c>
      <c r="AD317">
        <v>107.10834</v>
      </c>
      <c r="AE317" s="5">
        <f t="shared" si="21"/>
        <v>0.25603499999999996</v>
      </c>
      <c r="AF317" s="5">
        <f t="shared" si="22"/>
        <v>0.99322499999999991</v>
      </c>
      <c r="AG317" s="1" t="str">
        <f>TRIM(LEFT(L317,FIND("-",L317)-1))</f>
        <v>PA09</v>
      </c>
      <c r="AH317" s="1" t="str">
        <f>TRIM(RIGHT(L317, LEN(L317) - FIND("-", L317)))</f>
        <v>TP Đông Hà</v>
      </c>
      <c r="AJ317">
        <f t="shared" si="23"/>
        <v>0.17069000000000001</v>
      </c>
      <c r="AK317">
        <f t="shared" si="24"/>
        <v>0.66215000000000002</v>
      </c>
      <c r="AL317">
        <f>VLOOKUP(L317,'[1]Tuyến cáp H04'!$B:$E,3,0)/1000</f>
        <v>4.1191640000000005</v>
      </c>
      <c r="AM317" t="str">
        <f>VLOOKUP(L317,'[1]Tuyến cáp H04'!$B:$E,4,0)</f>
        <v>Mạng cấp 3</v>
      </c>
    </row>
    <row r="318" spans="1:39" x14ac:dyDescent="0.25">
      <c r="A318" s="1" t="s">
        <v>2832</v>
      </c>
      <c r="B318" s="1" t="s">
        <v>2833</v>
      </c>
      <c r="C318" s="1" t="s">
        <v>2834</v>
      </c>
      <c r="D318" s="1" t="s">
        <v>2835</v>
      </c>
      <c r="E318" s="1" t="s">
        <v>2836</v>
      </c>
      <c r="F318" s="1" t="s">
        <v>2837</v>
      </c>
      <c r="G318" s="1" t="s">
        <v>14129</v>
      </c>
      <c r="H318" s="1" t="s">
        <v>14133</v>
      </c>
      <c r="I318" s="1" t="s">
        <v>14441</v>
      </c>
      <c r="J318" s="1" t="s">
        <v>23</v>
      </c>
      <c r="K318" s="1"/>
      <c r="L318" s="1" t="s">
        <v>2665</v>
      </c>
      <c r="M318" s="1" t="s">
        <v>2665</v>
      </c>
      <c r="N318" s="12" t="b">
        <f t="shared" si="20"/>
        <v>1</v>
      </c>
      <c r="O318" s="1" t="s">
        <v>2838</v>
      </c>
      <c r="P318" s="1" t="s">
        <v>2839</v>
      </c>
      <c r="Q318" s="1" t="s">
        <v>2840</v>
      </c>
      <c r="R318" s="1" t="s">
        <v>2841</v>
      </c>
      <c r="S318" s="1" t="s">
        <v>2842</v>
      </c>
      <c r="T318" s="1" t="s">
        <v>2843</v>
      </c>
      <c r="U318" s="1" t="s">
        <v>2844</v>
      </c>
      <c r="V318" s="13">
        <f>COUNTIF(L318:$M$1659,L318)</f>
        <v>12</v>
      </c>
      <c r="W318" s="1" t="s">
        <v>2845</v>
      </c>
      <c r="X318">
        <v>15092.01</v>
      </c>
      <c r="Y318">
        <v>15061.66</v>
      </c>
      <c r="Z318">
        <v>16.746936999999999</v>
      </c>
      <c r="AA318">
        <v>107.194355</v>
      </c>
      <c r="AB318">
        <v>30.35</v>
      </c>
      <c r="AC318">
        <v>16.692073000000001</v>
      </c>
      <c r="AD318">
        <v>107.245351</v>
      </c>
      <c r="AE318" s="5">
        <f t="shared" si="21"/>
        <v>22.592489999999998</v>
      </c>
      <c r="AF318" s="5">
        <f t="shared" si="22"/>
        <v>4.5525000000000003E-2</v>
      </c>
      <c r="AG318" s="1" t="str">
        <f>TRIM(LEFT(L318,FIND("-",L318)-1))</f>
        <v>Hải Lăng</v>
      </c>
      <c r="AH318" s="1" t="str">
        <f>TRIM(RIGHT(L318, LEN(L318) - FIND("-", L318)))</f>
        <v>TT2 Quảng Trị</v>
      </c>
      <c r="AJ318">
        <f t="shared" si="23"/>
        <v>15.06166</v>
      </c>
      <c r="AK318">
        <f t="shared" si="24"/>
        <v>3.0350000000000002E-2</v>
      </c>
      <c r="AL318">
        <f>VLOOKUP(L318,'[1]Tuyến cáp H04'!$B:$E,3,0)/1000</f>
        <v>23.995881000000004</v>
      </c>
      <c r="AM318" t="str">
        <f>VLOOKUP(L318,'[1]Tuyến cáp H04'!$B:$E,4,0)</f>
        <v>Mạng cấp 3</v>
      </c>
    </row>
    <row r="319" spans="1:39" x14ac:dyDescent="0.25">
      <c r="A319" s="1" t="s">
        <v>2846</v>
      </c>
      <c r="B319" s="1" t="s">
        <v>2835</v>
      </c>
      <c r="C319" s="1" t="s">
        <v>2836</v>
      </c>
      <c r="D319" s="1" t="s">
        <v>2662</v>
      </c>
      <c r="E319" s="1" t="s">
        <v>2663</v>
      </c>
      <c r="F319" s="1" t="s">
        <v>2847</v>
      </c>
      <c r="G319" s="1" t="s">
        <v>14129</v>
      </c>
      <c r="H319" s="1" t="s">
        <v>14133</v>
      </c>
      <c r="I319" s="1" t="s">
        <v>14442</v>
      </c>
      <c r="J319" s="1" t="s">
        <v>23</v>
      </c>
      <c r="K319" s="1"/>
      <c r="L319" s="1" t="s">
        <v>2665</v>
      </c>
      <c r="M319" s="1" t="s">
        <v>2665</v>
      </c>
      <c r="N319" s="12" t="b">
        <f t="shared" si="20"/>
        <v>1</v>
      </c>
      <c r="O319" s="1" t="s">
        <v>2848</v>
      </c>
      <c r="P319" s="1" t="s">
        <v>2842</v>
      </c>
      <c r="Q319" s="1" t="s">
        <v>2843</v>
      </c>
      <c r="R319" s="1" t="s">
        <v>2844</v>
      </c>
      <c r="S319" s="1" t="s">
        <v>2849</v>
      </c>
      <c r="T319" s="1" t="s">
        <v>2850</v>
      </c>
      <c r="U319" s="1" t="s">
        <v>2851</v>
      </c>
      <c r="V319" s="13">
        <f>COUNTIF(L319:$M$1659,L319)</f>
        <v>10</v>
      </c>
      <c r="W319" s="1" t="s">
        <v>2845</v>
      </c>
      <c r="X319">
        <v>989.41</v>
      </c>
      <c r="Y319">
        <v>30.35</v>
      </c>
      <c r="Z319">
        <v>16.692073000000001</v>
      </c>
      <c r="AA319">
        <v>107.245351</v>
      </c>
      <c r="AB319">
        <v>959.07</v>
      </c>
      <c r="AC319">
        <v>16.7441</v>
      </c>
      <c r="AD319">
        <v>107.195866</v>
      </c>
      <c r="AE319" s="5">
        <f t="shared" si="21"/>
        <v>4.5525000000000003E-2</v>
      </c>
      <c r="AF319" s="5">
        <f t="shared" si="22"/>
        <v>1.4386049999999999</v>
      </c>
      <c r="AG319" s="1" t="str">
        <f>TRIM(LEFT(L319,FIND("-",L319)-1))</f>
        <v>Hải Lăng</v>
      </c>
      <c r="AH319" s="1" t="str">
        <f>TRIM(RIGHT(L319, LEN(L319) - FIND("-", L319)))</f>
        <v>TT2 Quảng Trị</v>
      </c>
      <c r="AJ319">
        <f t="shared" si="23"/>
        <v>3.0350000000000002E-2</v>
      </c>
      <c r="AK319">
        <f t="shared" si="24"/>
        <v>0.95907000000000009</v>
      </c>
      <c r="AL319">
        <f>VLOOKUP(L319,'[1]Tuyến cáp H04'!$B:$E,3,0)/1000</f>
        <v>23.995881000000004</v>
      </c>
      <c r="AM319" t="str">
        <f>VLOOKUP(L319,'[1]Tuyến cáp H04'!$B:$E,4,0)</f>
        <v>Mạng cấp 3</v>
      </c>
    </row>
    <row r="320" spans="1:39" x14ac:dyDescent="0.25">
      <c r="A320" s="1" t="s">
        <v>2852</v>
      </c>
      <c r="B320" s="1" t="s">
        <v>2853</v>
      </c>
      <c r="C320" s="1" t="s">
        <v>2854</v>
      </c>
      <c r="D320" s="1" t="s">
        <v>2855</v>
      </c>
      <c r="E320" s="1" t="s">
        <v>2856</v>
      </c>
      <c r="F320" s="1" t="s">
        <v>2857</v>
      </c>
      <c r="G320" s="1" t="s">
        <v>14129</v>
      </c>
      <c r="H320" s="1" t="s">
        <v>14133</v>
      </c>
      <c r="I320" s="1" t="s">
        <v>14443</v>
      </c>
      <c r="J320" s="1" t="s">
        <v>23</v>
      </c>
      <c r="K320" s="1"/>
      <c r="L320" s="1" t="s">
        <v>2858</v>
      </c>
      <c r="M320" s="1" t="s">
        <v>2858</v>
      </c>
      <c r="N320" s="12" t="b">
        <f t="shared" si="20"/>
        <v>1</v>
      </c>
      <c r="O320" s="1" t="s">
        <v>2859</v>
      </c>
      <c r="P320" s="1" t="s">
        <v>2860</v>
      </c>
      <c r="Q320" s="1" t="s">
        <v>2861</v>
      </c>
      <c r="R320" s="1" t="s">
        <v>2862</v>
      </c>
      <c r="S320" s="1" t="s">
        <v>2863</v>
      </c>
      <c r="T320" s="1" t="s">
        <v>2864</v>
      </c>
      <c r="U320" s="1" t="s">
        <v>2865</v>
      </c>
      <c r="V320" s="13">
        <f>COUNTIF(L320:$M$1659,L320)</f>
        <v>10</v>
      </c>
      <c r="W320" s="1" t="s">
        <v>2866</v>
      </c>
      <c r="X320">
        <v>4267.6899999999996</v>
      </c>
      <c r="Y320">
        <v>4222.55</v>
      </c>
      <c r="Z320">
        <v>16.743265999999998</v>
      </c>
      <c r="AA320">
        <v>107.31160800000001</v>
      </c>
      <c r="AB320">
        <v>45.14</v>
      </c>
      <c r="AC320">
        <v>16.726123999999999</v>
      </c>
      <c r="AD320">
        <v>107.334998</v>
      </c>
      <c r="AE320" s="5">
        <f t="shared" si="21"/>
        <v>6.3338250000000009</v>
      </c>
      <c r="AF320" s="5">
        <f t="shared" si="22"/>
        <v>6.7710000000000006E-2</v>
      </c>
      <c r="AG320" s="1" t="str">
        <f>TRIM(LEFT(L320,FIND("-",L320)-1))</f>
        <v>Mỹ Thủy</v>
      </c>
      <c r="AH320" s="1" t="str">
        <f>TRIM(RIGHT(L320, LEN(L320) - FIND("-", L320)))</f>
        <v>Vĩnh Định</v>
      </c>
      <c r="AJ320">
        <f t="shared" si="23"/>
        <v>4.22255</v>
      </c>
      <c r="AK320">
        <f t="shared" si="24"/>
        <v>4.514E-2</v>
      </c>
      <c r="AL320" t="e">
        <f>VLOOKUP(L320,'[1]Tuyến cáp H04'!$B:$E,3,0)/1000</f>
        <v>#N/A</v>
      </c>
      <c r="AM320" t="e">
        <f>VLOOKUP(L320,'[1]Tuyến cáp H04'!$B:$E,4,0)</f>
        <v>#N/A</v>
      </c>
    </row>
    <row r="321" spans="1:39" x14ac:dyDescent="0.25">
      <c r="A321" s="1" t="s">
        <v>2867</v>
      </c>
      <c r="B321" s="1" t="s">
        <v>2855</v>
      </c>
      <c r="C321" s="1" t="s">
        <v>2856</v>
      </c>
      <c r="D321" s="1" t="s">
        <v>2835</v>
      </c>
      <c r="E321" s="1" t="s">
        <v>2836</v>
      </c>
      <c r="F321" s="1" t="s">
        <v>2868</v>
      </c>
      <c r="G321" s="1" t="s">
        <v>14129</v>
      </c>
      <c r="H321" s="1" t="s">
        <v>14133</v>
      </c>
      <c r="I321" s="1" t="s">
        <v>14444</v>
      </c>
      <c r="J321" s="1" t="s">
        <v>23</v>
      </c>
      <c r="K321" s="1"/>
      <c r="L321" s="1" t="s">
        <v>2869</v>
      </c>
      <c r="M321" s="1" t="s">
        <v>2869</v>
      </c>
      <c r="N321" s="12" t="b">
        <f t="shared" si="20"/>
        <v>1</v>
      </c>
      <c r="O321" s="1" t="s">
        <v>2870</v>
      </c>
      <c r="P321" s="1" t="s">
        <v>2871</v>
      </c>
      <c r="Q321" s="1" t="s">
        <v>2872</v>
      </c>
      <c r="R321" s="1" t="s">
        <v>2873</v>
      </c>
      <c r="S321" s="1" t="s">
        <v>2874</v>
      </c>
      <c r="T321" s="1" t="s">
        <v>2875</v>
      </c>
      <c r="U321" s="1" t="s">
        <v>2876</v>
      </c>
      <c r="V321" s="13">
        <f>COUNTIF(L321:$M$1659,L321)</f>
        <v>4</v>
      </c>
      <c r="W321" s="1" t="s">
        <v>2877</v>
      </c>
      <c r="X321">
        <v>8605.83</v>
      </c>
      <c r="Y321">
        <v>1165.58</v>
      </c>
      <c r="Z321">
        <v>16.719866</v>
      </c>
      <c r="AA321">
        <v>107.343448</v>
      </c>
      <c r="AB321">
        <v>7440.25</v>
      </c>
      <c r="AC321">
        <v>16.657613000000001</v>
      </c>
      <c r="AD321">
        <v>107.305519</v>
      </c>
      <c r="AE321" s="5">
        <f t="shared" si="21"/>
        <v>1.74837</v>
      </c>
      <c r="AF321" s="5">
        <f t="shared" si="22"/>
        <v>11.160375</v>
      </c>
      <c r="AG321" s="1" t="str">
        <f>TRIM(LEFT(L321,FIND("-",L321)-1))</f>
        <v>Nam hải Lăng</v>
      </c>
      <c r="AH321" s="1" t="str">
        <f>TRIM(RIGHT(L321, LEN(L321) - FIND("-", L321)))</f>
        <v>Mỹ Thủy</v>
      </c>
      <c r="AJ321">
        <f t="shared" si="23"/>
        <v>1.1655799999999998</v>
      </c>
      <c r="AK321">
        <f t="shared" si="24"/>
        <v>7.4402499999999998</v>
      </c>
      <c r="AL321" t="e">
        <f>VLOOKUP(L321,'[1]Tuyến cáp H04'!$B:$E,3,0)/1000</f>
        <v>#N/A</v>
      </c>
      <c r="AM321" t="e">
        <f>VLOOKUP(L321,'[1]Tuyến cáp H04'!$B:$E,4,0)</f>
        <v>#N/A</v>
      </c>
    </row>
    <row r="322" spans="1:39" x14ac:dyDescent="0.25">
      <c r="A322" s="1" t="s">
        <v>2878</v>
      </c>
      <c r="B322" s="1" t="s">
        <v>2835</v>
      </c>
      <c r="C322" s="1" t="s">
        <v>2836</v>
      </c>
      <c r="D322" s="1" t="s">
        <v>2879</v>
      </c>
      <c r="E322" s="1" t="s">
        <v>2880</v>
      </c>
      <c r="F322" s="1" t="s">
        <v>2881</v>
      </c>
      <c r="G322" s="1" t="s">
        <v>14129</v>
      </c>
      <c r="H322" s="1" t="s">
        <v>14133</v>
      </c>
      <c r="I322" s="1" t="s">
        <v>14445</v>
      </c>
      <c r="J322" s="1" t="s">
        <v>23</v>
      </c>
      <c r="K322" s="1"/>
      <c r="L322" s="1" t="s">
        <v>2665</v>
      </c>
      <c r="M322" s="1" t="s">
        <v>2665</v>
      </c>
      <c r="N322" s="12" t="b">
        <f t="shared" si="20"/>
        <v>1</v>
      </c>
      <c r="O322" s="1" t="s">
        <v>2882</v>
      </c>
      <c r="P322" s="1" t="s">
        <v>2842</v>
      </c>
      <c r="Q322" s="1" t="s">
        <v>2843</v>
      </c>
      <c r="R322" s="1" t="s">
        <v>2844</v>
      </c>
      <c r="S322" s="1" t="s">
        <v>2883</v>
      </c>
      <c r="T322" s="1" t="s">
        <v>2884</v>
      </c>
      <c r="U322" s="1" t="s">
        <v>2885</v>
      </c>
      <c r="V322" s="13">
        <f>COUNTIF(L322:$M$1659,L322)</f>
        <v>8</v>
      </c>
      <c r="W322" s="1" t="s">
        <v>2845</v>
      </c>
      <c r="X322">
        <v>1379.78</v>
      </c>
      <c r="Y322">
        <v>30.35</v>
      </c>
      <c r="Z322">
        <v>16.692073000000001</v>
      </c>
      <c r="AA322">
        <v>107.245351</v>
      </c>
      <c r="AB322">
        <v>1349.44</v>
      </c>
      <c r="AC322">
        <v>16.703040999999999</v>
      </c>
      <c r="AD322">
        <v>107.234706</v>
      </c>
      <c r="AE322" s="5">
        <f t="shared" si="21"/>
        <v>4.5525000000000003E-2</v>
      </c>
      <c r="AF322" s="5">
        <f t="shared" si="22"/>
        <v>2.0241600000000002</v>
      </c>
      <c r="AG322" s="1" t="str">
        <f>TRIM(LEFT(L322,FIND("-",L322)-1))</f>
        <v>Hải Lăng</v>
      </c>
      <c r="AH322" s="1" t="str">
        <f>TRIM(RIGHT(L322, LEN(L322) - FIND("-", L322)))</f>
        <v>TT2 Quảng Trị</v>
      </c>
      <c r="AJ322">
        <f t="shared" si="23"/>
        <v>3.0350000000000002E-2</v>
      </c>
      <c r="AK322">
        <f t="shared" si="24"/>
        <v>1.34944</v>
      </c>
      <c r="AL322">
        <f>VLOOKUP(L322,'[1]Tuyến cáp H04'!$B:$E,3,0)/1000</f>
        <v>23.995881000000004</v>
      </c>
      <c r="AM322" t="str">
        <f>VLOOKUP(L322,'[1]Tuyến cáp H04'!$B:$E,4,0)</f>
        <v>Mạng cấp 3</v>
      </c>
    </row>
    <row r="323" spans="1:39" x14ac:dyDescent="0.25">
      <c r="A323" s="1" t="s">
        <v>2886</v>
      </c>
      <c r="B323" s="1" t="s">
        <v>2879</v>
      </c>
      <c r="C323" s="1" t="s">
        <v>2880</v>
      </c>
      <c r="D323" s="1" t="s">
        <v>2887</v>
      </c>
      <c r="E323" s="1" t="s">
        <v>2888</v>
      </c>
      <c r="F323" s="1" t="s">
        <v>2889</v>
      </c>
      <c r="G323" s="1" t="s">
        <v>14129</v>
      </c>
      <c r="H323" s="1" t="s">
        <v>14133</v>
      </c>
      <c r="I323" s="1" t="s">
        <v>14446</v>
      </c>
      <c r="J323" s="1" t="s">
        <v>23</v>
      </c>
      <c r="K323" s="1"/>
      <c r="L323" s="1" t="s">
        <v>2890</v>
      </c>
      <c r="M323" s="1" t="s">
        <v>2890</v>
      </c>
      <c r="N323" s="12" t="b">
        <f t="shared" ref="N323:N386" si="25">L323=M323</f>
        <v>1</v>
      </c>
      <c r="O323" s="1" t="s">
        <v>2891</v>
      </c>
      <c r="P323" s="1" t="s">
        <v>2892</v>
      </c>
      <c r="Q323" s="1" t="s">
        <v>2893</v>
      </c>
      <c r="R323" s="1" t="s">
        <v>2894</v>
      </c>
      <c r="S323" s="1" t="s">
        <v>2895</v>
      </c>
      <c r="T323" s="1" t="s">
        <v>2896</v>
      </c>
      <c r="U323" s="1" t="s">
        <v>2897</v>
      </c>
      <c r="V323" s="13">
        <f>COUNTIF(L323:$M$1659,L323)</f>
        <v>6</v>
      </c>
      <c r="W323" s="1" t="s">
        <v>2898</v>
      </c>
      <c r="X323">
        <v>4980.2299999999996</v>
      </c>
      <c r="Y323">
        <v>73.959999999999994</v>
      </c>
      <c r="Z323">
        <v>16.710954999999998</v>
      </c>
      <c r="AA323">
        <v>107.24515700000001</v>
      </c>
      <c r="AB323">
        <v>4906.2700000000004</v>
      </c>
      <c r="AC323">
        <v>16.709966999999999</v>
      </c>
      <c r="AD323">
        <v>107.24739</v>
      </c>
      <c r="AE323" s="5">
        <f t="shared" ref="AE323:AE386" si="26">Y323*1.5/1000</f>
        <v>0.11094</v>
      </c>
      <c r="AF323" s="5">
        <f t="shared" ref="AF323:AF386" si="27">AB323*1.5/1000</f>
        <v>7.3594050000000006</v>
      </c>
      <c r="AG323" s="1" t="str">
        <f>TRIM(LEFT(L323,FIND("-",L323)-1))</f>
        <v>PC07 (Đội PCCC khu vực Hải lăng)</v>
      </c>
      <c r="AH323" s="1" t="str">
        <f>TRIM(RIGHT(L323, LEN(L323) - FIND("-", L323)))</f>
        <v>Hải Lăng</v>
      </c>
      <c r="AJ323">
        <f t="shared" ref="AJ323:AJ386" si="28">Y323/1000</f>
        <v>7.3959999999999998E-2</v>
      </c>
      <c r="AK323">
        <f t="shared" ref="AK323:AK386" si="29">AB323/1000</f>
        <v>4.9062700000000001</v>
      </c>
      <c r="AL323">
        <f>VLOOKUP(L323,'[1]Tuyến cáp H04'!$B:$E,3,0)/1000</f>
        <v>3.384039</v>
      </c>
      <c r="AM323" t="str">
        <f>VLOOKUP(L323,'[1]Tuyến cáp H04'!$B:$E,4,0)</f>
        <v>Mạng cấp 3</v>
      </c>
    </row>
    <row r="324" spans="1:39" x14ac:dyDescent="0.25">
      <c r="A324" s="1" t="s">
        <v>2899</v>
      </c>
      <c r="B324" s="1" t="s">
        <v>2887</v>
      </c>
      <c r="C324" s="1" t="s">
        <v>2888</v>
      </c>
      <c r="D324" s="1" t="s">
        <v>2900</v>
      </c>
      <c r="E324" s="1" t="s">
        <v>2901</v>
      </c>
      <c r="F324" s="1" t="s">
        <v>2902</v>
      </c>
      <c r="G324" s="1" t="s">
        <v>14129</v>
      </c>
      <c r="H324" s="1" t="s">
        <v>14133</v>
      </c>
      <c r="I324" s="1" t="s">
        <v>14447</v>
      </c>
      <c r="J324" s="1" t="s">
        <v>23</v>
      </c>
      <c r="K324" s="1"/>
      <c r="L324" s="1" t="s">
        <v>2858</v>
      </c>
      <c r="M324" s="1" t="s">
        <v>2858</v>
      </c>
      <c r="N324" s="12" t="b">
        <f t="shared" si="25"/>
        <v>1</v>
      </c>
      <c r="O324" s="1" t="s">
        <v>2903</v>
      </c>
      <c r="P324" s="1" t="s">
        <v>2904</v>
      </c>
      <c r="Q324" s="1" t="s">
        <v>2905</v>
      </c>
      <c r="R324" s="1" t="s">
        <v>2906</v>
      </c>
      <c r="S324" s="1" t="s">
        <v>2907</v>
      </c>
      <c r="T324" s="1" t="s">
        <v>2908</v>
      </c>
      <c r="U324" s="1" t="s">
        <v>2909</v>
      </c>
      <c r="V324" s="13">
        <f>COUNTIF(L324:$M$1659,L324)</f>
        <v>8</v>
      </c>
      <c r="W324" s="1" t="s">
        <v>2910</v>
      </c>
      <c r="X324">
        <v>4079</v>
      </c>
      <c r="Y324">
        <v>3737.36</v>
      </c>
      <c r="Z324">
        <v>16.771798</v>
      </c>
      <c r="AA324">
        <v>107.261014</v>
      </c>
      <c r="AB324">
        <v>341.64</v>
      </c>
      <c r="AC324">
        <v>16.766483999999998</v>
      </c>
      <c r="AD324">
        <v>107.242845</v>
      </c>
      <c r="AE324" s="5">
        <f t="shared" si="26"/>
        <v>5.6060400000000001</v>
      </c>
      <c r="AF324" s="5">
        <f t="shared" si="27"/>
        <v>0.51246000000000003</v>
      </c>
      <c r="AG324" s="1" t="str">
        <f>TRIM(LEFT(L324,FIND("-",L324)-1))</f>
        <v>Mỹ Thủy</v>
      </c>
      <c r="AH324" s="1" t="str">
        <f>TRIM(RIGHT(L324, LEN(L324) - FIND("-", L324)))</f>
        <v>Vĩnh Định</v>
      </c>
      <c r="AJ324">
        <f t="shared" si="28"/>
        <v>3.7373600000000002</v>
      </c>
      <c r="AK324">
        <f t="shared" si="29"/>
        <v>0.34164</v>
      </c>
      <c r="AL324" t="e">
        <f>VLOOKUP(L324,'[1]Tuyến cáp H04'!$B:$E,3,0)/1000</f>
        <v>#N/A</v>
      </c>
      <c r="AM324" t="e">
        <f>VLOOKUP(L324,'[1]Tuyến cáp H04'!$B:$E,4,0)</f>
        <v>#N/A</v>
      </c>
    </row>
    <row r="325" spans="1:39" x14ac:dyDescent="0.25">
      <c r="A325" s="1" t="s">
        <v>2911</v>
      </c>
      <c r="B325" s="1" t="s">
        <v>2900</v>
      </c>
      <c r="C325" s="1" t="s">
        <v>2901</v>
      </c>
      <c r="D325" s="1" t="s">
        <v>2912</v>
      </c>
      <c r="E325" s="1" t="s">
        <v>2913</v>
      </c>
      <c r="F325" s="1" t="s">
        <v>2914</v>
      </c>
      <c r="G325" s="1" t="s">
        <v>14129</v>
      </c>
      <c r="H325" s="1" t="s">
        <v>14133</v>
      </c>
      <c r="I325" s="1" t="s">
        <v>14448</v>
      </c>
      <c r="J325" s="1" t="s">
        <v>23</v>
      </c>
      <c r="K325" s="1"/>
      <c r="L325" s="1" t="s">
        <v>2915</v>
      </c>
      <c r="M325" s="1" t="s">
        <v>2915</v>
      </c>
      <c r="N325" s="12" t="b">
        <f t="shared" si="25"/>
        <v>1</v>
      </c>
      <c r="O325" s="1" t="s">
        <v>2916</v>
      </c>
      <c r="P325" s="1" t="s">
        <v>2917</v>
      </c>
      <c r="Q325" s="1" t="s">
        <v>2918</v>
      </c>
      <c r="R325" s="1" t="s">
        <v>2919</v>
      </c>
      <c r="S325" s="1" t="s">
        <v>2920</v>
      </c>
      <c r="T325" s="1" t="s">
        <v>2921</v>
      </c>
      <c r="U325" s="1" t="s">
        <v>2922</v>
      </c>
      <c r="V325" s="13">
        <f>COUNTIF(L325:$M$1659,L325)</f>
        <v>6</v>
      </c>
      <c r="W325" s="1" t="s">
        <v>2923</v>
      </c>
      <c r="X325">
        <v>733.45</v>
      </c>
      <c r="Y325">
        <v>46.07</v>
      </c>
      <c r="Z325">
        <v>16.763349999999999</v>
      </c>
      <c r="AA325">
        <v>107.24277499999999</v>
      </c>
      <c r="AB325">
        <v>687.38</v>
      </c>
      <c r="AC325">
        <v>16.769258000000001</v>
      </c>
      <c r="AD325">
        <v>107.228122</v>
      </c>
      <c r="AE325" s="5">
        <f t="shared" si="26"/>
        <v>6.9105E-2</v>
      </c>
      <c r="AF325" s="5">
        <f t="shared" si="27"/>
        <v>1.0310699999999999</v>
      </c>
      <c r="AG325" s="1" t="str">
        <f>TRIM(LEFT(L325,FIND("-",L325)-1))</f>
        <v>Nam Cửa Việt</v>
      </c>
      <c r="AH325" s="1" t="str">
        <f>TRIM(RIGHT(L325, LEN(L325) - FIND("-", L325)))</f>
        <v>Triệu Cơ</v>
      </c>
      <c r="AJ325">
        <f t="shared" si="28"/>
        <v>4.607E-2</v>
      </c>
      <c r="AK325">
        <f t="shared" si="29"/>
        <v>0.68737999999999999</v>
      </c>
      <c r="AL325" t="e">
        <f>VLOOKUP(L325,'[1]Tuyến cáp H04'!$B:$E,3,0)/1000</f>
        <v>#N/A</v>
      </c>
      <c r="AM325" t="e">
        <f>VLOOKUP(L325,'[1]Tuyến cáp H04'!$B:$E,4,0)</f>
        <v>#N/A</v>
      </c>
    </row>
    <row r="326" spans="1:39" x14ac:dyDescent="0.25">
      <c r="A326" s="1" t="s">
        <v>2924</v>
      </c>
      <c r="B326" s="1" t="s">
        <v>2912</v>
      </c>
      <c r="C326" s="1" t="s">
        <v>2913</v>
      </c>
      <c r="D326" s="1" t="s">
        <v>2662</v>
      </c>
      <c r="E326" s="1" t="s">
        <v>2663</v>
      </c>
      <c r="F326" s="1" t="s">
        <v>2925</v>
      </c>
      <c r="G326" s="1" t="s">
        <v>14129</v>
      </c>
      <c r="H326" s="1" t="s">
        <v>14133</v>
      </c>
      <c r="I326" s="1" t="s">
        <v>14449</v>
      </c>
      <c r="J326" s="1" t="s">
        <v>23</v>
      </c>
      <c r="K326" s="1"/>
      <c r="L326" s="1" t="s">
        <v>2926</v>
      </c>
      <c r="M326" s="1" t="s">
        <v>2926</v>
      </c>
      <c r="N326" s="12" t="b">
        <f t="shared" si="25"/>
        <v>1</v>
      </c>
      <c r="O326" s="1" t="s">
        <v>2927</v>
      </c>
      <c r="P326" s="1" t="s">
        <v>2928</v>
      </c>
      <c r="Q326" s="1" t="s">
        <v>2929</v>
      </c>
      <c r="R326" s="1" t="s">
        <v>2930</v>
      </c>
      <c r="S326" s="1" t="s">
        <v>2931</v>
      </c>
      <c r="T326" s="1" t="s">
        <v>2932</v>
      </c>
      <c r="U326" s="1" t="s">
        <v>2933</v>
      </c>
      <c r="V326" s="13">
        <f>COUNTIF(L326:$M$1659,L326)</f>
        <v>6</v>
      </c>
      <c r="W326" s="1" t="s">
        <v>2934</v>
      </c>
      <c r="X326">
        <v>2915.45</v>
      </c>
      <c r="Y326">
        <v>2885.9</v>
      </c>
      <c r="Z326">
        <v>16.755587999999999</v>
      </c>
      <c r="AA326">
        <v>107.198543</v>
      </c>
      <c r="AB326">
        <v>29.56</v>
      </c>
      <c r="AC326">
        <v>16.739564999999999</v>
      </c>
      <c r="AD326">
        <v>107.188067</v>
      </c>
      <c r="AE326" s="5">
        <f t="shared" si="26"/>
        <v>4.3288500000000001</v>
      </c>
      <c r="AF326" s="5">
        <f t="shared" si="27"/>
        <v>4.4339999999999997E-2</v>
      </c>
      <c r="AG326" s="1" t="str">
        <f>TRIM(LEFT(L326,FIND("-",L326)-1))</f>
        <v>Quảng Trị</v>
      </c>
      <c r="AH326" s="1" t="str">
        <f>TRIM(RIGHT(L326, LEN(L326) - FIND("-", L326)))</f>
        <v>PC07 (Đội PCCC khu vực 5)</v>
      </c>
      <c r="AJ326">
        <f t="shared" si="28"/>
        <v>2.8858999999999999</v>
      </c>
      <c r="AK326">
        <f t="shared" si="29"/>
        <v>2.9559999999999999E-2</v>
      </c>
      <c r="AL326">
        <f>VLOOKUP(L326,'[1]Tuyến cáp H04'!$B:$E,3,0)/1000</f>
        <v>3.177616</v>
      </c>
      <c r="AM326" t="str">
        <f>VLOOKUP(L326,'[1]Tuyến cáp H04'!$B:$E,4,0)</f>
        <v>Mạng cấp 4</v>
      </c>
    </row>
    <row r="327" spans="1:39" x14ac:dyDescent="0.25">
      <c r="A327" s="1" t="s">
        <v>2935</v>
      </c>
      <c r="B327" s="1" t="s">
        <v>2835</v>
      </c>
      <c r="C327" s="1" t="s">
        <v>2836</v>
      </c>
      <c r="D327" s="1" t="s">
        <v>2936</v>
      </c>
      <c r="E327" s="1" t="s">
        <v>2937</v>
      </c>
      <c r="F327" s="1" t="s">
        <v>2938</v>
      </c>
      <c r="G327" s="1" t="s">
        <v>14129</v>
      </c>
      <c r="H327" s="1" t="s">
        <v>14133</v>
      </c>
      <c r="I327" s="1" t="s">
        <v>14450</v>
      </c>
      <c r="J327" s="1" t="s">
        <v>23</v>
      </c>
      <c r="K327" s="1"/>
      <c r="L327" s="1" t="s">
        <v>2939</v>
      </c>
      <c r="M327" s="1" t="s">
        <v>2939</v>
      </c>
      <c r="N327" s="12" t="b">
        <f t="shared" si="25"/>
        <v>1</v>
      </c>
      <c r="O327" s="1" t="s">
        <v>2940</v>
      </c>
      <c r="P327" s="1" t="s">
        <v>2941</v>
      </c>
      <c r="Q327" s="1" t="s">
        <v>2942</v>
      </c>
      <c r="R327" s="1" t="s">
        <v>2943</v>
      </c>
      <c r="S327" s="1" t="s">
        <v>2944</v>
      </c>
      <c r="T327" s="1" t="s">
        <v>2945</v>
      </c>
      <c r="U327" s="1" t="s">
        <v>2946</v>
      </c>
      <c r="V327" s="13">
        <f>COUNTIF(L327:$M$1659,L327)</f>
        <v>4</v>
      </c>
      <c r="W327" s="1" t="s">
        <v>2947</v>
      </c>
      <c r="X327">
        <v>334.39</v>
      </c>
      <c r="Y327">
        <v>44.1</v>
      </c>
      <c r="Z327">
        <v>16.691837</v>
      </c>
      <c r="AA327">
        <v>107.245086</v>
      </c>
      <c r="AB327">
        <v>290.3</v>
      </c>
      <c r="AC327">
        <v>16.661895999999999</v>
      </c>
      <c r="AD327">
        <v>107.27864099999999</v>
      </c>
      <c r="AE327" s="5">
        <f t="shared" si="26"/>
        <v>6.615E-2</v>
      </c>
      <c r="AF327" s="5">
        <f t="shared" si="27"/>
        <v>0.43545000000000006</v>
      </c>
      <c r="AG327" s="1" t="str">
        <f>TRIM(LEFT(L327,FIND("-",L327)-1))</f>
        <v>Diên Sanh</v>
      </c>
      <c r="AH327" s="1" t="str">
        <f>TRIM(RIGHT(L327, LEN(L327) - FIND("-", L327)))</f>
        <v>Nam Hải Lăng</v>
      </c>
      <c r="AJ327">
        <f t="shared" si="28"/>
        <v>4.41E-2</v>
      </c>
      <c r="AK327">
        <f t="shared" si="29"/>
        <v>0.2903</v>
      </c>
      <c r="AL327">
        <f>VLOOKUP(L327,'[1]Tuyến cáp H04'!$B:$E,3,0)/1000</f>
        <v>10.531879999999999</v>
      </c>
      <c r="AM327" t="str">
        <f>VLOOKUP(L327,'[1]Tuyến cáp H04'!$B:$E,4,0)</f>
        <v>Mạng cấp 4</v>
      </c>
    </row>
    <row r="328" spans="1:39" x14ac:dyDescent="0.25">
      <c r="A328" s="1" t="s">
        <v>2948</v>
      </c>
      <c r="B328" s="1" t="s">
        <v>2949</v>
      </c>
      <c r="C328" s="1" t="s">
        <v>2950</v>
      </c>
      <c r="D328" s="1" t="s">
        <v>2662</v>
      </c>
      <c r="E328" s="1" t="s">
        <v>2663</v>
      </c>
      <c r="F328" s="1" t="s">
        <v>2951</v>
      </c>
      <c r="G328" s="1" t="s">
        <v>14129</v>
      </c>
      <c r="H328" s="1" t="s">
        <v>14133</v>
      </c>
      <c r="I328" s="1" t="s">
        <v>14451</v>
      </c>
      <c r="J328" s="1" t="s">
        <v>23</v>
      </c>
      <c r="K328" s="1"/>
      <c r="L328" s="1" t="s">
        <v>2952</v>
      </c>
      <c r="M328" s="1" t="s">
        <v>2952</v>
      </c>
      <c r="N328" s="12" t="b">
        <f t="shared" si="25"/>
        <v>1</v>
      </c>
      <c r="O328" s="1" t="s">
        <v>2953</v>
      </c>
      <c r="P328" s="1" t="s">
        <v>2954</v>
      </c>
      <c r="Q328" s="1" t="s">
        <v>2955</v>
      </c>
      <c r="R328" s="1" t="s">
        <v>2956</v>
      </c>
      <c r="S328" s="1" t="s">
        <v>2957</v>
      </c>
      <c r="T328" s="1" t="s">
        <v>2958</v>
      </c>
      <c r="U328" s="1" t="s">
        <v>2959</v>
      </c>
      <c r="V328" s="13">
        <f>COUNTIF(L328:$M$1659,L328)</f>
        <v>2</v>
      </c>
      <c r="W328" s="1" t="s">
        <v>2960</v>
      </c>
      <c r="X328">
        <v>196.81</v>
      </c>
      <c r="Y328">
        <v>169.47</v>
      </c>
      <c r="Z328">
        <v>16.740214000000002</v>
      </c>
      <c r="AA328">
        <v>107.192099</v>
      </c>
      <c r="AB328">
        <v>27.34</v>
      </c>
      <c r="AC328">
        <v>16.739604</v>
      </c>
      <c r="AD328">
        <v>107.18847</v>
      </c>
      <c r="AE328" s="5">
        <f t="shared" si="26"/>
        <v>0.25420499999999996</v>
      </c>
      <c r="AF328" s="5">
        <f t="shared" si="27"/>
        <v>4.1009999999999998E-2</v>
      </c>
      <c r="AG328" s="1" t="str">
        <f>TRIM(LEFT(L328,FIND("-",L328)-1))</f>
        <v>TX Quảng Trị</v>
      </c>
      <c r="AH328" s="1" t="str">
        <f>TRIM(RIGHT(L328, LEN(L328) - FIND("-", L328)))</f>
        <v>Hải Lăng</v>
      </c>
      <c r="AJ328">
        <f t="shared" si="28"/>
        <v>0.16947000000000001</v>
      </c>
      <c r="AK328">
        <f t="shared" si="29"/>
        <v>2.734E-2</v>
      </c>
      <c r="AL328">
        <f>VLOOKUP(L328,'[1]Tuyến cáp H04'!$B:$E,3,0)/1000</f>
        <v>9.6837609999999987</v>
      </c>
      <c r="AM328" t="str">
        <f>VLOOKUP(L328,'[1]Tuyến cáp H04'!$B:$E,4,0)</f>
        <v>Mạng cấp 3</v>
      </c>
    </row>
    <row r="329" spans="1:39" x14ac:dyDescent="0.25">
      <c r="A329" s="1" t="s">
        <v>2961</v>
      </c>
      <c r="B329" s="1" t="s">
        <v>2835</v>
      </c>
      <c r="C329" s="1" t="s">
        <v>2836</v>
      </c>
      <c r="D329" s="1" t="s">
        <v>2962</v>
      </c>
      <c r="E329" s="1" t="s">
        <v>2963</v>
      </c>
      <c r="F329" s="1" t="s">
        <v>2964</v>
      </c>
      <c r="G329" s="1" t="s">
        <v>14129</v>
      </c>
      <c r="H329" s="1" t="s">
        <v>14133</v>
      </c>
      <c r="I329" s="1" t="s">
        <v>14452</v>
      </c>
      <c r="J329" s="1" t="s">
        <v>23</v>
      </c>
      <c r="K329" s="1"/>
      <c r="L329" s="1" t="s">
        <v>2890</v>
      </c>
      <c r="M329" s="1" t="s">
        <v>2890</v>
      </c>
      <c r="N329" s="12" t="b">
        <f t="shared" si="25"/>
        <v>1</v>
      </c>
      <c r="O329" s="1" t="s">
        <v>2965</v>
      </c>
      <c r="P329" s="1" t="s">
        <v>2966</v>
      </c>
      <c r="Q329" s="1" t="s">
        <v>2967</v>
      </c>
      <c r="R329" s="1" t="s">
        <v>2968</v>
      </c>
      <c r="S329" s="1" t="s">
        <v>2969</v>
      </c>
      <c r="T329" s="1" t="s">
        <v>2970</v>
      </c>
      <c r="U329" s="1" t="s">
        <v>2971</v>
      </c>
      <c r="V329" s="13">
        <f>COUNTIF(L329:$M$1659,L329)</f>
        <v>4</v>
      </c>
      <c r="W329" s="1" t="s">
        <v>2972</v>
      </c>
      <c r="X329">
        <v>1246.45</v>
      </c>
      <c r="Y329">
        <v>31.11</v>
      </c>
      <c r="Z329">
        <v>16.692076</v>
      </c>
      <c r="AA329">
        <v>107.245344</v>
      </c>
      <c r="AB329">
        <v>1215.3399999999999</v>
      </c>
      <c r="AC329">
        <v>16.701003</v>
      </c>
      <c r="AD329">
        <v>107.254479</v>
      </c>
      <c r="AE329" s="5">
        <f t="shared" si="26"/>
        <v>4.6664999999999998E-2</v>
      </c>
      <c r="AF329" s="5">
        <f t="shared" si="27"/>
        <v>1.8230099999999998</v>
      </c>
      <c r="AG329" s="1" t="str">
        <f>TRIM(LEFT(L329,FIND("-",L329)-1))</f>
        <v>PC07 (Đội PCCC khu vực Hải lăng)</v>
      </c>
      <c r="AH329" s="1" t="str">
        <f>TRIM(RIGHT(L329, LEN(L329) - FIND("-", L329)))</f>
        <v>Hải Lăng</v>
      </c>
      <c r="AJ329">
        <f t="shared" si="28"/>
        <v>3.1109999999999999E-2</v>
      </c>
      <c r="AK329">
        <f t="shared" si="29"/>
        <v>1.2153399999999999</v>
      </c>
      <c r="AL329">
        <f>VLOOKUP(L329,'[1]Tuyến cáp H04'!$B:$E,3,0)/1000</f>
        <v>3.384039</v>
      </c>
      <c r="AM329" t="str">
        <f>VLOOKUP(L329,'[1]Tuyến cáp H04'!$B:$E,4,0)</f>
        <v>Mạng cấp 3</v>
      </c>
    </row>
    <row r="330" spans="1:39" x14ac:dyDescent="0.25">
      <c r="A330" s="1" t="s">
        <v>2973</v>
      </c>
      <c r="B330" s="1" t="s">
        <v>2962</v>
      </c>
      <c r="C330" s="1" t="s">
        <v>2963</v>
      </c>
      <c r="D330" s="1" t="s">
        <v>2835</v>
      </c>
      <c r="E330" s="1" t="s">
        <v>2836</v>
      </c>
      <c r="F330" s="1" t="s">
        <v>2974</v>
      </c>
      <c r="G330" s="1" t="s">
        <v>14129</v>
      </c>
      <c r="H330" s="1" t="s">
        <v>14133</v>
      </c>
      <c r="I330" s="1" t="s">
        <v>14453</v>
      </c>
      <c r="J330" s="1" t="s">
        <v>23</v>
      </c>
      <c r="K330" s="1"/>
      <c r="L330" s="1" t="s">
        <v>2890</v>
      </c>
      <c r="M330" s="1" t="s">
        <v>2890</v>
      </c>
      <c r="N330" s="12" t="b">
        <f t="shared" si="25"/>
        <v>1</v>
      </c>
      <c r="O330" s="1" t="s">
        <v>2965</v>
      </c>
      <c r="P330" s="1" t="s">
        <v>2969</v>
      </c>
      <c r="Q330" s="1" t="s">
        <v>2970</v>
      </c>
      <c r="R330" s="1" t="s">
        <v>2971</v>
      </c>
      <c r="S330" s="1" t="s">
        <v>2966</v>
      </c>
      <c r="T330" s="1" t="s">
        <v>2967</v>
      </c>
      <c r="U330" s="1" t="s">
        <v>2968</v>
      </c>
      <c r="V330" s="13">
        <f>COUNTIF(L330:$M$1659,L330)</f>
        <v>2</v>
      </c>
      <c r="W330" s="1" t="s">
        <v>2972</v>
      </c>
      <c r="X330">
        <v>1246.45</v>
      </c>
      <c r="Y330">
        <v>1215.3399999999999</v>
      </c>
      <c r="Z330">
        <v>16.701003</v>
      </c>
      <c r="AA330">
        <v>107.254479</v>
      </c>
      <c r="AB330">
        <v>31.11</v>
      </c>
      <c r="AC330">
        <v>16.692076</v>
      </c>
      <c r="AD330">
        <v>107.245344</v>
      </c>
      <c r="AE330" s="5">
        <f t="shared" si="26"/>
        <v>1.8230099999999998</v>
      </c>
      <c r="AF330" s="5">
        <f t="shared" si="27"/>
        <v>4.6664999999999998E-2</v>
      </c>
      <c r="AG330" s="1" t="str">
        <f>TRIM(LEFT(L330,FIND("-",L330)-1))</f>
        <v>PC07 (Đội PCCC khu vực Hải lăng)</v>
      </c>
      <c r="AH330" s="1" t="str">
        <f>TRIM(RIGHT(L330, LEN(L330) - FIND("-", L330)))</f>
        <v>Hải Lăng</v>
      </c>
      <c r="AJ330">
        <f t="shared" si="28"/>
        <v>1.2153399999999999</v>
      </c>
      <c r="AK330">
        <f t="shared" si="29"/>
        <v>3.1109999999999999E-2</v>
      </c>
      <c r="AL330">
        <f>VLOOKUP(L330,'[1]Tuyến cáp H04'!$B:$E,3,0)/1000</f>
        <v>3.384039</v>
      </c>
      <c r="AM330" t="str">
        <f>VLOOKUP(L330,'[1]Tuyến cáp H04'!$B:$E,4,0)</f>
        <v>Mạng cấp 3</v>
      </c>
    </row>
    <row r="331" spans="1:39" x14ac:dyDescent="0.25">
      <c r="A331" s="1" t="s">
        <v>2846</v>
      </c>
      <c r="B331" s="1" t="s">
        <v>2835</v>
      </c>
      <c r="C331" s="1" t="s">
        <v>2836</v>
      </c>
      <c r="D331" s="1" t="s">
        <v>2662</v>
      </c>
      <c r="E331" s="1" t="s">
        <v>2663</v>
      </c>
      <c r="F331" s="1" t="s">
        <v>2975</v>
      </c>
      <c r="G331" s="1" t="s">
        <v>14129</v>
      </c>
      <c r="H331" s="1" t="s">
        <v>14133</v>
      </c>
      <c r="I331" s="1" t="s">
        <v>14454</v>
      </c>
      <c r="J331" s="1" t="s">
        <v>23</v>
      </c>
      <c r="K331" s="1"/>
      <c r="L331" s="1" t="s">
        <v>2665</v>
      </c>
      <c r="M331" s="1" t="s">
        <v>2665</v>
      </c>
      <c r="N331" s="12" t="b">
        <f t="shared" si="25"/>
        <v>1</v>
      </c>
      <c r="O331" s="1" t="s">
        <v>2848</v>
      </c>
      <c r="P331" s="1" t="s">
        <v>2842</v>
      </c>
      <c r="Q331" s="1" t="s">
        <v>2843</v>
      </c>
      <c r="R331" s="1" t="s">
        <v>2844</v>
      </c>
      <c r="S331" s="1" t="s">
        <v>2849</v>
      </c>
      <c r="T331" s="1" t="s">
        <v>2850</v>
      </c>
      <c r="U331" s="1" t="s">
        <v>2851</v>
      </c>
      <c r="V331" s="13">
        <f>COUNTIF(L331:$M$1659,L331)</f>
        <v>6</v>
      </c>
      <c r="W331" s="1" t="s">
        <v>2845</v>
      </c>
      <c r="X331">
        <v>989.41</v>
      </c>
      <c r="Y331">
        <v>30.35</v>
      </c>
      <c r="Z331">
        <v>16.692073000000001</v>
      </c>
      <c r="AA331">
        <v>107.245351</v>
      </c>
      <c r="AB331">
        <v>959.07</v>
      </c>
      <c r="AC331">
        <v>16.7441</v>
      </c>
      <c r="AD331">
        <v>107.195866</v>
      </c>
      <c r="AE331" s="5">
        <f t="shared" si="26"/>
        <v>4.5525000000000003E-2</v>
      </c>
      <c r="AF331" s="5">
        <f t="shared" si="27"/>
        <v>1.4386049999999999</v>
      </c>
      <c r="AG331" s="1" t="str">
        <f>TRIM(LEFT(L331,FIND("-",L331)-1))</f>
        <v>Hải Lăng</v>
      </c>
      <c r="AH331" s="1" t="str">
        <f>TRIM(RIGHT(L331, LEN(L331) - FIND("-", L331)))</f>
        <v>TT2 Quảng Trị</v>
      </c>
      <c r="AJ331">
        <f t="shared" si="28"/>
        <v>3.0350000000000002E-2</v>
      </c>
      <c r="AK331">
        <f t="shared" si="29"/>
        <v>0.95907000000000009</v>
      </c>
      <c r="AL331">
        <f>VLOOKUP(L331,'[1]Tuyến cáp H04'!$B:$E,3,0)/1000</f>
        <v>23.995881000000004</v>
      </c>
      <c r="AM331" t="str">
        <f>VLOOKUP(L331,'[1]Tuyến cáp H04'!$B:$E,4,0)</f>
        <v>Mạng cấp 3</v>
      </c>
    </row>
    <row r="332" spans="1:39" x14ac:dyDescent="0.25">
      <c r="A332" s="1" t="s">
        <v>2976</v>
      </c>
      <c r="B332" s="1" t="s">
        <v>2977</v>
      </c>
      <c r="C332" s="1" t="s">
        <v>2978</v>
      </c>
      <c r="D332" s="1" t="s">
        <v>2662</v>
      </c>
      <c r="E332" s="1" t="s">
        <v>2663</v>
      </c>
      <c r="F332" s="1" t="s">
        <v>2979</v>
      </c>
      <c r="G332" s="1" t="s">
        <v>14129</v>
      </c>
      <c r="H332" s="1" t="s">
        <v>14133</v>
      </c>
      <c r="I332" s="1" t="s">
        <v>14455</v>
      </c>
      <c r="J332" s="1" t="s">
        <v>23</v>
      </c>
      <c r="K332" s="1"/>
      <c r="L332" s="1" t="s">
        <v>2980</v>
      </c>
      <c r="M332" s="1" t="s">
        <v>2980</v>
      </c>
      <c r="N332" s="12" t="b">
        <f t="shared" si="25"/>
        <v>1</v>
      </c>
      <c r="O332" s="1" t="s">
        <v>2981</v>
      </c>
      <c r="P332" s="1" t="s">
        <v>2982</v>
      </c>
      <c r="Q332" s="1" t="s">
        <v>2983</v>
      </c>
      <c r="R332" s="1" t="s">
        <v>2984</v>
      </c>
      <c r="S332" s="1" t="s">
        <v>2985</v>
      </c>
      <c r="T332" s="1" t="s">
        <v>2986</v>
      </c>
      <c r="U332" s="1" t="s">
        <v>2987</v>
      </c>
      <c r="V332" s="13">
        <f>COUNTIF(L332:$M$1659,L332)</f>
        <v>6</v>
      </c>
      <c r="W332" s="1" t="s">
        <v>2988</v>
      </c>
      <c r="X332">
        <v>1967.45</v>
      </c>
      <c r="Y332">
        <v>629.54999999999995</v>
      </c>
      <c r="Z332">
        <v>16.767475000000001</v>
      </c>
      <c r="AA332">
        <v>107.192733</v>
      </c>
      <c r="AB332">
        <v>1337.9</v>
      </c>
      <c r="AC332">
        <v>16.751204000000001</v>
      </c>
      <c r="AD332">
        <v>107.185762</v>
      </c>
      <c r="AE332" s="5">
        <f t="shared" si="26"/>
        <v>0.94432499999999997</v>
      </c>
      <c r="AF332" s="5">
        <f t="shared" si="27"/>
        <v>2.00685</v>
      </c>
      <c r="AG332" s="1" t="str">
        <f>TRIM(LEFT(L332,FIND("-",L332)-1))</f>
        <v>Ái Tử</v>
      </c>
      <c r="AH332" s="1" t="str">
        <f>TRIM(RIGHT(L332, LEN(L332) - FIND("-", L332)))</f>
        <v>TTCMKV TX Quảng Trị</v>
      </c>
      <c r="AJ332">
        <f t="shared" si="28"/>
        <v>0.62954999999999994</v>
      </c>
      <c r="AK332">
        <f t="shared" si="29"/>
        <v>1.3379000000000001</v>
      </c>
      <c r="AL332">
        <f>VLOOKUP(L332,'[1]Tuyến cáp H04'!$B:$E,3,0)/1000</f>
        <v>7.9011620000000002</v>
      </c>
      <c r="AM332" t="str">
        <f>VLOOKUP(L332,'[1]Tuyến cáp H04'!$B:$E,4,0)</f>
        <v>Mạng cấp 4</v>
      </c>
    </row>
    <row r="333" spans="1:39" x14ac:dyDescent="0.25">
      <c r="A333" s="1" t="s">
        <v>2989</v>
      </c>
      <c r="B333" s="1" t="s">
        <v>2990</v>
      </c>
      <c r="C333" s="1" t="s">
        <v>2991</v>
      </c>
      <c r="D333" s="1" t="s">
        <v>2992</v>
      </c>
      <c r="E333" s="1" t="s">
        <v>2993</v>
      </c>
      <c r="F333" s="1" t="s">
        <v>2994</v>
      </c>
      <c r="G333" s="1" t="s">
        <v>14129</v>
      </c>
      <c r="H333" s="1" t="s">
        <v>14133</v>
      </c>
      <c r="I333" s="1" t="s">
        <v>14456</v>
      </c>
      <c r="J333" s="1" t="s">
        <v>23</v>
      </c>
      <c r="K333" s="1"/>
      <c r="L333" s="1" t="s">
        <v>2980</v>
      </c>
      <c r="M333" s="1" t="s">
        <v>2980</v>
      </c>
      <c r="N333" s="12" t="b">
        <f t="shared" si="25"/>
        <v>1</v>
      </c>
      <c r="O333" s="1" t="s">
        <v>2995</v>
      </c>
      <c r="P333" s="1" t="s">
        <v>2996</v>
      </c>
      <c r="Q333" s="1" t="s">
        <v>2997</v>
      </c>
      <c r="R333" s="1" t="s">
        <v>2998</v>
      </c>
      <c r="S333" s="1" t="s">
        <v>2999</v>
      </c>
      <c r="T333" s="1" t="s">
        <v>3000</v>
      </c>
      <c r="U333" s="1" t="s">
        <v>3001</v>
      </c>
      <c r="V333" s="13">
        <f>COUNTIF(L333:$M$1659,L333)</f>
        <v>4</v>
      </c>
      <c r="W333" s="1" t="s">
        <v>3002</v>
      </c>
      <c r="X333">
        <v>3005.76</v>
      </c>
      <c r="Y333">
        <v>3005.2</v>
      </c>
      <c r="Z333">
        <v>16.792856</v>
      </c>
      <c r="AA333">
        <v>107.176041</v>
      </c>
      <c r="AB333">
        <v>0.56000000000000005</v>
      </c>
      <c r="AC333">
        <v>16.790996</v>
      </c>
      <c r="AD333">
        <v>107.172702</v>
      </c>
      <c r="AE333" s="5">
        <f t="shared" si="26"/>
        <v>4.5077999999999996</v>
      </c>
      <c r="AF333" s="5">
        <f t="shared" si="27"/>
        <v>8.4000000000000003E-4</v>
      </c>
      <c r="AG333" s="1" t="str">
        <f>TRIM(LEFT(L333,FIND("-",L333)-1))</f>
        <v>Ái Tử</v>
      </c>
      <c r="AH333" s="1" t="str">
        <f>TRIM(RIGHT(L333, LEN(L333) - FIND("-", L333)))</f>
        <v>TTCMKV TX Quảng Trị</v>
      </c>
      <c r="AJ333">
        <f t="shared" si="28"/>
        <v>3.0051999999999999</v>
      </c>
      <c r="AK333">
        <f t="shared" si="29"/>
        <v>5.6000000000000006E-4</v>
      </c>
      <c r="AL333">
        <f>VLOOKUP(L333,'[1]Tuyến cáp H04'!$B:$E,3,0)/1000</f>
        <v>7.9011620000000002</v>
      </c>
      <c r="AM333" t="str">
        <f>VLOOKUP(L333,'[1]Tuyến cáp H04'!$B:$E,4,0)</f>
        <v>Mạng cấp 4</v>
      </c>
    </row>
    <row r="334" spans="1:39" x14ac:dyDescent="0.25">
      <c r="A334" s="1" t="s">
        <v>3003</v>
      </c>
      <c r="B334" s="1" t="s">
        <v>2992</v>
      </c>
      <c r="C334" s="1" t="s">
        <v>2993</v>
      </c>
      <c r="D334" s="1" t="s">
        <v>3004</v>
      </c>
      <c r="E334" s="1" t="s">
        <v>3005</v>
      </c>
      <c r="F334" s="1" t="s">
        <v>3006</v>
      </c>
      <c r="G334" s="1" t="s">
        <v>14129</v>
      </c>
      <c r="H334" s="1" t="s">
        <v>14133</v>
      </c>
      <c r="I334" s="1" t="s">
        <v>14457</v>
      </c>
      <c r="J334" s="1" t="s">
        <v>23</v>
      </c>
      <c r="K334" s="1"/>
      <c r="L334" s="1" t="s">
        <v>2665</v>
      </c>
      <c r="M334" s="1" t="s">
        <v>2665</v>
      </c>
      <c r="N334" s="12" t="b">
        <f t="shared" si="25"/>
        <v>1</v>
      </c>
      <c r="O334" s="1" t="s">
        <v>3007</v>
      </c>
      <c r="P334" s="1" t="s">
        <v>3008</v>
      </c>
      <c r="Q334" s="1" t="s">
        <v>3009</v>
      </c>
      <c r="R334" s="1" t="s">
        <v>3010</v>
      </c>
      <c r="S334" s="1" t="s">
        <v>3011</v>
      </c>
      <c r="T334" s="1" t="s">
        <v>2668</v>
      </c>
      <c r="U334" s="1" t="s">
        <v>2669</v>
      </c>
      <c r="V334" s="13">
        <f>COUNTIF(L334:$M$1659,L334)</f>
        <v>4</v>
      </c>
      <c r="W334" s="1" t="s">
        <v>2673</v>
      </c>
      <c r="X334">
        <v>3251.83</v>
      </c>
      <c r="Y334">
        <v>2219.4499999999998</v>
      </c>
      <c r="Z334">
        <v>16.777950000000001</v>
      </c>
      <c r="AA334">
        <v>107.156925</v>
      </c>
      <c r="AB334">
        <v>1032.3800000000001</v>
      </c>
      <c r="AC334">
        <v>16.749236</v>
      </c>
      <c r="AD334">
        <v>107.17827200000001</v>
      </c>
      <c r="AE334" s="5">
        <f t="shared" si="26"/>
        <v>3.3291749999999998</v>
      </c>
      <c r="AF334" s="5">
        <f t="shared" si="27"/>
        <v>1.5485700000000002</v>
      </c>
      <c r="AG334" s="1" t="str">
        <f>TRIM(LEFT(L334,FIND("-",L334)-1))</f>
        <v>Hải Lăng</v>
      </c>
      <c r="AH334" s="1" t="str">
        <f>TRIM(RIGHT(L334, LEN(L334) - FIND("-", L334)))</f>
        <v>TT2 Quảng Trị</v>
      </c>
      <c r="AJ334">
        <f t="shared" si="28"/>
        <v>2.2194499999999997</v>
      </c>
      <c r="AK334">
        <f t="shared" si="29"/>
        <v>1.0323800000000001</v>
      </c>
      <c r="AL334">
        <f>VLOOKUP(L334,'[1]Tuyến cáp H04'!$B:$E,3,0)/1000</f>
        <v>23.995881000000004</v>
      </c>
      <c r="AM334" t="str">
        <f>VLOOKUP(L334,'[1]Tuyến cáp H04'!$B:$E,4,0)</f>
        <v>Mạng cấp 3</v>
      </c>
    </row>
    <row r="335" spans="1:39" x14ac:dyDescent="0.25">
      <c r="A335" s="1" t="s">
        <v>3012</v>
      </c>
      <c r="B335" s="1" t="s">
        <v>3004</v>
      </c>
      <c r="C335" s="1" t="s">
        <v>3005</v>
      </c>
      <c r="D335" s="1" t="s">
        <v>2662</v>
      </c>
      <c r="E335" s="1" t="s">
        <v>2663</v>
      </c>
      <c r="F335" s="1" t="s">
        <v>3013</v>
      </c>
      <c r="G335" s="1" t="s">
        <v>14129</v>
      </c>
      <c r="H335" s="1" t="s">
        <v>14133</v>
      </c>
      <c r="I335" s="1" t="s">
        <v>14458</v>
      </c>
      <c r="J335" s="1" t="s">
        <v>23</v>
      </c>
      <c r="K335" s="1"/>
      <c r="L335" s="1" t="s">
        <v>2980</v>
      </c>
      <c r="M335" s="1" t="s">
        <v>2980</v>
      </c>
      <c r="N335" s="12" t="b">
        <f t="shared" si="25"/>
        <v>1</v>
      </c>
      <c r="O335" s="1" t="s">
        <v>3014</v>
      </c>
      <c r="P335" s="1" t="s">
        <v>3015</v>
      </c>
      <c r="Q335" s="1" t="s">
        <v>3016</v>
      </c>
      <c r="R335" s="1" t="s">
        <v>3017</v>
      </c>
      <c r="S335" s="1" t="s">
        <v>3018</v>
      </c>
      <c r="T335" s="1" t="s">
        <v>3019</v>
      </c>
      <c r="U335" s="1" t="s">
        <v>3020</v>
      </c>
      <c r="V335" s="13">
        <f>COUNTIF(L335:$M$1659,L335)</f>
        <v>2</v>
      </c>
      <c r="W335" s="1" t="s">
        <v>3021</v>
      </c>
      <c r="X335">
        <v>185.49</v>
      </c>
      <c r="Y335">
        <v>155.44999999999999</v>
      </c>
      <c r="Z335">
        <v>16.741446</v>
      </c>
      <c r="AA335">
        <v>107.18541</v>
      </c>
      <c r="AB335">
        <v>30.04</v>
      </c>
      <c r="AC335">
        <v>16.739591999999998</v>
      </c>
      <c r="AD335">
        <v>107.18808300000001</v>
      </c>
      <c r="AE335" s="5">
        <f t="shared" si="26"/>
        <v>0.23317499999999999</v>
      </c>
      <c r="AF335" s="5">
        <f t="shared" si="27"/>
        <v>4.5060000000000003E-2</v>
      </c>
      <c r="AG335" s="1" t="str">
        <f>TRIM(LEFT(L335,FIND("-",L335)-1))</f>
        <v>Ái Tử</v>
      </c>
      <c r="AH335" s="1" t="str">
        <f>TRIM(RIGHT(L335, LEN(L335) - FIND("-", L335)))</f>
        <v>TTCMKV TX Quảng Trị</v>
      </c>
      <c r="AJ335">
        <f t="shared" si="28"/>
        <v>0.15544999999999998</v>
      </c>
      <c r="AK335">
        <f t="shared" si="29"/>
        <v>3.0040000000000001E-2</v>
      </c>
      <c r="AL335">
        <f>VLOOKUP(L335,'[1]Tuyến cáp H04'!$B:$E,3,0)/1000</f>
        <v>7.9011620000000002</v>
      </c>
      <c r="AM335" t="str">
        <f>VLOOKUP(L335,'[1]Tuyến cáp H04'!$B:$E,4,0)</f>
        <v>Mạng cấp 4</v>
      </c>
    </row>
    <row r="336" spans="1:39" x14ac:dyDescent="0.25">
      <c r="A336" s="1" t="s">
        <v>3022</v>
      </c>
      <c r="B336" s="1" t="s">
        <v>3023</v>
      </c>
      <c r="C336" s="1" t="s">
        <v>3024</v>
      </c>
      <c r="D336" s="1" t="s">
        <v>3025</v>
      </c>
      <c r="E336" s="1" t="s">
        <v>3026</v>
      </c>
      <c r="F336" s="1" t="s">
        <v>3027</v>
      </c>
      <c r="G336" s="1" t="s">
        <v>14129</v>
      </c>
      <c r="H336" s="1" t="s">
        <v>14133</v>
      </c>
      <c r="I336" s="1" t="s">
        <v>14459</v>
      </c>
      <c r="J336" s="1" t="s">
        <v>23</v>
      </c>
      <c r="K336" s="1"/>
      <c r="L336" s="1" t="s">
        <v>2915</v>
      </c>
      <c r="M336" s="1" t="s">
        <v>2915</v>
      </c>
      <c r="N336" s="12" t="b">
        <f t="shared" si="25"/>
        <v>1</v>
      </c>
      <c r="O336" s="1" t="s">
        <v>3028</v>
      </c>
      <c r="P336" s="1" t="s">
        <v>3029</v>
      </c>
      <c r="Q336" s="1" t="s">
        <v>3030</v>
      </c>
      <c r="R336" s="1" t="s">
        <v>3031</v>
      </c>
      <c r="S336" s="1" t="s">
        <v>3032</v>
      </c>
      <c r="T336" s="1" t="s">
        <v>3033</v>
      </c>
      <c r="U336" s="1" t="s">
        <v>3034</v>
      </c>
      <c r="V336" s="13">
        <f>COUNTIF(L336:$M$1659,L336)</f>
        <v>4</v>
      </c>
      <c r="W336" s="1" t="s">
        <v>2923</v>
      </c>
      <c r="X336">
        <v>3373.3</v>
      </c>
      <c r="Y336">
        <v>30.58</v>
      </c>
      <c r="Z336">
        <v>16.794288999999999</v>
      </c>
      <c r="AA336">
        <v>107.24495899999999</v>
      </c>
      <c r="AB336">
        <v>3342.73</v>
      </c>
      <c r="AC336">
        <v>16.771896000000002</v>
      </c>
      <c r="AD336">
        <v>107.225466</v>
      </c>
      <c r="AE336" s="5">
        <f t="shared" si="26"/>
        <v>4.5869999999999994E-2</v>
      </c>
      <c r="AF336" s="5">
        <f t="shared" si="27"/>
        <v>5.0140950000000002</v>
      </c>
      <c r="AG336" s="1" t="str">
        <f>TRIM(LEFT(L336,FIND("-",L336)-1))</f>
        <v>Nam Cửa Việt</v>
      </c>
      <c r="AH336" s="1" t="str">
        <f>TRIM(RIGHT(L336, LEN(L336) - FIND("-", L336)))</f>
        <v>Triệu Cơ</v>
      </c>
      <c r="AJ336">
        <f t="shared" si="28"/>
        <v>3.058E-2</v>
      </c>
      <c r="AK336">
        <f t="shared" si="29"/>
        <v>3.34273</v>
      </c>
      <c r="AL336" t="e">
        <f>VLOOKUP(L336,'[1]Tuyến cáp H04'!$B:$E,3,0)/1000</f>
        <v>#N/A</v>
      </c>
      <c r="AM336" t="e">
        <f>VLOOKUP(L336,'[1]Tuyến cáp H04'!$B:$E,4,0)</f>
        <v>#N/A</v>
      </c>
    </row>
    <row r="337" spans="1:39" x14ac:dyDescent="0.25">
      <c r="A337" s="1" t="s">
        <v>3035</v>
      </c>
      <c r="B337" s="1" t="s">
        <v>3025</v>
      </c>
      <c r="C337" s="1" t="s">
        <v>3026</v>
      </c>
      <c r="D337" s="1" t="s">
        <v>2662</v>
      </c>
      <c r="E337" s="1" t="s">
        <v>2663</v>
      </c>
      <c r="F337" s="1" t="s">
        <v>3036</v>
      </c>
      <c r="G337" s="1" t="s">
        <v>14129</v>
      </c>
      <c r="H337" s="1" t="s">
        <v>14133</v>
      </c>
      <c r="I337" s="1" t="s">
        <v>14460</v>
      </c>
      <c r="J337" s="1" t="s">
        <v>23</v>
      </c>
      <c r="K337" s="1"/>
      <c r="L337" s="1" t="s">
        <v>2926</v>
      </c>
      <c r="M337" s="1" t="s">
        <v>2926</v>
      </c>
      <c r="N337" s="12" t="b">
        <f t="shared" si="25"/>
        <v>1</v>
      </c>
      <c r="O337" s="1" t="s">
        <v>582</v>
      </c>
      <c r="P337" s="1" t="s">
        <v>3037</v>
      </c>
      <c r="Q337" s="1" t="s">
        <v>2929</v>
      </c>
      <c r="R337" s="1" t="s">
        <v>2930</v>
      </c>
      <c r="S337" s="1" t="s">
        <v>2931</v>
      </c>
      <c r="T337" s="1" t="s">
        <v>2932</v>
      </c>
      <c r="U337" s="1" t="s">
        <v>2933</v>
      </c>
      <c r="V337" s="13">
        <f>COUNTIF(L337:$M$1659,L337)</f>
        <v>4</v>
      </c>
      <c r="W337" s="1" t="s">
        <v>2934</v>
      </c>
      <c r="X337">
        <v>113.37</v>
      </c>
      <c r="Y337">
        <v>83.81</v>
      </c>
      <c r="Z337">
        <v>16.755587999999999</v>
      </c>
      <c r="AA337">
        <v>107.198543</v>
      </c>
      <c r="AB337">
        <v>29.56</v>
      </c>
      <c r="AC337">
        <v>16.739564999999999</v>
      </c>
      <c r="AD337">
        <v>107.188067</v>
      </c>
      <c r="AE337" s="5">
        <f t="shared" si="26"/>
        <v>0.12571499999999999</v>
      </c>
      <c r="AF337" s="5">
        <f t="shared" si="27"/>
        <v>4.4339999999999997E-2</v>
      </c>
      <c r="AG337" s="1" t="str">
        <f>TRIM(LEFT(L337,FIND("-",L337)-1))</f>
        <v>Quảng Trị</v>
      </c>
      <c r="AH337" s="1" t="str">
        <f>TRIM(RIGHT(L337, LEN(L337) - FIND("-", L337)))</f>
        <v>PC07 (Đội PCCC khu vực 5)</v>
      </c>
      <c r="AJ337">
        <f t="shared" si="28"/>
        <v>8.3809999999999996E-2</v>
      </c>
      <c r="AK337">
        <f t="shared" si="29"/>
        <v>2.9559999999999999E-2</v>
      </c>
      <c r="AL337">
        <f>VLOOKUP(L337,'[1]Tuyến cáp H04'!$B:$E,3,0)/1000</f>
        <v>3.177616</v>
      </c>
      <c r="AM337" t="str">
        <f>VLOOKUP(L337,'[1]Tuyến cáp H04'!$B:$E,4,0)</f>
        <v>Mạng cấp 4</v>
      </c>
    </row>
    <row r="338" spans="1:39" x14ac:dyDescent="0.25">
      <c r="A338" s="1" t="s">
        <v>3038</v>
      </c>
      <c r="B338" s="1" t="s">
        <v>2662</v>
      </c>
      <c r="C338" s="1" t="s">
        <v>2663</v>
      </c>
      <c r="D338" s="1" t="s">
        <v>3039</v>
      </c>
      <c r="E338" s="1" t="s">
        <v>3040</v>
      </c>
      <c r="F338" s="1" t="s">
        <v>3041</v>
      </c>
      <c r="G338" s="1" t="s">
        <v>14129</v>
      </c>
      <c r="H338" s="1" t="s">
        <v>14133</v>
      </c>
      <c r="I338" s="1" t="s">
        <v>14461</v>
      </c>
      <c r="J338" s="1" t="s">
        <v>23</v>
      </c>
      <c r="K338" s="1"/>
      <c r="L338" s="1" t="s">
        <v>3042</v>
      </c>
      <c r="M338" s="1" t="s">
        <v>3042</v>
      </c>
      <c r="N338" s="12" t="b">
        <f t="shared" si="25"/>
        <v>1</v>
      </c>
      <c r="O338" s="1" t="s">
        <v>3043</v>
      </c>
      <c r="P338" s="1" t="s">
        <v>3044</v>
      </c>
      <c r="Q338" s="1" t="s">
        <v>3045</v>
      </c>
      <c r="R338" s="1" t="s">
        <v>3046</v>
      </c>
      <c r="S338" s="1" t="s">
        <v>3047</v>
      </c>
      <c r="T338" s="1" t="s">
        <v>3048</v>
      </c>
      <c r="U338" s="1" t="s">
        <v>3049</v>
      </c>
      <c r="V338" s="13">
        <f>COUNTIF(L338:$M$1659,L338)</f>
        <v>4</v>
      </c>
      <c r="W338" s="1" t="s">
        <v>3050</v>
      </c>
      <c r="X338">
        <v>617.41999999999996</v>
      </c>
      <c r="Y338">
        <v>570.32000000000005</v>
      </c>
      <c r="Z338">
        <v>16.741589999999999</v>
      </c>
      <c r="AA338">
        <v>107.183447</v>
      </c>
      <c r="AB338">
        <v>47.1</v>
      </c>
      <c r="AC338">
        <v>16.747253000000001</v>
      </c>
      <c r="AD338">
        <v>107.17797299999999</v>
      </c>
      <c r="AE338" s="5">
        <f t="shared" si="26"/>
        <v>0.85548000000000002</v>
      </c>
      <c r="AF338" s="5">
        <f t="shared" si="27"/>
        <v>7.0650000000000004E-2</v>
      </c>
      <c r="AG338" s="1" t="str">
        <f>TRIM(LEFT(L338,FIND("-",L338)-1))</f>
        <v>TTCMKV Triệu Phong</v>
      </c>
      <c r="AH338" s="1" t="str">
        <f>TRIM(RIGHT(L338, LEN(L338) - FIND("-", L338)))</f>
        <v>TX Quảng Trị</v>
      </c>
      <c r="AJ338">
        <f t="shared" si="28"/>
        <v>0.57032000000000005</v>
      </c>
      <c r="AK338">
        <f t="shared" si="29"/>
        <v>4.7100000000000003E-2</v>
      </c>
      <c r="AL338">
        <f>VLOOKUP(L338,'[1]Tuyến cáp H04'!$B:$E,3,0)/1000</f>
        <v>4.9856530000000001</v>
      </c>
      <c r="AM338" t="str">
        <f>VLOOKUP(L338,'[1]Tuyến cáp H04'!$B:$E,4,0)</f>
        <v>Mạng cấp 3</v>
      </c>
    </row>
    <row r="339" spans="1:39" x14ac:dyDescent="0.25">
      <c r="A339" s="1" t="s">
        <v>3051</v>
      </c>
      <c r="B339" s="1" t="s">
        <v>3039</v>
      </c>
      <c r="C339" s="1" t="s">
        <v>3040</v>
      </c>
      <c r="D339" s="1" t="s">
        <v>2662</v>
      </c>
      <c r="E339" s="1" t="s">
        <v>2663</v>
      </c>
      <c r="F339" s="1" t="s">
        <v>3052</v>
      </c>
      <c r="G339" s="1" t="s">
        <v>14129</v>
      </c>
      <c r="H339" s="1" t="s">
        <v>14133</v>
      </c>
      <c r="I339" s="1" t="s">
        <v>14462</v>
      </c>
      <c r="J339" s="1" t="s">
        <v>23</v>
      </c>
      <c r="K339" s="1"/>
      <c r="L339" s="1" t="s">
        <v>3042</v>
      </c>
      <c r="M339" s="1" t="s">
        <v>3042</v>
      </c>
      <c r="N339" s="12" t="b">
        <f t="shared" si="25"/>
        <v>1</v>
      </c>
      <c r="O339" s="1" t="s">
        <v>3043</v>
      </c>
      <c r="P339" s="1" t="s">
        <v>3047</v>
      </c>
      <c r="Q339" s="1" t="s">
        <v>3048</v>
      </c>
      <c r="R339" s="1" t="s">
        <v>3049</v>
      </c>
      <c r="S339" s="1" t="s">
        <v>3044</v>
      </c>
      <c r="T339" s="1" t="s">
        <v>3045</v>
      </c>
      <c r="U339" s="1" t="s">
        <v>3046</v>
      </c>
      <c r="V339" s="13">
        <f>COUNTIF(L339:$M$1659,L339)</f>
        <v>2</v>
      </c>
      <c r="W339" s="1" t="s">
        <v>3050</v>
      </c>
      <c r="X339">
        <v>617.41999999999996</v>
      </c>
      <c r="Y339">
        <v>47.1</v>
      </c>
      <c r="Z339">
        <v>16.747253000000001</v>
      </c>
      <c r="AA339">
        <v>107.17797299999999</v>
      </c>
      <c r="AB339">
        <v>570.32000000000005</v>
      </c>
      <c r="AC339">
        <v>16.741589999999999</v>
      </c>
      <c r="AD339">
        <v>107.183447</v>
      </c>
      <c r="AE339" s="5">
        <f t="shared" si="26"/>
        <v>7.0650000000000004E-2</v>
      </c>
      <c r="AF339" s="5">
        <f t="shared" si="27"/>
        <v>0.85548000000000002</v>
      </c>
      <c r="AG339" s="1" t="str">
        <f>TRIM(LEFT(L339,FIND("-",L339)-1))</f>
        <v>TTCMKV Triệu Phong</v>
      </c>
      <c r="AH339" s="1" t="str">
        <f>TRIM(RIGHT(L339, LEN(L339) - FIND("-", L339)))</f>
        <v>TX Quảng Trị</v>
      </c>
      <c r="AJ339">
        <f t="shared" si="28"/>
        <v>4.7100000000000003E-2</v>
      </c>
      <c r="AK339">
        <f t="shared" si="29"/>
        <v>0.57032000000000005</v>
      </c>
      <c r="AL339">
        <f>VLOOKUP(L339,'[1]Tuyến cáp H04'!$B:$E,3,0)/1000</f>
        <v>4.9856530000000001</v>
      </c>
      <c r="AM339" t="str">
        <f>VLOOKUP(L339,'[1]Tuyến cáp H04'!$B:$E,4,0)</f>
        <v>Mạng cấp 3</v>
      </c>
    </row>
    <row r="340" spans="1:39" x14ac:dyDescent="0.25">
      <c r="A340" s="1" t="s">
        <v>3053</v>
      </c>
      <c r="B340" s="1" t="s">
        <v>3054</v>
      </c>
      <c r="C340" s="1" t="s">
        <v>3055</v>
      </c>
      <c r="D340" s="1" t="s">
        <v>2835</v>
      </c>
      <c r="E340" s="1" t="s">
        <v>2836</v>
      </c>
      <c r="F340" s="1" t="s">
        <v>3056</v>
      </c>
      <c r="G340" s="1" t="s">
        <v>14129</v>
      </c>
      <c r="H340" s="1" t="s">
        <v>14133</v>
      </c>
      <c r="I340" s="1" t="s">
        <v>14463</v>
      </c>
      <c r="J340" s="1" t="s">
        <v>23</v>
      </c>
      <c r="K340" s="1"/>
      <c r="L340" s="1" t="s">
        <v>2665</v>
      </c>
      <c r="M340" s="1" t="s">
        <v>2665</v>
      </c>
      <c r="N340" s="12" t="b">
        <f t="shared" si="25"/>
        <v>1</v>
      </c>
      <c r="O340" s="1" t="s">
        <v>3057</v>
      </c>
      <c r="P340" s="1" t="s">
        <v>3058</v>
      </c>
      <c r="Q340" s="1" t="s">
        <v>3059</v>
      </c>
      <c r="R340" s="1" t="s">
        <v>3060</v>
      </c>
      <c r="S340" s="1" t="s">
        <v>2842</v>
      </c>
      <c r="T340" s="1" t="s">
        <v>2843</v>
      </c>
      <c r="U340" s="1" t="s">
        <v>2844</v>
      </c>
      <c r="V340" s="13">
        <f>COUNTIF(L340:$M$1659,L340)</f>
        <v>2</v>
      </c>
      <c r="W340" s="1" t="s">
        <v>2845</v>
      </c>
      <c r="X340">
        <v>975.49</v>
      </c>
      <c r="Y340">
        <v>945.15</v>
      </c>
      <c r="Z340">
        <v>16.718717999999999</v>
      </c>
      <c r="AA340">
        <v>107.222302</v>
      </c>
      <c r="AB340">
        <v>30.35</v>
      </c>
      <c r="AC340">
        <v>16.692073000000001</v>
      </c>
      <c r="AD340">
        <v>107.245351</v>
      </c>
      <c r="AE340" s="5">
        <f t="shared" si="26"/>
        <v>1.4177249999999999</v>
      </c>
      <c r="AF340" s="5">
        <f t="shared" si="27"/>
        <v>4.5525000000000003E-2</v>
      </c>
      <c r="AG340" s="1" t="str">
        <f>TRIM(LEFT(L340,FIND("-",L340)-1))</f>
        <v>Hải Lăng</v>
      </c>
      <c r="AH340" s="1" t="str">
        <f>TRIM(RIGHT(L340, LEN(L340) - FIND("-", L340)))</f>
        <v>TT2 Quảng Trị</v>
      </c>
      <c r="AJ340">
        <f t="shared" si="28"/>
        <v>0.94514999999999993</v>
      </c>
      <c r="AK340">
        <f t="shared" si="29"/>
        <v>3.0350000000000002E-2</v>
      </c>
      <c r="AL340">
        <f>VLOOKUP(L340,'[1]Tuyến cáp H04'!$B:$E,3,0)/1000</f>
        <v>23.995881000000004</v>
      </c>
      <c r="AM340" t="str">
        <f>VLOOKUP(L340,'[1]Tuyến cáp H04'!$B:$E,4,0)</f>
        <v>Mạng cấp 3</v>
      </c>
    </row>
    <row r="341" spans="1:39" x14ac:dyDescent="0.25">
      <c r="A341" s="1" t="s">
        <v>3061</v>
      </c>
      <c r="B341" s="1" t="s">
        <v>3062</v>
      </c>
      <c r="C341" s="1" t="s">
        <v>3063</v>
      </c>
      <c r="D341" s="1" t="s">
        <v>3064</v>
      </c>
      <c r="E341" s="1" t="s">
        <v>3065</v>
      </c>
      <c r="F341" s="1" t="s">
        <v>3066</v>
      </c>
      <c r="G341" s="1" t="s">
        <v>14129</v>
      </c>
      <c r="H341" s="1" t="s">
        <v>14133</v>
      </c>
      <c r="I341" s="1" t="s">
        <v>14464</v>
      </c>
      <c r="J341" s="1" t="s">
        <v>23</v>
      </c>
      <c r="K341" s="1"/>
      <c r="L341" s="1" t="s">
        <v>3067</v>
      </c>
      <c r="M341" s="1" t="s">
        <v>3067</v>
      </c>
      <c r="N341" s="12" t="b">
        <f t="shared" si="25"/>
        <v>1</v>
      </c>
      <c r="O341" s="1" t="s">
        <v>3068</v>
      </c>
      <c r="P341" s="1" t="s">
        <v>3069</v>
      </c>
      <c r="Q341" s="1" t="s">
        <v>3070</v>
      </c>
      <c r="R341" s="1" t="s">
        <v>3071</v>
      </c>
      <c r="S341" s="1" t="s">
        <v>3072</v>
      </c>
      <c r="T341" s="1" t="s">
        <v>3073</v>
      </c>
      <c r="U341" s="1" t="s">
        <v>3074</v>
      </c>
      <c r="V341" s="13">
        <f>COUNTIF(L341:$M$1659,L341)</f>
        <v>6</v>
      </c>
      <c r="W341" s="1" t="s">
        <v>3075</v>
      </c>
      <c r="X341">
        <v>58.35</v>
      </c>
      <c r="Y341">
        <v>29.18</v>
      </c>
      <c r="Z341">
        <v>16.815601000000001</v>
      </c>
      <c r="AA341">
        <v>107.090208</v>
      </c>
      <c r="AB341">
        <v>29.17</v>
      </c>
      <c r="AC341">
        <v>16.812353000000002</v>
      </c>
      <c r="AD341">
        <v>107.089033</v>
      </c>
      <c r="AE341" s="5">
        <f t="shared" si="26"/>
        <v>4.3769999999999996E-2</v>
      </c>
      <c r="AF341" s="5">
        <f t="shared" si="27"/>
        <v>4.3755000000000002E-2</v>
      </c>
      <c r="AG341" s="1" t="str">
        <f>TRIM(LEFT(L341,FIND("-",L341)-1))</f>
        <v>Gio Linh</v>
      </c>
      <c r="AH341" s="1" t="str">
        <f>TRIM(RIGHT(L341, LEN(L341) - FIND("-", L341)))</f>
        <v>Đông Hà</v>
      </c>
      <c r="AJ341">
        <f t="shared" si="28"/>
        <v>2.9180000000000001E-2</v>
      </c>
      <c r="AK341">
        <f t="shared" si="29"/>
        <v>2.9170000000000001E-2</v>
      </c>
      <c r="AL341">
        <f>VLOOKUP(L341,'[1]Tuyến cáp H04'!$B:$E,3,0)/1000</f>
        <v>16.852661000000005</v>
      </c>
      <c r="AM341" t="str">
        <f>VLOOKUP(L341,'[1]Tuyến cáp H04'!$B:$E,4,0)</f>
        <v>Mạng cấp 4</v>
      </c>
    </row>
    <row r="342" spans="1:39" x14ac:dyDescent="0.25">
      <c r="A342" s="1" t="s">
        <v>3076</v>
      </c>
      <c r="B342" s="1" t="s">
        <v>3077</v>
      </c>
      <c r="C342" s="1" t="s">
        <v>3078</v>
      </c>
      <c r="D342" s="1" t="s">
        <v>2706</v>
      </c>
      <c r="E342" s="1" t="s">
        <v>2707</v>
      </c>
      <c r="F342" s="1" t="s">
        <v>3079</v>
      </c>
      <c r="G342" s="1" t="s">
        <v>14129</v>
      </c>
      <c r="H342" s="1" t="s">
        <v>14133</v>
      </c>
      <c r="I342" s="1" t="s">
        <v>14465</v>
      </c>
      <c r="J342" s="1" t="s">
        <v>23</v>
      </c>
      <c r="K342" s="1"/>
      <c r="L342" s="1" t="s">
        <v>2759</v>
      </c>
      <c r="M342" s="1" t="s">
        <v>2759</v>
      </c>
      <c r="N342" s="12" t="b">
        <f t="shared" si="25"/>
        <v>1</v>
      </c>
      <c r="O342" s="1" t="s">
        <v>3080</v>
      </c>
      <c r="P342" s="1" t="s">
        <v>3081</v>
      </c>
      <c r="Q342" s="1" t="s">
        <v>3082</v>
      </c>
      <c r="R342" s="1" t="s">
        <v>3083</v>
      </c>
      <c r="S342" s="1" t="s">
        <v>2761</v>
      </c>
      <c r="T342" s="1" t="s">
        <v>2762</v>
      </c>
      <c r="U342" s="1" t="s">
        <v>2763</v>
      </c>
      <c r="V342" s="13">
        <f>COUNTIF(L342:$M$1659,L342)</f>
        <v>4</v>
      </c>
      <c r="W342" s="1" t="s">
        <v>2767</v>
      </c>
      <c r="X342">
        <v>824.87</v>
      </c>
      <c r="Y342">
        <v>240.69</v>
      </c>
      <c r="Z342">
        <v>16.933150000000001</v>
      </c>
      <c r="AA342">
        <v>107.160359</v>
      </c>
      <c r="AB342">
        <v>584.17999999999995</v>
      </c>
      <c r="AC342">
        <v>16.90917</v>
      </c>
      <c r="AD342">
        <v>107.18106899999999</v>
      </c>
      <c r="AE342" s="5">
        <f t="shared" si="26"/>
        <v>0.36103499999999999</v>
      </c>
      <c r="AF342" s="5">
        <f t="shared" si="27"/>
        <v>0.87626999999999999</v>
      </c>
      <c r="AG342" s="1" t="str">
        <f>TRIM(LEFT(L342,FIND("-",L342)-1))</f>
        <v>Cửa Tùng</v>
      </c>
      <c r="AH342" s="1" t="str">
        <f>TRIM(RIGHT(L342, LEN(L342) - FIND("-", L342)))</f>
        <v>Phòng PH10 (Nhà Nghỉ dưỡng Cửa Việt)</v>
      </c>
      <c r="AJ342">
        <f t="shared" si="28"/>
        <v>0.24068999999999999</v>
      </c>
      <c r="AK342">
        <f t="shared" si="29"/>
        <v>0.58417999999999992</v>
      </c>
      <c r="AL342">
        <f>VLOOKUP(L342,'[1]Tuyến cáp H04'!$B:$E,3,0)/1000</f>
        <v>21.485168000000002</v>
      </c>
      <c r="AM342" t="str">
        <f>VLOOKUP(L342,'[1]Tuyến cáp H04'!$B:$E,4,0)</f>
        <v>Mạng cấp 4</v>
      </c>
    </row>
    <row r="343" spans="1:39" x14ac:dyDescent="0.25">
      <c r="A343" s="1" t="s">
        <v>3084</v>
      </c>
      <c r="B343" s="1" t="s">
        <v>3085</v>
      </c>
      <c r="C343" s="1" t="s">
        <v>3086</v>
      </c>
      <c r="D343" s="1" t="s">
        <v>3087</v>
      </c>
      <c r="E343" s="1" t="s">
        <v>3088</v>
      </c>
      <c r="F343" s="1" t="s">
        <v>3089</v>
      </c>
      <c r="G343" s="1" t="s">
        <v>14129</v>
      </c>
      <c r="H343" s="1" t="s">
        <v>14133</v>
      </c>
      <c r="I343" s="1" t="s">
        <v>14466</v>
      </c>
      <c r="J343" s="1" t="s">
        <v>23</v>
      </c>
      <c r="K343" s="1"/>
      <c r="L343" s="1" t="s">
        <v>3090</v>
      </c>
      <c r="M343" s="1" t="s">
        <v>3090</v>
      </c>
      <c r="N343" s="12" t="b">
        <f t="shared" si="25"/>
        <v>1</v>
      </c>
      <c r="O343" s="1" t="s">
        <v>3091</v>
      </c>
      <c r="P343" s="1" t="s">
        <v>3092</v>
      </c>
      <c r="Q343" s="1" t="s">
        <v>3093</v>
      </c>
      <c r="R343" s="1" t="s">
        <v>3094</v>
      </c>
      <c r="S343" s="1" t="s">
        <v>3095</v>
      </c>
      <c r="T343" s="1" t="s">
        <v>3096</v>
      </c>
      <c r="U343" s="1" t="s">
        <v>3097</v>
      </c>
      <c r="V343" s="13">
        <f>COUNTIF(L343:$M$1659,L343)</f>
        <v>4</v>
      </c>
      <c r="W343" s="1" t="s">
        <v>3098</v>
      </c>
      <c r="X343">
        <v>1209.5999999999999</v>
      </c>
      <c r="Y343">
        <v>897.53</v>
      </c>
      <c r="Z343">
        <v>16.783339000000002</v>
      </c>
      <c r="AA343">
        <v>107.10921399999999</v>
      </c>
      <c r="AB343">
        <v>312.07</v>
      </c>
      <c r="AC343">
        <v>16.786483</v>
      </c>
      <c r="AD343">
        <v>107.10559000000001</v>
      </c>
      <c r="AE343" s="5">
        <f t="shared" si="26"/>
        <v>1.346295</v>
      </c>
      <c r="AF343" s="5">
        <f t="shared" si="27"/>
        <v>0.46810499999999999</v>
      </c>
      <c r="AG343" s="1" t="str">
        <f>TRIM(LEFT(L343,FIND("-",L343)-1))</f>
        <v>Trung tâm sát hạch lái xe</v>
      </c>
      <c r="AH343" s="1" t="str">
        <f>TRIM(RIGHT(L343, LEN(L343) - FIND("-", L343)))</f>
        <v>TX Quảng Trị</v>
      </c>
      <c r="AJ343">
        <f t="shared" si="28"/>
        <v>0.89752999999999994</v>
      </c>
      <c r="AK343">
        <f t="shared" si="29"/>
        <v>0.31207000000000001</v>
      </c>
      <c r="AL343">
        <f>VLOOKUP(L343,'[1]Tuyến cáp H04'!$B:$E,3,0)/1000</f>
        <v>15.808576</v>
      </c>
      <c r="AM343" t="str">
        <f>VLOOKUP(L343,'[1]Tuyến cáp H04'!$B:$E,4,0)</f>
        <v>Mạng cấp 3</v>
      </c>
    </row>
    <row r="344" spans="1:39" x14ac:dyDescent="0.25">
      <c r="A344" s="1" t="s">
        <v>3099</v>
      </c>
      <c r="B344" s="1" t="s">
        <v>3100</v>
      </c>
      <c r="C344" s="1" t="s">
        <v>3101</v>
      </c>
      <c r="D344" s="1" t="s">
        <v>2649</v>
      </c>
      <c r="E344" s="1" t="s">
        <v>2650</v>
      </c>
      <c r="F344" s="1" t="s">
        <v>3102</v>
      </c>
      <c r="G344" s="1" t="s">
        <v>14129</v>
      </c>
      <c r="H344" s="1" t="s">
        <v>14133</v>
      </c>
      <c r="I344" s="1" t="s">
        <v>14467</v>
      </c>
      <c r="J344" s="1" t="s">
        <v>23</v>
      </c>
      <c r="K344" s="1"/>
      <c r="L344" s="1" t="s">
        <v>2652</v>
      </c>
      <c r="M344" s="1" t="s">
        <v>2652</v>
      </c>
      <c r="N344" s="12" t="b">
        <f t="shared" si="25"/>
        <v>1</v>
      </c>
      <c r="O344" s="1" t="s">
        <v>3103</v>
      </c>
      <c r="P344" s="1" t="s">
        <v>3104</v>
      </c>
      <c r="Q344" s="1" t="s">
        <v>3105</v>
      </c>
      <c r="R344" s="1" t="s">
        <v>3106</v>
      </c>
      <c r="S344" s="1" t="s">
        <v>2654</v>
      </c>
      <c r="T344" s="1" t="s">
        <v>2655</v>
      </c>
      <c r="U344" s="1" t="s">
        <v>2656</v>
      </c>
      <c r="V344" s="13">
        <f>COUNTIF(L344:$M$1659,L344)</f>
        <v>2</v>
      </c>
      <c r="W344" s="1" t="s">
        <v>2660</v>
      </c>
      <c r="X344">
        <v>131.01</v>
      </c>
      <c r="Y344">
        <v>90.65</v>
      </c>
      <c r="Z344">
        <v>16.790571</v>
      </c>
      <c r="AA344">
        <v>107.099158</v>
      </c>
      <c r="AB344">
        <v>40.36</v>
      </c>
      <c r="AC344">
        <v>16.790599</v>
      </c>
      <c r="AD344">
        <v>107.091199</v>
      </c>
      <c r="AE344" s="5">
        <f t="shared" si="26"/>
        <v>0.13597500000000001</v>
      </c>
      <c r="AF344" s="5">
        <f t="shared" si="27"/>
        <v>6.0539999999999997E-2</v>
      </c>
      <c r="AG344" s="1" t="str">
        <f>TRIM(LEFT(L344,FIND("-",L344)-1))</f>
        <v>TT2 Quảng Trị</v>
      </c>
      <c r="AH344" s="1" t="str">
        <f>TRIM(RIGHT(L344, LEN(L344) - FIND("-", L344)))</f>
        <v>PC07</v>
      </c>
      <c r="AJ344">
        <f t="shared" si="28"/>
        <v>9.0650000000000008E-2</v>
      </c>
      <c r="AK344">
        <f t="shared" si="29"/>
        <v>4.036E-2</v>
      </c>
      <c r="AL344" t="e">
        <f>VLOOKUP(L344,'[1]Tuyến cáp H04'!$B:$E,3,0)/1000</f>
        <v>#N/A</v>
      </c>
      <c r="AM344" t="e">
        <f>VLOOKUP(L344,'[1]Tuyến cáp H04'!$B:$E,4,0)</f>
        <v>#N/A</v>
      </c>
    </row>
    <row r="345" spans="1:39" x14ac:dyDescent="0.25">
      <c r="A345" s="1" t="s">
        <v>3107</v>
      </c>
      <c r="B345" s="1" t="s">
        <v>3108</v>
      </c>
      <c r="C345" s="1" t="s">
        <v>3109</v>
      </c>
      <c r="D345" s="1" t="s">
        <v>2649</v>
      </c>
      <c r="E345" s="1" t="s">
        <v>2650</v>
      </c>
      <c r="F345" s="1" t="s">
        <v>3110</v>
      </c>
      <c r="G345" s="1" t="s">
        <v>14129</v>
      </c>
      <c r="H345" s="1" t="s">
        <v>14133</v>
      </c>
      <c r="I345" s="1" t="s">
        <v>14468</v>
      </c>
      <c r="J345" s="1" t="s">
        <v>23</v>
      </c>
      <c r="K345" s="1"/>
      <c r="L345" s="1" t="s">
        <v>3111</v>
      </c>
      <c r="M345" s="1" t="s">
        <v>3111</v>
      </c>
      <c r="N345" s="12" t="b">
        <f t="shared" si="25"/>
        <v>1</v>
      </c>
      <c r="O345" s="1" t="s">
        <v>3112</v>
      </c>
      <c r="P345" s="1" t="s">
        <v>3113</v>
      </c>
      <c r="Q345" s="1" t="s">
        <v>3114</v>
      </c>
      <c r="R345" s="1" t="s">
        <v>3115</v>
      </c>
      <c r="S345" s="1" t="s">
        <v>3116</v>
      </c>
      <c r="T345" s="1" t="s">
        <v>3117</v>
      </c>
      <c r="U345" s="1" t="s">
        <v>3118</v>
      </c>
      <c r="V345" s="13">
        <f>COUNTIF(L345:$M$1659,L345)</f>
        <v>2</v>
      </c>
      <c r="W345" s="1" t="s">
        <v>3119</v>
      </c>
      <c r="X345">
        <v>250.41</v>
      </c>
      <c r="Y345">
        <v>246.4</v>
      </c>
      <c r="Z345">
        <v>16.789892999999999</v>
      </c>
      <c r="AA345">
        <v>107.065859</v>
      </c>
      <c r="AB345">
        <v>4.01</v>
      </c>
      <c r="AC345">
        <v>16.790272000000002</v>
      </c>
      <c r="AD345">
        <v>107.09096700000001</v>
      </c>
      <c r="AE345" s="5">
        <f t="shared" si="26"/>
        <v>0.36960000000000004</v>
      </c>
      <c r="AF345" s="5">
        <f t="shared" si="27"/>
        <v>6.0149999999999995E-3</v>
      </c>
      <c r="AG345" s="1" t="str">
        <f>TRIM(LEFT(L345,FIND("-",L345)-1))</f>
        <v>Hiếu Giang</v>
      </c>
      <c r="AH345" s="1" t="str">
        <f>TRIM(RIGHT(L345, LEN(L345) - FIND("-", L345)))</f>
        <v>CA Công an Quảng Trị</v>
      </c>
      <c r="AJ345">
        <f t="shared" si="28"/>
        <v>0.24640000000000001</v>
      </c>
      <c r="AK345">
        <f t="shared" si="29"/>
        <v>4.0099999999999997E-3</v>
      </c>
      <c r="AL345">
        <f>VLOOKUP(L345,'[1]Tuyến cáp H04'!$B:$E,3,0)/1000</f>
        <v>8.3786169999999984</v>
      </c>
      <c r="AM345" t="str">
        <f>VLOOKUP(L345,'[1]Tuyến cáp H04'!$B:$E,4,0)</f>
        <v>Mạng cấp 4</v>
      </c>
    </row>
    <row r="346" spans="1:39" x14ac:dyDescent="0.25">
      <c r="A346" s="1" t="s">
        <v>3120</v>
      </c>
      <c r="B346" s="1" t="s">
        <v>3121</v>
      </c>
      <c r="C346" s="1" t="s">
        <v>3122</v>
      </c>
      <c r="D346" s="1" t="s">
        <v>2818</v>
      </c>
      <c r="E346" s="1" t="s">
        <v>2819</v>
      </c>
      <c r="F346" s="1" t="s">
        <v>3123</v>
      </c>
      <c r="G346" s="1" t="s">
        <v>14129</v>
      </c>
      <c r="H346" s="1" t="s">
        <v>14133</v>
      </c>
      <c r="I346" s="1" t="s">
        <v>14469</v>
      </c>
      <c r="J346" s="1" t="s">
        <v>23</v>
      </c>
      <c r="K346" s="1"/>
      <c r="L346" s="1" t="s">
        <v>2721</v>
      </c>
      <c r="M346" s="1" t="s">
        <v>2721</v>
      </c>
      <c r="N346" s="12" t="b">
        <f t="shared" si="25"/>
        <v>1</v>
      </c>
      <c r="O346" s="1" t="s">
        <v>3124</v>
      </c>
      <c r="P346" s="1" t="s">
        <v>3125</v>
      </c>
      <c r="Q346" s="1" t="s">
        <v>3126</v>
      </c>
      <c r="R346" s="1" t="s">
        <v>3127</v>
      </c>
      <c r="S346" s="1" t="s">
        <v>3128</v>
      </c>
      <c r="T346" s="1" t="s">
        <v>3129</v>
      </c>
      <c r="U346" s="1" t="s">
        <v>3130</v>
      </c>
      <c r="V346" s="13">
        <f>COUNTIF(L346:$M$1659,L346)</f>
        <v>2</v>
      </c>
      <c r="W346" s="1" t="s">
        <v>3131</v>
      </c>
      <c r="X346">
        <v>106.05</v>
      </c>
      <c r="Y346">
        <v>72.540000000000006</v>
      </c>
      <c r="Z346">
        <v>16.814689999999999</v>
      </c>
      <c r="AA346">
        <v>107.10002299999999</v>
      </c>
      <c r="AB346">
        <v>33.5</v>
      </c>
      <c r="AC346">
        <v>16.815836000000001</v>
      </c>
      <c r="AD346">
        <v>107.10514499999999</v>
      </c>
      <c r="AE346" s="5">
        <f t="shared" si="26"/>
        <v>0.10881</v>
      </c>
      <c r="AF346" s="5">
        <f t="shared" si="27"/>
        <v>5.0250000000000003E-2</v>
      </c>
      <c r="AG346" s="1" t="str">
        <f>TRIM(LEFT(L346,FIND("-",L346)-1))</f>
        <v>Cam Lộ</v>
      </c>
      <c r="AH346" s="1" t="str">
        <f>TRIM(RIGHT(L346, LEN(L346) - FIND("-", L346)))</f>
        <v>Nam Đông Hà</v>
      </c>
      <c r="AJ346">
        <f t="shared" si="28"/>
        <v>7.2540000000000007E-2</v>
      </c>
      <c r="AK346">
        <f t="shared" si="29"/>
        <v>3.3500000000000002E-2</v>
      </c>
      <c r="AL346" t="e">
        <f>VLOOKUP(L346,'[1]Tuyến cáp H04'!$B:$E,3,0)/1000</f>
        <v>#N/A</v>
      </c>
      <c r="AM346" t="e">
        <f>VLOOKUP(L346,'[1]Tuyến cáp H04'!$B:$E,4,0)</f>
        <v>#N/A</v>
      </c>
    </row>
    <row r="347" spans="1:39" x14ac:dyDescent="0.25">
      <c r="A347" s="1" t="s">
        <v>3132</v>
      </c>
      <c r="B347" s="1" t="s">
        <v>3133</v>
      </c>
      <c r="C347" s="1" t="s">
        <v>3134</v>
      </c>
      <c r="D347" s="1" t="s">
        <v>3087</v>
      </c>
      <c r="E347" s="1" t="s">
        <v>3088</v>
      </c>
      <c r="F347" s="1" t="s">
        <v>3135</v>
      </c>
      <c r="G347" s="1" t="s">
        <v>14129</v>
      </c>
      <c r="H347" s="1" t="s">
        <v>14133</v>
      </c>
      <c r="I347" s="1" t="s">
        <v>14470</v>
      </c>
      <c r="J347" s="1" t="s">
        <v>23</v>
      </c>
      <c r="K347" s="1"/>
      <c r="L347" s="1" t="s">
        <v>2626</v>
      </c>
      <c r="M347" s="1" t="s">
        <v>2626</v>
      </c>
      <c r="N347" s="12" t="b">
        <f t="shared" si="25"/>
        <v>1</v>
      </c>
      <c r="O347" s="1" t="s">
        <v>3136</v>
      </c>
      <c r="P347" s="1" t="s">
        <v>3137</v>
      </c>
      <c r="Q347" s="1" t="s">
        <v>3138</v>
      </c>
      <c r="R347" s="1" t="s">
        <v>3139</v>
      </c>
      <c r="S347" s="1" t="s">
        <v>3140</v>
      </c>
      <c r="T347" s="1" t="s">
        <v>3141</v>
      </c>
      <c r="U347" s="1" t="s">
        <v>3142</v>
      </c>
      <c r="V347" s="13">
        <f>COUNTIF(L347:$M$1659,L347)</f>
        <v>2</v>
      </c>
      <c r="W347" s="1" t="s">
        <v>2634</v>
      </c>
      <c r="X347">
        <v>573.98</v>
      </c>
      <c r="Y347">
        <v>407.92</v>
      </c>
      <c r="Z347">
        <v>16.794229000000001</v>
      </c>
      <c r="AA347">
        <v>107.11251</v>
      </c>
      <c r="AB347">
        <v>166.06</v>
      </c>
      <c r="AC347">
        <v>16.790261999999998</v>
      </c>
      <c r="AD347">
        <v>107.10346</v>
      </c>
      <c r="AE347" s="5">
        <f t="shared" si="26"/>
        <v>0.61187999999999998</v>
      </c>
      <c r="AF347" s="5">
        <f t="shared" si="27"/>
        <v>0.24909000000000001</v>
      </c>
      <c r="AG347" s="1" t="str">
        <f>TRIM(LEFT(L347,FIND("-",L347)-1))</f>
        <v>CA Công an Quảng Trị</v>
      </c>
      <c r="AH347" s="1" t="str">
        <f>TRIM(RIGHT(L347, LEN(L347) - FIND("-", L347)))</f>
        <v>Triệu Phong</v>
      </c>
      <c r="AJ347">
        <f t="shared" si="28"/>
        <v>0.40792</v>
      </c>
      <c r="AK347">
        <f t="shared" si="29"/>
        <v>0.16606000000000001</v>
      </c>
      <c r="AL347">
        <f>VLOOKUP(L347,'[1]Tuyến cáp H04'!$B:$E,3,0)/1000</f>
        <v>8.6597539999999995</v>
      </c>
      <c r="AM347" t="str">
        <f>VLOOKUP(L347,'[1]Tuyến cáp H04'!$B:$E,4,0)</f>
        <v>Mạng cấp 4</v>
      </c>
    </row>
    <row r="348" spans="1:39" x14ac:dyDescent="0.25">
      <c r="A348" s="1" t="s">
        <v>3143</v>
      </c>
      <c r="B348" s="1" t="s">
        <v>3144</v>
      </c>
      <c r="C348" s="1" t="s">
        <v>3145</v>
      </c>
      <c r="D348" s="1" t="s">
        <v>3146</v>
      </c>
      <c r="E348" s="1" t="s">
        <v>3147</v>
      </c>
      <c r="F348" s="1" t="s">
        <v>3148</v>
      </c>
      <c r="G348" s="1" t="s">
        <v>14129</v>
      </c>
      <c r="H348" s="1" t="s">
        <v>14133</v>
      </c>
      <c r="I348" s="1" t="s">
        <v>14471</v>
      </c>
      <c r="J348" s="1" t="s">
        <v>23</v>
      </c>
      <c r="K348" s="1"/>
      <c r="L348" s="1" t="s">
        <v>3149</v>
      </c>
      <c r="M348" s="1" t="s">
        <v>3149</v>
      </c>
      <c r="N348" s="12" t="b">
        <f t="shared" si="25"/>
        <v>1</v>
      </c>
      <c r="O348" s="1" t="s">
        <v>3150</v>
      </c>
      <c r="P348" s="1" t="s">
        <v>3151</v>
      </c>
      <c r="Q348" s="1" t="s">
        <v>3152</v>
      </c>
      <c r="R348" s="1" t="s">
        <v>3153</v>
      </c>
      <c r="S348" s="1" t="s">
        <v>3154</v>
      </c>
      <c r="T348" s="1" t="s">
        <v>3155</v>
      </c>
      <c r="U348" s="1" t="s">
        <v>3156</v>
      </c>
      <c r="V348" s="13">
        <f>COUNTIF(L348:$M$1659,L348)</f>
        <v>4</v>
      </c>
      <c r="W348" s="1" t="s">
        <v>3157</v>
      </c>
      <c r="X348">
        <v>397.07</v>
      </c>
      <c r="Y348">
        <v>197.87</v>
      </c>
      <c r="Z348">
        <v>16.800301999999999</v>
      </c>
      <c r="AA348">
        <v>107.09280699999999</v>
      </c>
      <c r="AB348">
        <v>199.2</v>
      </c>
      <c r="AC348">
        <v>16.800885999999998</v>
      </c>
      <c r="AD348">
        <v>107.08566999999999</v>
      </c>
      <c r="AE348" s="5">
        <f t="shared" si="26"/>
        <v>0.29680499999999999</v>
      </c>
      <c r="AF348" s="5">
        <f t="shared" si="27"/>
        <v>0.29879999999999995</v>
      </c>
      <c r="AG348" s="1" t="str">
        <f>TRIM(LEFT(L348,FIND("-",L348)-1))</f>
        <v>Đông Hà</v>
      </c>
      <c r="AH348" s="1" t="str">
        <f>TRIM(RIGHT(L348, LEN(L348) - FIND("-", L348)))</f>
        <v>CA Công an Quảng Trị</v>
      </c>
      <c r="AJ348">
        <f t="shared" si="28"/>
        <v>0.19787000000000002</v>
      </c>
      <c r="AK348">
        <f t="shared" si="29"/>
        <v>0.19919999999999999</v>
      </c>
      <c r="AL348">
        <f>VLOOKUP(L348,'[1]Tuyến cáp H04'!$B:$E,3,0)/1000</f>
        <v>6.1135149999999996</v>
      </c>
      <c r="AM348" t="str">
        <f>VLOOKUP(L348,'[1]Tuyến cáp H04'!$B:$E,4,0)</f>
        <v>Mạng cấp 4</v>
      </c>
    </row>
    <row r="349" spans="1:39" x14ac:dyDescent="0.25">
      <c r="A349" s="1" t="s">
        <v>3158</v>
      </c>
      <c r="B349" s="1" t="s">
        <v>3159</v>
      </c>
      <c r="C349" s="1" t="s">
        <v>3160</v>
      </c>
      <c r="D349" s="1" t="s">
        <v>2769</v>
      </c>
      <c r="E349" s="1" t="s">
        <v>2770</v>
      </c>
      <c r="F349" s="1" t="s">
        <v>3161</v>
      </c>
      <c r="G349" s="1" t="s">
        <v>14129</v>
      </c>
      <c r="H349" s="1" t="s">
        <v>14133</v>
      </c>
      <c r="I349" s="1" t="s">
        <v>14472</v>
      </c>
      <c r="J349" s="1" t="s">
        <v>23</v>
      </c>
      <c r="K349" s="1"/>
      <c r="L349" s="1" t="s">
        <v>2759</v>
      </c>
      <c r="M349" s="1" t="s">
        <v>2759</v>
      </c>
      <c r="N349" s="12" t="b">
        <f t="shared" si="25"/>
        <v>1</v>
      </c>
      <c r="O349" s="1" t="s">
        <v>3162</v>
      </c>
      <c r="P349" s="1" t="s">
        <v>3163</v>
      </c>
      <c r="Q349" s="1" t="s">
        <v>3164</v>
      </c>
      <c r="R349" s="1" t="s">
        <v>3165</v>
      </c>
      <c r="S349" s="1" t="s">
        <v>2776</v>
      </c>
      <c r="T349" s="1" t="s">
        <v>2777</v>
      </c>
      <c r="U349" s="1" t="s">
        <v>2778</v>
      </c>
      <c r="V349" s="13">
        <f>COUNTIF(L349:$M$1659,L349)</f>
        <v>2</v>
      </c>
      <c r="W349" s="1" t="s">
        <v>2779</v>
      </c>
      <c r="X349">
        <v>81.650000000000006</v>
      </c>
      <c r="Y349">
        <v>58.75</v>
      </c>
      <c r="Z349">
        <v>16.997064000000002</v>
      </c>
      <c r="AA349">
        <v>107.10917600000001</v>
      </c>
      <c r="AB349">
        <v>22.9</v>
      </c>
      <c r="AC349">
        <v>16.988969000000001</v>
      </c>
      <c r="AD349">
        <v>107.106525</v>
      </c>
      <c r="AE349" s="5">
        <f t="shared" si="26"/>
        <v>8.8124999999999995E-2</v>
      </c>
      <c r="AF349" s="5">
        <f t="shared" si="27"/>
        <v>3.4349999999999992E-2</v>
      </c>
      <c r="AG349" s="1" t="str">
        <f>TRIM(LEFT(L349,FIND("-",L349)-1))</f>
        <v>Cửa Tùng</v>
      </c>
      <c r="AH349" s="1" t="str">
        <f>TRIM(RIGHT(L349, LEN(L349) - FIND("-", L349)))</f>
        <v>Phòng PH10 (Nhà Nghỉ dưỡng Cửa Việt)</v>
      </c>
      <c r="AJ349">
        <f t="shared" si="28"/>
        <v>5.8749999999999997E-2</v>
      </c>
      <c r="AK349">
        <f t="shared" si="29"/>
        <v>2.29E-2</v>
      </c>
      <c r="AL349">
        <f>VLOOKUP(L349,'[1]Tuyến cáp H04'!$B:$E,3,0)/1000</f>
        <v>21.485168000000002</v>
      </c>
      <c r="AM349" t="str">
        <f>VLOOKUP(L349,'[1]Tuyến cáp H04'!$B:$E,4,0)</f>
        <v>Mạng cấp 4</v>
      </c>
    </row>
    <row r="350" spans="1:39" x14ac:dyDescent="0.25">
      <c r="A350" s="1" t="s">
        <v>3166</v>
      </c>
      <c r="B350" s="1" t="s">
        <v>3167</v>
      </c>
      <c r="C350" s="1" t="s">
        <v>3168</v>
      </c>
      <c r="D350" s="1" t="s">
        <v>2992</v>
      </c>
      <c r="E350" s="1" t="s">
        <v>2993</v>
      </c>
      <c r="F350" s="1" t="s">
        <v>3169</v>
      </c>
      <c r="G350" s="1" t="s">
        <v>14129</v>
      </c>
      <c r="H350" s="1" t="s">
        <v>14133</v>
      </c>
      <c r="I350" s="1" t="s">
        <v>14473</v>
      </c>
      <c r="J350" s="1" t="s">
        <v>23</v>
      </c>
      <c r="K350" s="1"/>
      <c r="L350" s="1" t="s">
        <v>3170</v>
      </c>
      <c r="M350" s="1" t="s">
        <v>3170</v>
      </c>
      <c r="N350" s="12" t="b">
        <f t="shared" si="25"/>
        <v>1</v>
      </c>
      <c r="O350" s="1" t="s">
        <v>3171</v>
      </c>
      <c r="P350" s="1" t="s">
        <v>3172</v>
      </c>
      <c r="Q350" s="1" t="s">
        <v>3173</v>
      </c>
      <c r="R350" s="1" t="s">
        <v>3174</v>
      </c>
      <c r="S350" s="1" t="s">
        <v>3175</v>
      </c>
      <c r="T350" s="1" t="s">
        <v>3176</v>
      </c>
      <c r="U350" s="1" t="s">
        <v>3177</v>
      </c>
      <c r="V350" s="13">
        <f>COUNTIF(L350:$M$1659,L350)</f>
        <v>2</v>
      </c>
      <c r="W350" s="1" t="s">
        <v>3178</v>
      </c>
      <c r="X350">
        <v>892.75</v>
      </c>
      <c r="Y350">
        <v>881.84</v>
      </c>
      <c r="Z350">
        <v>16.789978000000001</v>
      </c>
      <c r="AA350">
        <v>107.17057699999999</v>
      </c>
      <c r="AB350">
        <v>10.92</v>
      </c>
      <c r="AC350">
        <v>16.791053000000002</v>
      </c>
      <c r="AD350">
        <v>107.172613</v>
      </c>
      <c r="AE350" s="5">
        <f t="shared" si="26"/>
        <v>1.3227599999999999</v>
      </c>
      <c r="AF350" s="5">
        <f t="shared" si="27"/>
        <v>1.6379999999999999E-2</v>
      </c>
      <c r="AG350" s="1" t="str">
        <f>TRIM(LEFT(L350,FIND("-",L350)-1))</f>
        <v>Triệu Phong</v>
      </c>
      <c r="AH350" s="1" t="str">
        <f>TRIM(RIGHT(L350, LEN(L350) - FIND("-", L350)))</f>
        <v>Ái Tử</v>
      </c>
      <c r="AJ350">
        <f t="shared" si="28"/>
        <v>0.88184000000000007</v>
      </c>
      <c r="AK350">
        <f t="shared" si="29"/>
        <v>1.0919999999999999E-2</v>
      </c>
      <c r="AL350">
        <f>VLOOKUP(L350,'[1]Tuyến cáp H04'!$B:$E,3,0)/1000</f>
        <v>3.4736949999999998</v>
      </c>
      <c r="AM350" t="str">
        <f>VLOOKUP(L350,'[1]Tuyến cáp H04'!$B:$E,4,0)</f>
        <v>Mạng cấp 4</v>
      </c>
    </row>
    <row r="351" spans="1:39" x14ac:dyDescent="0.25">
      <c r="A351" s="1" t="s">
        <v>3179</v>
      </c>
      <c r="B351" s="1" t="s">
        <v>3025</v>
      </c>
      <c r="C351" s="1" t="s">
        <v>3026</v>
      </c>
      <c r="D351" s="1" t="s">
        <v>3180</v>
      </c>
      <c r="E351" s="1" t="s">
        <v>3181</v>
      </c>
      <c r="F351" s="1" t="s">
        <v>3182</v>
      </c>
      <c r="G351" s="1" t="s">
        <v>14129</v>
      </c>
      <c r="H351" s="1" t="s">
        <v>14133</v>
      </c>
      <c r="I351" s="1" t="s">
        <v>14474</v>
      </c>
      <c r="J351" s="1" t="s">
        <v>23</v>
      </c>
      <c r="K351" s="1"/>
      <c r="L351" s="1" t="s">
        <v>3183</v>
      </c>
      <c r="M351" s="1" t="s">
        <v>3183</v>
      </c>
      <c r="N351" s="12" t="b">
        <f t="shared" si="25"/>
        <v>1</v>
      </c>
      <c r="O351" s="1" t="s">
        <v>3184</v>
      </c>
      <c r="P351" s="1" t="s">
        <v>3185</v>
      </c>
      <c r="Q351" s="1" t="s">
        <v>3186</v>
      </c>
      <c r="R351" s="1" t="s">
        <v>3187</v>
      </c>
      <c r="S351" s="1" t="s">
        <v>3188</v>
      </c>
      <c r="T351" s="1" t="s">
        <v>3189</v>
      </c>
      <c r="U351" s="1" t="s">
        <v>3190</v>
      </c>
      <c r="V351" s="13">
        <f>COUNTIF(L351:$M$1659,L351)</f>
        <v>2</v>
      </c>
      <c r="W351" s="1" t="s">
        <v>3191</v>
      </c>
      <c r="X351">
        <v>160.44</v>
      </c>
      <c r="Y351">
        <v>38.99</v>
      </c>
      <c r="Z351">
        <v>16.756112999999999</v>
      </c>
      <c r="AA351">
        <v>107.19887900000001</v>
      </c>
      <c r="AB351">
        <v>121.44</v>
      </c>
      <c r="AC351">
        <v>16.764666999999999</v>
      </c>
      <c r="AD351">
        <v>107.204076</v>
      </c>
      <c r="AE351" s="5">
        <f t="shared" si="26"/>
        <v>5.8485000000000002E-2</v>
      </c>
      <c r="AF351" s="5">
        <f t="shared" si="27"/>
        <v>0.18215999999999999</v>
      </c>
      <c r="AG351" s="1" t="str">
        <f>TRIM(LEFT(L351,FIND("-",L351)-1))</f>
        <v>PC07 (Đội PCCC khu vực 5)</v>
      </c>
      <c r="AH351" s="1" t="str">
        <f>TRIM(RIGHT(L351, LEN(L351) - FIND("-", L351)))</f>
        <v>Triệu Cơ</v>
      </c>
      <c r="AJ351">
        <f t="shared" si="28"/>
        <v>3.8990000000000004E-2</v>
      </c>
      <c r="AK351">
        <f t="shared" si="29"/>
        <v>0.12143999999999999</v>
      </c>
      <c r="AL351">
        <f>VLOOKUP(L351,'[1]Tuyến cáp H04'!$B:$E,3,0)/1000</f>
        <v>6.0794979999999992</v>
      </c>
      <c r="AM351" t="str">
        <f>VLOOKUP(L351,'[1]Tuyến cáp H04'!$B:$E,4,0)</f>
        <v>Mạng cấp 4</v>
      </c>
    </row>
    <row r="352" spans="1:39" x14ac:dyDescent="0.25">
      <c r="A352" s="1" t="s">
        <v>3192</v>
      </c>
      <c r="B352" s="1" t="s">
        <v>2912</v>
      </c>
      <c r="C352" s="1" t="s">
        <v>2913</v>
      </c>
      <c r="D352" s="1" t="s">
        <v>3193</v>
      </c>
      <c r="E352" s="1" t="s">
        <v>3194</v>
      </c>
      <c r="F352" s="1" t="s">
        <v>3195</v>
      </c>
      <c r="G352" s="1" t="s">
        <v>14129</v>
      </c>
      <c r="H352" s="1" t="s">
        <v>14133</v>
      </c>
      <c r="I352" s="1" t="s">
        <v>14475</v>
      </c>
      <c r="J352" s="1" t="s">
        <v>23</v>
      </c>
      <c r="K352" s="1"/>
      <c r="L352" s="1" t="s">
        <v>2858</v>
      </c>
      <c r="M352" s="1" t="s">
        <v>2858</v>
      </c>
      <c r="N352" s="12" t="b">
        <f t="shared" si="25"/>
        <v>1</v>
      </c>
      <c r="O352" s="1" t="s">
        <v>3196</v>
      </c>
      <c r="P352" s="1" t="s">
        <v>3197</v>
      </c>
      <c r="Q352" s="1" t="s">
        <v>3198</v>
      </c>
      <c r="R352" s="1" t="s">
        <v>3199</v>
      </c>
      <c r="S352" s="1" t="s">
        <v>3200</v>
      </c>
      <c r="T352" s="1" t="s">
        <v>3201</v>
      </c>
      <c r="U352" s="1" t="s">
        <v>3202</v>
      </c>
      <c r="V352" s="13">
        <f>COUNTIF(L352:$M$1659,L352)</f>
        <v>6</v>
      </c>
      <c r="W352" s="1" t="s">
        <v>3203</v>
      </c>
      <c r="X352">
        <v>201.03</v>
      </c>
      <c r="Y352">
        <v>9.82</v>
      </c>
      <c r="Z352">
        <v>16.764586999999999</v>
      </c>
      <c r="AA352">
        <v>107.22398200000001</v>
      </c>
      <c r="AB352">
        <v>191.2</v>
      </c>
      <c r="AC352">
        <v>16.765232000000001</v>
      </c>
      <c r="AD352">
        <v>107.22210699999999</v>
      </c>
      <c r="AE352" s="5">
        <f t="shared" si="26"/>
        <v>1.473E-2</v>
      </c>
      <c r="AF352" s="5">
        <f t="shared" si="27"/>
        <v>0.28679999999999994</v>
      </c>
      <c r="AG352" s="1" t="str">
        <f>TRIM(LEFT(L352,FIND("-",L352)-1))</f>
        <v>Mỹ Thủy</v>
      </c>
      <c r="AH352" s="1" t="str">
        <f>TRIM(RIGHT(L352, LEN(L352) - FIND("-", L352)))</f>
        <v>Vĩnh Định</v>
      </c>
      <c r="AJ352">
        <f t="shared" si="28"/>
        <v>9.8200000000000006E-3</v>
      </c>
      <c r="AK352">
        <f t="shared" si="29"/>
        <v>0.19119999999999998</v>
      </c>
      <c r="AL352" t="e">
        <f>VLOOKUP(L352,'[1]Tuyến cáp H04'!$B:$E,3,0)/1000</f>
        <v>#N/A</v>
      </c>
      <c r="AM352" t="e">
        <f>VLOOKUP(L352,'[1]Tuyến cáp H04'!$B:$E,4,0)</f>
        <v>#N/A</v>
      </c>
    </row>
    <row r="353" spans="1:39" x14ac:dyDescent="0.25">
      <c r="A353" s="1" t="s">
        <v>3204</v>
      </c>
      <c r="B353" s="1" t="s">
        <v>3205</v>
      </c>
      <c r="C353" s="1" t="s">
        <v>3206</v>
      </c>
      <c r="D353" s="1" t="s">
        <v>2900</v>
      </c>
      <c r="E353" s="1" t="s">
        <v>2901</v>
      </c>
      <c r="F353" s="1" t="s">
        <v>3207</v>
      </c>
      <c r="G353" s="1" t="s">
        <v>14129</v>
      </c>
      <c r="H353" s="1" t="s">
        <v>14133</v>
      </c>
      <c r="I353" s="1" t="s">
        <v>14476</v>
      </c>
      <c r="J353" s="1" t="s">
        <v>23</v>
      </c>
      <c r="K353" s="1"/>
      <c r="L353" s="1" t="s">
        <v>2915</v>
      </c>
      <c r="M353" s="1" t="s">
        <v>2915</v>
      </c>
      <c r="N353" s="12" t="b">
        <f t="shared" si="25"/>
        <v>1</v>
      </c>
      <c r="O353" s="1" t="s">
        <v>3208</v>
      </c>
      <c r="P353" s="1" t="s">
        <v>3209</v>
      </c>
      <c r="Q353" s="1" t="s">
        <v>3210</v>
      </c>
      <c r="R353" s="1" t="s">
        <v>3211</v>
      </c>
      <c r="S353" s="1" t="s">
        <v>2917</v>
      </c>
      <c r="T353" s="1" t="s">
        <v>2918</v>
      </c>
      <c r="U353" s="1" t="s">
        <v>2919</v>
      </c>
      <c r="V353" s="13">
        <f>COUNTIF(L353:$M$1659,L353)</f>
        <v>2</v>
      </c>
      <c r="W353" s="1" t="s">
        <v>2923</v>
      </c>
      <c r="X353">
        <v>583.29</v>
      </c>
      <c r="Y353">
        <v>537.22</v>
      </c>
      <c r="Z353">
        <v>16.768227</v>
      </c>
      <c r="AA353">
        <v>107.229687</v>
      </c>
      <c r="AB353">
        <v>46.07</v>
      </c>
      <c r="AC353">
        <v>16.763349999999999</v>
      </c>
      <c r="AD353">
        <v>107.24277499999999</v>
      </c>
      <c r="AE353" s="5">
        <f t="shared" si="26"/>
        <v>0.80583000000000005</v>
      </c>
      <c r="AF353" s="5">
        <f t="shared" si="27"/>
        <v>6.9105E-2</v>
      </c>
      <c r="AG353" s="1" t="str">
        <f>TRIM(LEFT(L353,FIND("-",L353)-1))</f>
        <v>Nam Cửa Việt</v>
      </c>
      <c r="AH353" s="1" t="str">
        <f>TRIM(RIGHT(L353, LEN(L353) - FIND("-", L353)))</f>
        <v>Triệu Cơ</v>
      </c>
      <c r="AJ353">
        <f t="shared" si="28"/>
        <v>0.53722000000000003</v>
      </c>
      <c r="AK353">
        <f t="shared" si="29"/>
        <v>4.607E-2</v>
      </c>
      <c r="AL353" t="e">
        <f>VLOOKUP(L353,'[1]Tuyến cáp H04'!$B:$E,3,0)/1000</f>
        <v>#N/A</v>
      </c>
      <c r="AM353" t="e">
        <f>VLOOKUP(L353,'[1]Tuyến cáp H04'!$B:$E,4,0)</f>
        <v>#N/A</v>
      </c>
    </row>
    <row r="354" spans="1:39" x14ac:dyDescent="0.25">
      <c r="A354" s="1" t="s">
        <v>3212</v>
      </c>
      <c r="B354" s="1" t="s">
        <v>2900</v>
      </c>
      <c r="C354" s="1" t="s">
        <v>2901</v>
      </c>
      <c r="D354" s="1" t="s">
        <v>3213</v>
      </c>
      <c r="E354" s="1" t="s">
        <v>3214</v>
      </c>
      <c r="F354" s="1" t="s">
        <v>3215</v>
      </c>
      <c r="G354" s="1" t="s">
        <v>14129</v>
      </c>
      <c r="H354" s="1" t="s">
        <v>14133</v>
      </c>
      <c r="I354" s="1" t="s">
        <v>14477</v>
      </c>
      <c r="J354" s="1" t="s">
        <v>23</v>
      </c>
      <c r="K354" s="1"/>
      <c r="L354" s="1" t="s">
        <v>2858</v>
      </c>
      <c r="M354" s="1" t="s">
        <v>2858</v>
      </c>
      <c r="N354" s="12" t="b">
        <f t="shared" si="25"/>
        <v>1</v>
      </c>
      <c r="O354" s="1" t="s">
        <v>3216</v>
      </c>
      <c r="P354" s="1" t="s">
        <v>2907</v>
      </c>
      <c r="Q354" s="1" t="s">
        <v>2908</v>
      </c>
      <c r="R354" s="1" t="s">
        <v>2909</v>
      </c>
      <c r="S354" s="1" t="s">
        <v>3217</v>
      </c>
      <c r="T354" s="1" t="s">
        <v>2905</v>
      </c>
      <c r="U354" s="1" t="s">
        <v>2906</v>
      </c>
      <c r="V354" s="13">
        <f>COUNTIF(L354:$M$1659,L354)</f>
        <v>4</v>
      </c>
      <c r="W354" s="1" t="s">
        <v>2910</v>
      </c>
      <c r="X354">
        <v>848.47</v>
      </c>
      <c r="Y354">
        <v>341.64</v>
      </c>
      <c r="Z354">
        <v>16.766483999999998</v>
      </c>
      <c r="AA354">
        <v>107.242845</v>
      </c>
      <c r="AB354">
        <v>506.83</v>
      </c>
      <c r="AC354">
        <v>16.771798</v>
      </c>
      <c r="AD354">
        <v>107.261014</v>
      </c>
      <c r="AE354" s="5">
        <f t="shared" si="26"/>
        <v>0.51246000000000003</v>
      </c>
      <c r="AF354" s="5">
        <f t="shared" si="27"/>
        <v>0.76024500000000006</v>
      </c>
      <c r="AG354" s="1" t="str">
        <f>TRIM(LEFT(L354,FIND("-",L354)-1))</f>
        <v>Mỹ Thủy</v>
      </c>
      <c r="AH354" s="1" t="str">
        <f>TRIM(RIGHT(L354, LEN(L354) - FIND("-", L354)))</f>
        <v>Vĩnh Định</v>
      </c>
      <c r="AJ354">
        <f t="shared" si="28"/>
        <v>0.34164</v>
      </c>
      <c r="AK354">
        <f t="shared" si="29"/>
        <v>0.50683</v>
      </c>
      <c r="AL354" t="e">
        <f>VLOOKUP(L354,'[1]Tuyến cáp H04'!$B:$E,3,0)/1000</f>
        <v>#N/A</v>
      </c>
      <c r="AM354" t="e">
        <f>VLOOKUP(L354,'[1]Tuyến cáp H04'!$B:$E,4,0)</f>
        <v>#N/A</v>
      </c>
    </row>
    <row r="355" spans="1:39" x14ac:dyDescent="0.25">
      <c r="A355" s="1" t="s">
        <v>3218</v>
      </c>
      <c r="B355" s="1" t="s">
        <v>3219</v>
      </c>
      <c r="C355" s="1" t="s">
        <v>3220</v>
      </c>
      <c r="D355" s="1" t="s">
        <v>2855</v>
      </c>
      <c r="E355" s="1" t="s">
        <v>2856</v>
      </c>
      <c r="F355" s="1" t="s">
        <v>3221</v>
      </c>
      <c r="G355" s="1" t="s">
        <v>14129</v>
      </c>
      <c r="H355" s="1" t="s">
        <v>14133</v>
      </c>
      <c r="I355" s="1" t="s">
        <v>14478</v>
      </c>
      <c r="J355" s="1" t="s">
        <v>23</v>
      </c>
      <c r="K355" s="1"/>
      <c r="L355" s="1" t="s">
        <v>2858</v>
      </c>
      <c r="M355" s="1" t="s">
        <v>2858</v>
      </c>
      <c r="N355" s="12" t="b">
        <f t="shared" si="25"/>
        <v>1</v>
      </c>
      <c r="O355" s="1" t="s">
        <v>3222</v>
      </c>
      <c r="P355" s="1" t="s">
        <v>3223</v>
      </c>
      <c r="Q355" s="1" t="s">
        <v>3224</v>
      </c>
      <c r="R355" s="1" t="s">
        <v>3225</v>
      </c>
      <c r="S355" s="1" t="s">
        <v>2863</v>
      </c>
      <c r="T355" s="1" t="s">
        <v>2864</v>
      </c>
      <c r="U355" s="1" t="s">
        <v>2865</v>
      </c>
      <c r="V355" s="13">
        <f>COUNTIF(L355:$M$1659,L355)</f>
        <v>2</v>
      </c>
      <c r="W355" s="1" t="s">
        <v>2866</v>
      </c>
      <c r="X355">
        <v>367.9</v>
      </c>
      <c r="Y355">
        <v>322.75</v>
      </c>
      <c r="Z355">
        <v>16.734660000000002</v>
      </c>
      <c r="AA355">
        <v>107.321911</v>
      </c>
      <c r="AB355">
        <v>45.14</v>
      </c>
      <c r="AC355">
        <v>16.726123999999999</v>
      </c>
      <c r="AD355">
        <v>107.334998</v>
      </c>
      <c r="AE355" s="5">
        <f t="shared" si="26"/>
        <v>0.48412500000000003</v>
      </c>
      <c r="AF355" s="5">
        <f t="shared" si="27"/>
        <v>6.7710000000000006E-2</v>
      </c>
      <c r="AG355" s="1" t="str">
        <f>TRIM(LEFT(L355,FIND("-",L355)-1))</f>
        <v>Mỹ Thủy</v>
      </c>
      <c r="AH355" s="1" t="str">
        <f>TRIM(RIGHT(L355, LEN(L355) - FIND("-", L355)))</f>
        <v>Vĩnh Định</v>
      </c>
      <c r="AJ355">
        <f t="shared" si="28"/>
        <v>0.32274999999999998</v>
      </c>
      <c r="AK355">
        <f t="shared" si="29"/>
        <v>4.514E-2</v>
      </c>
      <c r="AL355" t="e">
        <f>VLOOKUP(L355,'[1]Tuyến cáp H04'!$B:$E,3,0)/1000</f>
        <v>#N/A</v>
      </c>
      <c r="AM355" t="e">
        <f>VLOOKUP(L355,'[1]Tuyến cáp H04'!$B:$E,4,0)</f>
        <v>#N/A</v>
      </c>
    </row>
    <row r="356" spans="1:39" x14ac:dyDescent="0.25">
      <c r="A356" s="1" t="s">
        <v>3226</v>
      </c>
      <c r="B356" s="1" t="s">
        <v>3227</v>
      </c>
      <c r="C356" s="1" t="s">
        <v>3228</v>
      </c>
      <c r="D356" s="1" t="s">
        <v>3025</v>
      </c>
      <c r="E356" s="1" t="s">
        <v>3026</v>
      </c>
      <c r="F356" s="1" t="s">
        <v>3229</v>
      </c>
      <c r="G356" s="1" t="s">
        <v>14129</v>
      </c>
      <c r="H356" s="1" t="s">
        <v>14133</v>
      </c>
      <c r="I356" s="1" t="s">
        <v>14479</v>
      </c>
      <c r="J356" s="1" t="s">
        <v>23</v>
      </c>
      <c r="K356" s="1"/>
      <c r="L356" s="1" t="s">
        <v>2926</v>
      </c>
      <c r="M356" s="1" t="s">
        <v>2926</v>
      </c>
      <c r="N356" s="12" t="b">
        <f t="shared" si="25"/>
        <v>1</v>
      </c>
      <c r="O356" s="1" t="s">
        <v>3230</v>
      </c>
      <c r="P356" s="1" t="s">
        <v>3231</v>
      </c>
      <c r="Q356" s="1" t="s">
        <v>3232</v>
      </c>
      <c r="R356" s="1" t="s">
        <v>3233</v>
      </c>
      <c r="S356" s="1" t="s">
        <v>3037</v>
      </c>
      <c r="T356" s="1" t="s">
        <v>2929</v>
      </c>
      <c r="U356" s="1" t="s">
        <v>2930</v>
      </c>
      <c r="V356" s="13">
        <f>COUNTIF(L356:$M$1659,L356)</f>
        <v>2</v>
      </c>
      <c r="W356" s="1" t="s">
        <v>2934</v>
      </c>
      <c r="X356">
        <v>312.67</v>
      </c>
      <c r="Y356">
        <v>228.86</v>
      </c>
      <c r="Z356">
        <v>16.749625999999999</v>
      </c>
      <c r="AA356">
        <v>107.19395900000001</v>
      </c>
      <c r="AB356">
        <v>83.81</v>
      </c>
      <c r="AC356">
        <v>16.755587999999999</v>
      </c>
      <c r="AD356">
        <v>107.198543</v>
      </c>
      <c r="AE356" s="5">
        <f t="shared" si="26"/>
        <v>0.34329000000000004</v>
      </c>
      <c r="AF356" s="5">
        <f t="shared" si="27"/>
        <v>0.12571499999999999</v>
      </c>
      <c r="AG356" s="1" t="str">
        <f>TRIM(LEFT(L356,FIND("-",L356)-1))</f>
        <v>Quảng Trị</v>
      </c>
      <c r="AH356" s="1" t="str">
        <f>TRIM(RIGHT(L356, LEN(L356) - FIND("-", L356)))</f>
        <v>PC07 (Đội PCCC khu vực 5)</v>
      </c>
      <c r="AJ356">
        <f t="shared" si="28"/>
        <v>0.22886000000000001</v>
      </c>
      <c r="AK356">
        <f t="shared" si="29"/>
        <v>8.3809999999999996E-2</v>
      </c>
      <c r="AL356">
        <f>VLOOKUP(L356,'[1]Tuyến cáp H04'!$B:$E,3,0)/1000</f>
        <v>3.177616</v>
      </c>
      <c r="AM356" t="str">
        <f>VLOOKUP(L356,'[1]Tuyến cáp H04'!$B:$E,4,0)</f>
        <v>Mạng cấp 4</v>
      </c>
    </row>
    <row r="357" spans="1:39" x14ac:dyDescent="0.25">
      <c r="A357" s="1" t="s">
        <v>3234</v>
      </c>
      <c r="B357" s="1" t="s">
        <v>3235</v>
      </c>
      <c r="C357" s="1" t="s">
        <v>3236</v>
      </c>
      <c r="D357" s="1" t="s">
        <v>2855</v>
      </c>
      <c r="E357" s="1" t="s">
        <v>2856</v>
      </c>
      <c r="F357" s="1" t="s">
        <v>3237</v>
      </c>
      <c r="G357" s="1" t="s">
        <v>14129</v>
      </c>
      <c r="H357" s="1" t="s">
        <v>14133</v>
      </c>
      <c r="I357" s="1" t="s">
        <v>14480</v>
      </c>
      <c r="J357" s="1" t="s">
        <v>23</v>
      </c>
      <c r="K357" s="1"/>
      <c r="L357" s="1" t="s">
        <v>2869</v>
      </c>
      <c r="M357" s="1" t="s">
        <v>2869</v>
      </c>
      <c r="N357" s="12" t="b">
        <f t="shared" si="25"/>
        <v>1</v>
      </c>
      <c r="O357" s="1" t="s">
        <v>3238</v>
      </c>
      <c r="P357" s="1" t="s">
        <v>3239</v>
      </c>
      <c r="Q357" s="1" t="s">
        <v>3240</v>
      </c>
      <c r="R357" s="1" t="s">
        <v>3241</v>
      </c>
      <c r="S357" s="1" t="s">
        <v>3242</v>
      </c>
      <c r="T357" s="1" t="s">
        <v>3243</v>
      </c>
      <c r="U357" s="1" t="s">
        <v>3244</v>
      </c>
      <c r="V357" s="13">
        <f>COUNTIF(L357:$M$1659,L357)</f>
        <v>2</v>
      </c>
      <c r="W357" s="1" t="s">
        <v>3245</v>
      </c>
      <c r="X357">
        <v>4600.1400000000003</v>
      </c>
      <c r="Y357">
        <v>4504.26</v>
      </c>
      <c r="Z357">
        <v>16.720811999999999</v>
      </c>
      <c r="AA357">
        <v>107.34401699999999</v>
      </c>
      <c r="AB357">
        <v>95.88</v>
      </c>
      <c r="AC357">
        <v>16.725815999999998</v>
      </c>
      <c r="AD357">
        <v>107.335505</v>
      </c>
      <c r="AE357" s="5">
        <f t="shared" si="26"/>
        <v>6.7563900000000006</v>
      </c>
      <c r="AF357" s="5">
        <f t="shared" si="27"/>
        <v>0.14382</v>
      </c>
      <c r="AG357" s="1" t="str">
        <f>TRIM(LEFT(L357,FIND("-",L357)-1))</f>
        <v>Nam hải Lăng</v>
      </c>
      <c r="AH357" s="1" t="str">
        <f>TRIM(RIGHT(L357, LEN(L357) - FIND("-", L357)))</f>
        <v>Mỹ Thủy</v>
      </c>
      <c r="AJ357">
        <f t="shared" si="28"/>
        <v>4.5042600000000004</v>
      </c>
      <c r="AK357">
        <f t="shared" si="29"/>
        <v>9.5879999999999993E-2</v>
      </c>
      <c r="AL357" t="e">
        <f>VLOOKUP(L357,'[1]Tuyến cáp H04'!$B:$E,3,0)/1000</f>
        <v>#N/A</v>
      </c>
      <c r="AM357" t="e">
        <f>VLOOKUP(L357,'[1]Tuyến cáp H04'!$B:$E,4,0)</f>
        <v>#N/A</v>
      </c>
    </row>
    <row r="358" spans="1:39" x14ac:dyDescent="0.25">
      <c r="A358" s="1" t="s">
        <v>3246</v>
      </c>
      <c r="B358" s="1" t="s">
        <v>3247</v>
      </c>
      <c r="C358" s="1" t="s">
        <v>3248</v>
      </c>
      <c r="D358" s="1" t="s">
        <v>2835</v>
      </c>
      <c r="E358" s="1" t="s">
        <v>2836</v>
      </c>
      <c r="F358" s="1" t="s">
        <v>3249</v>
      </c>
      <c r="G358" s="1" t="s">
        <v>14129</v>
      </c>
      <c r="H358" s="1" t="s">
        <v>14133</v>
      </c>
      <c r="I358" s="1" t="s">
        <v>14481</v>
      </c>
      <c r="J358" s="1" t="s">
        <v>23</v>
      </c>
      <c r="K358" s="1"/>
      <c r="L358" s="1" t="s">
        <v>2939</v>
      </c>
      <c r="M358" s="1" t="s">
        <v>2939</v>
      </c>
      <c r="N358" s="12" t="b">
        <f t="shared" si="25"/>
        <v>1</v>
      </c>
      <c r="O358" s="1" t="s">
        <v>3250</v>
      </c>
      <c r="P358" s="1" t="s">
        <v>3251</v>
      </c>
      <c r="Q358" s="1" t="s">
        <v>3252</v>
      </c>
      <c r="R358" s="1" t="s">
        <v>3253</v>
      </c>
      <c r="S358" s="1" t="s">
        <v>2941</v>
      </c>
      <c r="T358" s="1" t="s">
        <v>2942</v>
      </c>
      <c r="U358" s="1" t="s">
        <v>2943</v>
      </c>
      <c r="V358" s="13">
        <f>COUNTIF(L358:$M$1659,L358)</f>
        <v>2</v>
      </c>
      <c r="W358" s="1" t="s">
        <v>2947</v>
      </c>
      <c r="X358">
        <v>3153.37</v>
      </c>
      <c r="Y358">
        <v>3109.27</v>
      </c>
      <c r="Z358">
        <v>16.660246000000001</v>
      </c>
      <c r="AA358">
        <v>107.280727</v>
      </c>
      <c r="AB358">
        <v>44.1</v>
      </c>
      <c r="AC358">
        <v>16.691837</v>
      </c>
      <c r="AD358">
        <v>107.245086</v>
      </c>
      <c r="AE358" s="5">
        <f t="shared" si="26"/>
        <v>4.6639049999999997</v>
      </c>
      <c r="AF358" s="5">
        <f t="shared" si="27"/>
        <v>6.615E-2</v>
      </c>
      <c r="AG358" s="1" t="str">
        <f>TRIM(LEFT(L358,FIND("-",L358)-1))</f>
        <v>Diên Sanh</v>
      </c>
      <c r="AH358" s="1" t="str">
        <f>TRIM(RIGHT(L358, LEN(L358) - FIND("-", L358)))</f>
        <v>Nam Hải Lăng</v>
      </c>
      <c r="AJ358">
        <f t="shared" si="28"/>
        <v>3.10927</v>
      </c>
      <c r="AK358">
        <f t="shared" si="29"/>
        <v>4.41E-2</v>
      </c>
      <c r="AL358">
        <f>VLOOKUP(L358,'[1]Tuyến cáp H04'!$B:$E,3,0)/1000</f>
        <v>10.531879999999999</v>
      </c>
      <c r="AM358" t="str">
        <f>VLOOKUP(L358,'[1]Tuyến cáp H04'!$B:$E,4,0)</f>
        <v>Mạng cấp 4</v>
      </c>
    </row>
    <row r="359" spans="1:39" x14ac:dyDescent="0.25">
      <c r="A359" s="1" t="s">
        <v>3254</v>
      </c>
      <c r="B359" s="1" t="s">
        <v>2744</v>
      </c>
      <c r="C359" s="1" t="s">
        <v>2745</v>
      </c>
      <c r="D359" s="1" t="s">
        <v>128</v>
      </c>
      <c r="E359" s="1" t="s">
        <v>129</v>
      </c>
      <c r="F359" s="1" t="s">
        <v>3255</v>
      </c>
      <c r="G359" s="1" t="s">
        <v>14281</v>
      </c>
      <c r="H359" s="1" t="s">
        <v>14282</v>
      </c>
      <c r="I359" s="1" t="s">
        <v>14482</v>
      </c>
      <c r="J359" s="1" t="s">
        <v>23</v>
      </c>
      <c r="K359" s="1"/>
      <c r="L359" s="1" t="s">
        <v>2823</v>
      </c>
      <c r="M359" s="1" t="s">
        <v>2823</v>
      </c>
      <c r="N359" s="12" t="b">
        <f t="shared" si="25"/>
        <v>1</v>
      </c>
      <c r="O359" s="1" t="s">
        <v>3256</v>
      </c>
      <c r="P359" s="1" t="s">
        <v>3257</v>
      </c>
      <c r="Q359" s="1" t="s">
        <v>3258</v>
      </c>
      <c r="R359" s="1" t="s">
        <v>3259</v>
      </c>
      <c r="S359" s="1" t="s">
        <v>3260</v>
      </c>
      <c r="T359" s="1" t="s">
        <v>3261</v>
      </c>
      <c r="U359" s="1" t="s">
        <v>3262</v>
      </c>
      <c r="V359" s="13">
        <f>COUNTIF(L359:$M$1659,L359)</f>
        <v>12</v>
      </c>
      <c r="W359" s="1" t="s">
        <v>2831</v>
      </c>
      <c r="X359">
        <v>664.55</v>
      </c>
      <c r="Y359">
        <v>574.74</v>
      </c>
      <c r="Z359">
        <v>16.812517</v>
      </c>
      <c r="AA359">
        <v>107.106554</v>
      </c>
      <c r="AB359">
        <v>89.8</v>
      </c>
      <c r="AC359">
        <v>16.790647</v>
      </c>
      <c r="AD359">
        <v>107.10508900000001</v>
      </c>
      <c r="AE359" s="5">
        <f t="shared" si="26"/>
        <v>0.86211000000000004</v>
      </c>
      <c r="AF359" s="5">
        <f t="shared" si="27"/>
        <v>0.13469999999999999</v>
      </c>
      <c r="AG359" s="1" t="str">
        <f>TRIM(LEFT(L359,FIND("-",L359)-1))</f>
        <v>PA09</v>
      </c>
      <c r="AH359" s="1" t="str">
        <f>TRIM(RIGHT(L359, LEN(L359) - FIND("-", L359)))</f>
        <v>TP Đông Hà</v>
      </c>
      <c r="AJ359">
        <f t="shared" si="28"/>
        <v>0.57474000000000003</v>
      </c>
      <c r="AK359">
        <f t="shared" si="29"/>
        <v>8.9799999999999991E-2</v>
      </c>
      <c r="AL359">
        <f>VLOOKUP(L359,'[1]Tuyến cáp H04'!$B:$E,3,0)/1000</f>
        <v>4.1191640000000005</v>
      </c>
      <c r="AM359" t="str">
        <f>VLOOKUP(L359,'[1]Tuyến cáp H04'!$B:$E,4,0)</f>
        <v>Mạng cấp 3</v>
      </c>
    </row>
    <row r="360" spans="1:39" x14ac:dyDescent="0.25">
      <c r="A360" s="1" t="s">
        <v>3263</v>
      </c>
      <c r="B360" s="1" t="s">
        <v>3264</v>
      </c>
      <c r="C360" s="1" t="s">
        <v>3265</v>
      </c>
      <c r="D360" s="1" t="s">
        <v>128</v>
      </c>
      <c r="E360" s="1" t="s">
        <v>129</v>
      </c>
      <c r="F360" s="1" t="s">
        <v>3266</v>
      </c>
      <c r="G360" s="1" t="s">
        <v>14281</v>
      </c>
      <c r="H360" s="1" t="s">
        <v>14282</v>
      </c>
      <c r="I360" s="1" t="s">
        <v>14483</v>
      </c>
      <c r="J360" s="1" t="s">
        <v>23</v>
      </c>
      <c r="K360" s="1"/>
      <c r="L360" s="1" t="s">
        <v>2639</v>
      </c>
      <c r="M360" s="1" t="s">
        <v>2639</v>
      </c>
      <c r="N360" s="12" t="b">
        <f t="shared" si="25"/>
        <v>1</v>
      </c>
      <c r="O360" s="1" t="s">
        <v>3267</v>
      </c>
      <c r="P360" s="1" t="s">
        <v>3268</v>
      </c>
      <c r="Q360" s="1" t="s">
        <v>2642</v>
      </c>
      <c r="R360" s="1" t="s">
        <v>2643</v>
      </c>
      <c r="S360" s="1" t="s">
        <v>2644</v>
      </c>
      <c r="T360" s="1" t="s">
        <v>2645</v>
      </c>
      <c r="U360" s="1" t="s">
        <v>2646</v>
      </c>
      <c r="V360" s="13">
        <f>COUNTIF(L360:$M$1659,L360)</f>
        <v>2</v>
      </c>
      <c r="W360" s="1" t="s">
        <v>2647</v>
      </c>
      <c r="X360">
        <v>2305.08</v>
      </c>
      <c r="Y360">
        <v>2240.84</v>
      </c>
      <c r="Z360">
        <v>16.803405000000001</v>
      </c>
      <c r="AA360">
        <v>107.021788</v>
      </c>
      <c r="AB360">
        <v>64.25</v>
      </c>
      <c r="AC360">
        <v>16.790624000000001</v>
      </c>
      <c r="AD360">
        <v>107.103763</v>
      </c>
      <c r="AE360" s="5">
        <f t="shared" si="26"/>
        <v>3.3612600000000001</v>
      </c>
      <c r="AF360" s="5">
        <f t="shared" si="27"/>
        <v>9.6375000000000002E-2</v>
      </c>
      <c r="AG360" s="1" t="str">
        <f>TRIM(LEFT(L360,FIND("-",L360)-1))</f>
        <v>TT2 Quảng Trị</v>
      </c>
      <c r="AH360" s="1" t="str">
        <f>TRIM(RIGHT(L360, LEN(L360) - FIND("-", L360)))</f>
        <v>Đăk Rông</v>
      </c>
      <c r="AJ360">
        <f t="shared" si="28"/>
        <v>2.2408399999999999</v>
      </c>
      <c r="AK360">
        <f t="shared" si="29"/>
        <v>6.4250000000000002E-2</v>
      </c>
      <c r="AL360">
        <f>VLOOKUP(L360,'[1]Tuyến cáp H04'!$B:$E,3,0)/1000</f>
        <v>39.223027999999999</v>
      </c>
      <c r="AM360" t="str">
        <f>VLOOKUP(L360,'[1]Tuyến cáp H04'!$B:$E,4,0)</f>
        <v>Mạng cấp 3</v>
      </c>
    </row>
    <row r="361" spans="1:39" x14ac:dyDescent="0.25">
      <c r="A361" s="1" t="s">
        <v>3269</v>
      </c>
      <c r="B361" s="1" t="s">
        <v>3270</v>
      </c>
      <c r="C361" s="1" t="s">
        <v>3271</v>
      </c>
      <c r="D361" s="1" t="s">
        <v>128</v>
      </c>
      <c r="E361" s="1" t="s">
        <v>129</v>
      </c>
      <c r="F361" s="1" t="s">
        <v>3272</v>
      </c>
      <c r="G361" s="1" t="s">
        <v>14281</v>
      </c>
      <c r="H361" s="1" t="s">
        <v>14282</v>
      </c>
      <c r="I361" s="1" t="s">
        <v>14484</v>
      </c>
      <c r="J361" s="1" t="s">
        <v>23</v>
      </c>
      <c r="K361" s="1"/>
      <c r="L361" s="1" t="s">
        <v>2823</v>
      </c>
      <c r="M361" s="1" t="s">
        <v>2823</v>
      </c>
      <c r="N361" s="12" t="b">
        <f t="shared" si="25"/>
        <v>1</v>
      </c>
      <c r="O361" s="1" t="s">
        <v>3273</v>
      </c>
      <c r="P361" s="1" t="s">
        <v>3274</v>
      </c>
      <c r="Q361" s="1" t="s">
        <v>3275</v>
      </c>
      <c r="R361" s="1" t="s">
        <v>3276</v>
      </c>
      <c r="S361" s="1" t="s">
        <v>3260</v>
      </c>
      <c r="T361" s="1" t="s">
        <v>3261</v>
      </c>
      <c r="U361" s="1" t="s">
        <v>3262</v>
      </c>
      <c r="V361" s="13">
        <f>COUNTIF(L361:$M$1659,L361)</f>
        <v>10</v>
      </c>
      <c r="W361" s="1" t="s">
        <v>2831</v>
      </c>
      <c r="X361">
        <v>731.79</v>
      </c>
      <c r="Y361">
        <v>641.99</v>
      </c>
      <c r="Z361">
        <v>16.801244000000001</v>
      </c>
      <c r="AA361">
        <v>107.114485</v>
      </c>
      <c r="AB361">
        <v>89.8</v>
      </c>
      <c r="AC361">
        <v>16.790647</v>
      </c>
      <c r="AD361">
        <v>107.10508900000001</v>
      </c>
      <c r="AE361" s="5">
        <f t="shared" si="26"/>
        <v>0.96298499999999998</v>
      </c>
      <c r="AF361" s="5">
        <f t="shared" si="27"/>
        <v>0.13469999999999999</v>
      </c>
      <c r="AG361" s="1" t="str">
        <f>TRIM(LEFT(L361,FIND("-",L361)-1))</f>
        <v>PA09</v>
      </c>
      <c r="AH361" s="1" t="str">
        <f>TRIM(RIGHT(L361, LEN(L361) - FIND("-", L361)))</f>
        <v>TP Đông Hà</v>
      </c>
      <c r="AJ361">
        <f t="shared" si="28"/>
        <v>0.64199000000000006</v>
      </c>
      <c r="AK361">
        <f t="shared" si="29"/>
        <v>8.9799999999999991E-2</v>
      </c>
      <c r="AL361">
        <f>VLOOKUP(L361,'[1]Tuyến cáp H04'!$B:$E,3,0)/1000</f>
        <v>4.1191640000000005</v>
      </c>
      <c r="AM361" t="str">
        <f>VLOOKUP(L361,'[1]Tuyến cáp H04'!$B:$E,4,0)</f>
        <v>Mạng cấp 3</v>
      </c>
    </row>
    <row r="362" spans="1:39" x14ac:dyDescent="0.25">
      <c r="A362" s="1" t="s">
        <v>3277</v>
      </c>
      <c r="B362" s="1" t="s">
        <v>3278</v>
      </c>
      <c r="C362" s="1" t="s">
        <v>3279</v>
      </c>
      <c r="D362" s="1" t="s">
        <v>128</v>
      </c>
      <c r="E362" s="1" t="s">
        <v>129</v>
      </c>
      <c r="F362" s="1" t="s">
        <v>3280</v>
      </c>
      <c r="G362" s="1" t="s">
        <v>14281</v>
      </c>
      <c r="H362" s="1" t="s">
        <v>14282</v>
      </c>
      <c r="I362" s="1" t="s">
        <v>14485</v>
      </c>
      <c r="J362" s="1" t="s">
        <v>23</v>
      </c>
      <c r="K362" s="1"/>
      <c r="L362" s="1" t="s">
        <v>2823</v>
      </c>
      <c r="M362" s="1" t="s">
        <v>2823</v>
      </c>
      <c r="N362" s="12" t="b">
        <f t="shared" si="25"/>
        <v>1</v>
      </c>
      <c r="O362" s="1" t="s">
        <v>3281</v>
      </c>
      <c r="P362" s="1" t="s">
        <v>3282</v>
      </c>
      <c r="Q362" s="1" t="s">
        <v>3283</v>
      </c>
      <c r="R362" s="1" t="s">
        <v>3284</v>
      </c>
      <c r="S362" s="1" t="s">
        <v>3260</v>
      </c>
      <c r="T362" s="1" t="s">
        <v>3261</v>
      </c>
      <c r="U362" s="1" t="s">
        <v>3262</v>
      </c>
      <c r="V362" s="13">
        <f>COUNTIF(L362:$M$1659,L362)</f>
        <v>8</v>
      </c>
      <c r="W362" s="1" t="s">
        <v>2831</v>
      </c>
      <c r="X362">
        <v>132.4</v>
      </c>
      <c r="Y362">
        <v>42.59</v>
      </c>
      <c r="Z362">
        <v>16.804106000000001</v>
      </c>
      <c r="AA362">
        <v>107.113777</v>
      </c>
      <c r="AB362">
        <v>89.8</v>
      </c>
      <c r="AC362">
        <v>16.790647</v>
      </c>
      <c r="AD362">
        <v>107.10508900000001</v>
      </c>
      <c r="AE362" s="5">
        <f t="shared" si="26"/>
        <v>6.3885000000000011E-2</v>
      </c>
      <c r="AF362" s="5">
        <f t="shared" si="27"/>
        <v>0.13469999999999999</v>
      </c>
      <c r="AG362" s="1" t="str">
        <f>TRIM(LEFT(L362,FIND("-",L362)-1))</f>
        <v>PA09</v>
      </c>
      <c r="AH362" s="1" t="str">
        <f>TRIM(RIGHT(L362, LEN(L362) - FIND("-", L362)))</f>
        <v>TP Đông Hà</v>
      </c>
      <c r="AJ362">
        <f t="shared" si="28"/>
        <v>4.2590000000000003E-2</v>
      </c>
      <c r="AK362">
        <f t="shared" si="29"/>
        <v>8.9799999999999991E-2</v>
      </c>
      <c r="AL362">
        <f>VLOOKUP(L362,'[1]Tuyến cáp H04'!$B:$E,3,0)/1000</f>
        <v>4.1191640000000005</v>
      </c>
      <c r="AM362" t="str">
        <f>VLOOKUP(L362,'[1]Tuyến cáp H04'!$B:$E,4,0)</f>
        <v>Mạng cấp 3</v>
      </c>
    </row>
    <row r="363" spans="1:39" x14ac:dyDescent="0.25">
      <c r="A363" s="1" t="s">
        <v>3285</v>
      </c>
      <c r="B363" s="1" t="s">
        <v>2744</v>
      </c>
      <c r="C363" s="1" t="s">
        <v>2745</v>
      </c>
      <c r="D363" s="1" t="s">
        <v>2818</v>
      </c>
      <c r="E363" s="1" t="s">
        <v>2819</v>
      </c>
      <c r="F363" s="1" t="s">
        <v>3286</v>
      </c>
      <c r="G363" s="1" t="s">
        <v>14281</v>
      </c>
      <c r="H363" s="1" t="s">
        <v>14282</v>
      </c>
      <c r="I363" s="1" t="s">
        <v>14486</v>
      </c>
      <c r="J363" s="1" t="s">
        <v>23</v>
      </c>
      <c r="K363" s="1"/>
      <c r="L363" s="1" t="s">
        <v>3287</v>
      </c>
      <c r="M363" s="1" t="s">
        <v>3287</v>
      </c>
      <c r="N363" s="12" t="b">
        <f t="shared" si="25"/>
        <v>1</v>
      </c>
      <c r="O363" s="1" t="s">
        <v>3288</v>
      </c>
      <c r="P363" s="1" t="s">
        <v>3289</v>
      </c>
      <c r="Q363" s="1" t="s">
        <v>3290</v>
      </c>
      <c r="R363" s="1" t="s">
        <v>3291</v>
      </c>
      <c r="S363" s="1" t="s">
        <v>3292</v>
      </c>
      <c r="T363" s="1" t="s">
        <v>3293</v>
      </c>
      <c r="U363" s="1" t="s">
        <v>3294</v>
      </c>
      <c r="V363" s="13">
        <f>COUNTIF(L363:$M$1659,L363)</f>
        <v>2</v>
      </c>
      <c r="W363" s="1" t="s">
        <v>3295</v>
      </c>
      <c r="X363">
        <v>412.5</v>
      </c>
      <c r="Y363">
        <v>82.72</v>
      </c>
      <c r="Z363">
        <v>16.815228999999999</v>
      </c>
      <c r="AA363">
        <v>107.110372</v>
      </c>
      <c r="AB363">
        <v>329.79</v>
      </c>
      <c r="AC363">
        <v>16.817404</v>
      </c>
      <c r="AD363">
        <v>107.107906</v>
      </c>
      <c r="AE363" s="5">
        <f t="shared" si="26"/>
        <v>0.12408</v>
      </c>
      <c r="AF363" s="5">
        <f t="shared" si="27"/>
        <v>0.49468500000000004</v>
      </c>
      <c r="AG363" s="1" t="str">
        <f>TRIM(LEFT(L363,FIND("-",L363)-1))</f>
        <v>Vĩnh Linh</v>
      </c>
      <c r="AH363" s="1" t="str">
        <f>TRIM(RIGHT(L363, LEN(L363) - FIND("-", L363)))</f>
        <v>TT2 Quảng Trị</v>
      </c>
      <c r="AJ363">
        <f t="shared" si="28"/>
        <v>8.2720000000000002E-2</v>
      </c>
      <c r="AK363">
        <f t="shared" si="29"/>
        <v>0.32979000000000003</v>
      </c>
      <c r="AL363">
        <f>VLOOKUP(L363,'[1]Tuyến cáp H04'!$B:$E,3,0)/1000</f>
        <v>36.346195999999999</v>
      </c>
      <c r="AM363" t="str">
        <f>VLOOKUP(L363,'[1]Tuyến cáp H04'!$B:$E,4,0)</f>
        <v>Mạng cấp 3</v>
      </c>
    </row>
    <row r="364" spans="1:39" x14ac:dyDescent="0.25">
      <c r="A364" s="1" t="s">
        <v>3296</v>
      </c>
      <c r="B364" s="1" t="s">
        <v>2820</v>
      </c>
      <c r="C364" s="1" t="s">
        <v>2821</v>
      </c>
      <c r="D364" s="1" t="s">
        <v>3087</v>
      </c>
      <c r="E364" s="1" t="s">
        <v>3088</v>
      </c>
      <c r="F364" s="1" t="s">
        <v>3297</v>
      </c>
      <c r="G364" s="1" t="s">
        <v>14281</v>
      </c>
      <c r="H364" s="1" t="s">
        <v>14282</v>
      </c>
      <c r="I364" s="1" t="s">
        <v>14487</v>
      </c>
      <c r="J364" s="1" t="s">
        <v>23</v>
      </c>
      <c r="K364" s="1"/>
      <c r="L364" s="1" t="s">
        <v>2823</v>
      </c>
      <c r="M364" s="1" t="s">
        <v>2823</v>
      </c>
      <c r="N364" s="12" t="b">
        <f t="shared" si="25"/>
        <v>1</v>
      </c>
      <c r="O364" s="1" t="s">
        <v>3298</v>
      </c>
      <c r="P364" s="1" t="s">
        <v>2828</v>
      </c>
      <c r="Q364" s="1" t="s">
        <v>2829</v>
      </c>
      <c r="R364" s="1" t="s">
        <v>2830</v>
      </c>
      <c r="S364" s="1" t="s">
        <v>3299</v>
      </c>
      <c r="T364" s="1" t="s">
        <v>3261</v>
      </c>
      <c r="U364" s="1" t="s">
        <v>3262</v>
      </c>
      <c r="V364" s="13">
        <f>COUNTIF(L364:$M$1659,L364)</f>
        <v>6</v>
      </c>
      <c r="W364" s="1" t="s">
        <v>2831</v>
      </c>
      <c r="X364">
        <v>883.07</v>
      </c>
      <c r="Y364">
        <v>662.15</v>
      </c>
      <c r="Z364">
        <v>16.810613</v>
      </c>
      <c r="AA364">
        <v>107.10834</v>
      </c>
      <c r="AB364">
        <v>220.92</v>
      </c>
      <c r="AC364">
        <v>16.790647</v>
      </c>
      <c r="AD364">
        <v>107.10508900000001</v>
      </c>
      <c r="AE364" s="5">
        <f t="shared" si="26"/>
        <v>0.99322499999999991</v>
      </c>
      <c r="AF364" s="5">
        <f t="shared" si="27"/>
        <v>0.33138000000000001</v>
      </c>
      <c r="AG364" s="1" t="str">
        <f>TRIM(LEFT(L364,FIND("-",L364)-1))</f>
        <v>PA09</v>
      </c>
      <c r="AH364" s="1" t="str">
        <f>TRIM(RIGHT(L364, LEN(L364) - FIND("-", L364)))</f>
        <v>TP Đông Hà</v>
      </c>
      <c r="AJ364">
        <f t="shared" si="28"/>
        <v>0.66215000000000002</v>
      </c>
      <c r="AK364">
        <f t="shared" si="29"/>
        <v>0.22091999999999998</v>
      </c>
      <c r="AL364">
        <f>VLOOKUP(L364,'[1]Tuyến cáp H04'!$B:$E,3,0)/1000</f>
        <v>4.1191640000000005</v>
      </c>
      <c r="AM364" t="str">
        <f>VLOOKUP(L364,'[1]Tuyến cáp H04'!$B:$E,4,0)</f>
        <v>Mạng cấp 3</v>
      </c>
    </row>
    <row r="365" spans="1:39" x14ac:dyDescent="0.25">
      <c r="A365" s="1" t="s">
        <v>3300</v>
      </c>
      <c r="B365" s="1" t="s">
        <v>3087</v>
      </c>
      <c r="C365" s="1" t="s">
        <v>3088</v>
      </c>
      <c r="D365" s="1" t="s">
        <v>128</v>
      </c>
      <c r="E365" s="1" t="s">
        <v>129</v>
      </c>
      <c r="F365" s="1" t="s">
        <v>3301</v>
      </c>
      <c r="G365" s="1" t="s">
        <v>14281</v>
      </c>
      <c r="H365" s="1" t="s">
        <v>14282</v>
      </c>
      <c r="I365" s="1" t="s">
        <v>14488</v>
      </c>
      <c r="J365" s="1" t="s">
        <v>23</v>
      </c>
      <c r="K365" s="1"/>
      <c r="L365" s="1" t="s">
        <v>3302</v>
      </c>
      <c r="M365" s="1" t="s">
        <v>3302</v>
      </c>
      <c r="N365" s="12" t="b">
        <f t="shared" si="25"/>
        <v>1</v>
      </c>
      <c r="O365" s="1" t="s">
        <v>3303</v>
      </c>
      <c r="P365" s="1" t="s">
        <v>3304</v>
      </c>
      <c r="Q365" s="1" t="s">
        <v>3305</v>
      </c>
      <c r="R365" s="1" t="s">
        <v>3306</v>
      </c>
      <c r="S365" s="1" t="s">
        <v>3307</v>
      </c>
      <c r="T365" s="1" t="s">
        <v>3308</v>
      </c>
      <c r="U365" s="1" t="s">
        <v>3309</v>
      </c>
      <c r="V365" s="13">
        <f>COUNTIF(L365:$M$1659,L365)</f>
        <v>4</v>
      </c>
      <c r="W365" s="1" t="s">
        <v>3310</v>
      </c>
      <c r="X365">
        <v>139.76</v>
      </c>
      <c r="Y365">
        <v>90.53</v>
      </c>
      <c r="Z365">
        <v>16.789712000000002</v>
      </c>
      <c r="AA365">
        <v>107.104035</v>
      </c>
      <c r="AB365">
        <v>49.23</v>
      </c>
      <c r="AC365">
        <v>16.790006999999999</v>
      </c>
      <c r="AD365">
        <v>107.10402000000001</v>
      </c>
      <c r="AE365" s="5">
        <f t="shared" si="26"/>
        <v>0.13579500000000003</v>
      </c>
      <c r="AF365" s="5">
        <f t="shared" si="27"/>
        <v>7.3844999999999994E-2</v>
      </c>
      <c r="AG365" s="1" t="e">
        <f>TRIM(LEFT(L365,FIND("-",L365)-1))</f>
        <v>#VALUE!</v>
      </c>
      <c r="AH365" s="1" t="e">
        <f>TRIM(RIGHT(L365, LEN(L365) - FIND("-", L365)))</f>
        <v>#VALUE!</v>
      </c>
      <c r="AJ365">
        <f t="shared" si="28"/>
        <v>9.0529999999999999E-2</v>
      </c>
      <c r="AK365">
        <f t="shared" si="29"/>
        <v>4.9229999999999996E-2</v>
      </c>
      <c r="AL365" t="e">
        <f>VLOOKUP(L365,'[1]Tuyến cáp H04'!$B:$E,3,0)/1000</f>
        <v>#N/A</v>
      </c>
      <c r="AM365" t="e">
        <f>VLOOKUP(L365,'[1]Tuyến cáp H04'!$B:$E,4,0)</f>
        <v>#N/A</v>
      </c>
    </row>
    <row r="366" spans="1:39" x14ac:dyDescent="0.25">
      <c r="A366" s="1" t="s">
        <v>3311</v>
      </c>
      <c r="B366" s="1" t="s">
        <v>3312</v>
      </c>
      <c r="C366" s="1" t="s">
        <v>3313</v>
      </c>
      <c r="D366" s="1" t="s">
        <v>3314</v>
      </c>
      <c r="E366" s="1" t="s">
        <v>3315</v>
      </c>
      <c r="F366" s="1" t="s">
        <v>3316</v>
      </c>
      <c r="G366" s="1" t="s">
        <v>14281</v>
      </c>
      <c r="H366" s="1" t="s">
        <v>14282</v>
      </c>
      <c r="I366" s="1" t="s">
        <v>14489</v>
      </c>
      <c r="J366" s="1" t="s">
        <v>23</v>
      </c>
      <c r="K366" s="1"/>
      <c r="L366" s="1" t="s">
        <v>3317</v>
      </c>
      <c r="M366" s="1" t="s">
        <v>3317</v>
      </c>
      <c r="N366" s="12" t="b">
        <f t="shared" si="25"/>
        <v>1</v>
      </c>
      <c r="O366" s="1" t="s">
        <v>3318</v>
      </c>
      <c r="P366" s="1" t="s">
        <v>3319</v>
      </c>
      <c r="Q366" s="1" t="s">
        <v>3320</v>
      </c>
      <c r="R366" s="1" t="s">
        <v>3321</v>
      </c>
      <c r="S366" s="1" t="s">
        <v>3322</v>
      </c>
      <c r="T366" s="1" t="s">
        <v>3323</v>
      </c>
      <c r="U366" s="1" t="s">
        <v>3324</v>
      </c>
      <c r="V366" s="13">
        <f>COUNTIF(L366:$M$1659,L366)</f>
        <v>2</v>
      </c>
      <c r="W366" s="1" t="s">
        <v>3325</v>
      </c>
      <c r="X366">
        <v>682.54</v>
      </c>
      <c r="Y366">
        <v>411.42</v>
      </c>
      <c r="Z366">
        <v>16.815262000000001</v>
      </c>
      <c r="AA366">
        <v>107.097443</v>
      </c>
      <c r="AB366">
        <v>271.13</v>
      </c>
      <c r="AC366">
        <v>16.809927999999999</v>
      </c>
      <c r="AD366">
        <v>107.09835</v>
      </c>
      <c r="AE366" s="5">
        <f t="shared" si="26"/>
        <v>0.61712999999999996</v>
      </c>
      <c r="AF366" s="5">
        <f t="shared" si="27"/>
        <v>0.40669499999999997</v>
      </c>
      <c r="AG366" s="1" t="str">
        <f>TRIM(LEFT(L366,FIND("-",L366)-1))</f>
        <v>PC07</v>
      </c>
      <c r="AH366" s="1" t="str">
        <f>TRIM(RIGHT(L366, LEN(L366) - FIND("-", L366)))</f>
        <v>Khối CS</v>
      </c>
      <c r="AJ366">
        <f t="shared" si="28"/>
        <v>0.41142000000000001</v>
      </c>
      <c r="AK366">
        <f t="shared" si="29"/>
        <v>0.27112999999999998</v>
      </c>
      <c r="AL366" t="e">
        <f>VLOOKUP(L366,'[1]Tuyến cáp H04'!$B:$E,3,0)/1000</f>
        <v>#N/A</v>
      </c>
      <c r="AM366" t="e">
        <f>VLOOKUP(L366,'[1]Tuyến cáp H04'!$B:$E,4,0)</f>
        <v>#N/A</v>
      </c>
    </row>
    <row r="367" spans="1:39" x14ac:dyDescent="0.25">
      <c r="A367" s="1" t="s">
        <v>3326</v>
      </c>
      <c r="B367" s="1" t="s">
        <v>3314</v>
      </c>
      <c r="C367" s="1" t="s">
        <v>3315</v>
      </c>
      <c r="D367" s="1" t="s">
        <v>128</v>
      </c>
      <c r="E367" s="1" t="s">
        <v>129</v>
      </c>
      <c r="F367" s="1" t="s">
        <v>3327</v>
      </c>
      <c r="G367" s="1" t="s">
        <v>14281</v>
      </c>
      <c r="H367" s="1" t="s">
        <v>14282</v>
      </c>
      <c r="I367" s="1" t="s">
        <v>14490</v>
      </c>
      <c r="J367" s="1" t="s">
        <v>23</v>
      </c>
      <c r="K367" s="1"/>
      <c r="L367" s="1" t="s">
        <v>2823</v>
      </c>
      <c r="M367" s="1" t="s">
        <v>2823</v>
      </c>
      <c r="N367" s="12" t="b">
        <f t="shared" si="25"/>
        <v>1</v>
      </c>
      <c r="O367" s="1" t="s">
        <v>3328</v>
      </c>
      <c r="P367" s="1" t="s">
        <v>3329</v>
      </c>
      <c r="Q367" s="1" t="s">
        <v>2826</v>
      </c>
      <c r="R367" s="1" t="s">
        <v>2827</v>
      </c>
      <c r="S367" s="1" t="s">
        <v>3260</v>
      </c>
      <c r="T367" s="1" t="s">
        <v>3261</v>
      </c>
      <c r="U367" s="1" t="s">
        <v>3262</v>
      </c>
      <c r="V367" s="13">
        <f>COUNTIF(L367:$M$1659,L367)</f>
        <v>4</v>
      </c>
      <c r="W367" s="1" t="s">
        <v>2831</v>
      </c>
      <c r="X367">
        <v>1197.22</v>
      </c>
      <c r="Y367">
        <v>1107.42</v>
      </c>
      <c r="Z367">
        <v>16.814188999999999</v>
      </c>
      <c r="AA367">
        <v>107.10494</v>
      </c>
      <c r="AB367">
        <v>89.8</v>
      </c>
      <c r="AC367">
        <v>16.790647</v>
      </c>
      <c r="AD367">
        <v>107.10508900000001</v>
      </c>
      <c r="AE367" s="5">
        <f t="shared" si="26"/>
        <v>1.6611300000000002</v>
      </c>
      <c r="AF367" s="5">
        <f t="shared" si="27"/>
        <v>0.13469999999999999</v>
      </c>
      <c r="AG367" s="1" t="str">
        <f>TRIM(LEFT(L367,FIND("-",L367)-1))</f>
        <v>PA09</v>
      </c>
      <c r="AH367" s="1" t="str">
        <f>TRIM(RIGHT(L367, LEN(L367) - FIND("-", L367)))</f>
        <v>TP Đông Hà</v>
      </c>
      <c r="AJ367">
        <f t="shared" si="28"/>
        <v>1.1074200000000001</v>
      </c>
      <c r="AK367">
        <f t="shared" si="29"/>
        <v>8.9799999999999991E-2</v>
      </c>
      <c r="AL367">
        <f>VLOOKUP(L367,'[1]Tuyến cáp H04'!$B:$E,3,0)/1000</f>
        <v>4.1191640000000005</v>
      </c>
      <c r="AM367" t="str">
        <f>VLOOKUP(L367,'[1]Tuyến cáp H04'!$B:$E,4,0)</f>
        <v>Mạng cấp 3</v>
      </c>
    </row>
    <row r="368" spans="1:39" x14ac:dyDescent="0.25">
      <c r="A368" s="1" t="s">
        <v>3330</v>
      </c>
      <c r="B368" s="1" t="s">
        <v>3331</v>
      </c>
      <c r="C368" s="1" t="s">
        <v>3332</v>
      </c>
      <c r="D368" s="1" t="s">
        <v>128</v>
      </c>
      <c r="E368" s="1" t="s">
        <v>129</v>
      </c>
      <c r="F368" s="1" t="s">
        <v>3333</v>
      </c>
      <c r="G368" s="1" t="s">
        <v>14281</v>
      </c>
      <c r="H368" s="1" t="s">
        <v>14282</v>
      </c>
      <c r="I368" s="1" t="s">
        <v>14491</v>
      </c>
      <c r="J368" s="1" t="s">
        <v>23</v>
      </c>
      <c r="K368" s="1"/>
      <c r="L368" s="1" t="s">
        <v>2823</v>
      </c>
      <c r="M368" s="1" t="s">
        <v>2823</v>
      </c>
      <c r="N368" s="12" t="b">
        <f t="shared" si="25"/>
        <v>1</v>
      </c>
      <c r="O368" s="1" t="s">
        <v>3334</v>
      </c>
      <c r="P368" s="1" t="s">
        <v>3335</v>
      </c>
      <c r="Q368" s="1" t="s">
        <v>3336</v>
      </c>
      <c r="R368" s="1" t="s">
        <v>3337</v>
      </c>
      <c r="S368" s="1" t="s">
        <v>3260</v>
      </c>
      <c r="T368" s="1" t="s">
        <v>3261</v>
      </c>
      <c r="U368" s="1" t="s">
        <v>3262</v>
      </c>
      <c r="V368" s="13">
        <f>COUNTIF(L368:$M$1659,L368)</f>
        <v>2</v>
      </c>
      <c r="W368" s="1" t="s">
        <v>2831</v>
      </c>
      <c r="X368">
        <v>1086.74</v>
      </c>
      <c r="Y368">
        <v>996.93</v>
      </c>
      <c r="Z368">
        <v>16.813186999999999</v>
      </c>
      <c r="AA368">
        <v>107.10592699999999</v>
      </c>
      <c r="AB368">
        <v>89.8</v>
      </c>
      <c r="AC368">
        <v>16.790647</v>
      </c>
      <c r="AD368">
        <v>107.10508900000001</v>
      </c>
      <c r="AE368" s="5">
        <f t="shared" si="26"/>
        <v>1.495395</v>
      </c>
      <c r="AF368" s="5">
        <f t="shared" si="27"/>
        <v>0.13469999999999999</v>
      </c>
      <c r="AG368" s="1" t="str">
        <f>TRIM(LEFT(L368,FIND("-",L368)-1))</f>
        <v>PA09</v>
      </c>
      <c r="AH368" s="1" t="str">
        <f>TRIM(RIGHT(L368, LEN(L368) - FIND("-", L368)))</f>
        <v>TP Đông Hà</v>
      </c>
      <c r="AJ368">
        <f t="shared" si="28"/>
        <v>0.99692999999999998</v>
      </c>
      <c r="AK368">
        <f t="shared" si="29"/>
        <v>8.9799999999999991E-2</v>
      </c>
      <c r="AL368">
        <f>VLOOKUP(L368,'[1]Tuyến cáp H04'!$B:$E,3,0)/1000</f>
        <v>4.1191640000000005</v>
      </c>
      <c r="AM368" t="str">
        <f>VLOOKUP(L368,'[1]Tuyến cáp H04'!$B:$E,4,0)</f>
        <v>Mạng cấp 3</v>
      </c>
    </row>
    <row r="369" spans="1:39" x14ac:dyDescent="0.25">
      <c r="A369" s="1" t="s">
        <v>3338</v>
      </c>
      <c r="B369" s="1" t="s">
        <v>3339</v>
      </c>
      <c r="C369" s="1" t="s">
        <v>3340</v>
      </c>
      <c r="D369" s="1" t="s">
        <v>3064</v>
      </c>
      <c r="E369" s="1" t="s">
        <v>3065</v>
      </c>
      <c r="F369" s="1" t="s">
        <v>3341</v>
      </c>
      <c r="G369" s="1" t="s">
        <v>14281</v>
      </c>
      <c r="H369" s="1" t="s">
        <v>14282</v>
      </c>
      <c r="I369" s="1" t="s">
        <v>14492</v>
      </c>
      <c r="J369" s="1" t="s">
        <v>23</v>
      </c>
      <c r="K369" s="1"/>
      <c r="L369" s="1" t="s">
        <v>3067</v>
      </c>
      <c r="M369" s="1" t="s">
        <v>3067</v>
      </c>
      <c r="N369" s="12" t="b">
        <f t="shared" si="25"/>
        <v>1</v>
      </c>
      <c r="O369" s="1" t="s">
        <v>3342</v>
      </c>
      <c r="P369" s="1" t="s">
        <v>3343</v>
      </c>
      <c r="Q369" s="1" t="s">
        <v>3344</v>
      </c>
      <c r="R369" s="1" t="s">
        <v>3345</v>
      </c>
      <c r="S369" s="1" t="s">
        <v>3072</v>
      </c>
      <c r="T369" s="1" t="s">
        <v>3073</v>
      </c>
      <c r="U369" s="1" t="s">
        <v>3074</v>
      </c>
      <c r="V369" s="13">
        <f>COUNTIF(L369:$M$1659,L369)</f>
        <v>4</v>
      </c>
      <c r="W369" s="1" t="s">
        <v>3075</v>
      </c>
      <c r="X369">
        <v>41.08</v>
      </c>
      <c r="Y369">
        <v>11.9</v>
      </c>
      <c r="Z369">
        <v>16.819821000000001</v>
      </c>
      <c r="AA369">
        <v>107.090867</v>
      </c>
      <c r="AB369">
        <v>29.17</v>
      </c>
      <c r="AC369">
        <v>16.812353000000002</v>
      </c>
      <c r="AD369">
        <v>107.089033</v>
      </c>
      <c r="AE369" s="5">
        <f t="shared" si="26"/>
        <v>1.7850000000000001E-2</v>
      </c>
      <c r="AF369" s="5">
        <f t="shared" si="27"/>
        <v>4.3755000000000002E-2</v>
      </c>
      <c r="AG369" s="1" t="str">
        <f>TRIM(LEFT(L369,FIND("-",L369)-1))</f>
        <v>Gio Linh</v>
      </c>
      <c r="AH369" s="1" t="str">
        <f>TRIM(RIGHT(L369, LEN(L369) - FIND("-", L369)))</f>
        <v>Đông Hà</v>
      </c>
      <c r="AJ369">
        <f t="shared" si="28"/>
        <v>1.1900000000000001E-2</v>
      </c>
      <c r="AK369">
        <f t="shared" si="29"/>
        <v>2.9170000000000001E-2</v>
      </c>
      <c r="AL369">
        <f>VLOOKUP(L369,'[1]Tuyến cáp H04'!$B:$E,3,0)/1000</f>
        <v>16.852661000000005</v>
      </c>
      <c r="AM369" t="str">
        <f>VLOOKUP(L369,'[1]Tuyến cáp H04'!$B:$E,4,0)</f>
        <v>Mạng cấp 4</v>
      </c>
    </row>
    <row r="370" spans="1:39" x14ac:dyDescent="0.25">
      <c r="A370" s="1" t="s">
        <v>3346</v>
      </c>
      <c r="B370" s="1" t="s">
        <v>3064</v>
      </c>
      <c r="C370" s="1" t="s">
        <v>3065</v>
      </c>
      <c r="D370" s="1" t="s">
        <v>278</v>
      </c>
      <c r="E370" s="1" t="s">
        <v>279</v>
      </c>
      <c r="F370" s="1" t="s">
        <v>3347</v>
      </c>
      <c r="G370" s="1" t="s">
        <v>14281</v>
      </c>
      <c r="H370" s="1" t="s">
        <v>14282</v>
      </c>
      <c r="I370" s="1" t="s">
        <v>14493</v>
      </c>
      <c r="J370" s="1" t="s">
        <v>23</v>
      </c>
      <c r="K370" s="1"/>
      <c r="L370" s="1" t="s">
        <v>3067</v>
      </c>
      <c r="M370" s="1" t="s">
        <v>3067</v>
      </c>
      <c r="N370" s="12" t="b">
        <f t="shared" si="25"/>
        <v>1</v>
      </c>
      <c r="O370" s="1" t="s">
        <v>3348</v>
      </c>
      <c r="P370" s="1" t="s">
        <v>3072</v>
      </c>
      <c r="Q370" s="1" t="s">
        <v>3073</v>
      </c>
      <c r="R370" s="1" t="s">
        <v>3074</v>
      </c>
      <c r="S370" s="1" t="s">
        <v>3349</v>
      </c>
      <c r="T370" s="1" t="s">
        <v>3350</v>
      </c>
      <c r="U370" s="1" t="s">
        <v>3351</v>
      </c>
      <c r="V370" s="13">
        <f>COUNTIF(L370:$M$1659,L370)</f>
        <v>2</v>
      </c>
      <c r="W370" s="1" t="s">
        <v>3075</v>
      </c>
      <c r="X370">
        <v>44.28</v>
      </c>
      <c r="Y370">
        <v>29.17</v>
      </c>
      <c r="Z370">
        <v>16.812353000000002</v>
      </c>
      <c r="AA370">
        <v>107.089033</v>
      </c>
      <c r="AB370">
        <v>15.1</v>
      </c>
      <c r="AC370">
        <v>16.813209000000001</v>
      </c>
      <c r="AD370">
        <v>107.088835</v>
      </c>
      <c r="AE370" s="5">
        <f t="shared" si="26"/>
        <v>4.3755000000000002E-2</v>
      </c>
      <c r="AF370" s="5">
        <f t="shared" si="27"/>
        <v>2.265E-2</v>
      </c>
      <c r="AG370" s="1" t="str">
        <f>TRIM(LEFT(L370,FIND("-",L370)-1))</f>
        <v>Gio Linh</v>
      </c>
      <c r="AH370" s="1" t="str">
        <f>TRIM(RIGHT(L370, LEN(L370) - FIND("-", L370)))</f>
        <v>Đông Hà</v>
      </c>
      <c r="AJ370">
        <f t="shared" si="28"/>
        <v>2.9170000000000001E-2</v>
      </c>
      <c r="AK370">
        <f t="shared" si="29"/>
        <v>1.5099999999999999E-2</v>
      </c>
      <c r="AL370">
        <f>VLOOKUP(L370,'[1]Tuyến cáp H04'!$B:$E,3,0)/1000</f>
        <v>16.852661000000005</v>
      </c>
      <c r="AM370" t="str">
        <f>VLOOKUP(L370,'[1]Tuyến cáp H04'!$B:$E,4,0)</f>
        <v>Mạng cấp 4</v>
      </c>
    </row>
    <row r="371" spans="1:39" x14ac:dyDescent="0.25">
      <c r="A371" s="1" t="s">
        <v>3352</v>
      </c>
      <c r="B371" s="1" t="s">
        <v>278</v>
      </c>
      <c r="C371" s="1" t="s">
        <v>279</v>
      </c>
      <c r="D371" s="1" t="s">
        <v>3146</v>
      </c>
      <c r="E371" s="1" t="s">
        <v>3147</v>
      </c>
      <c r="F371" s="1" t="s">
        <v>3353</v>
      </c>
      <c r="G371" s="1" t="s">
        <v>14281</v>
      </c>
      <c r="H371" s="1" t="s">
        <v>14282</v>
      </c>
      <c r="I371" s="1" t="s">
        <v>14494</v>
      </c>
      <c r="J371" s="1" t="s">
        <v>23</v>
      </c>
      <c r="K371" s="1"/>
      <c r="L371" s="1" t="s">
        <v>3149</v>
      </c>
      <c r="M371" s="1" t="s">
        <v>3149</v>
      </c>
      <c r="N371" s="12" t="b">
        <f t="shared" si="25"/>
        <v>1</v>
      </c>
      <c r="O371" s="1" t="s">
        <v>3354</v>
      </c>
      <c r="P371" s="1" t="s">
        <v>3355</v>
      </c>
      <c r="Q371" s="1" t="s">
        <v>3356</v>
      </c>
      <c r="R371" s="1" t="s">
        <v>3357</v>
      </c>
      <c r="S371" s="1" t="s">
        <v>3154</v>
      </c>
      <c r="T371" s="1" t="s">
        <v>3155</v>
      </c>
      <c r="U371" s="1" t="s">
        <v>3156</v>
      </c>
      <c r="V371" s="13">
        <f>COUNTIF(L371:$M$1659,L371)</f>
        <v>2</v>
      </c>
      <c r="W371" s="1" t="s">
        <v>3157</v>
      </c>
      <c r="X371">
        <v>728.56</v>
      </c>
      <c r="Y371">
        <v>529.36</v>
      </c>
      <c r="Z371">
        <v>16.808979999999998</v>
      </c>
      <c r="AA371">
        <v>107.086501</v>
      </c>
      <c r="AB371">
        <v>199.2</v>
      </c>
      <c r="AC371">
        <v>16.800885999999998</v>
      </c>
      <c r="AD371">
        <v>107.08566999999999</v>
      </c>
      <c r="AE371" s="5">
        <f t="shared" si="26"/>
        <v>0.79403999999999997</v>
      </c>
      <c r="AF371" s="5">
        <f t="shared" si="27"/>
        <v>0.29879999999999995</v>
      </c>
      <c r="AG371" s="1" t="str">
        <f>TRIM(LEFT(L371,FIND("-",L371)-1))</f>
        <v>Đông Hà</v>
      </c>
      <c r="AH371" s="1" t="str">
        <f>TRIM(RIGHT(L371, LEN(L371) - FIND("-", L371)))</f>
        <v>CA Công an Quảng Trị</v>
      </c>
      <c r="AJ371">
        <f t="shared" si="28"/>
        <v>0.52936000000000005</v>
      </c>
      <c r="AK371">
        <f t="shared" si="29"/>
        <v>0.19919999999999999</v>
      </c>
      <c r="AL371">
        <f>VLOOKUP(L371,'[1]Tuyến cáp H04'!$B:$E,3,0)/1000</f>
        <v>6.1135149999999996</v>
      </c>
      <c r="AM371" t="str">
        <f>VLOOKUP(L371,'[1]Tuyến cáp H04'!$B:$E,4,0)</f>
        <v>Mạng cấp 4</v>
      </c>
    </row>
    <row r="372" spans="1:39" x14ac:dyDescent="0.25">
      <c r="A372" s="1" t="s">
        <v>3358</v>
      </c>
      <c r="B372" s="1" t="s">
        <v>3146</v>
      </c>
      <c r="C372" s="1" t="s">
        <v>3147</v>
      </c>
      <c r="D372" s="1" t="s">
        <v>2649</v>
      </c>
      <c r="E372" s="1" t="s">
        <v>2650</v>
      </c>
      <c r="F372" s="1" t="s">
        <v>3359</v>
      </c>
      <c r="G372" s="1" t="s">
        <v>14281</v>
      </c>
      <c r="H372" s="1" t="s">
        <v>14282</v>
      </c>
      <c r="I372" s="1" t="s">
        <v>14495</v>
      </c>
      <c r="J372" s="1" t="s">
        <v>23</v>
      </c>
      <c r="K372" s="1"/>
      <c r="L372" s="1" t="s">
        <v>3302</v>
      </c>
      <c r="M372" s="1" t="s">
        <v>3302</v>
      </c>
      <c r="N372" s="12" t="b">
        <f t="shared" si="25"/>
        <v>1</v>
      </c>
      <c r="O372" s="1" t="s">
        <v>3360</v>
      </c>
      <c r="P372" s="1" t="s">
        <v>3361</v>
      </c>
      <c r="Q372" s="1" t="s">
        <v>3362</v>
      </c>
      <c r="R372" s="1" t="s">
        <v>3363</v>
      </c>
      <c r="S372" s="1" t="s">
        <v>3364</v>
      </c>
      <c r="T372" s="1" t="s">
        <v>3365</v>
      </c>
      <c r="U372" s="1" t="s">
        <v>3366</v>
      </c>
      <c r="V372" s="13">
        <f>COUNTIF(L372:$M$1659,L372)</f>
        <v>2</v>
      </c>
      <c r="W372" s="1" t="s">
        <v>3367</v>
      </c>
      <c r="X372">
        <v>437.57</v>
      </c>
      <c r="Y372">
        <v>280.22000000000003</v>
      </c>
      <c r="Z372">
        <v>16.798743000000002</v>
      </c>
      <c r="AA372">
        <v>107.087372</v>
      </c>
      <c r="AB372">
        <v>157.35</v>
      </c>
      <c r="AC372">
        <v>16.790247999999998</v>
      </c>
      <c r="AD372">
        <v>107.089523</v>
      </c>
      <c r="AE372" s="5">
        <f t="shared" si="26"/>
        <v>0.42033000000000004</v>
      </c>
      <c r="AF372" s="5">
        <f t="shared" si="27"/>
        <v>0.23602499999999998</v>
      </c>
      <c r="AG372" s="1" t="e">
        <f>TRIM(LEFT(L372,FIND("-",L372)-1))</f>
        <v>#VALUE!</v>
      </c>
      <c r="AH372" s="1" t="e">
        <f>TRIM(RIGHT(L372, LEN(L372) - FIND("-", L372)))</f>
        <v>#VALUE!</v>
      </c>
      <c r="AJ372">
        <f t="shared" si="28"/>
        <v>0.28022000000000002</v>
      </c>
      <c r="AK372">
        <f t="shared" si="29"/>
        <v>0.15734999999999999</v>
      </c>
      <c r="AL372" t="e">
        <f>VLOOKUP(L372,'[1]Tuyến cáp H04'!$B:$E,3,0)/1000</f>
        <v>#N/A</v>
      </c>
      <c r="AM372" t="e">
        <f>VLOOKUP(L372,'[1]Tuyến cáp H04'!$B:$E,4,0)</f>
        <v>#N/A</v>
      </c>
    </row>
    <row r="373" spans="1:39" x14ac:dyDescent="0.25">
      <c r="A373" s="1" t="s">
        <v>3368</v>
      </c>
      <c r="B373" s="1" t="s">
        <v>3369</v>
      </c>
      <c r="C373" s="1" t="s">
        <v>3370</v>
      </c>
      <c r="D373" s="1" t="s">
        <v>2731</v>
      </c>
      <c r="E373" s="1" t="s">
        <v>2732</v>
      </c>
      <c r="F373" s="1" t="s">
        <v>3371</v>
      </c>
      <c r="G373" s="1" t="s">
        <v>14281</v>
      </c>
      <c r="H373" s="1" t="s">
        <v>14282</v>
      </c>
      <c r="I373" s="1" t="s">
        <v>14496</v>
      </c>
      <c r="J373" s="1" t="s">
        <v>23</v>
      </c>
      <c r="K373" s="1"/>
      <c r="L373" s="1" t="s">
        <v>3372</v>
      </c>
      <c r="M373" s="1" t="s">
        <v>3372</v>
      </c>
      <c r="N373" s="12" t="b">
        <f t="shared" si="25"/>
        <v>1</v>
      </c>
      <c r="O373" s="1" t="s">
        <v>3373</v>
      </c>
      <c r="P373" s="1" t="s">
        <v>3374</v>
      </c>
      <c r="Q373" s="1" t="s">
        <v>3375</v>
      </c>
      <c r="R373" s="1" t="s">
        <v>3376</v>
      </c>
      <c r="S373" s="1" t="s">
        <v>3377</v>
      </c>
      <c r="T373" s="1" t="s">
        <v>3378</v>
      </c>
      <c r="U373" s="1" t="s">
        <v>3379</v>
      </c>
      <c r="V373" s="13">
        <f>COUNTIF(L373:$M$1659,L373)</f>
        <v>2</v>
      </c>
      <c r="W373" s="1" t="s">
        <v>3380</v>
      </c>
      <c r="X373">
        <v>65.25</v>
      </c>
      <c r="Y373">
        <v>26.25</v>
      </c>
      <c r="Z373">
        <v>16.806694</v>
      </c>
      <c r="AA373">
        <v>106.993571</v>
      </c>
      <c r="AB373">
        <v>39</v>
      </c>
      <c r="AC373">
        <v>16.807314999999999</v>
      </c>
      <c r="AD373">
        <v>106.993066</v>
      </c>
      <c r="AE373" s="5">
        <f t="shared" si="26"/>
        <v>3.9375E-2</v>
      </c>
      <c r="AF373" s="5">
        <f t="shared" si="27"/>
        <v>5.8500000000000003E-2</v>
      </c>
      <c r="AG373" s="1" t="str">
        <f>TRIM(LEFT(L373,FIND("-",L373)-1))</f>
        <v>Đăk Rông</v>
      </c>
      <c r="AH373" s="1" t="str">
        <f>TRIM(RIGHT(L373, LEN(L373) - FIND("-", L373)))</f>
        <v>Cam Lộ</v>
      </c>
      <c r="AJ373">
        <f t="shared" si="28"/>
        <v>2.6249999999999999E-2</v>
      </c>
      <c r="AK373">
        <f t="shared" si="29"/>
        <v>3.9E-2</v>
      </c>
      <c r="AL373">
        <f>VLOOKUP(L373,'[1]Tuyến cáp H04'!$B:$E,3,0)/1000</f>
        <v>25.625966999999996</v>
      </c>
      <c r="AM373" t="str">
        <f>VLOOKUP(L373,'[1]Tuyến cáp H04'!$B:$E,4,0)</f>
        <v>Mạng cấp 3</v>
      </c>
    </row>
    <row r="374" spans="1:39" x14ac:dyDescent="0.25">
      <c r="A374" s="1" t="s">
        <v>3381</v>
      </c>
      <c r="B374" s="1" t="s">
        <v>3382</v>
      </c>
      <c r="C374" s="1" t="s">
        <v>3383</v>
      </c>
      <c r="D374" s="1" t="s">
        <v>2731</v>
      </c>
      <c r="E374" s="1" t="s">
        <v>2732</v>
      </c>
      <c r="F374" s="1" t="s">
        <v>3384</v>
      </c>
      <c r="G374" s="1" t="s">
        <v>14281</v>
      </c>
      <c r="H374" s="1" t="s">
        <v>14282</v>
      </c>
      <c r="I374" s="1" t="s">
        <v>14497</v>
      </c>
      <c r="J374" s="1" t="s">
        <v>23</v>
      </c>
      <c r="K374" s="1"/>
      <c r="L374" s="1" t="s">
        <v>2734</v>
      </c>
      <c r="M374" s="1" t="s">
        <v>2734</v>
      </c>
      <c r="N374" s="12" t="b">
        <f t="shared" si="25"/>
        <v>1</v>
      </c>
      <c r="O374" s="1" t="s">
        <v>3385</v>
      </c>
      <c r="P374" s="1" t="s">
        <v>3386</v>
      </c>
      <c r="Q374" s="1" t="s">
        <v>3387</v>
      </c>
      <c r="R374" s="1" t="s">
        <v>3388</v>
      </c>
      <c r="S374" s="1" t="s">
        <v>2739</v>
      </c>
      <c r="T374" s="1" t="s">
        <v>2740</v>
      </c>
      <c r="U374" s="1" t="s">
        <v>2741</v>
      </c>
      <c r="V374" s="13">
        <f>COUNTIF(L374:$M$1659,L374)</f>
        <v>2</v>
      </c>
      <c r="W374" s="1" t="s">
        <v>2742</v>
      </c>
      <c r="X374">
        <v>261.14999999999998</v>
      </c>
      <c r="Y374">
        <v>235.91</v>
      </c>
      <c r="Z374">
        <v>16.800384999999999</v>
      </c>
      <c r="AA374">
        <v>107.023729</v>
      </c>
      <c r="AB374">
        <v>25.24</v>
      </c>
      <c r="AC374">
        <v>16.807245999999999</v>
      </c>
      <c r="AD374">
        <v>106.99248</v>
      </c>
      <c r="AE374" s="5">
        <f t="shared" si="26"/>
        <v>0.35386499999999999</v>
      </c>
      <c r="AF374" s="5">
        <f t="shared" si="27"/>
        <v>3.7859999999999998E-2</v>
      </c>
      <c r="AG374" s="1" t="str">
        <f>TRIM(LEFT(L374,FIND("-",L374)-1))</f>
        <v>Cơ sở cai nghiện (Cam Hiếu, Cam Lộ)</v>
      </c>
      <c r="AH374" s="1" t="str">
        <f>TRIM(RIGHT(L374, LEN(L374) - FIND("-", L374)))</f>
        <v>TTCMKV Cam Lộ</v>
      </c>
      <c r="AJ374">
        <f t="shared" si="28"/>
        <v>0.23591000000000001</v>
      </c>
      <c r="AK374">
        <f t="shared" si="29"/>
        <v>2.5239999999999999E-2</v>
      </c>
      <c r="AL374">
        <f>VLOOKUP(L374,'[1]Tuyến cáp H04'!$B:$E,3,0)/1000</f>
        <v>8.266138999999999</v>
      </c>
      <c r="AM374" t="str">
        <f>VLOOKUP(L374,'[1]Tuyến cáp H04'!$B:$E,4,0)</f>
        <v>Mạng cấp 3</v>
      </c>
    </row>
    <row r="375" spans="1:39" x14ac:dyDescent="0.25">
      <c r="A375" s="1" t="s">
        <v>3389</v>
      </c>
      <c r="B375" s="1" t="s">
        <v>3390</v>
      </c>
      <c r="C375" s="1" t="s">
        <v>3391</v>
      </c>
      <c r="D375" s="1" t="s">
        <v>128</v>
      </c>
      <c r="E375" s="1" t="s">
        <v>129</v>
      </c>
      <c r="F375" s="1" t="s">
        <v>3392</v>
      </c>
      <c r="G375" s="1" t="s">
        <v>14281</v>
      </c>
      <c r="H375" s="1" t="s">
        <v>14282</v>
      </c>
      <c r="I375" s="1" t="s">
        <v>14498</v>
      </c>
      <c r="J375" s="1" t="s">
        <v>23</v>
      </c>
      <c r="K375" s="1"/>
      <c r="L375" s="1" t="s">
        <v>3393</v>
      </c>
      <c r="M375" s="1" t="s">
        <v>3393</v>
      </c>
      <c r="N375" s="12" t="b">
        <f t="shared" si="25"/>
        <v>1</v>
      </c>
      <c r="O375" s="1" t="s">
        <v>3394</v>
      </c>
      <c r="P375" s="1" t="s">
        <v>3395</v>
      </c>
      <c r="Q375" s="1" t="s">
        <v>3396</v>
      </c>
      <c r="R375" s="1" t="s">
        <v>3397</v>
      </c>
      <c r="S375" s="1" t="s">
        <v>3398</v>
      </c>
      <c r="T375" s="1" t="s">
        <v>3399</v>
      </c>
      <c r="U375" s="1" t="s">
        <v>3400</v>
      </c>
      <c r="V375" s="13">
        <f>COUNTIF(L375:$M$1659,L375)</f>
        <v>2</v>
      </c>
      <c r="W375" s="1" t="s">
        <v>3401</v>
      </c>
      <c r="X375">
        <v>2008.61</v>
      </c>
      <c r="Y375">
        <v>935.2</v>
      </c>
      <c r="Z375">
        <v>16.785588000000001</v>
      </c>
      <c r="AA375">
        <v>107.12400599999999</v>
      </c>
      <c r="AB375">
        <v>1073.4100000000001</v>
      </c>
      <c r="AC375">
        <v>16.785212999999999</v>
      </c>
      <c r="AD375">
        <v>107.11283</v>
      </c>
      <c r="AE375" s="5">
        <f t="shared" si="26"/>
        <v>1.4028000000000003</v>
      </c>
      <c r="AF375" s="5">
        <f t="shared" si="27"/>
        <v>1.6101150000000002</v>
      </c>
      <c r="AG375" s="1" t="str">
        <f>TRIM(LEFT(L375,FIND("-",L375)-1))</f>
        <v>TT2 Quảng Trị</v>
      </c>
      <c r="AH375" s="1" t="str">
        <f>TRIM(RIGHT(L375, LEN(L375) - FIND("-", L375)))</f>
        <v>TX Quảng Trị</v>
      </c>
      <c r="AJ375">
        <f t="shared" si="28"/>
        <v>0.93520000000000003</v>
      </c>
      <c r="AK375">
        <f t="shared" si="29"/>
        <v>1.07341</v>
      </c>
      <c r="AL375">
        <f>VLOOKUP(L375,'[1]Tuyến cáp H04'!$B:$E,3,0)/1000</f>
        <v>16.726430000000001</v>
      </c>
      <c r="AM375" t="str">
        <f>VLOOKUP(L375,'[1]Tuyến cáp H04'!$B:$E,4,0)</f>
        <v>Mạng cấp 3</v>
      </c>
    </row>
    <row r="376" spans="1:39" x14ac:dyDescent="0.25">
      <c r="A376" s="1" t="s">
        <v>3402</v>
      </c>
      <c r="B376" s="1" t="s">
        <v>3403</v>
      </c>
      <c r="C376" s="1" t="s">
        <v>3404</v>
      </c>
      <c r="D376" s="1" t="s">
        <v>2769</v>
      </c>
      <c r="E376" s="1" t="s">
        <v>2770</v>
      </c>
      <c r="F376" s="1" t="s">
        <v>3405</v>
      </c>
      <c r="G376" s="1" t="s">
        <v>14281</v>
      </c>
      <c r="H376" s="1" t="s">
        <v>14282</v>
      </c>
      <c r="I376" s="1" t="s">
        <v>14499</v>
      </c>
      <c r="J376" s="1" t="s">
        <v>23</v>
      </c>
      <c r="K376" s="1"/>
      <c r="L376" s="1" t="s">
        <v>2784</v>
      </c>
      <c r="M376" s="1" t="s">
        <v>2784</v>
      </c>
      <c r="N376" s="12" t="b">
        <f t="shared" si="25"/>
        <v>1</v>
      </c>
      <c r="O376" s="1" t="s">
        <v>3406</v>
      </c>
      <c r="P376" s="1" t="s">
        <v>3407</v>
      </c>
      <c r="Q376" s="1" t="s">
        <v>3408</v>
      </c>
      <c r="R376" s="1" t="s">
        <v>3409</v>
      </c>
      <c r="S376" s="1" t="s">
        <v>2786</v>
      </c>
      <c r="T376" s="1" t="s">
        <v>2787</v>
      </c>
      <c r="U376" s="1" t="s">
        <v>2788</v>
      </c>
      <c r="V376" s="13">
        <f>COUNTIF(L376:$M$1659,L376)</f>
        <v>2</v>
      </c>
      <c r="W376" s="1" t="s">
        <v>2792</v>
      </c>
      <c r="X376">
        <v>3270.6</v>
      </c>
      <c r="Y376">
        <v>3248.72</v>
      </c>
      <c r="Z376">
        <v>16.978266000000001</v>
      </c>
      <c r="AA376">
        <v>107.099942</v>
      </c>
      <c r="AB376">
        <v>21.88</v>
      </c>
      <c r="AC376">
        <v>16.988904000000002</v>
      </c>
      <c r="AD376">
        <v>107.106632</v>
      </c>
      <c r="AE376" s="5">
        <f t="shared" si="26"/>
        <v>4.8730799999999999</v>
      </c>
      <c r="AF376" s="5">
        <f t="shared" si="27"/>
        <v>3.2820000000000002E-2</v>
      </c>
      <c r="AG376" s="1" t="str">
        <f>TRIM(LEFT(L376,FIND("-",L376)-1))</f>
        <v>Bến Hải</v>
      </c>
      <c r="AH376" s="1" t="str">
        <f>TRIM(RIGHT(L376, LEN(L376) - FIND("-", L376)))</f>
        <v>PC07 (Đội PCCC khu vực 4)</v>
      </c>
      <c r="AJ376">
        <f t="shared" si="28"/>
        <v>3.2487199999999996</v>
      </c>
      <c r="AK376">
        <f t="shared" si="29"/>
        <v>2.188E-2</v>
      </c>
      <c r="AL376">
        <f>VLOOKUP(L376,'[1]Tuyến cáp H04'!$B:$E,3,0)/1000</f>
        <v>12.900144000000001</v>
      </c>
      <c r="AM376" t="str">
        <f>VLOOKUP(L376,'[1]Tuyến cáp H04'!$B:$E,4,0)</f>
        <v>Mạng cấp 4</v>
      </c>
    </row>
    <row r="377" spans="1:39" x14ac:dyDescent="0.25">
      <c r="A377" s="1" t="s">
        <v>3410</v>
      </c>
      <c r="B377" s="1" t="s">
        <v>3411</v>
      </c>
      <c r="C377" s="1" t="s">
        <v>3412</v>
      </c>
      <c r="D377" s="1" t="s">
        <v>3413</v>
      </c>
      <c r="E377" s="1" t="s">
        <v>3414</v>
      </c>
      <c r="F377" s="1" t="s">
        <v>3415</v>
      </c>
      <c r="G377" s="1" t="s">
        <v>14281</v>
      </c>
      <c r="H377" s="1" t="s">
        <v>14282</v>
      </c>
      <c r="I377" s="1" t="s">
        <v>14500</v>
      </c>
      <c r="J377" s="1" t="s">
        <v>23</v>
      </c>
      <c r="K377" s="1"/>
      <c r="L377" s="1" t="s">
        <v>3416</v>
      </c>
      <c r="M377" s="1" t="s">
        <v>3416</v>
      </c>
      <c r="N377" s="12" t="b">
        <f t="shared" si="25"/>
        <v>1</v>
      </c>
      <c r="O377" s="1" t="s">
        <v>3417</v>
      </c>
      <c r="P377" s="1" t="s">
        <v>3418</v>
      </c>
      <c r="Q377" s="1" t="s">
        <v>3419</v>
      </c>
      <c r="R377" s="1" t="s">
        <v>3420</v>
      </c>
      <c r="S377" s="1" t="s">
        <v>3421</v>
      </c>
      <c r="T377" s="1" t="s">
        <v>3422</v>
      </c>
      <c r="U377" s="1" t="s">
        <v>3423</v>
      </c>
      <c r="V377" s="13">
        <f>COUNTIF(L377:$M$1659,L377)</f>
        <v>2</v>
      </c>
      <c r="W377" s="1" t="s">
        <v>3424</v>
      </c>
      <c r="X377">
        <v>345.78</v>
      </c>
      <c r="Y377">
        <v>254.51</v>
      </c>
      <c r="Z377">
        <v>17.070644999999999</v>
      </c>
      <c r="AA377">
        <v>107.004336</v>
      </c>
      <c r="AB377">
        <v>91.27</v>
      </c>
      <c r="AC377">
        <v>17.077088</v>
      </c>
      <c r="AD377">
        <v>106.99789199999999</v>
      </c>
      <c r="AE377" s="5">
        <f t="shared" si="26"/>
        <v>0.38176499999999997</v>
      </c>
      <c r="AF377" s="5">
        <f t="shared" si="27"/>
        <v>0.136905</v>
      </c>
      <c r="AG377" s="1" t="str">
        <f>TRIM(LEFT(L377,FIND("-",L377)-1))</f>
        <v>Phòng PC07 (Đội PCCC khu vực 3)</v>
      </c>
      <c r="AH377" s="1" t="str">
        <f>TRIM(RIGHT(L377, LEN(L377) - FIND("-", L377)))</f>
        <v>Vĩnh Linh</v>
      </c>
      <c r="AJ377">
        <f t="shared" si="28"/>
        <v>0.25451000000000001</v>
      </c>
      <c r="AK377">
        <f t="shared" si="29"/>
        <v>9.126999999999999E-2</v>
      </c>
      <c r="AL377">
        <f>VLOOKUP(L377,'[1]Tuyến cáp H04'!$B:$E,3,0)/1000</f>
        <v>3.0777519999999994</v>
      </c>
      <c r="AM377" t="str">
        <f>VLOOKUP(L377,'[1]Tuyến cáp H04'!$B:$E,4,0)</f>
        <v>Mạng cấp 3</v>
      </c>
    </row>
    <row r="378" spans="1:39" x14ac:dyDescent="0.25">
      <c r="A378" s="1" t="s">
        <v>3425</v>
      </c>
      <c r="B378" s="1" t="s">
        <v>3426</v>
      </c>
      <c r="C378" s="1" t="s">
        <v>3427</v>
      </c>
      <c r="D378" s="1" t="s">
        <v>3413</v>
      </c>
      <c r="E378" s="1" t="s">
        <v>3414</v>
      </c>
      <c r="F378" s="1" t="s">
        <v>3428</v>
      </c>
      <c r="G378" s="1" t="s">
        <v>14281</v>
      </c>
      <c r="H378" s="1" t="s">
        <v>14282</v>
      </c>
      <c r="I378" s="1" t="s">
        <v>14501</v>
      </c>
      <c r="J378" s="1" t="s">
        <v>23</v>
      </c>
      <c r="K378" s="1"/>
      <c r="L378" s="1" t="s">
        <v>3429</v>
      </c>
      <c r="M378" s="1" t="s">
        <v>3429</v>
      </c>
      <c r="N378" s="12" t="b">
        <f t="shared" si="25"/>
        <v>1</v>
      </c>
      <c r="O378" s="1" t="s">
        <v>3430</v>
      </c>
      <c r="P378" s="1" t="s">
        <v>3431</v>
      </c>
      <c r="Q378" s="1" t="s">
        <v>3432</v>
      </c>
      <c r="R378" s="1" t="s">
        <v>3433</v>
      </c>
      <c r="S378" s="1" t="s">
        <v>3434</v>
      </c>
      <c r="T378" s="1" t="s">
        <v>3435</v>
      </c>
      <c r="U378" s="1" t="s">
        <v>3436</v>
      </c>
      <c r="V378" s="13">
        <f>COUNTIF(L378:$M$1659,L378)</f>
        <v>2</v>
      </c>
      <c r="W378" s="1" t="s">
        <v>3437</v>
      </c>
      <c r="X378">
        <v>2655.86</v>
      </c>
      <c r="Y378">
        <v>2537.6</v>
      </c>
      <c r="Z378">
        <v>17.076809999999998</v>
      </c>
      <c r="AA378">
        <v>106.98994500000001</v>
      </c>
      <c r="AB378">
        <v>118.26</v>
      </c>
      <c r="AC378">
        <v>17.076765999999999</v>
      </c>
      <c r="AD378">
        <v>106.998086</v>
      </c>
      <c r="AE378" s="5">
        <f t="shared" si="26"/>
        <v>3.8063999999999996</v>
      </c>
      <c r="AF378" s="5">
        <f t="shared" si="27"/>
        <v>0.17739000000000002</v>
      </c>
      <c r="AG378" s="1" t="str">
        <f>TRIM(LEFT(L378,FIND("-",L378)-1))</f>
        <v>Vĩnh Hoàng</v>
      </c>
      <c r="AH378" s="1" t="str">
        <f>TRIM(RIGHT(L378, LEN(L378) - FIND("-", L378)))</f>
        <v>Bến Quan</v>
      </c>
      <c r="AJ378">
        <f t="shared" si="28"/>
        <v>2.5375999999999999</v>
      </c>
      <c r="AK378">
        <f t="shared" si="29"/>
        <v>0.11826</v>
      </c>
      <c r="AL378">
        <f>VLOOKUP(L378,'[1]Tuyến cáp H04'!$B:$E,3,0)/1000</f>
        <v>24.307358000000001</v>
      </c>
      <c r="AM378" t="str">
        <f>VLOOKUP(L378,'[1]Tuyến cáp H04'!$B:$E,4,0)</f>
        <v>Mạng cấp 4</v>
      </c>
    </row>
    <row r="379" spans="1:39" x14ac:dyDescent="0.25">
      <c r="A379" s="1" t="s">
        <v>3438</v>
      </c>
      <c r="B379" s="1" t="s">
        <v>3439</v>
      </c>
      <c r="C379" s="1" t="s">
        <v>3440</v>
      </c>
      <c r="D379" s="1" t="s">
        <v>2662</v>
      </c>
      <c r="E379" s="1" t="s">
        <v>2663</v>
      </c>
      <c r="F379" s="1" t="s">
        <v>3441</v>
      </c>
      <c r="G379" s="1" t="s">
        <v>14281</v>
      </c>
      <c r="H379" s="1" t="s">
        <v>14282</v>
      </c>
      <c r="I379" s="1" t="s">
        <v>14502</v>
      </c>
      <c r="J379" s="1" t="s">
        <v>23</v>
      </c>
      <c r="K379" s="1"/>
      <c r="L379" s="1" t="s">
        <v>3090</v>
      </c>
      <c r="M379" s="1" t="s">
        <v>3090</v>
      </c>
      <c r="N379" s="12" t="b">
        <f t="shared" si="25"/>
        <v>1</v>
      </c>
      <c r="O379" s="1" t="s">
        <v>3442</v>
      </c>
      <c r="P379" s="1" t="s">
        <v>3443</v>
      </c>
      <c r="Q379" s="1" t="s">
        <v>3444</v>
      </c>
      <c r="R379" s="1" t="s">
        <v>3445</v>
      </c>
      <c r="S379" s="1" t="s">
        <v>3446</v>
      </c>
      <c r="T379" s="1" t="s">
        <v>3447</v>
      </c>
      <c r="U379" s="1" t="s">
        <v>3448</v>
      </c>
      <c r="V379" s="13">
        <f>COUNTIF(L379:$M$1659,L379)</f>
        <v>2</v>
      </c>
      <c r="W379" s="1" t="s">
        <v>3449</v>
      </c>
      <c r="X379">
        <v>4453.9799999999996</v>
      </c>
      <c r="Y379">
        <v>4421.4799999999996</v>
      </c>
      <c r="Z379">
        <v>16.739267999999999</v>
      </c>
      <c r="AA379">
        <v>107.185075</v>
      </c>
      <c r="AB379">
        <v>32.49</v>
      </c>
      <c r="AC379">
        <v>16.739595000000001</v>
      </c>
      <c r="AD379">
        <v>107.188056</v>
      </c>
      <c r="AE379" s="5">
        <f t="shared" si="26"/>
        <v>6.6322199999999993</v>
      </c>
      <c r="AF379" s="5">
        <f t="shared" si="27"/>
        <v>4.8735000000000001E-2</v>
      </c>
      <c r="AG379" s="1" t="str">
        <f>TRIM(LEFT(L379,FIND("-",L379)-1))</f>
        <v>Trung tâm sát hạch lái xe</v>
      </c>
      <c r="AH379" s="1" t="str">
        <f>TRIM(RIGHT(L379, LEN(L379) - FIND("-", L379)))</f>
        <v>TX Quảng Trị</v>
      </c>
      <c r="AJ379">
        <f t="shared" si="28"/>
        <v>4.4214799999999999</v>
      </c>
      <c r="AK379">
        <f t="shared" si="29"/>
        <v>3.2490000000000005E-2</v>
      </c>
      <c r="AL379">
        <f>VLOOKUP(L379,'[1]Tuyến cáp H04'!$B:$E,3,0)/1000</f>
        <v>15.808576</v>
      </c>
      <c r="AM379" t="str">
        <f>VLOOKUP(L379,'[1]Tuyến cáp H04'!$B:$E,4,0)</f>
        <v>Mạng cấp 3</v>
      </c>
    </row>
    <row r="380" spans="1:39" x14ac:dyDescent="0.25">
      <c r="A380" s="1" t="s">
        <v>3450</v>
      </c>
      <c r="B380" s="1" t="s">
        <v>3451</v>
      </c>
      <c r="C380" s="1" t="s">
        <v>3452</v>
      </c>
      <c r="D380" s="1" t="s">
        <v>3453</v>
      </c>
      <c r="E380" s="1" t="s">
        <v>3454</v>
      </c>
      <c r="F380" s="1" t="s">
        <v>3455</v>
      </c>
      <c r="G380" s="1" t="s">
        <v>14129</v>
      </c>
      <c r="H380" s="1" t="s">
        <v>14130</v>
      </c>
      <c r="I380" s="1" t="s">
        <v>14503</v>
      </c>
      <c r="J380" s="1" t="s">
        <v>23</v>
      </c>
      <c r="K380" s="1"/>
      <c r="L380" s="1" t="s">
        <v>3456</v>
      </c>
      <c r="M380" s="1" t="s">
        <v>3456</v>
      </c>
      <c r="N380" s="12" t="b">
        <f t="shared" si="25"/>
        <v>1</v>
      </c>
      <c r="O380" s="1" t="s">
        <v>3457</v>
      </c>
      <c r="P380" s="1" t="s">
        <v>3458</v>
      </c>
      <c r="Q380" s="1" t="s">
        <v>3459</v>
      </c>
      <c r="R380" s="1" t="s">
        <v>3460</v>
      </c>
      <c r="S380" s="1" t="s">
        <v>3461</v>
      </c>
      <c r="T380" s="1" t="s">
        <v>3462</v>
      </c>
      <c r="U380" s="1" t="s">
        <v>3463</v>
      </c>
      <c r="V380" s="13">
        <f>COUNTIF(L380:$M$1659,L380)</f>
        <v>18</v>
      </c>
      <c r="W380" s="1" t="s">
        <v>3464</v>
      </c>
      <c r="X380">
        <v>589.48</v>
      </c>
      <c r="Y380">
        <v>364.81</v>
      </c>
      <c r="Z380">
        <v>12.099976</v>
      </c>
      <c r="AA380">
        <v>107.656622</v>
      </c>
      <c r="AB380">
        <v>224.66</v>
      </c>
      <c r="AC380">
        <v>12.087807</v>
      </c>
      <c r="AD380">
        <v>107.655304</v>
      </c>
      <c r="AE380" s="5">
        <f t="shared" si="26"/>
        <v>0.54721500000000001</v>
      </c>
      <c r="AF380" s="5">
        <f t="shared" si="27"/>
        <v>0.33699000000000001</v>
      </c>
      <c r="AG380" s="1" t="str">
        <f>TRIM(LEFT(L380,FIND("-",L380)-1))</f>
        <v>Công an tỉnh Lâm Đồng</v>
      </c>
      <c r="AH380" s="1" t="str">
        <f>TRIM(RIGHT(L380, LEN(L380) - FIND("-", L380)))</f>
        <v>TT2 - Công an xã Đức An (Trụ sở CAH Đắk Song cũ)</v>
      </c>
      <c r="AJ380">
        <f t="shared" si="28"/>
        <v>0.36481000000000002</v>
      </c>
      <c r="AK380">
        <f t="shared" si="29"/>
        <v>0.22466</v>
      </c>
      <c r="AL380" t="e">
        <f>VLOOKUP(L380,'[1]Tuyến cáp H04'!$B:$E,3,0)/1000</f>
        <v>#N/A</v>
      </c>
      <c r="AM380" t="e">
        <f>VLOOKUP(L380,'[1]Tuyến cáp H04'!$B:$E,4,0)</f>
        <v>#N/A</v>
      </c>
    </row>
    <row r="381" spans="1:39" x14ac:dyDescent="0.25">
      <c r="A381" s="1" t="s">
        <v>3465</v>
      </c>
      <c r="B381" s="1" t="s">
        <v>3466</v>
      </c>
      <c r="C381" s="1" t="s">
        <v>3467</v>
      </c>
      <c r="D381" s="1" t="s">
        <v>3468</v>
      </c>
      <c r="E381" s="1" t="s">
        <v>3469</v>
      </c>
      <c r="F381" s="1" t="s">
        <v>3470</v>
      </c>
      <c r="G381" s="1" t="s">
        <v>14129</v>
      </c>
      <c r="H381" s="1" t="s">
        <v>14130</v>
      </c>
      <c r="I381" s="1" t="s">
        <v>14504</v>
      </c>
      <c r="J381" s="1" t="s">
        <v>23</v>
      </c>
      <c r="K381" s="1"/>
      <c r="L381" s="1" t="s">
        <v>3471</v>
      </c>
      <c r="M381" s="1" t="s">
        <v>3471</v>
      </c>
      <c r="N381" s="12" t="b">
        <f t="shared" si="25"/>
        <v>1</v>
      </c>
      <c r="O381" s="1" t="s">
        <v>3472</v>
      </c>
      <c r="P381" s="1" t="s">
        <v>3473</v>
      </c>
      <c r="Q381" s="1" t="s">
        <v>3474</v>
      </c>
      <c r="R381" s="1" t="s">
        <v>3475</v>
      </c>
      <c r="S381" s="1" t="s">
        <v>3476</v>
      </c>
      <c r="T381" s="1" t="s">
        <v>3477</v>
      </c>
      <c r="U381" s="1" t="s">
        <v>3478</v>
      </c>
      <c r="V381" s="13">
        <f>COUNTIF(L381:$M$1659,L381)</f>
        <v>16</v>
      </c>
      <c r="W381" s="1" t="s">
        <v>3479</v>
      </c>
      <c r="X381">
        <v>67.33</v>
      </c>
      <c r="Y381">
        <v>2.06</v>
      </c>
      <c r="Z381">
        <v>12.447380000000001</v>
      </c>
      <c r="AA381">
        <v>107.621711</v>
      </c>
      <c r="AB381">
        <v>65.27</v>
      </c>
      <c r="AC381">
        <v>12.448696</v>
      </c>
      <c r="AD381">
        <v>107.62101</v>
      </c>
      <c r="AE381" s="5">
        <f t="shared" si="26"/>
        <v>3.0899999999999999E-3</v>
      </c>
      <c r="AF381" s="5">
        <f t="shared" si="27"/>
        <v>9.7905000000000006E-2</v>
      </c>
      <c r="AG381" s="1" t="str">
        <f>TRIM(LEFT(L381,FIND("-",L381)-1))</f>
        <v xml:space="preserve">Công an xã Đức Lập (Trụ sở 2 CAH Đắk Mil cũ)
</v>
      </c>
      <c r="AH381" s="1" t="str">
        <f>TRIM(RIGHT(L381, LEN(L381) - FIND("-", L381)))</f>
        <v>Công an xã Cư Jút (Trụ sở CAH Cư Jút cũ)</v>
      </c>
      <c r="AJ381">
        <f t="shared" si="28"/>
        <v>2.0600000000000002E-3</v>
      </c>
      <c r="AK381">
        <f t="shared" si="29"/>
        <v>6.5269999999999995E-2</v>
      </c>
      <c r="AL381" t="e">
        <f>VLOOKUP(L381,'[1]Tuyến cáp H04'!$B:$E,3,0)/1000</f>
        <v>#N/A</v>
      </c>
      <c r="AM381" t="e">
        <f>VLOOKUP(L381,'[1]Tuyến cáp H04'!$B:$E,4,0)</f>
        <v>#N/A</v>
      </c>
    </row>
    <row r="382" spans="1:39" x14ac:dyDescent="0.25">
      <c r="A382" s="1" t="s">
        <v>3480</v>
      </c>
      <c r="B382" s="1" t="s">
        <v>3481</v>
      </c>
      <c r="C382" s="1" t="s">
        <v>3482</v>
      </c>
      <c r="D382" s="1" t="s">
        <v>3483</v>
      </c>
      <c r="E382" s="1" t="s">
        <v>3484</v>
      </c>
      <c r="F382" s="1" t="s">
        <v>3485</v>
      </c>
      <c r="G382" s="1" t="s">
        <v>14129</v>
      </c>
      <c r="H382" s="1" t="s">
        <v>14130</v>
      </c>
      <c r="I382" s="1" t="s">
        <v>14505</v>
      </c>
      <c r="J382" s="1" t="s">
        <v>23</v>
      </c>
      <c r="K382" s="1"/>
      <c r="L382" s="1" t="s">
        <v>3486</v>
      </c>
      <c r="M382" s="1" t="s">
        <v>3486</v>
      </c>
      <c r="N382" s="12" t="b">
        <f t="shared" si="25"/>
        <v>1</v>
      </c>
      <c r="O382" s="1" t="s">
        <v>3487</v>
      </c>
      <c r="P382" s="1" t="s">
        <v>3488</v>
      </c>
      <c r="Q382" s="1" t="s">
        <v>3489</v>
      </c>
      <c r="R382" s="1" t="s">
        <v>3490</v>
      </c>
      <c r="S382" s="1" t="s">
        <v>3491</v>
      </c>
      <c r="T382" s="1" t="s">
        <v>3489</v>
      </c>
      <c r="U382" s="1" t="s">
        <v>3490</v>
      </c>
      <c r="V382" s="13">
        <f>COUNTIF(L382:$M$1659,L382)</f>
        <v>4</v>
      </c>
      <c r="W382" s="1" t="s">
        <v>3492</v>
      </c>
      <c r="X382">
        <v>2681.46</v>
      </c>
      <c r="Y382">
        <v>0.75</v>
      </c>
      <c r="Z382">
        <v>12.650228</v>
      </c>
      <c r="AA382">
        <v>107.873526</v>
      </c>
      <c r="AB382">
        <v>2680.71</v>
      </c>
      <c r="AC382">
        <v>12.650228</v>
      </c>
      <c r="AD382">
        <v>107.873526</v>
      </c>
      <c r="AE382" s="5">
        <f t="shared" si="26"/>
        <v>1.1249999999999999E-3</v>
      </c>
      <c r="AF382" s="5">
        <f t="shared" si="27"/>
        <v>4.0210650000000001</v>
      </c>
      <c r="AG382" s="1" t="str">
        <f>TRIM(LEFT(L382,FIND("-",L382)-1))</f>
        <v>Công an xã Nam Dong</v>
      </c>
      <c r="AH382" s="1" t="str">
        <f>TRIM(RIGHT(L382, LEN(L382) - FIND("-", L382)))</f>
        <v>Công an xã Đắk Mil</v>
      </c>
      <c r="AJ382">
        <f t="shared" si="28"/>
        <v>7.5000000000000002E-4</v>
      </c>
      <c r="AK382">
        <f t="shared" si="29"/>
        <v>2.6807099999999999</v>
      </c>
      <c r="AL382" t="e">
        <f>VLOOKUP(L382,'[1]Tuyến cáp H04'!$B:$E,3,0)/1000</f>
        <v>#N/A</v>
      </c>
      <c r="AM382" t="e">
        <f>VLOOKUP(L382,'[1]Tuyến cáp H04'!$B:$E,4,0)</f>
        <v>#N/A</v>
      </c>
    </row>
    <row r="383" spans="1:39" x14ac:dyDescent="0.25">
      <c r="A383" s="1" t="s">
        <v>3493</v>
      </c>
      <c r="B383" s="1" t="s">
        <v>3494</v>
      </c>
      <c r="C383" s="1" t="s">
        <v>3495</v>
      </c>
      <c r="D383" s="1" t="s">
        <v>3496</v>
      </c>
      <c r="E383" s="1" t="s">
        <v>3497</v>
      </c>
      <c r="F383" s="1" t="s">
        <v>3498</v>
      </c>
      <c r="G383" s="1" t="s">
        <v>14129</v>
      </c>
      <c r="H383" s="1" t="s">
        <v>14130</v>
      </c>
      <c r="I383" s="1" t="s">
        <v>14506</v>
      </c>
      <c r="J383" s="1" t="s">
        <v>23</v>
      </c>
      <c r="K383" s="1"/>
      <c r="L383" s="1" t="s">
        <v>3499</v>
      </c>
      <c r="M383" s="1" t="s">
        <v>3499</v>
      </c>
      <c r="N383" s="12" t="b">
        <f t="shared" si="25"/>
        <v>1</v>
      </c>
      <c r="O383" s="1" t="s">
        <v>3500</v>
      </c>
      <c r="P383" s="1" t="s">
        <v>3501</v>
      </c>
      <c r="Q383" s="1" t="s">
        <v>3502</v>
      </c>
      <c r="R383" s="1" t="s">
        <v>3503</v>
      </c>
      <c r="S383" s="1" t="s">
        <v>3504</v>
      </c>
      <c r="T383" s="1" t="s">
        <v>3505</v>
      </c>
      <c r="U383" s="1" t="s">
        <v>3506</v>
      </c>
      <c r="V383" s="13">
        <f>COUNTIF(L383:$M$1659,L383)</f>
        <v>4</v>
      </c>
      <c r="W383" s="1" t="s">
        <v>3507</v>
      </c>
      <c r="X383">
        <v>2304</v>
      </c>
      <c r="Y383">
        <v>47.06</v>
      </c>
      <c r="Z383">
        <v>12.095340999999999</v>
      </c>
      <c r="AA383">
        <v>107.480919</v>
      </c>
      <c r="AB383">
        <v>2256.94</v>
      </c>
      <c r="AC383">
        <v>12.096983</v>
      </c>
      <c r="AD383">
        <v>107.483132</v>
      </c>
      <c r="AE383" s="5">
        <f t="shared" si="26"/>
        <v>7.059E-2</v>
      </c>
      <c r="AF383" s="5">
        <f t="shared" si="27"/>
        <v>3.3854099999999998</v>
      </c>
      <c r="AG383" s="1" t="str">
        <f>TRIM(LEFT(L383,FIND("-",L383)-1))</f>
        <v>Đường PC08 đội 6</v>
      </c>
      <c r="AH383" s="1" t="str">
        <f>TRIM(RIGHT(L383, LEN(L383) - FIND("-", L383)))</f>
        <v>CS Cai nghiện số 4</v>
      </c>
      <c r="AJ383">
        <f t="shared" si="28"/>
        <v>4.7060000000000005E-2</v>
      </c>
      <c r="AK383">
        <f t="shared" si="29"/>
        <v>2.2569400000000002</v>
      </c>
      <c r="AL383" t="e">
        <f>VLOOKUP(L383,'[1]Tuyến cáp H04'!$B:$E,3,0)/1000</f>
        <v>#N/A</v>
      </c>
      <c r="AM383" t="e">
        <f>VLOOKUP(L383,'[1]Tuyến cáp H04'!$B:$E,4,0)</f>
        <v>#N/A</v>
      </c>
    </row>
    <row r="384" spans="1:39" x14ac:dyDescent="0.25">
      <c r="A384" s="1" t="s">
        <v>3508</v>
      </c>
      <c r="B384" s="1" t="s">
        <v>3509</v>
      </c>
      <c r="C384" s="1" t="s">
        <v>3510</v>
      </c>
      <c r="D384" s="1" t="s">
        <v>3511</v>
      </c>
      <c r="E384" s="1" t="s">
        <v>3512</v>
      </c>
      <c r="F384" s="1" t="s">
        <v>3513</v>
      </c>
      <c r="G384" s="1" t="s">
        <v>14129</v>
      </c>
      <c r="H384" s="1" t="s">
        <v>14130</v>
      </c>
      <c r="I384" s="1" t="s">
        <v>14507</v>
      </c>
      <c r="J384" s="1" t="s">
        <v>23</v>
      </c>
      <c r="K384" s="1"/>
      <c r="L384" s="1" t="s">
        <v>3471</v>
      </c>
      <c r="M384" s="1" t="s">
        <v>3471</v>
      </c>
      <c r="N384" s="12" t="b">
        <f t="shared" si="25"/>
        <v>1</v>
      </c>
      <c r="O384" s="1" t="s">
        <v>3514</v>
      </c>
      <c r="P384" s="1" t="s">
        <v>3515</v>
      </c>
      <c r="Q384" s="1" t="s">
        <v>3516</v>
      </c>
      <c r="R384" s="1" t="s">
        <v>3517</v>
      </c>
      <c r="S384" s="1" t="s">
        <v>3518</v>
      </c>
      <c r="T384" s="1" t="s">
        <v>3519</v>
      </c>
      <c r="U384" s="1" t="s">
        <v>3520</v>
      </c>
      <c r="V384" s="13">
        <f>COUNTIF(L384:$M$1659,L384)</f>
        <v>14</v>
      </c>
      <c r="W384" s="1" t="s">
        <v>3521</v>
      </c>
      <c r="X384">
        <v>722.98</v>
      </c>
      <c r="Y384">
        <v>260.5</v>
      </c>
      <c r="Z384">
        <v>12.511248999999999</v>
      </c>
      <c r="AA384">
        <v>107.74746399999999</v>
      </c>
      <c r="AB384">
        <v>462.48</v>
      </c>
      <c r="AC384">
        <v>12.543331</v>
      </c>
      <c r="AD384">
        <v>107.786057</v>
      </c>
      <c r="AE384" s="5">
        <f t="shared" si="26"/>
        <v>0.39074999999999999</v>
      </c>
      <c r="AF384" s="5">
        <f t="shared" si="27"/>
        <v>0.69372</v>
      </c>
      <c r="AG384" s="1" t="str">
        <f>TRIM(LEFT(L384,FIND("-",L384)-1))</f>
        <v xml:space="preserve">Công an xã Đức Lập (Trụ sở 2 CAH Đắk Mil cũ)
</v>
      </c>
      <c r="AH384" s="1" t="str">
        <f>TRIM(RIGHT(L384, LEN(L384) - FIND("-", L384)))</f>
        <v>Công an xã Cư Jút (Trụ sở CAH Cư Jút cũ)</v>
      </c>
      <c r="AJ384">
        <f t="shared" si="28"/>
        <v>0.26050000000000001</v>
      </c>
      <c r="AK384">
        <f t="shared" si="29"/>
        <v>0.46248</v>
      </c>
      <c r="AL384" t="e">
        <f>VLOOKUP(L384,'[1]Tuyến cáp H04'!$B:$E,3,0)/1000</f>
        <v>#N/A</v>
      </c>
      <c r="AM384" t="e">
        <f>VLOOKUP(L384,'[1]Tuyến cáp H04'!$B:$E,4,0)</f>
        <v>#N/A</v>
      </c>
    </row>
    <row r="385" spans="1:39" x14ac:dyDescent="0.25">
      <c r="A385" s="1" t="s">
        <v>3522</v>
      </c>
      <c r="B385" s="1" t="s">
        <v>3523</v>
      </c>
      <c r="C385" s="1" t="s">
        <v>3524</v>
      </c>
      <c r="D385" s="1" t="s">
        <v>3525</v>
      </c>
      <c r="E385" s="1" t="s">
        <v>3526</v>
      </c>
      <c r="F385" s="1" t="s">
        <v>3527</v>
      </c>
      <c r="G385" s="1" t="s">
        <v>14129</v>
      </c>
      <c r="H385" s="1" t="s">
        <v>14130</v>
      </c>
      <c r="I385" s="1" t="s">
        <v>14508</v>
      </c>
      <c r="J385" s="1" t="s">
        <v>23</v>
      </c>
      <c r="K385" s="1"/>
      <c r="L385" s="1" t="s">
        <v>3528</v>
      </c>
      <c r="M385" s="1" t="s">
        <v>3528</v>
      </c>
      <c r="N385" s="12" t="b">
        <f t="shared" si="25"/>
        <v>1</v>
      </c>
      <c r="O385" s="1" t="s">
        <v>3529</v>
      </c>
      <c r="P385" s="1" t="s">
        <v>3530</v>
      </c>
      <c r="Q385" s="1" t="s">
        <v>3531</v>
      </c>
      <c r="R385" s="1" t="s">
        <v>3532</v>
      </c>
      <c r="S385" s="1" t="s">
        <v>3533</v>
      </c>
      <c r="T385" s="1" t="s">
        <v>3534</v>
      </c>
      <c r="U385" s="1" t="s">
        <v>3535</v>
      </c>
      <c r="V385" s="13">
        <f>COUNTIF(L385:$M$1659,L385)</f>
        <v>16</v>
      </c>
      <c r="W385" s="1" t="s">
        <v>3536</v>
      </c>
      <c r="X385">
        <v>577.64</v>
      </c>
      <c r="Y385">
        <v>226.46</v>
      </c>
      <c r="Z385">
        <v>11.913881999999999</v>
      </c>
      <c r="AA385">
        <v>107.791538</v>
      </c>
      <c r="AB385">
        <v>351.18</v>
      </c>
      <c r="AC385">
        <v>11.917935</v>
      </c>
      <c r="AD385">
        <v>107.790319</v>
      </c>
      <c r="AE385" s="5">
        <f t="shared" si="26"/>
        <v>0.33968999999999999</v>
      </c>
      <c r="AF385" s="5">
        <f t="shared" si="27"/>
        <v>0.52676999999999996</v>
      </c>
      <c r="AG385" s="1" t="str">
        <f>TRIM(LEFT(L385,FIND("-",L385)-1))</f>
        <v>Công an tỉnh Lâm Đồng</v>
      </c>
      <c r="AH385" s="1" t="str">
        <f>TRIM(RIGHT(L385, LEN(L385) - FIND("-", L385)))</f>
        <v>TT2 - Công an xã Quảng Khê</v>
      </c>
      <c r="AJ385">
        <f t="shared" si="28"/>
        <v>0.22645999999999999</v>
      </c>
      <c r="AK385">
        <f t="shared" si="29"/>
        <v>0.35117999999999999</v>
      </c>
      <c r="AL385" t="e">
        <f>VLOOKUP(L385,'[1]Tuyến cáp H04'!$B:$E,3,0)/1000</f>
        <v>#N/A</v>
      </c>
      <c r="AM385" t="e">
        <f>VLOOKUP(L385,'[1]Tuyến cáp H04'!$B:$E,4,0)</f>
        <v>#N/A</v>
      </c>
    </row>
    <row r="386" spans="1:39" x14ac:dyDescent="0.25">
      <c r="A386" s="1" t="s">
        <v>3537</v>
      </c>
      <c r="B386" s="1" t="s">
        <v>3538</v>
      </c>
      <c r="C386" s="1" t="s">
        <v>3539</v>
      </c>
      <c r="D386" s="1" t="s">
        <v>3466</v>
      </c>
      <c r="E386" s="1" t="s">
        <v>3467</v>
      </c>
      <c r="F386" s="1" t="s">
        <v>3540</v>
      </c>
      <c r="G386" s="1" t="s">
        <v>14129</v>
      </c>
      <c r="H386" s="1" t="s">
        <v>14130</v>
      </c>
      <c r="I386" s="1" t="s">
        <v>14509</v>
      </c>
      <c r="J386" s="1" t="s">
        <v>23</v>
      </c>
      <c r="K386" s="1"/>
      <c r="L386" s="1" t="s">
        <v>3541</v>
      </c>
      <c r="M386" s="1" t="s">
        <v>3541</v>
      </c>
      <c r="N386" s="12" t="b">
        <f t="shared" si="25"/>
        <v>1</v>
      </c>
      <c r="O386" s="1" t="s">
        <v>3542</v>
      </c>
      <c r="P386" s="1" t="s">
        <v>3543</v>
      </c>
      <c r="Q386" s="1" t="s">
        <v>3544</v>
      </c>
      <c r="R386" s="1" t="s">
        <v>3545</v>
      </c>
      <c r="S386" s="1" t="s">
        <v>3546</v>
      </c>
      <c r="T386" s="1" t="s">
        <v>3547</v>
      </c>
      <c r="U386" s="1" t="s">
        <v>3548</v>
      </c>
      <c r="V386" s="13">
        <f>COUNTIF(L386:$M$1659,L386)</f>
        <v>20</v>
      </c>
      <c r="W386" s="1" t="s">
        <v>3549</v>
      </c>
      <c r="X386">
        <v>24690.13</v>
      </c>
      <c r="Y386">
        <v>24684.21</v>
      </c>
      <c r="Z386">
        <v>12.415565000000001</v>
      </c>
      <c r="AA386">
        <v>107.58331099999999</v>
      </c>
      <c r="AB386">
        <v>5.91</v>
      </c>
      <c r="AC386">
        <v>12.447349000000001</v>
      </c>
      <c r="AD386">
        <v>107.62173</v>
      </c>
      <c r="AE386" s="5">
        <f t="shared" si="26"/>
        <v>37.026315000000004</v>
      </c>
      <c r="AF386" s="5">
        <f t="shared" si="27"/>
        <v>8.8649999999999996E-3</v>
      </c>
      <c r="AG386" s="1" t="str">
        <f>TRIM(LEFT(L386,FIND("-",L386)-1))</f>
        <v>Công an tỉnh Lâm Đồng</v>
      </c>
      <c r="AH386" s="1" t="str">
        <f>TRIM(RIGHT(L386, LEN(L386) - FIND("-", L386)))</f>
        <v>TT2
- Công an xã Đức Lập (Trụ sở 2 CAH Đắk Mil cũ)</v>
      </c>
      <c r="AJ386">
        <f t="shared" si="28"/>
        <v>24.68421</v>
      </c>
      <c r="AK386">
        <f t="shared" si="29"/>
        <v>5.9100000000000003E-3</v>
      </c>
      <c r="AL386" t="e">
        <f>VLOOKUP(L386,'[1]Tuyến cáp H04'!$B:$E,3,0)/1000</f>
        <v>#N/A</v>
      </c>
      <c r="AM386" t="e">
        <f>VLOOKUP(L386,'[1]Tuyến cáp H04'!$B:$E,4,0)</f>
        <v>#N/A</v>
      </c>
    </row>
    <row r="387" spans="1:39" x14ac:dyDescent="0.25">
      <c r="A387" s="1" t="s">
        <v>3550</v>
      </c>
      <c r="B387" s="1" t="s">
        <v>3466</v>
      </c>
      <c r="C387" s="1" t="s">
        <v>3467</v>
      </c>
      <c r="D387" s="1" t="s">
        <v>3551</v>
      </c>
      <c r="E387" s="1" t="s">
        <v>3552</v>
      </c>
      <c r="F387" s="1" t="s">
        <v>3553</v>
      </c>
      <c r="G387" s="1" t="s">
        <v>14129</v>
      </c>
      <c r="H387" s="1" t="s">
        <v>14130</v>
      </c>
      <c r="I387" s="1" t="s">
        <v>14510</v>
      </c>
      <c r="J387" s="1" t="s">
        <v>23</v>
      </c>
      <c r="K387" s="1"/>
      <c r="L387" s="1" t="s">
        <v>3541</v>
      </c>
      <c r="M387" s="1" t="s">
        <v>3541</v>
      </c>
      <c r="N387" s="12" t="b">
        <f t="shared" ref="N387:N450" si="30">L387=M387</f>
        <v>1</v>
      </c>
      <c r="O387" s="1" t="s">
        <v>3554</v>
      </c>
      <c r="P387" s="1" t="s">
        <v>3555</v>
      </c>
      <c r="Q387" s="1" t="s">
        <v>3556</v>
      </c>
      <c r="R387" s="1" t="s">
        <v>3557</v>
      </c>
      <c r="S387" s="1" t="s">
        <v>3558</v>
      </c>
      <c r="T387" s="1" t="s">
        <v>3559</v>
      </c>
      <c r="U387" s="1" t="s">
        <v>3560</v>
      </c>
      <c r="V387" s="13">
        <f>COUNTIF(L387:$M$1659,L387)</f>
        <v>18</v>
      </c>
      <c r="W387" s="1" t="s">
        <v>3549</v>
      </c>
      <c r="X387">
        <v>15005.25</v>
      </c>
      <c r="Y387">
        <v>11711.93</v>
      </c>
      <c r="Z387">
        <v>12.355719000000001</v>
      </c>
      <c r="AA387">
        <v>107.568584</v>
      </c>
      <c r="AB387">
        <v>3293.32</v>
      </c>
      <c r="AC387">
        <v>12.232108999999999</v>
      </c>
      <c r="AD387">
        <v>107.63054099999999</v>
      </c>
      <c r="AE387" s="5">
        <f t="shared" ref="AE387:AE450" si="31">Y387*1.5/1000</f>
        <v>17.567895</v>
      </c>
      <c r="AF387" s="5">
        <f t="shared" ref="AF387:AF450" si="32">AB387*1.5/1000</f>
        <v>4.9399800000000003</v>
      </c>
      <c r="AG387" s="1" t="str">
        <f>TRIM(LEFT(L387,FIND("-",L387)-1))</f>
        <v>Công an tỉnh Lâm Đồng</v>
      </c>
      <c r="AH387" s="1" t="str">
        <f>TRIM(RIGHT(L387, LEN(L387) - FIND("-", L387)))</f>
        <v>TT2
- Công an xã Đức Lập (Trụ sở 2 CAH Đắk Mil cũ)</v>
      </c>
      <c r="AJ387">
        <f t="shared" ref="AJ387:AJ450" si="33">Y387/1000</f>
        <v>11.711930000000001</v>
      </c>
      <c r="AK387">
        <f t="shared" ref="AK387:AK450" si="34">AB387/1000</f>
        <v>3.29332</v>
      </c>
      <c r="AL387" t="e">
        <f>VLOOKUP(L387,'[1]Tuyến cáp H04'!$B:$E,3,0)/1000</f>
        <v>#N/A</v>
      </c>
      <c r="AM387" t="e">
        <f>VLOOKUP(L387,'[1]Tuyến cáp H04'!$B:$E,4,0)</f>
        <v>#N/A</v>
      </c>
    </row>
    <row r="388" spans="1:39" x14ac:dyDescent="0.25">
      <c r="A388" s="1" t="s">
        <v>3561</v>
      </c>
      <c r="B388" s="1" t="s">
        <v>3562</v>
      </c>
      <c r="C388" s="1" t="s">
        <v>3563</v>
      </c>
      <c r="D388" s="1" t="s">
        <v>3538</v>
      </c>
      <c r="E388" s="1" t="s">
        <v>3539</v>
      </c>
      <c r="F388" s="1" t="s">
        <v>3564</v>
      </c>
      <c r="G388" s="1" t="s">
        <v>14129</v>
      </c>
      <c r="H388" s="1" t="s">
        <v>14130</v>
      </c>
      <c r="I388" s="1" t="s">
        <v>14511</v>
      </c>
      <c r="J388" s="1" t="s">
        <v>23</v>
      </c>
      <c r="K388" s="1"/>
      <c r="L388" s="1" t="s">
        <v>3565</v>
      </c>
      <c r="M388" s="1" t="s">
        <v>3565</v>
      </c>
      <c r="N388" s="12" t="b">
        <f t="shared" si="30"/>
        <v>1</v>
      </c>
      <c r="O388" s="1" t="s">
        <v>3566</v>
      </c>
      <c r="P388" s="1" t="s">
        <v>3567</v>
      </c>
      <c r="Q388" s="1" t="s">
        <v>3568</v>
      </c>
      <c r="R388" s="1" t="s">
        <v>3569</v>
      </c>
      <c r="S388" s="1" t="s">
        <v>3570</v>
      </c>
      <c r="T388" s="1" t="s">
        <v>3571</v>
      </c>
      <c r="U388" s="1" t="s">
        <v>3572</v>
      </c>
      <c r="V388" s="13">
        <f>COUNTIF(L388:$M$1659,L388)</f>
        <v>12</v>
      </c>
      <c r="W388" s="1" t="s">
        <v>3573</v>
      </c>
      <c r="X388">
        <v>2597.29</v>
      </c>
      <c r="Y388">
        <v>2574.2199999999998</v>
      </c>
      <c r="Z388">
        <v>12.018853</v>
      </c>
      <c r="AA388">
        <v>107.492485</v>
      </c>
      <c r="AB388">
        <v>23.06</v>
      </c>
      <c r="AC388">
        <v>12.218915000000001</v>
      </c>
      <c r="AD388">
        <v>107.47745500000001</v>
      </c>
      <c r="AE388" s="5">
        <f t="shared" si="31"/>
        <v>3.8613299999999997</v>
      </c>
      <c r="AF388" s="5">
        <f t="shared" si="32"/>
        <v>3.4589999999999996E-2</v>
      </c>
      <c r="AG388" s="1" t="str">
        <f>TRIM(LEFT(L388,FIND("-",L388)-1))</f>
        <v>Công an xã Tuy Đức (Trụ sở CAH Tuy Đức cũ)</v>
      </c>
      <c r="AH388" s="1" t="str">
        <f>TRIM(RIGHT(L388, LEN(L388) - FIND("-", L388)))</f>
        <v>Công an xã Kiến Đức (Trụ sở CAH Đắk R'Lấp cũ)</v>
      </c>
      <c r="AJ388">
        <f t="shared" si="33"/>
        <v>2.57422</v>
      </c>
      <c r="AK388">
        <f t="shared" si="34"/>
        <v>2.3059999999999997E-2</v>
      </c>
      <c r="AL388" t="e">
        <f>VLOOKUP(L388,'[1]Tuyến cáp H04'!$B:$E,3,0)/1000</f>
        <v>#N/A</v>
      </c>
      <c r="AM388" t="e">
        <f>VLOOKUP(L388,'[1]Tuyến cáp H04'!$B:$E,4,0)</f>
        <v>#N/A</v>
      </c>
    </row>
    <row r="389" spans="1:39" x14ac:dyDescent="0.25">
      <c r="A389" s="1" t="s">
        <v>3574</v>
      </c>
      <c r="B389" s="1" t="s">
        <v>3538</v>
      </c>
      <c r="C389" s="1" t="s">
        <v>3539</v>
      </c>
      <c r="D389" s="1" t="s">
        <v>3551</v>
      </c>
      <c r="E389" s="1" t="s">
        <v>3552</v>
      </c>
      <c r="F389" s="1" t="s">
        <v>3575</v>
      </c>
      <c r="G389" s="1" t="s">
        <v>14129</v>
      </c>
      <c r="H389" s="1" t="s">
        <v>14130</v>
      </c>
      <c r="I389" s="1" t="s">
        <v>14512</v>
      </c>
      <c r="J389" s="1" t="s">
        <v>23</v>
      </c>
      <c r="K389" s="1"/>
      <c r="L389" s="1" t="s">
        <v>3576</v>
      </c>
      <c r="M389" s="1" t="s">
        <v>3576</v>
      </c>
      <c r="N389" s="12" t="b">
        <f t="shared" si="30"/>
        <v>1</v>
      </c>
      <c r="O389" s="1" t="s">
        <v>3577</v>
      </c>
      <c r="P389" s="1" t="s">
        <v>3578</v>
      </c>
      <c r="Q389" s="1" t="s">
        <v>3579</v>
      </c>
      <c r="R389" s="1" t="s">
        <v>3580</v>
      </c>
      <c r="S389" s="1" t="s">
        <v>3581</v>
      </c>
      <c r="T389" s="1" t="s">
        <v>3582</v>
      </c>
      <c r="U389" s="1" t="s">
        <v>3583</v>
      </c>
      <c r="V389" s="13">
        <f>COUNTIF(L389:$M$1659,L389)</f>
        <v>4</v>
      </c>
      <c r="W389" s="1" t="s">
        <v>3584</v>
      </c>
      <c r="X389">
        <v>8914</v>
      </c>
      <c r="Y389">
        <v>4762.24</v>
      </c>
      <c r="Z389">
        <v>12.199433000000001</v>
      </c>
      <c r="AA389">
        <v>107.51656</v>
      </c>
      <c r="AB389">
        <v>4151.75</v>
      </c>
      <c r="AC389">
        <v>12.229092</v>
      </c>
      <c r="AD389">
        <v>107.609746</v>
      </c>
      <c r="AE389" s="5">
        <f t="shared" si="31"/>
        <v>7.1433599999999995</v>
      </c>
      <c r="AF389" s="5">
        <f t="shared" si="32"/>
        <v>6.2276249999999997</v>
      </c>
      <c r="AG389" s="1" t="str">
        <f>TRIM(LEFT(L389,FIND("-",L389)-1))</f>
        <v>Công an xã Đức An (Trụ sở CAH Đắk Song cũ)</v>
      </c>
      <c r="AH389" s="1" t="str">
        <f>TRIM(RIGHT(L389, LEN(L389) - FIND("-", L389)))</f>
        <v>Công an xã Tuy Đức (Trụ sở CAH Tuy Đức cũ)</v>
      </c>
      <c r="AJ389">
        <f t="shared" si="33"/>
        <v>4.7622399999999994</v>
      </c>
      <c r="AK389">
        <f t="shared" si="34"/>
        <v>4.1517499999999998</v>
      </c>
      <c r="AL389" t="e">
        <f>VLOOKUP(L389,'[1]Tuyến cáp H04'!$B:$E,3,0)/1000</f>
        <v>#N/A</v>
      </c>
      <c r="AM389" t="e">
        <f>VLOOKUP(L389,'[1]Tuyến cáp H04'!$B:$E,4,0)</f>
        <v>#N/A</v>
      </c>
    </row>
    <row r="390" spans="1:39" x14ac:dyDescent="0.25">
      <c r="A390" s="1" t="s">
        <v>3585</v>
      </c>
      <c r="B390" s="1" t="s">
        <v>3538</v>
      </c>
      <c r="C390" s="1" t="s">
        <v>3539</v>
      </c>
      <c r="D390" s="1" t="s">
        <v>3586</v>
      </c>
      <c r="E390" s="1" t="s">
        <v>3587</v>
      </c>
      <c r="F390" s="1" t="s">
        <v>3588</v>
      </c>
      <c r="G390" s="1" t="s">
        <v>14129</v>
      </c>
      <c r="H390" s="1" t="s">
        <v>14130</v>
      </c>
      <c r="I390" s="1" t="s">
        <v>14513</v>
      </c>
      <c r="J390" s="1" t="s">
        <v>23</v>
      </c>
      <c r="K390" s="1"/>
      <c r="L390" s="1" t="s">
        <v>3589</v>
      </c>
      <c r="M390" s="1" t="s">
        <v>3589</v>
      </c>
      <c r="N390" s="12" t="b">
        <f t="shared" si="30"/>
        <v>1</v>
      </c>
      <c r="O390" s="1" t="s">
        <v>3590</v>
      </c>
      <c r="P390" s="1" t="s">
        <v>3591</v>
      </c>
      <c r="Q390" s="1" t="s">
        <v>3592</v>
      </c>
      <c r="R390" s="1" t="s">
        <v>3593</v>
      </c>
      <c r="S390" s="1" t="s">
        <v>3594</v>
      </c>
      <c r="T390" s="1" t="s">
        <v>3595</v>
      </c>
      <c r="U390" s="1" t="s">
        <v>3596</v>
      </c>
      <c r="V390" s="13">
        <f>COUNTIF(L390:$M$1659,L390)</f>
        <v>8</v>
      </c>
      <c r="W390" s="1" t="s">
        <v>3597</v>
      </c>
      <c r="X390">
        <v>9976.35</v>
      </c>
      <c r="Y390">
        <v>3942.84</v>
      </c>
      <c r="Z390">
        <v>12.250895999999999</v>
      </c>
      <c r="AA390">
        <v>107.493579</v>
      </c>
      <c r="AB390">
        <v>6033.51</v>
      </c>
      <c r="AC390">
        <v>12.2438</v>
      </c>
      <c r="AD390">
        <v>107.518868</v>
      </c>
      <c r="AE390" s="5">
        <f t="shared" si="31"/>
        <v>5.9142600000000005</v>
      </c>
      <c r="AF390" s="5">
        <f t="shared" si="32"/>
        <v>9.0502649999999996</v>
      </c>
      <c r="AG390" s="1" t="str">
        <f>TRIM(LEFT(L390,FIND("-",L390)-1))</f>
        <v>Thuận Hạnh</v>
      </c>
      <c r="AH390" s="1" t="str">
        <f>TRIM(RIGHT(L390, LEN(L390) - FIND("-", L390)))</f>
        <v>Quảng Trực</v>
      </c>
      <c r="AJ390">
        <f t="shared" si="33"/>
        <v>3.9428400000000003</v>
      </c>
      <c r="AK390">
        <f t="shared" si="34"/>
        <v>6.0335100000000006</v>
      </c>
      <c r="AL390">
        <f>VLOOKUP(L390,'[1]Tuyến cáp H04'!$B:$E,3,0)/1000</f>
        <v>23.52</v>
      </c>
      <c r="AM390" t="str">
        <f>VLOOKUP(L390,'[1]Tuyến cáp H04'!$B:$E,4,0)</f>
        <v>Mạng cấp 4</v>
      </c>
    </row>
    <row r="391" spans="1:39" x14ac:dyDescent="0.25">
      <c r="A391" s="1" t="s">
        <v>3598</v>
      </c>
      <c r="B391" s="1" t="s">
        <v>3538</v>
      </c>
      <c r="C391" s="1" t="s">
        <v>3539</v>
      </c>
      <c r="D391" s="1" t="s">
        <v>3599</v>
      </c>
      <c r="E391" s="1" t="s">
        <v>3600</v>
      </c>
      <c r="F391" s="1" t="s">
        <v>3601</v>
      </c>
      <c r="G391" s="1" t="s">
        <v>14129</v>
      </c>
      <c r="H391" s="1" t="s">
        <v>14130</v>
      </c>
      <c r="I391" s="1" t="s">
        <v>14514</v>
      </c>
      <c r="J391" s="1" t="s">
        <v>23</v>
      </c>
      <c r="K391" s="1"/>
      <c r="L391" s="1" t="s">
        <v>3541</v>
      </c>
      <c r="M391" s="1" t="s">
        <v>3541</v>
      </c>
      <c r="N391" s="12" t="b">
        <f t="shared" si="30"/>
        <v>1</v>
      </c>
      <c r="O391" s="1" t="s">
        <v>3602</v>
      </c>
      <c r="P391" s="1" t="s">
        <v>3603</v>
      </c>
      <c r="Q391" s="1" t="s">
        <v>3604</v>
      </c>
      <c r="R391" s="1" t="s">
        <v>3605</v>
      </c>
      <c r="S391" s="1" t="s">
        <v>3606</v>
      </c>
      <c r="T391" s="1" t="s">
        <v>3556</v>
      </c>
      <c r="U391" s="1" t="s">
        <v>3557</v>
      </c>
      <c r="V391" s="13">
        <f>COUNTIF(L391:$M$1659,L391)</f>
        <v>16</v>
      </c>
      <c r="W391" s="1" t="s">
        <v>3549</v>
      </c>
      <c r="X391">
        <v>21138.3</v>
      </c>
      <c r="Y391">
        <v>14760.23</v>
      </c>
      <c r="Z391">
        <v>12.276176</v>
      </c>
      <c r="AA391">
        <v>107.60022499999999</v>
      </c>
      <c r="AB391">
        <v>6378.07</v>
      </c>
      <c r="AC391">
        <v>12.355719000000001</v>
      </c>
      <c r="AD391">
        <v>107.568584</v>
      </c>
      <c r="AE391" s="5">
        <f t="shared" si="31"/>
        <v>22.140345</v>
      </c>
      <c r="AF391" s="5">
        <f t="shared" si="32"/>
        <v>9.5671049999999997</v>
      </c>
      <c r="AG391" s="1" t="str">
        <f>TRIM(LEFT(L391,FIND("-",L391)-1))</f>
        <v>Công an tỉnh Lâm Đồng</v>
      </c>
      <c r="AH391" s="1" t="str">
        <f>TRIM(RIGHT(L391, LEN(L391) - FIND("-", L391)))</f>
        <v>TT2
- Công an xã Đức Lập (Trụ sở 2 CAH Đắk Mil cũ)</v>
      </c>
      <c r="AJ391">
        <f t="shared" si="33"/>
        <v>14.76023</v>
      </c>
      <c r="AK391">
        <f t="shared" si="34"/>
        <v>6.3780700000000001</v>
      </c>
      <c r="AL391" t="e">
        <f>VLOOKUP(L391,'[1]Tuyến cáp H04'!$B:$E,3,0)/1000</f>
        <v>#N/A</v>
      </c>
      <c r="AM391" t="e">
        <f>VLOOKUP(L391,'[1]Tuyến cáp H04'!$B:$E,4,0)</f>
        <v>#N/A</v>
      </c>
    </row>
    <row r="392" spans="1:39" x14ac:dyDescent="0.25">
      <c r="A392" s="1" t="s">
        <v>3607</v>
      </c>
      <c r="B392" s="1" t="s">
        <v>3599</v>
      </c>
      <c r="C392" s="1" t="s">
        <v>3600</v>
      </c>
      <c r="D392" s="1" t="s">
        <v>3608</v>
      </c>
      <c r="E392" s="1" t="s">
        <v>3609</v>
      </c>
      <c r="F392" s="1" t="s">
        <v>3610</v>
      </c>
      <c r="G392" s="1" t="s">
        <v>14129</v>
      </c>
      <c r="H392" s="1" t="s">
        <v>14130</v>
      </c>
      <c r="I392" s="1" t="s">
        <v>14515</v>
      </c>
      <c r="J392" s="1" t="s">
        <v>23</v>
      </c>
      <c r="K392" s="1"/>
      <c r="L392" s="1" t="s">
        <v>3541</v>
      </c>
      <c r="M392" s="1" t="s">
        <v>3541</v>
      </c>
      <c r="N392" s="12" t="b">
        <f t="shared" si="30"/>
        <v>1</v>
      </c>
      <c r="O392" s="1" t="s">
        <v>3611</v>
      </c>
      <c r="P392" s="1" t="s">
        <v>3612</v>
      </c>
      <c r="Q392" s="1" t="s">
        <v>3544</v>
      </c>
      <c r="R392" s="1" t="s">
        <v>3545</v>
      </c>
      <c r="S392" s="1" t="s">
        <v>3613</v>
      </c>
      <c r="T392" s="1" t="s">
        <v>3614</v>
      </c>
      <c r="U392" s="1" t="s">
        <v>3615</v>
      </c>
      <c r="V392" s="13">
        <f>COUNTIF(L392:$M$1659,L392)</f>
        <v>14</v>
      </c>
      <c r="W392" s="1" t="s">
        <v>3549</v>
      </c>
      <c r="X392">
        <v>670.63</v>
      </c>
      <c r="Y392">
        <v>532.38</v>
      </c>
      <c r="Z392">
        <v>12.415565000000001</v>
      </c>
      <c r="AA392">
        <v>107.58331099999999</v>
      </c>
      <c r="AB392">
        <v>138.26</v>
      </c>
      <c r="AC392">
        <v>12.447319999999999</v>
      </c>
      <c r="AD392">
        <v>107.609408</v>
      </c>
      <c r="AE392" s="5">
        <f t="shared" si="31"/>
        <v>0.79856999999999989</v>
      </c>
      <c r="AF392" s="5">
        <f t="shared" si="32"/>
        <v>0.20738999999999999</v>
      </c>
      <c r="AG392" s="1" t="str">
        <f>TRIM(LEFT(L392,FIND("-",L392)-1))</f>
        <v>Công an tỉnh Lâm Đồng</v>
      </c>
      <c r="AH392" s="1" t="str">
        <f>TRIM(RIGHT(L392, LEN(L392) - FIND("-", L392)))</f>
        <v>TT2
- Công an xã Đức Lập (Trụ sở 2 CAH Đắk Mil cũ)</v>
      </c>
      <c r="AJ392">
        <f t="shared" si="33"/>
        <v>0.53237999999999996</v>
      </c>
      <c r="AK392">
        <f t="shared" si="34"/>
        <v>0.13825999999999999</v>
      </c>
      <c r="AL392" t="e">
        <f>VLOOKUP(L392,'[1]Tuyến cáp H04'!$B:$E,3,0)/1000</f>
        <v>#N/A</v>
      </c>
      <c r="AM392" t="e">
        <f>VLOOKUP(L392,'[1]Tuyến cáp H04'!$B:$E,4,0)</f>
        <v>#N/A</v>
      </c>
    </row>
    <row r="393" spans="1:39" x14ac:dyDescent="0.25">
      <c r="A393" s="1" t="s">
        <v>3616</v>
      </c>
      <c r="B393" s="1" t="s">
        <v>3617</v>
      </c>
      <c r="C393" s="1" t="s">
        <v>3618</v>
      </c>
      <c r="D393" s="1" t="s">
        <v>3466</v>
      </c>
      <c r="E393" s="1" t="s">
        <v>3467</v>
      </c>
      <c r="F393" s="1" t="s">
        <v>3619</v>
      </c>
      <c r="G393" s="1" t="s">
        <v>14129</v>
      </c>
      <c r="H393" s="1" t="s">
        <v>14130</v>
      </c>
      <c r="I393" s="1" t="s">
        <v>14516</v>
      </c>
      <c r="J393" s="1" t="s">
        <v>23</v>
      </c>
      <c r="K393" s="1"/>
      <c r="L393" s="1" t="s">
        <v>3620</v>
      </c>
      <c r="M393" s="1" t="s">
        <v>3620</v>
      </c>
      <c r="N393" s="12" t="b">
        <f t="shared" si="30"/>
        <v>1</v>
      </c>
      <c r="O393" s="1" t="s">
        <v>3621</v>
      </c>
      <c r="P393" s="1" t="s">
        <v>3622</v>
      </c>
      <c r="Q393" s="1" t="s">
        <v>3623</v>
      </c>
      <c r="R393" s="1" t="s">
        <v>3624</v>
      </c>
      <c r="S393" s="1" t="s">
        <v>3625</v>
      </c>
      <c r="T393" s="1" t="s">
        <v>3626</v>
      </c>
      <c r="U393" s="1" t="s">
        <v>3627</v>
      </c>
      <c r="V393" s="13">
        <f>COUNTIF(L393:$M$1659,L393)</f>
        <v>4</v>
      </c>
      <c r="W393" s="1" t="s">
        <v>3628</v>
      </c>
      <c r="X393">
        <v>5.95</v>
      </c>
      <c r="Y393">
        <v>2.99</v>
      </c>
      <c r="Z393">
        <v>12.459466000000001</v>
      </c>
      <c r="AA393">
        <v>107.61325100000001</v>
      </c>
      <c r="AB393">
        <v>2.96</v>
      </c>
      <c r="AC393">
        <v>12.447414999999999</v>
      </c>
      <c r="AD393">
        <v>107.621692</v>
      </c>
      <c r="AE393" s="5">
        <f t="shared" si="31"/>
        <v>4.4850000000000003E-3</v>
      </c>
      <c r="AF393" s="5">
        <f t="shared" si="32"/>
        <v>4.4399999999999995E-3</v>
      </c>
      <c r="AG393" s="1" t="str">
        <f>TRIM(LEFT(L393,FIND("-",L393)-1))</f>
        <v>Phòng PC07</v>
      </c>
      <c r="AH393" s="1" t="str">
        <f>TRIM(RIGHT(L393, LEN(L393) - FIND("-", L393)))</f>
        <v>Đội CC&amp;CNCH khu vực 14 - Công an xã Đức Lập (Trụ sở 2 CAH Đắk Mil cũ)</v>
      </c>
      <c r="AJ393">
        <f t="shared" si="33"/>
        <v>2.99E-3</v>
      </c>
      <c r="AK393">
        <f t="shared" si="34"/>
        <v>2.96E-3</v>
      </c>
      <c r="AL393" t="e">
        <f>VLOOKUP(L393,'[1]Tuyến cáp H04'!$B:$E,3,0)/1000</f>
        <v>#N/A</v>
      </c>
      <c r="AM393" t="e">
        <f>VLOOKUP(L393,'[1]Tuyến cáp H04'!$B:$E,4,0)</f>
        <v>#N/A</v>
      </c>
    </row>
    <row r="394" spans="1:39" x14ac:dyDescent="0.25">
      <c r="A394" s="1" t="s">
        <v>3629</v>
      </c>
      <c r="B394" s="1" t="s">
        <v>3466</v>
      </c>
      <c r="C394" s="1" t="s">
        <v>3467</v>
      </c>
      <c r="D394" s="1" t="s">
        <v>3630</v>
      </c>
      <c r="E394" s="1" t="s">
        <v>3631</v>
      </c>
      <c r="F394" s="1" t="s">
        <v>3632</v>
      </c>
      <c r="G394" s="1" t="s">
        <v>14129</v>
      </c>
      <c r="H394" s="1" t="s">
        <v>14130</v>
      </c>
      <c r="I394" s="1" t="s">
        <v>14517</v>
      </c>
      <c r="J394" s="1" t="s">
        <v>23</v>
      </c>
      <c r="K394" s="1"/>
      <c r="L394" s="1" t="s">
        <v>3471</v>
      </c>
      <c r="M394" s="1" t="s">
        <v>3471</v>
      </c>
      <c r="N394" s="12" t="b">
        <f t="shared" si="30"/>
        <v>1</v>
      </c>
      <c r="O394" s="1" t="s">
        <v>3633</v>
      </c>
      <c r="P394" s="1" t="s">
        <v>3634</v>
      </c>
      <c r="Q394" s="1" t="s">
        <v>3635</v>
      </c>
      <c r="R394" s="1" t="s">
        <v>3636</v>
      </c>
      <c r="S394" s="1" t="s">
        <v>3637</v>
      </c>
      <c r="T394" s="1" t="s">
        <v>3638</v>
      </c>
      <c r="U394" s="1" t="s">
        <v>3639</v>
      </c>
      <c r="V394" s="13">
        <f>COUNTIF(L394:$M$1659,L394)</f>
        <v>12</v>
      </c>
      <c r="W394" s="1" t="s">
        <v>3521</v>
      </c>
      <c r="X394">
        <v>290.98</v>
      </c>
      <c r="Y394">
        <v>174.6</v>
      </c>
      <c r="Z394">
        <v>12.448781</v>
      </c>
      <c r="AA394">
        <v>107.62094999999999</v>
      </c>
      <c r="AB394">
        <v>116.38</v>
      </c>
      <c r="AC394">
        <v>12.455816</v>
      </c>
      <c r="AD394">
        <v>107.636764</v>
      </c>
      <c r="AE394" s="5">
        <f t="shared" si="31"/>
        <v>0.26189999999999997</v>
      </c>
      <c r="AF394" s="5">
        <f t="shared" si="32"/>
        <v>0.17457</v>
      </c>
      <c r="AG394" s="1" t="str">
        <f>TRIM(LEFT(L394,FIND("-",L394)-1))</f>
        <v xml:space="preserve">Công an xã Đức Lập (Trụ sở 2 CAH Đắk Mil cũ)
</v>
      </c>
      <c r="AH394" s="1" t="str">
        <f>TRIM(RIGHT(L394, LEN(L394) - FIND("-", L394)))</f>
        <v>Công an xã Cư Jút (Trụ sở CAH Cư Jút cũ)</v>
      </c>
      <c r="AJ394">
        <f t="shared" si="33"/>
        <v>0.17460000000000001</v>
      </c>
      <c r="AK394">
        <f t="shared" si="34"/>
        <v>0.11638</v>
      </c>
      <c r="AL394" t="e">
        <f>VLOOKUP(L394,'[1]Tuyến cáp H04'!$B:$E,3,0)/1000</f>
        <v>#N/A</v>
      </c>
      <c r="AM394" t="e">
        <f>VLOOKUP(L394,'[1]Tuyến cáp H04'!$B:$E,4,0)</f>
        <v>#N/A</v>
      </c>
    </row>
    <row r="395" spans="1:39" x14ac:dyDescent="0.25">
      <c r="A395" s="1" t="s">
        <v>3640</v>
      </c>
      <c r="B395" s="1" t="s">
        <v>3509</v>
      </c>
      <c r="C395" s="1" t="s">
        <v>3510</v>
      </c>
      <c r="D395" s="1" t="s">
        <v>3641</v>
      </c>
      <c r="E395" s="1" t="s">
        <v>3642</v>
      </c>
      <c r="F395" s="1" t="s">
        <v>3643</v>
      </c>
      <c r="G395" s="1" t="s">
        <v>14129</v>
      </c>
      <c r="H395" s="1" t="s">
        <v>14130</v>
      </c>
      <c r="I395" s="1" t="s">
        <v>14518</v>
      </c>
      <c r="J395" s="1" t="s">
        <v>23</v>
      </c>
      <c r="K395" s="1"/>
      <c r="L395" s="1" t="s">
        <v>3644</v>
      </c>
      <c r="M395" s="1" t="s">
        <v>3644</v>
      </c>
      <c r="N395" s="12" t="b">
        <f t="shared" si="30"/>
        <v>1</v>
      </c>
      <c r="O395" s="1" t="s">
        <v>3645</v>
      </c>
      <c r="P395" s="1" t="s">
        <v>3646</v>
      </c>
      <c r="Q395" s="1" t="s">
        <v>3647</v>
      </c>
      <c r="R395" s="1" t="s">
        <v>3648</v>
      </c>
      <c r="S395" s="1" t="s">
        <v>3649</v>
      </c>
      <c r="T395" s="1" t="s">
        <v>3650</v>
      </c>
      <c r="U395" s="1" t="s">
        <v>3651</v>
      </c>
      <c r="V395" s="13">
        <f>COUNTIF(L395:$M$1659,L395)</f>
        <v>2</v>
      </c>
      <c r="W395" s="1" t="s">
        <v>3652</v>
      </c>
      <c r="X395">
        <v>3548.16</v>
      </c>
      <c r="Y395">
        <v>3423.15</v>
      </c>
      <c r="Z395">
        <v>12.482524</v>
      </c>
      <c r="AA395">
        <v>107.764273</v>
      </c>
      <c r="AB395">
        <v>125.01</v>
      </c>
      <c r="AC395">
        <v>12.461428</v>
      </c>
      <c r="AD395">
        <v>107.74693600000001</v>
      </c>
      <c r="AE395" s="5">
        <f t="shared" si="31"/>
        <v>5.1347250000000004</v>
      </c>
      <c r="AF395" s="5">
        <f t="shared" si="32"/>
        <v>0.18751500000000002</v>
      </c>
      <c r="AG395" s="1" t="str">
        <f>TRIM(LEFT(L395,FIND("-",L395)-1))</f>
        <v>TTCMKV Krông Nô</v>
      </c>
      <c r="AH395" s="1" t="str">
        <f>TRIM(RIGHT(L395, LEN(L395) - FIND("-", L395)))</f>
        <v>Đắk Sắk</v>
      </c>
      <c r="AJ395">
        <f t="shared" si="33"/>
        <v>3.4231500000000001</v>
      </c>
      <c r="AK395">
        <f t="shared" si="34"/>
        <v>0.12501000000000001</v>
      </c>
      <c r="AL395">
        <f>VLOOKUP(L395,'[1]Tuyến cáp H04'!$B:$E,3,0)/1000</f>
        <v>30.18</v>
      </c>
      <c r="AM395" t="str">
        <f>VLOOKUP(L395,'[1]Tuyến cáp H04'!$B:$E,4,0)</f>
        <v>Mạng cấp 4</v>
      </c>
    </row>
    <row r="396" spans="1:39" x14ac:dyDescent="0.25">
      <c r="A396" s="1" t="s">
        <v>3653</v>
      </c>
      <c r="B396" s="1" t="s">
        <v>3466</v>
      </c>
      <c r="C396" s="1" t="s">
        <v>3467</v>
      </c>
      <c r="D396" s="1" t="s">
        <v>3654</v>
      </c>
      <c r="E396" s="1" t="s">
        <v>3655</v>
      </c>
      <c r="F396" s="1" t="s">
        <v>3656</v>
      </c>
      <c r="G396" s="1" t="s">
        <v>14129</v>
      </c>
      <c r="H396" s="1" t="s">
        <v>14130</v>
      </c>
      <c r="I396" s="1" t="s">
        <v>14519</v>
      </c>
      <c r="J396" s="1" t="s">
        <v>23</v>
      </c>
      <c r="K396" s="1"/>
      <c r="L396" s="1" t="s">
        <v>3471</v>
      </c>
      <c r="M396" s="1" t="s">
        <v>3471</v>
      </c>
      <c r="N396" s="12" t="b">
        <f t="shared" si="30"/>
        <v>1</v>
      </c>
      <c r="O396" s="1" t="s">
        <v>3657</v>
      </c>
      <c r="P396" s="1" t="s">
        <v>3634</v>
      </c>
      <c r="Q396" s="1" t="s">
        <v>3635</v>
      </c>
      <c r="R396" s="1" t="s">
        <v>3636</v>
      </c>
      <c r="S396" s="1" t="s">
        <v>3658</v>
      </c>
      <c r="T396" s="1" t="s">
        <v>3659</v>
      </c>
      <c r="U396" s="1" t="s">
        <v>3660</v>
      </c>
      <c r="V396" s="13">
        <f>COUNTIF(L396:$M$1659,L396)</f>
        <v>10</v>
      </c>
      <c r="W396" s="1" t="s">
        <v>3521</v>
      </c>
      <c r="X396">
        <v>408.8</v>
      </c>
      <c r="Y396">
        <v>174.6</v>
      </c>
      <c r="Z396">
        <v>12.448781</v>
      </c>
      <c r="AA396">
        <v>107.62094999999999</v>
      </c>
      <c r="AB396">
        <v>234.19</v>
      </c>
      <c r="AC396">
        <v>12.456039000000001</v>
      </c>
      <c r="AD396">
        <v>107.655632</v>
      </c>
      <c r="AE396" s="5">
        <f t="shared" si="31"/>
        <v>0.26189999999999997</v>
      </c>
      <c r="AF396" s="5">
        <f t="shared" si="32"/>
        <v>0.35128499999999996</v>
      </c>
      <c r="AG396" s="1" t="str">
        <f>TRIM(LEFT(L396,FIND("-",L396)-1))</f>
        <v xml:space="preserve">Công an xã Đức Lập (Trụ sở 2 CAH Đắk Mil cũ)
</v>
      </c>
      <c r="AH396" s="1" t="str">
        <f>TRIM(RIGHT(L396, LEN(L396) - FIND("-", L396)))</f>
        <v>Công an xã Cư Jút (Trụ sở CAH Cư Jút cũ)</v>
      </c>
      <c r="AJ396">
        <f t="shared" si="33"/>
        <v>0.17460000000000001</v>
      </c>
      <c r="AK396">
        <f t="shared" si="34"/>
        <v>0.23419000000000001</v>
      </c>
      <c r="AL396" t="e">
        <f>VLOOKUP(L396,'[1]Tuyến cáp H04'!$B:$E,3,0)/1000</f>
        <v>#N/A</v>
      </c>
      <c r="AM396" t="e">
        <f>VLOOKUP(L396,'[1]Tuyến cáp H04'!$B:$E,4,0)</f>
        <v>#N/A</v>
      </c>
    </row>
    <row r="397" spans="1:39" x14ac:dyDescent="0.25">
      <c r="A397" s="1" t="s">
        <v>3661</v>
      </c>
      <c r="B397" s="1" t="s">
        <v>3538</v>
      </c>
      <c r="C397" s="1" t="s">
        <v>3539</v>
      </c>
      <c r="D397" s="1" t="s">
        <v>3662</v>
      </c>
      <c r="E397" s="1" t="s">
        <v>3663</v>
      </c>
      <c r="F397" s="1" t="s">
        <v>3664</v>
      </c>
      <c r="G397" s="1" t="s">
        <v>14129</v>
      </c>
      <c r="H397" s="1" t="s">
        <v>14130</v>
      </c>
      <c r="I397" s="1" t="s">
        <v>14520</v>
      </c>
      <c r="J397" s="1" t="s">
        <v>23</v>
      </c>
      <c r="K397" s="1"/>
      <c r="L397" s="1" t="s">
        <v>3541</v>
      </c>
      <c r="M397" s="1" t="s">
        <v>3541</v>
      </c>
      <c r="N397" s="12" t="b">
        <f t="shared" si="30"/>
        <v>1</v>
      </c>
      <c r="O397" s="1" t="s">
        <v>3665</v>
      </c>
      <c r="P397" s="1" t="s">
        <v>3603</v>
      </c>
      <c r="Q397" s="1" t="s">
        <v>3604</v>
      </c>
      <c r="R397" s="1" t="s">
        <v>3605</v>
      </c>
      <c r="S397" s="1" t="s">
        <v>3666</v>
      </c>
      <c r="T397" s="1" t="s">
        <v>3556</v>
      </c>
      <c r="U397" s="1" t="s">
        <v>3557</v>
      </c>
      <c r="V397" s="13">
        <f>COUNTIF(L397:$M$1659,L397)</f>
        <v>12</v>
      </c>
      <c r="W397" s="1" t="s">
        <v>3549</v>
      </c>
      <c r="X397">
        <v>14831.56</v>
      </c>
      <c r="Y397">
        <v>14760.23</v>
      </c>
      <c r="Z397">
        <v>12.276176</v>
      </c>
      <c r="AA397">
        <v>107.60022499999999</v>
      </c>
      <c r="AB397">
        <v>71.33</v>
      </c>
      <c r="AC397">
        <v>12.355719000000001</v>
      </c>
      <c r="AD397">
        <v>107.568584</v>
      </c>
      <c r="AE397" s="5">
        <f t="shared" si="31"/>
        <v>22.140345</v>
      </c>
      <c r="AF397" s="5">
        <f t="shared" si="32"/>
        <v>0.10699500000000001</v>
      </c>
      <c r="AG397" s="1" t="str">
        <f>TRIM(LEFT(L397,FIND("-",L397)-1))</f>
        <v>Công an tỉnh Lâm Đồng</v>
      </c>
      <c r="AH397" s="1" t="str">
        <f>TRIM(RIGHT(L397, LEN(L397) - FIND("-", L397)))</f>
        <v>TT2
- Công an xã Đức Lập (Trụ sở 2 CAH Đắk Mil cũ)</v>
      </c>
      <c r="AJ397">
        <f t="shared" si="33"/>
        <v>14.76023</v>
      </c>
      <c r="AK397">
        <f t="shared" si="34"/>
        <v>7.1330000000000005E-2</v>
      </c>
      <c r="AL397" t="e">
        <f>VLOOKUP(L397,'[1]Tuyến cáp H04'!$B:$E,3,0)/1000</f>
        <v>#N/A</v>
      </c>
      <c r="AM397" t="e">
        <f>VLOOKUP(L397,'[1]Tuyến cáp H04'!$B:$E,4,0)</f>
        <v>#N/A</v>
      </c>
    </row>
    <row r="398" spans="1:39" x14ac:dyDescent="0.25">
      <c r="A398" s="1" t="s">
        <v>3667</v>
      </c>
      <c r="B398" s="1" t="s">
        <v>3466</v>
      </c>
      <c r="C398" s="1" t="s">
        <v>3467</v>
      </c>
      <c r="D398" s="1" t="s">
        <v>3668</v>
      </c>
      <c r="E398" s="1" t="s">
        <v>3669</v>
      </c>
      <c r="F398" s="1" t="s">
        <v>3670</v>
      </c>
      <c r="G398" s="1" t="s">
        <v>14129</v>
      </c>
      <c r="H398" s="1" t="s">
        <v>14130</v>
      </c>
      <c r="I398" s="1" t="s">
        <v>14521</v>
      </c>
      <c r="J398" s="1" t="s">
        <v>23</v>
      </c>
      <c r="K398" s="1"/>
      <c r="L398" s="1" t="s">
        <v>3471</v>
      </c>
      <c r="M398" s="1" t="s">
        <v>3471</v>
      </c>
      <c r="N398" s="12" t="b">
        <f t="shared" si="30"/>
        <v>1</v>
      </c>
      <c r="O398" s="1" t="s">
        <v>3671</v>
      </c>
      <c r="P398" s="1" t="s">
        <v>3634</v>
      </c>
      <c r="Q398" s="1" t="s">
        <v>3635</v>
      </c>
      <c r="R398" s="1" t="s">
        <v>3636</v>
      </c>
      <c r="S398" s="1" t="s">
        <v>3672</v>
      </c>
      <c r="T398" s="1" t="s">
        <v>3673</v>
      </c>
      <c r="U398" s="1" t="s">
        <v>3674</v>
      </c>
      <c r="V398" s="13">
        <f>COUNTIF(L398:$M$1659,L398)</f>
        <v>8</v>
      </c>
      <c r="W398" s="1" t="s">
        <v>3521</v>
      </c>
      <c r="X398">
        <v>3547.73</v>
      </c>
      <c r="Y398">
        <v>174.6</v>
      </c>
      <c r="Z398">
        <v>12.448781</v>
      </c>
      <c r="AA398">
        <v>107.62094999999999</v>
      </c>
      <c r="AB398">
        <v>3373.13</v>
      </c>
      <c r="AC398">
        <v>12.456170999999999</v>
      </c>
      <c r="AD398">
        <v>107.65601700000001</v>
      </c>
      <c r="AE398" s="5">
        <f t="shared" si="31"/>
        <v>0.26189999999999997</v>
      </c>
      <c r="AF398" s="5">
        <f t="shared" si="32"/>
        <v>5.0596949999999996</v>
      </c>
      <c r="AG398" s="1" t="str">
        <f>TRIM(LEFT(L398,FIND("-",L398)-1))</f>
        <v xml:space="preserve">Công an xã Đức Lập (Trụ sở 2 CAH Đắk Mil cũ)
</v>
      </c>
      <c r="AH398" s="1" t="str">
        <f>TRIM(RIGHT(L398, LEN(L398) - FIND("-", L398)))</f>
        <v>Công an xã Cư Jút (Trụ sở CAH Cư Jút cũ)</v>
      </c>
      <c r="AJ398">
        <f t="shared" si="33"/>
        <v>0.17460000000000001</v>
      </c>
      <c r="AK398">
        <f t="shared" si="34"/>
        <v>3.3731300000000002</v>
      </c>
      <c r="AL398" t="e">
        <f>VLOOKUP(L398,'[1]Tuyến cáp H04'!$B:$E,3,0)/1000</f>
        <v>#N/A</v>
      </c>
      <c r="AM398" t="e">
        <f>VLOOKUP(L398,'[1]Tuyến cáp H04'!$B:$E,4,0)</f>
        <v>#N/A</v>
      </c>
    </row>
    <row r="399" spans="1:39" x14ac:dyDescent="0.25">
      <c r="A399" s="1" t="s">
        <v>3675</v>
      </c>
      <c r="B399" s="1" t="s">
        <v>3668</v>
      </c>
      <c r="C399" s="1" t="s">
        <v>3669</v>
      </c>
      <c r="D399" s="1" t="s">
        <v>3676</v>
      </c>
      <c r="E399" s="1" t="s">
        <v>3677</v>
      </c>
      <c r="F399" s="1" t="s">
        <v>3678</v>
      </c>
      <c r="G399" s="1" t="s">
        <v>14129</v>
      </c>
      <c r="H399" s="1" t="s">
        <v>14130</v>
      </c>
      <c r="I399" s="1" t="s">
        <v>14522</v>
      </c>
      <c r="J399" s="1" t="s">
        <v>23</v>
      </c>
      <c r="K399" s="1"/>
      <c r="L399" s="1" t="s">
        <v>3679</v>
      </c>
      <c r="M399" s="1" t="s">
        <v>3679</v>
      </c>
      <c r="N399" s="12" t="b">
        <f t="shared" si="30"/>
        <v>1</v>
      </c>
      <c r="O399" s="1" t="s">
        <v>3680</v>
      </c>
      <c r="P399" s="1" t="s">
        <v>3681</v>
      </c>
      <c r="Q399" s="1" t="s">
        <v>3682</v>
      </c>
      <c r="R399" s="1" t="s">
        <v>3683</v>
      </c>
      <c r="S399" s="1" t="s">
        <v>3684</v>
      </c>
      <c r="T399" s="1" t="s">
        <v>3685</v>
      </c>
      <c r="U399" s="1" t="s">
        <v>3686</v>
      </c>
      <c r="V399" s="13">
        <f>COUNTIF(L399:$M$1659,L399)</f>
        <v>6</v>
      </c>
      <c r="W399" s="1" t="s">
        <v>3687</v>
      </c>
      <c r="X399">
        <v>410.29</v>
      </c>
      <c r="Y399">
        <v>393.59</v>
      </c>
      <c r="Z399">
        <v>12.431642999999999</v>
      </c>
      <c r="AA399">
        <v>107.667064</v>
      </c>
      <c r="AB399">
        <v>16.7</v>
      </c>
      <c r="AC399">
        <v>12.401227</v>
      </c>
      <c r="AD399">
        <v>107.645455</v>
      </c>
      <c r="AE399" s="5">
        <f t="shared" si="31"/>
        <v>0.59038499999999994</v>
      </c>
      <c r="AF399" s="5">
        <f t="shared" si="32"/>
        <v>2.5049999999999996E-2</v>
      </c>
      <c r="AG399" s="1" t="str">
        <f>TRIM(LEFT(L399,FIND("-",L399)-1))</f>
        <v>Đắk Sắk</v>
      </c>
      <c r="AH399" s="1" t="str">
        <f>TRIM(RIGHT(L399, LEN(L399) - FIND("-", L399)))</f>
        <v>Đắk Song</v>
      </c>
      <c r="AJ399">
        <f t="shared" si="33"/>
        <v>0.39359</v>
      </c>
      <c r="AK399">
        <f t="shared" si="34"/>
        <v>1.67E-2</v>
      </c>
      <c r="AL399">
        <f>VLOOKUP(L399,'[1]Tuyến cáp H04'!$B:$E,3,0)/1000</f>
        <v>5.859</v>
      </c>
      <c r="AM399" t="str">
        <f>VLOOKUP(L399,'[1]Tuyến cáp H04'!$B:$E,4,0)</f>
        <v>Mạng cấp 4</v>
      </c>
    </row>
    <row r="400" spans="1:39" x14ac:dyDescent="0.25">
      <c r="A400" s="1" t="s">
        <v>3688</v>
      </c>
      <c r="B400" s="1" t="s">
        <v>3676</v>
      </c>
      <c r="C400" s="1" t="s">
        <v>3677</v>
      </c>
      <c r="D400" s="1" t="s">
        <v>3689</v>
      </c>
      <c r="E400" s="1" t="s">
        <v>3690</v>
      </c>
      <c r="F400" s="1" t="s">
        <v>3691</v>
      </c>
      <c r="G400" s="1" t="s">
        <v>14129</v>
      </c>
      <c r="H400" s="1" t="s">
        <v>14130</v>
      </c>
      <c r="I400" s="1" t="s">
        <v>14523</v>
      </c>
      <c r="J400" s="1" t="s">
        <v>23</v>
      </c>
      <c r="K400" s="1"/>
      <c r="L400" s="1" t="s">
        <v>3692</v>
      </c>
      <c r="M400" s="1" t="s">
        <v>3692</v>
      </c>
      <c r="N400" s="12" t="b">
        <f t="shared" si="30"/>
        <v>1</v>
      </c>
      <c r="O400" s="1" t="s">
        <v>3693</v>
      </c>
      <c r="P400" s="1" t="s">
        <v>3694</v>
      </c>
      <c r="Q400" s="1" t="s">
        <v>3695</v>
      </c>
      <c r="R400" s="1" t="s">
        <v>3696</v>
      </c>
      <c r="S400" s="1" t="s">
        <v>3697</v>
      </c>
      <c r="T400" s="1" t="s">
        <v>3695</v>
      </c>
      <c r="U400" s="1" t="s">
        <v>3696</v>
      </c>
      <c r="V400" s="13">
        <f>COUNTIF(L400:$M$1659,L400)</f>
        <v>4</v>
      </c>
      <c r="W400" s="1" t="s">
        <v>3698</v>
      </c>
      <c r="X400">
        <v>4851.03</v>
      </c>
      <c r="Y400">
        <v>7.94</v>
      </c>
      <c r="Z400">
        <v>12.401149999999999</v>
      </c>
      <c r="AA400">
        <v>107.645475</v>
      </c>
      <c r="AB400">
        <v>4843.09</v>
      </c>
      <c r="AC400">
        <v>12.401149999999999</v>
      </c>
      <c r="AD400">
        <v>107.645475</v>
      </c>
      <c r="AE400" s="5">
        <f t="shared" si="31"/>
        <v>1.191E-2</v>
      </c>
      <c r="AF400" s="5">
        <f t="shared" si="32"/>
        <v>7.2646350000000002</v>
      </c>
      <c r="AG400" s="1" t="str">
        <f>TRIM(LEFT(L400,FIND("-",L400)-1))</f>
        <v>Công an xã Đắk Song</v>
      </c>
      <c r="AH400" s="1" t="str">
        <f>TRIM(RIGHT(L400, LEN(L400) - FIND("-", L400)))</f>
        <v>Công an xã Thuận An</v>
      </c>
      <c r="AJ400">
        <f t="shared" si="33"/>
        <v>7.9400000000000009E-3</v>
      </c>
      <c r="AK400">
        <f t="shared" si="34"/>
        <v>4.8430900000000001</v>
      </c>
      <c r="AL400" t="e">
        <f>VLOOKUP(L400,'[1]Tuyến cáp H04'!$B:$E,3,0)/1000</f>
        <v>#N/A</v>
      </c>
      <c r="AM400" t="e">
        <f>VLOOKUP(L400,'[1]Tuyến cáp H04'!$B:$E,4,0)</f>
        <v>#N/A</v>
      </c>
    </row>
    <row r="401" spans="1:39" x14ac:dyDescent="0.25">
      <c r="A401" s="1" t="s">
        <v>3699</v>
      </c>
      <c r="B401" s="1" t="s">
        <v>3538</v>
      </c>
      <c r="C401" s="1" t="s">
        <v>3539</v>
      </c>
      <c r="D401" s="1" t="s">
        <v>3700</v>
      </c>
      <c r="E401" s="1" t="s">
        <v>3701</v>
      </c>
      <c r="F401" s="1" t="s">
        <v>3702</v>
      </c>
      <c r="G401" s="1" t="s">
        <v>14129</v>
      </c>
      <c r="H401" s="1" t="s">
        <v>14130</v>
      </c>
      <c r="I401" s="1" t="s">
        <v>14524</v>
      </c>
      <c r="J401" s="1" t="s">
        <v>23</v>
      </c>
      <c r="K401" s="1"/>
      <c r="L401" s="1" t="s">
        <v>3589</v>
      </c>
      <c r="M401" s="1" t="s">
        <v>3589</v>
      </c>
      <c r="N401" s="12" t="b">
        <f t="shared" si="30"/>
        <v>1</v>
      </c>
      <c r="O401" s="1" t="s">
        <v>3703</v>
      </c>
      <c r="P401" s="1" t="s">
        <v>3591</v>
      </c>
      <c r="Q401" s="1" t="s">
        <v>3592</v>
      </c>
      <c r="R401" s="1" t="s">
        <v>3593</v>
      </c>
      <c r="S401" s="1" t="s">
        <v>3704</v>
      </c>
      <c r="T401" s="1" t="s">
        <v>3705</v>
      </c>
      <c r="U401" s="1" t="s">
        <v>3706</v>
      </c>
      <c r="V401" s="13">
        <f>COUNTIF(L401:$M$1659,L401)</f>
        <v>6</v>
      </c>
      <c r="W401" s="1" t="s">
        <v>3597</v>
      </c>
      <c r="X401">
        <v>5133.63</v>
      </c>
      <c r="Y401">
        <v>3942.84</v>
      </c>
      <c r="Z401">
        <v>12.250895999999999</v>
      </c>
      <c r="AA401">
        <v>107.493579</v>
      </c>
      <c r="AB401">
        <v>1190.78</v>
      </c>
      <c r="AC401">
        <v>12.256793999999999</v>
      </c>
      <c r="AD401">
        <v>107.38615900000001</v>
      </c>
      <c r="AE401" s="5">
        <f t="shared" si="31"/>
        <v>5.9142600000000005</v>
      </c>
      <c r="AF401" s="5">
        <f t="shared" si="32"/>
        <v>1.78617</v>
      </c>
      <c r="AG401" s="1" t="str">
        <f>TRIM(LEFT(L401,FIND("-",L401)-1))</f>
        <v>Thuận Hạnh</v>
      </c>
      <c r="AH401" s="1" t="str">
        <f>TRIM(RIGHT(L401, LEN(L401) - FIND("-", L401)))</f>
        <v>Quảng Trực</v>
      </c>
      <c r="AJ401">
        <f t="shared" si="33"/>
        <v>3.9428400000000003</v>
      </c>
      <c r="AK401">
        <f t="shared" si="34"/>
        <v>1.1907799999999999</v>
      </c>
      <c r="AL401">
        <f>VLOOKUP(L401,'[1]Tuyến cáp H04'!$B:$E,3,0)/1000</f>
        <v>23.52</v>
      </c>
      <c r="AM401" t="str">
        <f>VLOOKUP(L401,'[1]Tuyến cáp H04'!$B:$E,4,0)</f>
        <v>Mạng cấp 4</v>
      </c>
    </row>
    <row r="402" spans="1:39" x14ac:dyDescent="0.25">
      <c r="A402" s="1" t="s">
        <v>3707</v>
      </c>
      <c r="B402" s="1" t="s">
        <v>3700</v>
      </c>
      <c r="C402" s="1" t="s">
        <v>3701</v>
      </c>
      <c r="D402" s="1" t="s">
        <v>3708</v>
      </c>
      <c r="E402" s="1" t="s">
        <v>3709</v>
      </c>
      <c r="F402" s="1" t="s">
        <v>3710</v>
      </c>
      <c r="G402" s="1" t="s">
        <v>14129</v>
      </c>
      <c r="H402" s="1" t="s">
        <v>14130</v>
      </c>
      <c r="I402" s="1" t="s">
        <v>14525</v>
      </c>
      <c r="J402" s="1" t="s">
        <v>23</v>
      </c>
      <c r="K402" s="1"/>
      <c r="L402" s="1" t="s">
        <v>3589</v>
      </c>
      <c r="M402" s="1" t="s">
        <v>3589</v>
      </c>
      <c r="N402" s="12" t="b">
        <f t="shared" si="30"/>
        <v>1</v>
      </c>
      <c r="O402" s="1" t="s">
        <v>3711</v>
      </c>
      <c r="P402" s="1" t="s">
        <v>3704</v>
      </c>
      <c r="Q402" s="1" t="s">
        <v>3705</v>
      </c>
      <c r="R402" s="1" t="s">
        <v>3706</v>
      </c>
      <c r="S402" s="1" t="s">
        <v>3712</v>
      </c>
      <c r="T402" s="1" t="s">
        <v>3713</v>
      </c>
      <c r="U402" s="1" t="s">
        <v>3714</v>
      </c>
      <c r="V402" s="13">
        <f>COUNTIF(L402:$M$1659,L402)</f>
        <v>4</v>
      </c>
      <c r="W402" s="1" t="s">
        <v>3597</v>
      </c>
      <c r="X402">
        <v>1310.47</v>
      </c>
      <c r="Y402">
        <v>1190.78</v>
      </c>
      <c r="Z402">
        <v>12.256793999999999</v>
      </c>
      <c r="AA402">
        <v>107.38615900000001</v>
      </c>
      <c r="AB402">
        <v>119.69</v>
      </c>
      <c r="AC402">
        <v>12.246599</v>
      </c>
      <c r="AD402">
        <v>107.437123</v>
      </c>
      <c r="AE402" s="5">
        <f t="shared" si="31"/>
        <v>1.78617</v>
      </c>
      <c r="AF402" s="5">
        <f t="shared" si="32"/>
        <v>0.179535</v>
      </c>
      <c r="AG402" s="1" t="str">
        <f>TRIM(LEFT(L402,FIND("-",L402)-1))</f>
        <v>Thuận Hạnh</v>
      </c>
      <c r="AH402" s="1" t="str">
        <f>TRIM(RIGHT(L402, LEN(L402) - FIND("-", L402)))</f>
        <v>Quảng Trực</v>
      </c>
      <c r="AJ402">
        <f t="shared" si="33"/>
        <v>1.1907799999999999</v>
      </c>
      <c r="AK402">
        <f t="shared" si="34"/>
        <v>0.11968999999999999</v>
      </c>
      <c r="AL402">
        <f>VLOOKUP(L402,'[1]Tuyến cáp H04'!$B:$E,3,0)/1000</f>
        <v>23.52</v>
      </c>
      <c r="AM402" t="str">
        <f>VLOOKUP(L402,'[1]Tuyến cáp H04'!$B:$E,4,0)</f>
        <v>Mạng cấp 4</v>
      </c>
    </row>
    <row r="403" spans="1:39" x14ac:dyDescent="0.25">
      <c r="A403" s="1" t="s">
        <v>3715</v>
      </c>
      <c r="B403" s="1" t="s">
        <v>3716</v>
      </c>
      <c r="C403" s="1" t="s">
        <v>3717</v>
      </c>
      <c r="D403" s="1" t="s">
        <v>3551</v>
      </c>
      <c r="E403" s="1" t="s">
        <v>3552</v>
      </c>
      <c r="F403" s="1" t="s">
        <v>3718</v>
      </c>
      <c r="G403" s="1" t="s">
        <v>14129</v>
      </c>
      <c r="H403" s="1" t="s">
        <v>14130</v>
      </c>
      <c r="I403" s="1" t="s">
        <v>14526</v>
      </c>
      <c r="J403" s="1" t="s">
        <v>23</v>
      </c>
      <c r="K403" s="1"/>
      <c r="L403" s="1" t="s">
        <v>3456</v>
      </c>
      <c r="M403" s="1" t="s">
        <v>3456</v>
      </c>
      <c r="N403" s="12" t="b">
        <f t="shared" si="30"/>
        <v>1</v>
      </c>
      <c r="O403" s="1" t="s">
        <v>3719</v>
      </c>
      <c r="P403" s="1" t="s">
        <v>3720</v>
      </c>
      <c r="Q403" s="1" t="s">
        <v>3721</v>
      </c>
      <c r="R403" s="1" t="s">
        <v>3722</v>
      </c>
      <c r="S403" s="1" t="s">
        <v>3723</v>
      </c>
      <c r="T403" s="1" t="s">
        <v>3724</v>
      </c>
      <c r="U403" s="1" t="s">
        <v>3725</v>
      </c>
      <c r="V403" s="13">
        <f>COUNTIF(L403:$M$1659,L403)</f>
        <v>16</v>
      </c>
      <c r="W403" s="1" t="s">
        <v>3464</v>
      </c>
      <c r="X403">
        <v>3398.18</v>
      </c>
      <c r="Y403">
        <v>101.63</v>
      </c>
      <c r="Z403">
        <v>12.254339</v>
      </c>
      <c r="AA403">
        <v>107.609391</v>
      </c>
      <c r="AB403">
        <v>3296.55</v>
      </c>
      <c r="AC403">
        <v>12.232143000000001</v>
      </c>
      <c r="AD403">
        <v>107.63055900000001</v>
      </c>
      <c r="AE403" s="5">
        <f t="shared" si="31"/>
        <v>0.152445</v>
      </c>
      <c r="AF403" s="5">
        <f t="shared" si="32"/>
        <v>4.9448250000000007</v>
      </c>
      <c r="AG403" s="1" t="str">
        <f>TRIM(LEFT(L403,FIND("-",L403)-1))</f>
        <v>Công an tỉnh Lâm Đồng</v>
      </c>
      <c r="AH403" s="1" t="str">
        <f>TRIM(RIGHT(L403, LEN(L403) - FIND("-", L403)))</f>
        <v>TT2 - Công an xã Đức An (Trụ sở CAH Đắk Song cũ)</v>
      </c>
      <c r="AJ403">
        <f t="shared" si="33"/>
        <v>0.10163</v>
      </c>
      <c r="AK403">
        <f t="shared" si="34"/>
        <v>3.2965500000000003</v>
      </c>
      <c r="AL403" t="e">
        <f>VLOOKUP(L403,'[1]Tuyến cáp H04'!$B:$E,3,0)/1000</f>
        <v>#N/A</v>
      </c>
      <c r="AM403" t="e">
        <f>VLOOKUP(L403,'[1]Tuyến cáp H04'!$B:$E,4,0)</f>
        <v>#N/A</v>
      </c>
    </row>
    <row r="404" spans="1:39" x14ac:dyDescent="0.25">
      <c r="A404" s="1" t="s">
        <v>3726</v>
      </c>
      <c r="B404" s="1" t="s">
        <v>3562</v>
      </c>
      <c r="C404" s="1" t="s">
        <v>3563</v>
      </c>
      <c r="D404" s="1" t="s">
        <v>3727</v>
      </c>
      <c r="E404" s="1" t="s">
        <v>3728</v>
      </c>
      <c r="F404" s="1" t="s">
        <v>3729</v>
      </c>
      <c r="G404" s="1" t="s">
        <v>14129</v>
      </c>
      <c r="H404" s="1" t="s">
        <v>14130</v>
      </c>
      <c r="I404" s="1" t="s">
        <v>14527</v>
      </c>
      <c r="J404" s="1" t="s">
        <v>23</v>
      </c>
      <c r="K404" s="1"/>
      <c r="L404" s="1" t="s">
        <v>3730</v>
      </c>
      <c r="M404" s="1" t="s">
        <v>3730</v>
      </c>
      <c r="N404" s="12" t="b">
        <f t="shared" si="30"/>
        <v>1</v>
      </c>
      <c r="O404" s="1" t="s">
        <v>3731</v>
      </c>
      <c r="P404" s="1" t="s">
        <v>3732</v>
      </c>
      <c r="Q404" s="1" t="s">
        <v>3733</v>
      </c>
      <c r="R404" s="1" t="s">
        <v>3734</v>
      </c>
      <c r="S404" s="1" t="s">
        <v>3735</v>
      </c>
      <c r="T404" s="1" t="s">
        <v>3736</v>
      </c>
      <c r="U404" s="1" t="s">
        <v>3737</v>
      </c>
      <c r="V404" s="13">
        <f>COUNTIF(L404:$M$1659,L404)</f>
        <v>6</v>
      </c>
      <c r="W404" s="1" t="s">
        <v>3738</v>
      </c>
      <c r="X404">
        <v>518.67999999999995</v>
      </c>
      <c r="Y404">
        <v>232.64</v>
      </c>
      <c r="Z404">
        <v>12.006525</v>
      </c>
      <c r="AA404">
        <v>107.510881</v>
      </c>
      <c r="AB404">
        <v>286.02999999999997</v>
      </c>
      <c r="AC404">
        <v>12.014405</v>
      </c>
      <c r="AD404">
        <v>107.492576</v>
      </c>
      <c r="AE404" s="5">
        <f t="shared" si="31"/>
        <v>0.34895999999999999</v>
      </c>
      <c r="AF404" s="5">
        <f t="shared" si="32"/>
        <v>0.42904499999999995</v>
      </c>
      <c r="AG404" s="1" t="str">
        <f>TRIM(LEFT(L404,FIND("-",L404)-1))</f>
        <v>Đường Quảng Tân</v>
      </c>
      <c r="AH404" s="1" t="str">
        <f>TRIM(RIGHT(L404, LEN(L404) - FIND("-", L404)))</f>
        <v>TTCMKV Đắk R'Lấp</v>
      </c>
      <c r="AJ404">
        <f t="shared" si="33"/>
        <v>0.23263999999999999</v>
      </c>
      <c r="AK404">
        <f t="shared" si="34"/>
        <v>0.28602999999999995</v>
      </c>
      <c r="AL404" t="e">
        <f>VLOOKUP(L404,'[1]Tuyến cáp H04'!$B:$E,3,0)/1000</f>
        <v>#N/A</v>
      </c>
      <c r="AM404" t="e">
        <f>VLOOKUP(L404,'[1]Tuyến cáp H04'!$B:$E,4,0)</f>
        <v>#N/A</v>
      </c>
    </row>
    <row r="405" spans="1:39" x14ac:dyDescent="0.25">
      <c r="A405" s="1" t="s">
        <v>3739</v>
      </c>
      <c r="B405" s="1" t="s">
        <v>3740</v>
      </c>
      <c r="C405" s="1" t="s">
        <v>3741</v>
      </c>
      <c r="D405" s="1" t="s">
        <v>3494</v>
      </c>
      <c r="E405" s="1" t="s">
        <v>3495</v>
      </c>
      <c r="F405" s="1" t="s">
        <v>3742</v>
      </c>
      <c r="G405" s="1" t="s">
        <v>14129</v>
      </c>
      <c r="H405" s="1" t="s">
        <v>14130</v>
      </c>
      <c r="I405" s="1" t="s">
        <v>14528</v>
      </c>
      <c r="J405" s="1" t="s">
        <v>23</v>
      </c>
      <c r="K405" s="1"/>
      <c r="L405" s="1" t="s">
        <v>3565</v>
      </c>
      <c r="M405" s="1" t="s">
        <v>3565</v>
      </c>
      <c r="N405" s="12" t="b">
        <f t="shared" si="30"/>
        <v>1</v>
      </c>
      <c r="O405" s="1" t="s">
        <v>3743</v>
      </c>
      <c r="P405" s="1" t="s">
        <v>3744</v>
      </c>
      <c r="Q405" s="1" t="s">
        <v>3745</v>
      </c>
      <c r="R405" s="1" t="s">
        <v>3746</v>
      </c>
      <c r="S405" s="1" t="s">
        <v>3747</v>
      </c>
      <c r="T405" s="1" t="s">
        <v>3748</v>
      </c>
      <c r="U405" s="1" t="s">
        <v>3749</v>
      </c>
      <c r="V405" s="13">
        <f>COUNTIF(L405:$M$1659,L405)</f>
        <v>10</v>
      </c>
      <c r="W405" s="1" t="s">
        <v>3573</v>
      </c>
      <c r="X405">
        <v>216.37</v>
      </c>
      <c r="Y405">
        <v>148.81</v>
      </c>
      <c r="Z405">
        <v>12.043371</v>
      </c>
      <c r="AA405">
        <v>107.489839</v>
      </c>
      <c r="AB405">
        <v>67.56</v>
      </c>
      <c r="AC405">
        <v>12.09477</v>
      </c>
      <c r="AD405">
        <v>107.48153499999999</v>
      </c>
      <c r="AE405" s="5">
        <f t="shared" si="31"/>
        <v>0.223215</v>
      </c>
      <c r="AF405" s="5">
        <f t="shared" si="32"/>
        <v>0.10134</v>
      </c>
      <c r="AG405" s="1" t="str">
        <f>TRIM(LEFT(L405,FIND("-",L405)-1))</f>
        <v>Công an xã Tuy Đức (Trụ sở CAH Tuy Đức cũ)</v>
      </c>
      <c r="AH405" s="1" t="str">
        <f>TRIM(RIGHT(L405, LEN(L405) - FIND("-", L405)))</f>
        <v>Công an xã Kiến Đức (Trụ sở CAH Đắk R'Lấp cũ)</v>
      </c>
      <c r="AJ405">
        <f t="shared" si="33"/>
        <v>0.14881</v>
      </c>
      <c r="AK405">
        <f t="shared" si="34"/>
        <v>6.7560000000000009E-2</v>
      </c>
      <c r="AL405" t="e">
        <f>VLOOKUP(L405,'[1]Tuyến cáp H04'!$B:$E,3,0)/1000</f>
        <v>#N/A</v>
      </c>
      <c r="AM405" t="e">
        <f>VLOOKUP(L405,'[1]Tuyến cáp H04'!$B:$E,4,0)</f>
        <v>#N/A</v>
      </c>
    </row>
    <row r="406" spans="1:39" x14ac:dyDescent="0.25">
      <c r="A406" s="1" t="s">
        <v>3750</v>
      </c>
      <c r="B406" s="1" t="s">
        <v>3494</v>
      </c>
      <c r="C406" s="1" t="s">
        <v>3495</v>
      </c>
      <c r="D406" s="1" t="s">
        <v>3751</v>
      </c>
      <c r="E406" s="1" t="s">
        <v>3752</v>
      </c>
      <c r="F406" s="1" t="s">
        <v>3753</v>
      </c>
      <c r="G406" s="1" t="s">
        <v>14129</v>
      </c>
      <c r="H406" s="1" t="s">
        <v>14130</v>
      </c>
      <c r="I406" s="1" t="s">
        <v>14529</v>
      </c>
      <c r="J406" s="1" t="s">
        <v>23</v>
      </c>
      <c r="K406" s="1"/>
      <c r="L406" s="1" t="s">
        <v>3565</v>
      </c>
      <c r="M406" s="1" t="s">
        <v>3565</v>
      </c>
      <c r="N406" s="12" t="b">
        <f t="shared" si="30"/>
        <v>1</v>
      </c>
      <c r="O406" s="1" t="s">
        <v>3754</v>
      </c>
      <c r="P406" s="1" t="s">
        <v>3747</v>
      </c>
      <c r="Q406" s="1" t="s">
        <v>3748</v>
      </c>
      <c r="R406" s="1" t="s">
        <v>3749</v>
      </c>
      <c r="S406" s="1" t="s">
        <v>3755</v>
      </c>
      <c r="T406" s="1" t="s">
        <v>3756</v>
      </c>
      <c r="U406" s="1" t="s">
        <v>3757</v>
      </c>
      <c r="V406" s="13">
        <f>COUNTIF(L406:$M$1659,L406)</f>
        <v>8</v>
      </c>
      <c r="W406" s="1" t="s">
        <v>3573</v>
      </c>
      <c r="X406">
        <v>142.4</v>
      </c>
      <c r="Y406">
        <v>67.56</v>
      </c>
      <c r="Z406">
        <v>12.09477</v>
      </c>
      <c r="AA406">
        <v>107.48153499999999</v>
      </c>
      <c r="AB406">
        <v>74.84</v>
      </c>
      <c r="AC406">
        <v>12.184903</v>
      </c>
      <c r="AD406">
        <v>107.450288</v>
      </c>
      <c r="AE406" s="5">
        <f t="shared" si="31"/>
        <v>0.10134</v>
      </c>
      <c r="AF406" s="5">
        <f t="shared" si="32"/>
        <v>0.11226</v>
      </c>
      <c r="AG406" s="1" t="str">
        <f>TRIM(LEFT(L406,FIND("-",L406)-1))</f>
        <v>Công an xã Tuy Đức (Trụ sở CAH Tuy Đức cũ)</v>
      </c>
      <c r="AH406" s="1" t="str">
        <f>TRIM(RIGHT(L406, LEN(L406) - FIND("-", L406)))</f>
        <v>Công an xã Kiến Đức (Trụ sở CAH Đắk R'Lấp cũ)</v>
      </c>
      <c r="AJ406">
        <f t="shared" si="33"/>
        <v>6.7560000000000009E-2</v>
      </c>
      <c r="AK406">
        <f t="shared" si="34"/>
        <v>7.4840000000000004E-2</v>
      </c>
      <c r="AL406" t="e">
        <f>VLOOKUP(L406,'[1]Tuyến cáp H04'!$B:$E,3,0)/1000</f>
        <v>#N/A</v>
      </c>
      <c r="AM406" t="e">
        <f>VLOOKUP(L406,'[1]Tuyến cáp H04'!$B:$E,4,0)</f>
        <v>#N/A</v>
      </c>
    </row>
    <row r="407" spans="1:39" x14ac:dyDescent="0.25">
      <c r="A407" s="1" t="s">
        <v>3758</v>
      </c>
      <c r="B407" s="1" t="s">
        <v>3538</v>
      </c>
      <c r="C407" s="1" t="s">
        <v>3539</v>
      </c>
      <c r="D407" s="1" t="s">
        <v>3759</v>
      </c>
      <c r="E407" s="1" t="s">
        <v>3760</v>
      </c>
      <c r="F407" s="1" t="s">
        <v>3761</v>
      </c>
      <c r="G407" s="1" t="s">
        <v>14129</v>
      </c>
      <c r="H407" s="1" t="s">
        <v>14130</v>
      </c>
      <c r="I407" s="1" t="s">
        <v>14530</v>
      </c>
      <c r="J407" s="1" t="s">
        <v>23</v>
      </c>
      <c r="K407" s="1"/>
      <c r="L407" s="1" t="s">
        <v>3576</v>
      </c>
      <c r="M407" s="1" t="s">
        <v>3576</v>
      </c>
      <c r="N407" s="12" t="b">
        <f t="shared" si="30"/>
        <v>1</v>
      </c>
      <c r="O407" s="1" t="s">
        <v>3762</v>
      </c>
      <c r="P407" s="1" t="s">
        <v>3763</v>
      </c>
      <c r="Q407" s="1" t="s">
        <v>3764</v>
      </c>
      <c r="R407" s="1" t="s">
        <v>3765</v>
      </c>
      <c r="S407" s="1" t="s">
        <v>3766</v>
      </c>
      <c r="T407" s="1" t="s">
        <v>3767</v>
      </c>
      <c r="U407" s="1" t="s">
        <v>3768</v>
      </c>
      <c r="V407" s="13">
        <f>COUNTIF(L407:$M$1659,L407)</f>
        <v>2</v>
      </c>
      <c r="W407" s="1" t="s">
        <v>3769</v>
      </c>
      <c r="X407">
        <v>803.51</v>
      </c>
      <c r="Y407">
        <v>4.46</v>
      </c>
      <c r="Z407">
        <v>12.219080999999999</v>
      </c>
      <c r="AA407">
        <v>107.477643</v>
      </c>
      <c r="AB407">
        <v>799.06</v>
      </c>
      <c r="AC407">
        <v>12.209053000000001</v>
      </c>
      <c r="AD407">
        <v>107.484025</v>
      </c>
      <c r="AE407" s="5">
        <f t="shared" si="31"/>
        <v>6.6899999999999998E-3</v>
      </c>
      <c r="AF407" s="5">
        <f t="shared" si="32"/>
        <v>1.1985899999999998</v>
      </c>
      <c r="AG407" s="1" t="str">
        <f>TRIM(LEFT(L407,FIND("-",L407)-1))</f>
        <v>Công an xã Đức An (Trụ sở CAH Đắk Song cũ)</v>
      </c>
      <c r="AH407" s="1" t="str">
        <f>TRIM(RIGHT(L407, LEN(L407) - FIND("-", L407)))</f>
        <v>Công an xã Tuy Đức (Trụ sở CAH Tuy Đức cũ)</v>
      </c>
      <c r="AJ407">
        <f t="shared" si="33"/>
        <v>4.4599999999999996E-3</v>
      </c>
      <c r="AK407">
        <f t="shared" si="34"/>
        <v>0.79905999999999999</v>
      </c>
      <c r="AL407" t="e">
        <f>VLOOKUP(L407,'[1]Tuyến cáp H04'!$B:$E,3,0)/1000</f>
        <v>#N/A</v>
      </c>
      <c r="AM407" t="e">
        <f>VLOOKUP(L407,'[1]Tuyến cáp H04'!$B:$E,4,0)</f>
        <v>#N/A</v>
      </c>
    </row>
    <row r="408" spans="1:39" x14ac:dyDescent="0.25">
      <c r="A408" s="1" t="s">
        <v>3770</v>
      </c>
      <c r="B408" s="1" t="s">
        <v>3451</v>
      </c>
      <c r="C408" s="1" t="s">
        <v>3452</v>
      </c>
      <c r="D408" s="1" t="s">
        <v>3771</v>
      </c>
      <c r="E408" s="1" t="s">
        <v>3772</v>
      </c>
      <c r="F408" s="1" t="s">
        <v>3773</v>
      </c>
      <c r="G408" s="1" t="s">
        <v>14129</v>
      </c>
      <c r="H408" s="1" t="s">
        <v>14130</v>
      </c>
      <c r="I408" s="1" t="s">
        <v>14531</v>
      </c>
      <c r="J408" s="1" t="s">
        <v>23</v>
      </c>
      <c r="K408" s="1"/>
      <c r="L408" s="1" t="s">
        <v>3774</v>
      </c>
      <c r="M408" s="1" t="s">
        <v>3774</v>
      </c>
      <c r="N408" s="12" t="b">
        <f t="shared" si="30"/>
        <v>1</v>
      </c>
      <c r="O408" s="1" t="s">
        <v>3775</v>
      </c>
      <c r="P408" s="1" t="s">
        <v>3776</v>
      </c>
      <c r="Q408" s="1" t="s">
        <v>3777</v>
      </c>
      <c r="R408" s="1" t="s">
        <v>3778</v>
      </c>
      <c r="S408" s="1" t="s">
        <v>3779</v>
      </c>
      <c r="T408" s="1" t="s">
        <v>3780</v>
      </c>
      <c r="U408" s="1" t="s">
        <v>3781</v>
      </c>
      <c r="V408" s="13">
        <f>COUNTIF(L408:$M$1659,L408)</f>
        <v>2</v>
      </c>
      <c r="W408" s="1" t="s">
        <v>3782</v>
      </c>
      <c r="X408">
        <v>433.52</v>
      </c>
      <c r="Y408">
        <v>373.54</v>
      </c>
      <c r="Z408">
        <v>12.09986</v>
      </c>
      <c r="AA408">
        <v>107.656604</v>
      </c>
      <c r="AB408">
        <v>59.97</v>
      </c>
      <c r="AC408">
        <v>12.054190999999999</v>
      </c>
      <c r="AD408">
        <v>107.680781</v>
      </c>
      <c r="AE408" s="5">
        <f t="shared" si="31"/>
        <v>0.56031000000000009</v>
      </c>
      <c r="AF408" s="5">
        <f t="shared" si="32"/>
        <v>8.9954999999999993E-2</v>
      </c>
      <c r="AG408" s="1" t="str">
        <f>TRIM(LEFT(L408,FIND("-",L408)-1))</f>
        <v>Trường Xuân</v>
      </c>
      <c r="AH408" s="1" t="str">
        <f>TRIM(RIGHT(L408, LEN(L408) - FIND("-", L408)))</f>
        <v>TT2 LÂM ĐỒNG (GIA NGHĨA)</v>
      </c>
      <c r="AJ408">
        <f t="shared" si="33"/>
        <v>0.37354000000000004</v>
      </c>
      <c r="AK408">
        <f t="shared" si="34"/>
        <v>5.9969999999999996E-2</v>
      </c>
      <c r="AL408">
        <f>VLOOKUP(L408,'[1]Tuyến cáp H04'!$B:$E,3,0)/1000</f>
        <v>23.617999999999999</v>
      </c>
      <c r="AM408" t="str">
        <f>VLOOKUP(L408,'[1]Tuyến cáp H04'!$B:$E,4,0)</f>
        <v>Mạng cấp 4</v>
      </c>
    </row>
    <row r="409" spans="1:39" x14ac:dyDescent="0.25">
      <c r="A409" s="1" t="s">
        <v>3783</v>
      </c>
      <c r="B409" s="1" t="s">
        <v>3784</v>
      </c>
      <c r="C409" s="1" t="s">
        <v>3785</v>
      </c>
      <c r="D409" s="1" t="s">
        <v>3786</v>
      </c>
      <c r="E409" s="1" t="s">
        <v>3787</v>
      </c>
      <c r="F409" s="1" t="s">
        <v>3788</v>
      </c>
      <c r="G409" s="1" t="s">
        <v>14129</v>
      </c>
      <c r="H409" s="1" t="s">
        <v>14532</v>
      </c>
      <c r="I409" s="1" t="s">
        <v>14533</v>
      </c>
      <c r="J409" s="1" t="s">
        <v>23</v>
      </c>
      <c r="K409" s="1"/>
      <c r="L409" s="1" t="s">
        <v>3789</v>
      </c>
      <c r="M409" s="1" t="s">
        <v>3789</v>
      </c>
      <c r="N409" s="12" t="b">
        <f t="shared" si="30"/>
        <v>1</v>
      </c>
      <c r="O409" s="1" t="s">
        <v>3790</v>
      </c>
      <c r="P409" s="1" t="s">
        <v>3791</v>
      </c>
      <c r="Q409" s="1" t="s">
        <v>3792</v>
      </c>
      <c r="R409" s="1" t="s">
        <v>3793</v>
      </c>
      <c r="S409" s="1" t="s">
        <v>3794</v>
      </c>
      <c r="T409" s="1" t="s">
        <v>3795</v>
      </c>
      <c r="U409" s="1" t="s">
        <v>3796</v>
      </c>
      <c r="V409" s="13">
        <f>COUNTIF(L409:$M$1659,L409)</f>
        <v>8</v>
      </c>
      <c r="W409" s="1" t="s">
        <v>3797</v>
      </c>
      <c r="X409">
        <v>1189.99</v>
      </c>
      <c r="Y409">
        <v>4.0599999999999996</v>
      </c>
      <c r="Z409">
        <v>12.008977</v>
      </c>
      <c r="AA409">
        <v>107.694585</v>
      </c>
      <c r="AB409">
        <v>1185.92</v>
      </c>
      <c r="AC409">
        <v>12.008922</v>
      </c>
      <c r="AD409">
        <v>107.6952</v>
      </c>
      <c r="AE409" s="5">
        <f t="shared" si="31"/>
        <v>6.0899999999999999E-3</v>
      </c>
      <c r="AF409" s="5">
        <f t="shared" si="32"/>
        <v>1.77888</v>
      </c>
      <c r="AG409" s="1" t="str">
        <f>TRIM(LEFT(L409,FIND("-",L409)-1))</f>
        <v>Công an phường Bắc Gia Nghĩa</v>
      </c>
      <c r="AH409" s="1" t="str">
        <f>TRIM(RIGHT(L409, LEN(L409) - FIND("-", L409)))</f>
        <v>Công an phường Đông Gia Nghĩa</v>
      </c>
      <c r="AJ409">
        <f t="shared" si="33"/>
        <v>4.0599999999999994E-3</v>
      </c>
      <c r="AK409">
        <f t="shared" si="34"/>
        <v>1.1859200000000001</v>
      </c>
      <c r="AL409" t="e">
        <f>VLOOKUP(L409,'[1]Tuyến cáp H04'!$B:$E,3,0)/1000</f>
        <v>#N/A</v>
      </c>
      <c r="AM409" t="e">
        <f>VLOOKUP(L409,'[1]Tuyến cáp H04'!$B:$E,4,0)</f>
        <v>#N/A</v>
      </c>
    </row>
    <row r="410" spans="1:39" x14ac:dyDescent="0.25">
      <c r="A410" s="1" t="s">
        <v>3798</v>
      </c>
      <c r="B410" s="1" t="s">
        <v>3799</v>
      </c>
      <c r="C410" s="1" t="s">
        <v>3800</v>
      </c>
      <c r="D410" s="1" t="s">
        <v>3801</v>
      </c>
      <c r="E410" s="1" t="s">
        <v>3802</v>
      </c>
      <c r="F410" s="1" t="s">
        <v>3803</v>
      </c>
      <c r="G410" s="1" t="s">
        <v>14129</v>
      </c>
      <c r="H410" s="1" t="s">
        <v>14532</v>
      </c>
      <c r="I410" s="1" t="s">
        <v>14534</v>
      </c>
      <c r="J410" s="1" t="s">
        <v>23</v>
      </c>
      <c r="K410" s="1"/>
      <c r="L410" s="1" t="s">
        <v>3528</v>
      </c>
      <c r="M410" s="1" t="s">
        <v>3528</v>
      </c>
      <c r="N410" s="12" t="b">
        <f t="shared" si="30"/>
        <v>1</v>
      </c>
      <c r="O410" s="1" t="s">
        <v>3446</v>
      </c>
      <c r="P410" s="1" t="s">
        <v>3804</v>
      </c>
      <c r="Q410" s="1" t="s">
        <v>3805</v>
      </c>
      <c r="R410" s="1" t="s">
        <v>3806</v>
      </c>
      <c r="S410" s="1" t="s">
        <v>3807</v>
      </c>
      <c r="T410" s="1" t="s">
        <v>3808</v>
      </c>
      <c r="U410" s="1" t="s">
        <v>3809</v>
      </c>
      <c r="V410" s="13">
        <f>COUNTIF(L410:$M$1659,L410)</f>
        <v>14</v>
      </c>
      <c r="W410" s="1" t="s">
        <v>3810</v>
      </c>
      <c r="X410">
        <v>32.49</v>
      </c>
      <c r="Y410">
        <v>1.35</v>
      </c>
      <c r="Z410">
        <v>12.023592000000001</v>
      </c>
      <c r="AA410">
        <v>107.685997</v>
      </c>
      <c r="AB410">
        <v>31.13</v>
      </c>
      <c r="AC410">
        <v>12.007395000000001</v>
      </c>
      <c r="AD410">
        <v>107.685744</v>
      </c>
      <c r="AE410" s="5">
        <f t="shared" si="31"/>
        <v>2.0250000000000003E-3</v>
      </c>
      <c r="AF410" s="5">
        <f t="shared" si="32"/>
        <v>4.6695E-2</v>
      </c>
      <c r="AG410" s="1" t="str">
        <f>TRIM(LEFT(L410,FIND("-",L410)-1))</f>
        <v>Công an tỉnh Lâm Đồng</v>
      </c>
      <c r="AH410" s="1" t="str">
        <f>TRIM(RIGHT(L410, LEN(L410) - FIND("-", L410)))</f>
        <v>TT2 - Công an xã Quảng Khê</v>
      </c>
      <c r="AJ410">
        <f t="shared" si="33"/>
        <v>1.3500000000000001E-3</v>
      </c>
      <c r="AK410">
        <f t="shared" si="34"/>
        <v>3.1129999999999998E-2</v>
      </c>
      <c r="AL410" t="e">
        <f>VLOOKUP(L410,'[1]Tuyến cáp H04'!$B:$E,3,0)/1000</f>
        <v>#N/A</v>
      </c>
      <c r="AM410" t="e">
        <f>VLOOKUP(L410,'[1]Tuyến cáp H04'!$B:$E,4,0)</f>
        <v>#N/A</v>
      </c>
    </row>
    <row r="411" spans="1:39" x14ac:dyDescent="0.25">
      <c r="A411" s="1" t="s">
        <v>3811</v>
      </c>
      <c r="B411" s="1" t="s">
        <v>3812</v>
      </c>
      <c r="C411" s="1" t="s">
        <v>3813</v>
      </c>
      <c r="D411" s="1" t="s">
        <v>3814</v>
      </c>
      <c r="E411" s="1" t="s">
        <v>3815</v>
      </c>
      <c r="F411" s="1" t="s">
        <v>3816</v>
      </c>
      <c r="G411" s="1" t="s">
        <v>14129</v>
      </c>
      <c r="H411" s="1" t="s">
        <v>14532</v>
      </c>
      <c r="I411" s="1" t="s">
        <v>14535</v>
      </c>
      <c r="J411" s="1" t="s">
        <v>23</v>
      </c>
      <c r="K411" s="1"/>
      <c r="L411" s="1" t="s">
        <v>3817</v>
      </c>
      <c r="M411" s="1" t="s">
        <v>3817</v>
      </c>
      <c r="N411" s="12" t="b">
        <f t="shared" si="30"/>
        <v>1</v>
      </c>
      <c r="O411" s="1" t="s">
        <v>3818</v>
      </c>
      <c r="P411" s="1" t="s">
        <v>3819</v>
      </c>
      <c r="Q411" s="1" t="s">
        <v>3820</v>
      </c>
      <c r="R411" s="1" t="s">
        <v>3821</v>
      </c>
      <c r="S411" s="1" t="s">
        <v>3822</v>
      </c>
      <c r="T411" s="1" t="s">
        <v>3823</v>
      </c>
      <c r="U411" s="1" t="s">
        <v>3824</v>
      </c>
      <c r="V411" s="13">
        <f>COUNTIF(L411:$M$1659,L411)</f>
        <v>22</v>
      </c>
      <c r="W411" s="1" t="s">
        <v>3825</v>
      </c>
      <c r="X411">
        <v>223.57</v>
      </c>
      <c r="Y411">
        <v>130.19</v>
      </c>
      <c r="Z411">
        <v>11.982198</v>
      </c>
      <c r="AA411">
        <v>107.58801200000001</v>
      </c>
      <c r="AB411">
        <v>93.38</v>
      </c>
      <c r="AC411">
        <v>11.984299</v>
      </c>
      <c r="AD411">
        <v>107.573368</v>
      </c>
      <c r="AE411" s="5">
        <f t="shared" si="31"/>
        <v>0.19528499999999999</v>
      </c>
      <c r="AF411" s="5">
        <f t="shared" si="32"/>
        <v>0.14007</v>
      </c>
      <c r="AG411" s="1" t="str">
        <f>TRIM(LEFT(L411,FIND("-",L411)-1))</f>
        <v>Công an phường Nam Gia Nghĩa</v>
      </c>
      <c r="AH411" s="1" t="str">
        <f>TRIM(RIGHT(L411, LEN(L411) - FIND("-", L411)))</f>
        <v>Công an xã Kiến Đức</v>
      </c>
      <c r="AJ411">
        <f t="shared" si="33"/>
        <v>0.13019</v>
      </c>
      <c r="AK411">
        <f t="shared" si="34"/>
        <v>9.3379999999999991E-2</v>
      </c>
      <c r="AL411" t="e">
        <f>VLOOKUP(L411,'[1]Tuyến cáp H04'!$B:$E,3,0)/1000</f>
        <v>#N/A</v>
      </c>
      <c r="AM411" t="e">
        <f>VLOOKUP(L411,'[1]Tuyến cáp H04'!$B:$E,4,0)</f>
        <v>#N/A</v>
      </c>
    </row>
    <row r="412" spans="1:39" x14ac:dyDescent="0.25">
      <c r="A412" s="1" t="s">
        <v>3826</v>
      </c>
      <c r="B412" s="1" t="s">
        <v>3827</v>
      </c>
      <c r="C412" s="1" t="s">
        <v>3828</v>
      </c>
      <c r="D412" s="1" t="s">
        <v>3829</v>
      </c>
      <c r="E412" s="1" t="s">
        <v>3830</v>
      </c>
      <c r="F412" s="1" t="s">
        <v>3831</v>
      </c>
      <c r="G412" s="1" t="s">
        <v>14129</v>
      </c>
      <c r="H412" s="1" t="s">
        <v>14532</v>
      </c>
      <c r="I412" s="1" t="s">
        <v>14536</v>
      </c>
      <c r="J412" s="1" t="s">
        <v>23</v>
      </c>
      <c r="K412" s="1"/>
      <c r="L412" s="1" t="s">
        <v>3817</v>
      </c>
      <c r="M412" s="1" t="s">
        <v>3817</v>
      </c>
      <c r="N412" s="12" t="b">
        <f t="shared" si="30"/>
        <v>1</v>
      </c>
      <c r="O412" s="1" t="s">
        <v>3832</v>
      </c>
      <c r="P412" s="1" t="s">
        <v>3833</v>
      </c>
      <c r="Q412" s="1" t="s">
        <v>3834</v>
      </c>
      <c r="R412" s="1" t="s">
        <v>3835</v>
      </c>
      <c r="S412" s="1" t="s">
        <v>3836</v>
      </c>
      <c r="T412" s="1" t="s">
        <v>3837</v>
      </c>
      <c r="U412" s="1" t="s">
        <v>3838</v>
      </c>
      <c r="V412" s="13">
        <f>COUNTIF(L412:$M$1659,L412)</f>
        <v>20</v>
      </c>
      <c r="W412" s="1" t="s">
        <v>3825</v>
      </c>
      <c r="X412">
        <v>972.89</v>
      </c>
      <c r="Y412">
        <v>287.95</v>
      </c>
      <c r="Z412">
        <v>11.981467</v>
      </c>
      <c r="AA412">
        <v>107.65797499999999</v>
      </c>
      <c r="AB412">
        <v>684.94</v>
      </c>
      <c r="AC412">
        <v>11.981695999999999</v>
      </c>
      <c r="AD412">
        <v>107.580975</v>
      </c>
      <c r="AE412" s="5">
        <f t="shared" si="31"/>
        <v>0.43192499999999995</v>
      </c>
      <c r="AF412" s="5">
        <f t="shared" si="32"/>
        <v>1.0274100000000002</v>
      </c>
      <c r="AG412" s="1" t="str">
        <f>TRIM(LEFT(L412,FIND("-",L412)-1))</f>
        <v>Công an phường Nam Gia Nghĩa</v>
      </c>
      <c r="AH412" s="1" t="str">
        <f>TRIM(RIGHT(L412, LEN(L412) - FIND("-", L412)))</f>
        <v>Công an xã Kiến Đức</v>
      </c>
      <c r="AJ412">
        <f t="shared" si="33"/>
        <v>0.28794999999999998</v>
      </c>
      <c r="AK412">
        <f t="shared" si="34"/>
        <v>0.6849400000000001</v>
      </c>
      <c r="AL412" t="e">
        <f>VLOOKUP(L412,'[1]Tuyến cáp H04'!$B:$E,3,0)/1000</f>
        <v>#N/A</v>
      </c>
      <c r="AM412" t="e">
        <f>VLOOKUP(L412,'[1]Tuyến cáp H04'!$B:$E,4,0)</f>
        <v>#N/A</v>
      </c>
    </row>
    <row r="413" spans="1:39" x14ac:dyDescent="0.25">
      <c r="A413" s="1" t="s">
        <v>3839</v>
      </c>
      <c r="B413" s="1" t="s">
        <v>3829</v>
      </c>
      <c r="C413" s="1" t="s">
        <v>3830</v>
      </c>
      <c r="D413" s="1" t="s">
        <v>3840</v>
      </c>
      <c r="E413" s="1" t="s">
        <v>3841</v>
      </c>
      <c r="F413" s="1" t="s">
        <v>3842</v>
      </c>
      <c r="G413" s="1" t="s">
        <v>14129</v>
      </c>
      <c r="H413" s="1" t="s">
        <v>14532</v>
      </c>
      <c r="I413" s="1" t="s">
        <v>14537</v>
      </c>
      <c r="J413" s="1" t="s">
        <v>23</v>
      </c>
      <c r="K413" s="1"/>
      <c r="L413" s="1" t="s">
        <v>3817</v>
      </c>
      <c r="M413" s="1" t="s">
        <v>3817</v>
      </c>
      <c r="N413" s="12" t="b">
        <f t="shared" si="30"/>
        <v>1</v>
      </c>
      <c r="O413" s="1" t="s">
        <v>3843</v>
      </c>
      <c r="P413" s="1" t="s">
        <v>3836</v>
      </c>
      <c r="Q413" s="1" t="s">
        <v>3837</v>
      </c>
      <c r="R413" s="1" t="s">
        <v>3838</v>
      </c>
      <c r="S413" s="1" t="s">
        <v>3844</v>
      </c>
      <c r="T413" s="1" t="s">
        <v>3845</v>
      </c>
      <c r="U413" s="1" t="s">
        <v>3846</v>
      </c>
      <c r="V413" s="13">
        <f>COUNTIF(L413:$M$1659,L413)</f>
        <v>18</v>
      </c>
      <c r="W413" s="1" t="s">
        <v>3825</v>
      </c>
      <c r="X413">
        <v>2558.84</v>
      </c>
      <c r="Y413">
        <v>684.94</v>
      </c>
      <c r="Z413">
        <v>11.981695999999999</v>
      </c>
      <c r="AA413">
        <v>107.580975</v>
      </c>
      <c r="AB413">
        <v>1873.89</v>
      </c>
      <c r="AC413">
        <v>11.992266000000001</v>
      </c>
      <c r="AD413">
        <v>107.558694</v>
      </c>
      <c r="AE413" s="5">
        <f t="shared" si="31"/>
        <v>1.0274100000000002</v>
      </c>
      <c r="AF413" s="5">
        <f t="shared" si="32"/>
        <v>2.810835</v>
      </c>
      <c r="AG413" s="1" t="str">
        <f>TRIM(LEFT(L413,FIND("-",L413)-1))</f>
        <v>Công an phường Nam Gia Nghĩa</v>
      </c>
      <c r="AH413" s="1" t="str">
        <f>TRIM(RIGHT(L413, LEN(L413) - FIND("-", L413)))</f>
        <v>Công an xã Kiến Đức</v>
      </c>
      <c r="AJ413">
        <f t="shared" si="33"/>
        <v>0.6849400000000001</v>
      </c>
      <c r="AK413">
        <f t="shared" si="34"/>
        <v>1.8738900000000001</v>
      </c>
      <c r="AL413" t="e">
        <f>VLOOKUP(L413,'[1]Tuyến cáp H04'!$B:$E,3,0)/1000</f>
        <v>#N/A</v>
      </c>
      <c r="AM413" t="e">
        <f>VLOOKUP(L413,'[1]Tuyến cáp H04'!$B:$E,4,0)</f>
        <v>#N/A</v>
      </c>
    </row>
    <row r="414" spans="1:39" x14ac:dyDescent="0.25">
      <c r="A414" s="1" t="s">
        <v>3847</v>
      </c>
      <c r="B414" s="1" t="s">
        <v>3848</v>
      </c>
      <c r="C414" s="1" t="s">
        <v>3849</v>
      </c>
      <c r="D414" s="1" t="s">
        <v>3850</v>
      </c>
      <c r="E414" s="1" t="s">
        <v>3851</v>
      </c>
      <c r="F414" s="1" t="s">
        <v>3852</v>
      </c>
      <c r="G414" s="1" t="s">
        <v>14129</v>
      </c>
      <c r="H414" s="1" t="s">
        <v>14532</v>
      </c>
      <c r="I414" s="1" t="s">
        <v>14538</v>
      </c>
      <c r="J414" s="1" t="s">
        <v>23</v>
      </c>
      <c r="K414" s="1"/>
      <c r="L414" s="1" t="s">
        <v>3853</v>
      </c>
      <c r="M414" s="1" t="s">
        <v>3853</v>
      </c>
      <c r="N414" s="12" t="b">
        <f t="shared" si="30"/>
        <v>1</v>
      </c>
      <c r="O414" s="1" t="s">
        <v>3854</v>
      </c>
      <c r="P414" s="1" t="s">
        <v>3855</v>
      </c>
      <c r="Q414" s="1" t="s">
        <v>3856</v>
      </c>
      <c r="R414" s="1" t="s">
        <v>3857</v>
      </c>
      <c r="S414" s="1" t="s">
        <v>3858</v>
      </c>
      <c r="T414" s="1" t="s">
        <v>3859</v>
      </c>
      <c r="U414" s="1" t="s">
        <v>3860</v>
      </c>
      <c r="V414" s="13">
        <f>COUNTIF(L414:$M$1659,L414)</f>
        <v>10</v>
      </c>
      <c r="W414" s="1" t="s">
        <v>3861</v>
      </c>
      <c r="X414">
        <v>321.73</v>
      </c>
      <c r="Y414">
        <v>35.54</v>
      </c>
      <c r="Z414">
        <v>11.912875</v>
      </c>
      <c r="AA414">
        <v>107.398793</v>
      </c>
      <c r="AB414">
        <v>286.19</v>
      </c>
      <c r="AC414">
        <v>11.923932000000001</v>
      </c>
      <c r="AD414">
        <v>107.415873</v>
      </c>
      <c r="AE414" s="5">
        <f t="shared" si="31"/>
        <v>5.3310000000000003E-2</v>
      </c>
      <c r="AF414" s="5">
        <f t="shared" si="32"/>
        <v>0.42928499999999997</v>
      </c>
      <c r="AG414" s="1" t="str">
        <f>TRIM(LEFT(L414,FIND("-",L414)-1))</f>
        <v>Đội CC&amp;CNCH khu vực 13</v>
      </c>
      <c r="AH414" s="1" t="str">
        <f>TRIM(RIGHT(L414, LEN(L414) - FIND("-", L414)))</f>
        <v>Công an xã Quảng Tín</v>
      </c>
      <c r="AJ414">
        <f t="shared" si="33"/>
        <v>3.5540000000000002E-2</v>
      </c>
      <c r="AK414">
        <f t="shared" si="34"/>
        <v>0.28619</v>
      </c>
      <c r="AL414" t="e">
        <f>VLOOKUP(L414,'[1]Tuyến cáp H04'!$B:$E,3,0)/1000</f>
        <v>#N/A</v>
      </c>
      <c r="AM414" t="e">
        <f>VLOOKUP(L414,'[1]Tuyến cáp H04'!$B:$E,4,0)</f>
        <v>#N/A</v>
      </c>
    </row>
    <row r="415" spans="1:39" x14ac:dyDescent="0.25">
      <c r="A415" s="1" t="s">
        <v>3862</v>
      </c>
      <c r="B415" s="1" t="s">
        <v>3863</v>
      </c>
      <c r="C415" s="1" t="s">
        <v>3864</v>
      </c>
      <c r="D415" s="1" t="s">
        <v>3509</v>
      </c>
      <c r="E415" s="1" t="s">
        <v>3510</v>
      </c>
      <c r="F415" s="1" t="s">
        <v>3865</v>
      </c>
      <c r="G415" s="1" t="s">
        <v>14129</v>
      </c>
      <c r="H415" s="1" t="s">
        <v>14130</v>
      </c>
      <c r="I415" s="1" t="s">
        <v>14539</v>
      </c>
      <c r="J415" s="1" t="s">
        <v>23</v>
      </c>
      <c r="K415" s="1"/>
      <c r="L415" s="1" t="s">
        <v>3866</v>
      </c>
      <c r="M415" s="1" t="s">
        <v>3866</v>
      </c>
      <c r="N415" s="12" t="b">
        <f t="shared" si="30"/>
        <v>1</v>
      </c>
      <c r="O415" s="1" t="s">
        <v>3867</v>
      </c>
      <c r="P415" s="1" t="s">
        <v>3868</v>
      </c>
      <c r="Q415" s="1" t="s">
        <v>3869</v>
      </c>
      <c r="R415" s="1" t="s">
        <v>3870</v>
      </c>
      <c r="S415" s="1" t="s">
        <v>3871</v>
      </c>
      <c r="T415" s="1" t="s">
        <v>3872</v>
      </c>
      <c r="U415" s="1" t="s">
        <v>3873</v>
      </c>
      <c r="V415" s="13">
        <f>COUNTIF(L415:$M$1659,L415)</f>
        <v>4</v>
      </c>
      <c r="W415" s="1" t="s">
        <v>3874</v>
      </c>
      <c r="X415">
        <v>114.74</v>
      </c>
      <c r="Y415">
        <v>112.16</v>
      </c>
      <c r="Z415">
        <v>12.501187</v>
      </c>
      <c r="AA415">
        <v>107.743188</v>
      </c>
      <c r="AB415">
        <v>2.58</v>
      </c>
      <c r="AC415">
        <v>12.509452</v>
      </c>
      <c r="AD415">
        <v>107.749016</v>
      </c>
      <c r="AE415" s="5">
        <f t="shared" si="31"/>
        <v>0.16824</v>
      </c>
      <c r="AF415" s="5">
        <f t="shared" si="32"/>
        <v>3.8700000000000002E-3</v>
      </c>
      <c r="AG415" s="1" t="str">
        <f>TRIM(LEFT(L415,FIND("-",L415)-1))</f>
        <v>Công an xã Đắk Mil</v>
      </c>
      <c r="AH415" s="1" t="str">
        <f>TRIM(RIGHT(L415, LEN(L415) - FIND("-", L415)))</f>
        <v>Phòng PC08 - Đội CSGT số 4</v>
      </c>
      <c r="AJ415">
        <f t="shared" si="33"/>
        <v>0.11216</v>
      </c>
      <c r="AK415">
        <f t="shared" si="34"/>
        <v>2.5800000000000003E-3</v>
      </c>
      <c r="AL415" t="e">
        <f>VLOOKUP(L415,'[1]Tuyến cáp H04'!$B:$E,3,0)/1000</f>
        <v>#N/A</v>
      </c>
      <c r="AM415" t="e">
        <f>VLOOKUP(L415,'[1]Tuyến cáp H04'!$B:$E,4,0)</f>
        <v>#N/A</v>
      </c>
    </row>
    <row r="416" spans="1:39" x14ac:dyDescent="0.25">
      <c r="A416" s="1" t="s">
        <v>3875</v>
      </c>
      <c r="B416" s="1" t="s">
        <v>3876</v>
      </c>
      <c r="C416" s="1" t="s">
        <v>3877</v>
      </c>
      <c r="D416" s="1" t="s">
        <v>3509</v>
      </c>
      <c r="E416" s="1" t="s">
        <v>3510</v>
      </c>
      <c r="F416" s="1" t="s">
        <v>3878</v>
      </c>
      <c r="G416" s="1" t="s">
        <v>14129</v>
      </c>
      <c r="H416" s="1" t="s">
        <v>14130</v>
      </c>
      <c r="I416" s="1" t="s">
        <v>14540</v>
      </c>
      <c r="J416" s="1" t="s">
        <v>23</v>
      </c>
      <c r="K416" s="1"/>
      <c r="L416" s="1" t="s">
        <v>3471</v>
      </c>
      <c r="M416" s="1" t="s">
        <v>3471</v>
      </c>
      <c r="N416" s="12" t="b">
        <f t="shared" si="30"/>
        <v>1</v>
      </c>
      <c r="O416" s="1" t="s">
        <v>3879</v>
      </c>
      <c r="P416" s="1" t="s">
        <v>3880</v>
      </c>
      <c r="Q416" s="1" t="s">
        <v>3881</v>
      </c>
      <c r="R416" s="1" t="s">
        <v>3882</v>
      </c>
      <c r="S416" s="1" t="s">
        <v>3515</v>
      </c>
      <c r="T416" s="1" t="s">
        <v>3516</v>
      </c>
      <c r="U416" s="1" t="s">
        <v>3517</v>
      </c>
      <c r="V416" s="13">
        <f>COUNTIF(L416:$M$1659,L416)</f>
        <v>6</v>
      </c>
      <c r="W416" s="1" t="s">
        <v>3521</v>
      </c>
      <c r="X416">
        <v>1829.93</v>
      </c>
      <c r="Y416">
        <v>1569.43</v>
      </c>
      <c r="Z416">
        <v>12.532603</v>
      </c>
      <c r="AA416">
        <v>107.777164</v>
      </c>
      <c r="AB416">
        <v>260.5</v>
      </c>
      <c r="AC416">
        <v>12.511248999999999</v>
      </c>
      <c r="AD416">
        <v>107.74746399999999</v>
      </c>
      <c r="AE416" s="5">
        <f t="shared" si="31"/>
        <v>2.3541449999999999</v>
      </c>
      <c r="AF416" s="5">
        <f t="shared" si="32"/>
        <v>0.39074999999999999</v>
      </c>
      <c r="AG416" s="1" t="str">
        <f>TRIM(LEFT(L416,FIND("-",L416)-1))</f>
        <v xml:space="preserve">Công an xã Đức Lập (Trụ sở 2 CAH Đắk Mil cũ)
</v>
      </c>
      <c r="AH416" s="1" t="str">
        <f>TRIM(RIGHT(L416, LEN(L416) - FIND("-", L416)))</f>
        <v>Công an xã Cư Jút (Trụ sở CAH Cư Jút cũ)</v>
      </c>
      <c r="AJ416">
        <f t="shared" si="33"/>
        <v>1.5694300000000001</v>
      </c>
      <c r="AK416">
        <f t="shared" si="34"/>
        <v>0.26050000000000001</v>
      </c>
      <c r="AL416" t="e">
        <f>VLOOKUP(L416,'[1]Tuyến cáp H04'!$B:$E,3,0)/1000</f>
        <v>#N/A</v>
      </c>
      <c r="AM416" t="e">
        <f>VLOOKUP(L416,'[1]Tuyến cáp H04'!$B:$E,4,0)</f>
        <v>#N/A</v>
      </c>
    </row>
    <row r="417" spans="1:39" x14ac:dyDescent="0.25">
      <c r="A417" s="1" t="s">
        <v>3883</v>
      </c>
      <c r="B417" s="1" t="s">
        <v>3884</v>
      </c>
      <c r="C417" s="1" t="s">
        <v>3885</v>
      </c>
      <c r="D417" s="1" t="s">
        <v>3599</v>
      </c>
      <c r="E417" s="1" t="s">
        <v>3600</v>
      </c>
      <c r="F417" s="1" t="s">
        <v>3886</v>
      </c>
      <c r="G417" s="1" t="s">
        <v>14129</v>
      </c>
      <c r="H417" s="1" t="s">
        <v>14130</v>
      </c>
      <c r="I417" s="1" t="s">
        <v>14541</v>
      </c>
      <c r="J417" s="1" t="s">
        <v>23</v>
      </c>
      <c r="K417" s="1"/>
      <c r="L417" s="1" t="s">
        <v>3887</v>
      </c>
      <c r="M417" s="1" t="s">
        <v>3887</v>
      </c>
      <c r="N417" s="12" t="b">
        <f t="shared" si="30"/>
        <v>1</v>
      </c>
      <c r="O417" s="1" t="s">
        <v>3888</v>
      </c>
      <c r="P417" s="1" t="s">
        <v>3889</v>
      </c>
      <c r="Q417" s="1" t="s">
        <v>3890</v>
      </c>
      <c r="R417" s="1" t="s">
        <v>3891</v>
      </c>
      <c r="S417" s="1" t="s">
        <v>3892</v>
      </c>
      <c r="T417" s="1" t="s">
        <v>3893</v>
      </c>
      <c r="U417" s="1" t="s">
        <v>3894</v>
      </c>
      <c r="V417" s="13">
        <f>COUNTIF(L417:$M$1659,L417)</f>
        <v>2</v>
      </c>
      <c r="W417" s="1" t="s">
        <v>3895</v>
      </c>
      <c r="X417">
        <v>622.58000000000004</v>
      </c>
      <c r="Y417">
        <v>620.1</v>
      </c>
      <c r="Z417">
        <v>12.410083999999999</v>
      </c>
      <c r="AA417">
        <v>107.58107699999999</v>
      </c>
      <c r="AB417">
        <v>2.48</v>
      </c>
      <c r="AC417">
        <v>12.411949999999999</v>
      </c>
      <c r="AD417">
        <v>107.58006399999999</v>
      </c>
      <c r="AE417" s="5">
        <f t="shared" si="31"/>
        <v>0.93015000000000014</v>
      </c>
      <c r="AF417" s="5">
        <f t="shared" si="32"/>
        <v>3.7199999999999998E-3</v>
      </c>
      <c r="AG417" s="1" t="str">
        <f>TRIM(LEFT(L417,FIND("-",L417)-1))</f>
        <v>Công an xã Thuận An</v>
      </c>
      <c r="AH417" s="1" t="str">
        <f>TRIM(RIGHT(L417, LEN(L417) - FIND("-", L417)))</f>
        <v>Phòng PC02 - Tổ địa bàn số 2</v>
      </c>
      <c r="AJ417">
        <f t="shared" si="33"/>
        <v>0.62009999999999998</v>
      </c>
      <c r="AK417">
        <f t="shared" si="34"/>
        <v>2.48E-3</v>
      </c>
      <c r="AL417" t="e">
        <f>VLOOKUP(L417,'[1]Tuyến cáp H04'!$B:$E,3,0)/1000</f>
        <v>#N/A</v>
      </c>
      <c r="AM417" t="e">
        <f>VLOOKUP(L417,'[1]Tuyến cáp H04'!$B:$E,4,0)</f>
        <v>#N/A</v>
      </c>
    </row>
    <row r="418" spans="1:39" x14ac:dyDescent="0.25">
      <c r="A418" s="1" t="s">
        <v>3896</v>
      </c>
      <c r="B418" s="1" t="s">
        <v>3897</v>
      </c>
      <c r="C418" s="1" t="s">
        <v>3898</v>
      </c>
      <c r="D418" s="1" t="s">
        <v>3599</v>
      </c>
      <c r="E418" s="1" t="s">
        <v>3600</v>
      </c>
      <c r="F418" s="1" t="s">
        <v>3899</v>
      </c>
      <c r="G418" s="1" t="s">
        <v>14129</v>
      </c>
      <c r="H418" s="1" t="s">
        <v>14130</v>
      </c>
      <c r="I418" s="1" t="s">
        <v>14542</v>
      </c>
      <c r="J418" s="1" t="s">
        <v>23</v>
      </c>
      <c r="K418" s="1"/>
      <c r="L418" s="1" t="s">
        <v>3541</v>
      </c>
      <c r="M418" s="1" t="s">
        <v>3541</v>
      </c>
      <c r="N418" s="12" t="b">
        <f t="shared" si="30"/>
        <v>1</v>
      </c>
      <c r="O418" s="1" t="s">
        <v>3900</v>
      </c>
      <c r="P418" s="1" t="s">
        <v>3901</v>
      </c>
      <c r="Q418" s="1" t="s">
        <v>3902</v>
      </c>
      <c r="R418" s="1" t="s">
        <v>3903</v>
      </c>
      <c r="S418" s="1" t="s">
        <v>3612</v>
      </c>
      <c r="T418" s="1" t="s">
        <v>3544</v>
      </c>
      <c r="U418" s="1" t="s">
        <v>3545</v>
      </c>
      <c r="V418" s="13">
        <f>COUNTIF(L418:$M$1659,L418)</f>
        <v>10</v>
      </c>
      <c r="W418" s="1" t="s">
        <v>3549</v>
      </c>
      <c r="X418">
        <v>654.41999999999996</v>
      </c>
      <c r="Y418">
        <v>122.04</v>
      </c>
      <c r="Z418">
        <v>12.43608</v>
      </c>
      <c r="AA418">
        <v>107.592159</v>
      </c>
      <c r="AB418">
        <v>532.38</v>
      </c>
      <c r="AC418">
        <v>12.415565000000001</v>
      </c>
      <c r="AD418">
        <v>107.58331099999999</v>
      </c>
      <c r="AE418" s="5">
        <f t="shared" si="31"/>
        <v>0.18306</v>
      </c>
      <c r="AF418" s="5">
        <f t="shared" si="32"/>
        <v>0.79856999999999989</v>
      </c>
      <c r="AG418" s="1" t="str">
        <f>TRIM(LEFT(L418,FIND("-",L418)-1))</f>
        <v>Công an tỉnh Lâm Đồng</v>
      </c>
      <c r="AH418" s="1" t="str">
        <f>TRIM(RIGHT(L418, LEN(L418) - FIND("-", L418)))</f>
        <v>TT2
- Công an xã Đức Lập (Trụ sở 2 CAH Đắk Mil cũ)</v>
      </c>
      <c r="AJ418">
        <f t="shared" si="33"/>
        <v>0.12204000000000001</v>
      </c>
      <c r="AK418">
        <f t="shared" si="34"/>
        <v>0.53237999999999996</v>
      </c>
      <c r="AL418" t="e">
        <f>VLOOKUP(L418,'[1]Tuyến cáp H04'!$B:$E,3,0)/1000</f>
        <v>#N/A</v>
      </c>
      <c r="AM418" t="e">
        <f>VLOOKUP(L418,'[1]Tuyến cáp H04'!$B:$E,4,0)</f>
        <v>#N/A</v>
      </c>
    </row>
    <row r="419" spans="1:39" x14ac:dyDescent="0.25">
      <c r="A419" s="1" t="s">
        <v>3904</v>
      </c>
      <c r="B419" s="1" t="s">
        <v>3905</v>
      </c>
      <c r="C419" s="1" t="s">
        <v>3906</v>
      </c>
      <c r="D419" s="1" t="s">
        <v>3716</v>
      </c>
      <c r="E419" s="1" t="s">
        <v>3717</v>
      </c>
      <c r="F419" s="1" t="s">
        <v>3907</v>
      </c>
      <c r="G419" s="1" t="s">
        <v>14129</v>
      </c>
      <c r="H419" s="1" t="s">
        <v>14130</v>
      </c>
      <c r="I419" s="1" t="s">
        <v>14543</v>
      </c>
      <c r="J419" s="1" t="s">
        <v>23</v>
      </c>
      <c r="K419" s="1"/>
      <c r="L419" s="1" t="s">
        <v>3541</v>
      </c>
      <c r="M419" s="1" t="s">
        <v>3541</v>
      </c>
      <c r="N419" s="12" t="b">
        <f t="shared" si="30"/>
        <v>1</v>
      </c>
      <c r="O419" s="1" t="s">
        <v>3908</v>
      </c>
      <c r="P419" s="1" t="s">
        <v>3909</v>
      </c>
      <c r="Q419" s="1" t="s">
        <v>3910</v>
      </c>
      <c r="R419" s="1" t="s">
        <v>3911</v>
      </c>
      <c r="S419" s="1" t="s">
        <v>3912</v>
      </c>
      <c r="T419" s="1" t="s">
        <v>3913</v>
      </c>
      <c r="U419" s="1" t="s">
        <v>3914</v>
      </c>
      <c r="V419" s="13">
        <f>COUNTIF(L419:$M$1659,L419)</f>
        <v>8</v>
      </c>
      <c r="W419" s="1" t="s">
        <v>3549</v>
      </c>
      <c r="X419">
        <v>210.27</v>
      </c>
      <c r="Y419">
        <v>65.91</v>
      </c>
      <c r="Z419">
        <v>12.260488</v>
      </c>
      <c r="AA419">
        <v>107.611086</v>
      </c>
      <c r="AB419">
        <v>144.36000000000001</v>
      </c>
      <c r="AC419">
        <v>12.25478</v>
      </c>
      <c r="AD419">
        <v>107.609988</v>
      </c>
      <c r="AE419" s="5">
        <f t="shared" si="31"/>
        <v>9.8864999999999995E-2</v>
      </c>
      <c r="AF419" s="5">
        <f t="shared" si="32"/>
        <v>0.21654000000000001</v>
      </c>
      <c r="AG419" s="1" t="str">
        <f>TRIM(LEFT(L419,FIND("-",L419)-1))</f>
        <v>Công an tỉnh Lâm Đồng</v>
      </c>
      <c r="AH419" s="1" t="str">
        <f>TRIM(RIGHT(L419, LEN(L419) - FIND("-", L419)))</f>
        <v>TT2
- Công an xã Đức Lập (Trụ sở 2 CAH Đắk Mil cũ)</v>
      </c>
      <c r="AJ419">
        <f t="shared" si="33"/>
        <v>6.5909999999999996E-2</v>
      </c>
      <c r="AK419">
        <f t="shared" si="34"/>
        <v>0.14436000000000002</v>
      </c>
      <c r="AL419" t="e">
        <f>VLOOKUP(L419,'[1]Tuyến cáp H04'!$B:$E,3,0)/1000</f>
        <v>#N/A</v>
      </c>
      <c r="AM419" t="e">
        <f>VLOOKUP(L419,'[1]Tuyến cáp H04'!$B:$E,4,0)</f>
        <v>#N/A</v>
      </c>
    </row>
    <row r="420" spans="1:39" x14ac:dyDescent="0.25">
      <c r="A420" s="1" t="s">
        <v>3915</v>
      </c>
      <c r="B420" s="1" t="s">
        <v>3916</v>
      </c>
      <c r="C420" s="1" t="s">
        <v>3917</v>
      </c>
      <c r="D420" s="1" t="s">
        <v>3481</v>
      </c>
      <c r="E420" s="1" t="s">
        <v>3482</v>
      </c>
      <c r="F420" s="1" t="s">
        <v>3918</v>
      </c>
      <c r="G420" s="1" t="s">
        <v>14129</v>
      </c>
      <c r="H420" s="1" t="s">
        <v>14130</v>
      </c>
      <c r="I420" s="1" t="s">
        <v>14544</v>
      </c>
      <c r="J420" s="1" t="s">
        <v>23</v>
      </c>
      <c r="K420" s="1"/>
      <c r="L420" s="1" t="s">
        <v>3486</v>
      </c>
      <c r="M420" s="1" t="s">
        <v>3486</v>
      </c>
      <c r="N420" s="12" t="b">
        <f t="shared" si="30"/>
        <v>1</v>
      </c>
      <c r="O420" s="1" t="s">
        <v>3919</v>
      </c>
      <c r="P420" s="1" t="s">
        <v>3920</v>
      </c>
      <c r="Q420" s="1" t="s">
        <v>3921</v>
      </c>
      <c r="R420" s="1" t="s">
        <v>3922</v>
      </c>
      <c r="S420" s="1" t="s">
        <v>3923</v>
      </c>
      <c r="T420" s="1" t="s">
        <v>3924</v>
      </c>
      <c r="U420" s="1" t="s">
        <v>3925</v>
      </c>
      <c r="V420" s="13">
        <f>COUNTIF(L420:$M$1659,L420)</f>
        <v>2</v>
      </c>
      <c r="W420" s="1" t="s">
        <v>3926</v>
      </c>
      <c r="X420">
        <v>1025.8900000000001</v>
      </c>
      <c r="Y420">
        <v>93.89</v>
      </c>
      <c r="Z420">
        <v>12.63913</v>
      </c>
      <c r="AA420">
        <v>107.851491</v>
      </c>
      <c r="AB420">
        <v>932</v>
      </c>
      <c r="AC420">
        <v>12.649492</v>
      </c>
      <c r="AD420">
        <v>107.86497</v>
      </c>
      <c r="AE420" s="5">
        <f t="shared" si="31"/>
        <v>0.14083500000000002</v>
      </c>
      <c r="AF420" s="5">
        <f t="shared" si="32"/>
        <v>1.3979999999999999</v>
      </c>
      <c r="AG420" s="1" t="str">
        <f>TRIM(LEFT(L420,FIND("-",L420)-1))</f>
        <v>Công an xã Nam Dong</v>
      </c>
      <c r="AH420" s="1" t="str">
        <f>TRIM(RIGHT(L420, LEN(L420) - FIND("-", L420)))</f>
        <v>Công an xã Đắk Mil</v>
      </c>
      <c r="AJ420">
        <f t="shared" si="33"/>
        <v>9.3890000000000001E-2</v>
      </c>
      <c r="AK420">
        <f t="shared" si="34"/>
        <v>0.93200000000000005</v>
      </c>
      <c r="AL420" t="e">
        <f>VLOOKUP(L420,'[1]Tuyến cáp H04'!$B:$E,3,0)/1000</f>
        <v>#N/A</v>
      </c>
      <c r="AM420" t="e">
        <f>VLOOKUP(L420,'[1]Tuyến cáp H04'!$B:$E,4,0)</f>
        <v>#N/A</v>
      </c>
    </row>
    <row r="421" spans="1:39" x14ac:dyDescent="0.25">
      <c r="A421" s="1" t="s">
        <v>3927</v>
      </c>
      <c r="B421" s="1" t="s">
        <v>3928</v>
      </c>
      <c r="C421" s="1" t="s">
        <v>3929</v>
      </c>
      <c r="D421" s="1" t="s">
        <v>3700</v>
      </c>
      <c r="E421" s="1" t="s">
        <v>3701</v>
      </c>
      <c r="F421" s="1" t="s">
        <v>3930</v>
      </c>
      <c r="G421" s="1" t="s">
        <v>14129</v>
      </c>
      <c r="H421" s="1" t="s">
        <v>14130</v>
      </c>
      <c r="I421" s="1" t="s">
        <v>14545</v>
      </c>
      <c r="J421" s="1" t="s">
        <v>23</v>
      </c>
      <c r="K421" s="1"/>
      <c r="L421" s="1" t="s">
        <v>3589</v>
      </c>
      <c r="M421" s="1" t="s">
        <v>3589</v>
      </c>
      <c r="N421" s="12" t="b">
        <f t="shared" si="30"/>
        <v>1</v>
      </c>
      <c r="O421" s="1" t="s">
        <v>3931</v>
      </c>
      <c r="P421" s="1" t="s">
        <v>3932</v>
      </c>
      <c r="Q421" s="1" t="s">
        <v>3933</v>
      </c>
      <c r="R421" s="1" t="s">
        <v>3934</v>
      </c>
      <c r="S421" s="1" t="s">
        <v>3935</v>
      </c>
      <c r="T421" s="1" t="s">
        <v>3933</v>
      </c>
      <c r="U421" s="1" t="s">
        <v>3934</v>
      </c>
      <c r="V421" s="13">
        <f>COUNTIF(L421:$M$1659,L421)</f>
        <v>2</v>
      </c>
      <c r="W421" s="1" t="s">
        <v>3936</v>
      </c>
      <c r="X421">
        <v>1620.03</v>
      </c>
      <c r="Y421">
        <v>1617.32</v>
      </c>
      <c r="Z421">
        <v>12.263942</v>
      </c>
      <c r="AA421">
        <v>107.37797500000001</v>
      </c>
      <c r="AB421">
        <v>2.71</v>
      </c>
      <c r="AC421">
        <v>12.263942</v>
      </c>
      <c r="AD421">
        <v>107.37797500000001</v>
      </c>
      <c r="AE421" s="5">
        <f t="shared" si="31"/>
        <v>2.42598</v>
      </c>
      <c r="AF421" s="5">
        <f t="shared" si="32"/>
        <v>4.0649999999999992E-3</v>
      </c>
      <c r="AG421" s="1" t="str">
        <f>TRIM(LEFT(L421,FIND("-",L421)-1))</f>
        <v>Thuận Hạnh</v>
      </c>
      <c r="AH421" s="1" t="str">
        <f>TRIM(RIGHT(L421, LEN(L421) - FIND("-", L421)))</f>
        <v>Quảng Trực</v>
      </c>
      <c r="AJ421">
        <f t="shared" si="33"/>
        <v>1.6173199999999999</v>
      </c>
      <c r="AK421">
        <f t="shared" si="34"/>
        <v>2.7100000000000002E-3</v>
      </c>
      <c r="AL421">
        <f>VLOOKUP(L421,'[1]Tuyến cáp H04'!$B:$E,3,0)/1000</f>
        <v>23.52</v>
      </c>
      <c r="AM421" t="str">
        <f>VLOOKUP(L421,'[1]Tuyến cáp H04'!$B:$E,4,0)</f>
        <v>Mạng cấp 4</v>
      </c>
    </row>
    <row r="422" spans="1:39" x14ac:dyDescent="0.25">
      <c r="A422" s="1" t="s">
        <v>3937</v>
      </c>
      <c r="B422" s="1" t="s">
        <v>3938</v>
      </c>
      <c r="C422" s="1" t="s">
        <v>3939</v>
      </c>
      <c r="D422" s="1" t="s">
        <v>3451</v>
      </c>
      <c r="E422" s="1" t="s">
        <v>3452</v>
      </c>
      <c r="F422" s="1" t="s">
        <v>3940</v>
      </c>
      <c r="G422" s="1" t="s">
        <v>14129</v>
      </c>
      <c r="H422" s="1" t="s">
        <v>14130</v>
      </c>
      <c r="I422" s="1" t="s">
        <v>14546</v>
      </c>
      <c r="J422" s="1" t="s">
        <v>23</v>
      </c>
      <c r="K422" s="1"/>
      <c r="L422" s="1" t="s">
        <v>3456</v>
      </c>
      <c r="M422" s="1" t="s">
        <v>3456</v>
      </c>
      <c r="N422" s="12" t="b">
        <f t="shared" si="30"/>
        <v>1</v>
      </c>
      <c r="O422" s="1" t="s">
        <v>3941</v>
      </c>
      <c r="P422" s="1" t="s">
        <v>3942</v>
      </c>
      <c r="Q422" s="1" t="s">
        <v>3943</v>
      </c>
      <c r="R422" s="1" t="s">
        <v>3944</v>
      </c>
      <c r="S422" s="1" t="s">
        <v>3458</v>
      </c>
      <c r="T422" s="1" t="s">
        <v>3459</v>
      </c>
      <c r="U422" s="1" t="s">
        <v>3460</v>
      </c>
      <c r="V422" s="13">
        <f>COUNTIF(L422:$M$1659,L422)</f>
        <v>14</v>
      </c>
      <c r="W422" s="1" t="s">
        <v>3464</v>
      </c>
      <c r="X422">
        <v>760.5</v>
      </c>
      <c r="Y422">
        <v>395.69</v>
      </c>
      <c r="Z422">
        <v>12.131570999999999</v>
      </c>
      <c r="AA422">
        <v>107.652833</v>
      </c>
      <c r="AB422">
        <v>364.81</v>
      </c>
      <c r="AC422">
        <v>12.099976</v>
      </c>
      <c r="AD422">
        <v>107.656622</v>
      </c>
      <c r="AE422" s="5">
        <f t="shared" si="31"/>
        <v>0.59353499999999992</v>
      </c>
      <c r="AF422" s="5">
        <f t="shared" si="32"/>
        <v>0.54721500000000001</v>
      </c>
      <c r="AG422" s="1" t="str">
        <f>TRIM(LEFT(L422,FIND("-",L422)-1))</f>
        <v>Công an tỉnh Lâm Đồng</v>
      </c>
      <c r="AH422" s="1" t="str">
        <f>TRIM(RIGHT(L422, LEN(L422) - FIND("-", L422)))</f>
        <v>TT2 - Công an xã Đức An (Trụ sở CAH Đắk Song cũ)</v>
      </c>
      <c r="AJ422">
        <f t="shared" si="33"/>
        <v>0.39568999999999999</v>
      </c>
      <c r="AK422">
        <f t="shared" si="34"/>
        <v>0.36481000000000002</v>
      </c>
      <c r="AL422" t="e">
        <f>VLOOKUP(L422,'[1]Tuyến cáp H04'!$B:$E,3,0)/1000</f>
        <v>#N/A</v>
      </c>
      <c r="AM422" t="e">
        <f>VLOOKUP(L422,'[1]Tuyến cáp H04'!$B:$E,4,0)</f>
        <v>#N/A</v>
      </c>
    </row>
    <row r="423" spans="1:39" x14ac:dyDescent="0.25">
      <c r="A423" s="1" t="s">
        <v>3945</v>
      </c>
      <c r="B423" s="1" t="s">
        <v>3946</v>
      </c>
      <c r="C423" s="1" t="s">
        <v>3947</v>
      </c>
      <c r="D423" s="1" t="s">
        <v>3451</v>
      </c>
      <c r="E423" s="1" t="s">
        <v>3452</v>
      </c>
      <c r="F423" s="1" t="s">
        <v>3948</v>
      </c>
      <c r="G423" s="1" t="s">
        <v>14129</v>
      </c>
      <c r="H423" s="1" t="s">
        <v>14130</v>
      </c>
      <c r="I423" s="1" t="s">
        <v>14547</v>
      </c>
      <c r="J423" s="1" t="s">
        <v>23</v>
      </c>
      <c r="K423" s="1"/>
      <c r="L423" s="1" t="s">
        <v>3949</v>
      </c>
      <c r="M423" s="1" t="s">
        <v>3949</v>
      </c>
      <c r="N423" s="12" t="b">
        <f t="shared" si="30"/>
        <v>1</v>
      </c>
      <c r="O423" s="1" t="s">
        <v>3950</v>
      </c>
      <c r="P423" s="1" t="s">
        <v>3951</v>
      </c>
      <c r="Q423" s="1" t="s">
        <v>3952</v>
      </c>
      <c r="R423" s="1" t="s">
        <v>3953</v>
      </c>
      <c r="S423" s="1" t="s">
        <v>3954</v>
      </c>
      <c r="T423" s="1" t="s">
        <v>3955</v>
      </c>
      <c r="U423" s="1" t="s">
        <v>3956</v>
      </c>
      <c r="V423" s="13">
        <f>COUNTIF(L423:$M$1659,L423)</f>
        <v>2</v>
      </c>
      <c r="W423" s="1" t="s">
        <v>3957</v>
      </c>
      <c r="X423">
        <v>638.96</v>
      </c>
      <c r="Y423">
        <v>632.88</v>
      </c>
      <c r="Z423">
        <v>12.101863</v>
      </c>
      <c r="AA423">
        <v>107.658514</v>
      </c>
      <c r="AB423">
        <v>6.08</v>
      </c>
      <c r="AC423">
        <v>12.102447</v>
      </c>
      <c r="AD423">
        <v>107.654394</v>
      </c>
      <c r="AE423" s="5">
        <f t="shared" si="31"/>
        <v>0.94931999999999994</v>
      </c>
      <c r="AF423" s="5">
        <f t="shared" si="32"/>
        <v>9.1200000000000014E-3</v>
      </c>
      <c r="AG423" s="1" t="str">
        <f>TRIM(LEFT(L423,FIND("-",L423)-1))</f>
        <v>Đội CSGT Đường bộ số 4</v>
      </c>
      <c r="AH423" s="1" t="str">
        <f>TRIM(RIGHT(L423, LEN(L423) - FIND("-", L423)))</f>
        <v>II - Trường Xuân</v>
      </c>
      <c r="AJ423">
        <f t="shared" si="33"/>
        <v>0.63288</v>
      </c>
      <c r="AK423">
        <f t="shared" si="34"/>
        <v>6.0800000000000003E-3</v>
      </c>
      <c r="AL423">
        <f>VLOOKUP(L423,'[1]Tuyến cáp H04'!$B:$E,3,0)/1000</f>
        <v>12.122</v>
      </c>
      <c r="AM423" t="str">
        <f>VLOOKUP(L423,'[1]Tuyến cáp H04'!$B:$E,4,0)</f>
        <v>Mạng cấp 4</v>
      </c>
    </row>
    <row r="424" spans="1:39" x14ac:dyDescent="0.25">
      <c r="A424" s="1" t="s">
        <v>3958</v>
      </c>
      <c r="B424" s="1" t="s">
        <v>3959</v>
      </c>
      <c r="C424" s="1" t="s">
        <v>3960</v>
      </c>
      <c r="D424" s="1" t="s">
        <v>3481</v>
      </c>
      <c r="E424" s="1" t="s">
        <v>3482</v>
      </c>
      <c r="F424" s="1" t="s">
        <v>3961</v>
      </c>
      <c r="G424" s="1" t="s">
        <v>14129</v>
      </c>
      <c r="H424" s="1" t="s">
        <v>14130</v>
      </c>
      <c r="I424" s="1" t="s">
        <v>14548</v>
      </c>
      <c r="J424" s="1" t="s">
        <v>23</v>
      </c>
      <c r="K424" s="1"/>
      <c r="L424" s="1" t="s">
        <v>3962</v>
      </c>
      <c r="M424" s="1" t="s">
        <v>3962</v>
      </c>
      <c r="N424" s="12" t="b">
        <f t="shared" si="30"/>
        <v>1</v>
      </c>
      <c r="O424" s="1" t="s">
        <v>3963</v>
      </c>
      <c r="P424" s="1" t="s">
        <v>3964</v>
      </c>
      <c r="Q424" s="1" t="s">
        <v>3965</v>
      </c>
      <c r="R424" s="1" t="s">
        <v>3966</v>
      </c>
      <c r="S424" s="1" t="s">
        <v>3967</v>
      </c>
      <c r="T424" s="1" t="s">
        <v>3968</v>
      </c>
      <c r="U424" s="1" t="s">
        <v>3969</v>
      </c>
      <c r="V424" s="13">
        <f>COUNTIF(L424:$M$1659,L424)</f>
        <v>2</v>
      </c>
      <c r="W424" s="1" t="s">
        <v>3970</v>
      </c>
      <c r="X424">
        <v>1445.14</v>
      </c>
      <c r="Y424">
        <v>1390.95</v>
      </c>
      <c r="Z424">
        <v>12.663349</v>
      </c>
      <c r="AA424">
        <v>107.863784</v>
      </c>
      <c r="AB424">
        <v>54.19</v>
      </c>
      <c r="AC424">
        <v>12.65029</v>
      </c>
      <c r="AD424">
        <v>107.87303300000001</v>
      </c>
      <c r="AE424" s="5">
        <f t="shared" si="31"/>
        <v>2.0864250000000002</v>
      </c>
      <c r="AF424" s="5">
        <f t="shared" si="32"/>
        <v>8.1284999999999996E-2</v>
      </c>
      <c r="AG424" s="1" t="str">
        <f>TRIM(LEFT(L424,FIND("-",L424)-1))</f>
        <v>Công an xã Đắk Wil</v>
      </c>
      <c r="AH424" s="1" t="str">
        <f>TRIM(RIGHT(L424, LEN(L424) - FIND("-", L424)))</f>
        <v>Công an xã Nam Dong</v>
      </c>
      <c r="AJ424">
        <f t="shared" si="33"/>
        <v>1.3909500000000001</v>
      </c>
      <c r="AK424">
        <f t="shared" si="34"/>
        <v>5.4189999999999995E-2</v>
      </c>
      <c r="AL424" t="e">
        <f>VLOOKUP(L424,'[1]Tuyến cáp H04'!$B:$E,3,0)/1000</f>
        <v>#N/A</v>
      </c>
      <c r="AM424" t="e">
        <f>VLOOKUP(L424,'[1]Tuyến cáp H04'!$B:$E,4,0)</f>
        <v>#N/A</v>
      </c>
    </row>
    <row r="425" spans="1:39" x14ac:dyDescent="0.25">
      <c r="A425" s="1" t="s">
        <v>3971</v>
      </c>
      <c r="B425" s="1" t="s">
        <v>3972</v>
      </c>
      <c r="C425" s="1" t="s">
        <v>3973</v>
      </c>
      <c r="D425" s="1" t="s">
        <v>3668</v>
      </c>
      <c r="E425" s="1" t="s">
        <v>3669</v>
      </c>
      <c r="F425" s="1" t="s">
        <v>3974</v>
      </c>
      <c r="G425" s="1" t="s">
        <v>14129</v>
      </c>
      <c r="H425" s="1" t="s">
        <v>14130</v>
      </c>
      <c r="I425" s="1" t="s">
        <v>14549</v>
      </c>
      <c r="J425" s="1" t="s">
        <v>23</v>
      </c>
      <c r="K425" s="1"/>
      <c r="L425" s="1" t="s">
        <v>3679</v>
      </c>
      <c r="M425" s="1" t="s">
        <v>3679</v>
      </c>
      <c r="N425" s="12" t="b">
        <f t="shared" si="30"/>
        <v>1</v>
      </c>
      <c r="O425" s="1" t="s">
        <v>3975</v>
      </c>
      <c r="P425" s="1" t="s">
        <v>3976</v>
      </c>
      <c r="Q425" s="1" t="s">
        <v>3977</v>
      </c>
      <c r="R425" s="1" t="s">
        <v>3978</v>
      </c>
      <c r="S425" s="1" t="s">
        <v>3681</v>
      </c>
      <c r="T425" s="1" t="s">
        <v>3682</v>
      </c>
      <c r="U425" s="1" t="s">
        <v>3683</v>
      </c>
      <c r="V425" s="13">
        <f>COUNTIF(L425:$M$1659,L425)</f>
        <v>4</v>
      </c>
      <c r="W425" s="1" t="s">
        <v>3687</v>
      </c>
      <c r="X425">
        <v>1137.6099999999999</v>
      </c>
      <c r="Y425">
        <v>744.02</v>
      </c>
      <c r="Z425">
        <v>12.430531999999999</v>
      </c>
      <c r="AA425">
        <v>107.656166</v>
      </c>
      <c r="AB425">
        <v>393.59</v>
      </c>
      <c r="AC425">
        <v>12.431642999999999</v>
      </c>
      <c r="AD425">
        <v>107.667064</v>
      </c>
      <c r="AE425" s="5">
        <f t="shared" si="31"/>
        <v>1.1160300000000001</v>
      </c>
      <c r="AF425" s="5">
        <f t="shared" si="32"/>
        <v>0.59038499999999994</v>
      </c>
      <c r="AG425" s="1" t="str">
        <f>TRIM(LEFT(L425,FIND("-",L425)-1))</f>
        <v>Đắk Sắk</v>
      </c>
      <c r="AH425" s="1" t="str">
        <f>TRIM(RIGHT(L425, LEN(L425) - FIND("-", L425)))</f>
        <v>Đắk Song</v>
      </c>
      <c r="AJ425">
        <f t="shared" si="33"/>
        <v>0.74402000000000001</v>
      </c>
      <c r="AK425">
        <f t="shared" si="34"/>
        <v>0.39359</v>
      </c>
      <c r="AL425">
        <f>VLOOKUP(L425,'[1]Tuyến cáp H04'!$B:$E,3,0)/1000</f>
        <v>5.859</v>
      </c>
      <c r="AM425" t="str">
        <f>VLOOKUP(L425,'[1]Tuyến cáp H04'!$B:$E,4,0)</f>
        <v>Mạng cấp 4</v>
      </c>
    </row>
    <row r="426" spans="1:39" x14ac:dyDescent="0.25">
      <c r="A426" s="1" t="s">
        <v>3979</v>
      </c>
      <c r="B426" s="1" t="s">
        <v>3980</v>
      </c>
      <c r="C426" s="1" t="s">
        <v>3981</v>
      </c>
      <c r="D426" s="1" t="s">
        <v>3599</v>
      </c>
      <c r="E426" s="1" t="s">
        <v>3600</v>
      </c>
      <c r="F426" s="1" t="s">
        <v>3982</v>
      </c>
      <c r="G426" s="1" t="s">
        <v>14129</v>
      </c>
      <c r="H426" s="1" t="s">
        <v>14130</v>
      </c>
      <c r="I426" s="1" t="s">
        <v>14550</v>
      </c>
      <c r="J426" s="1" t="s">
        <v>23</v>
      </c>
      <c r="K426" s="1"/>
      <c r="L426" s="1" t="s">
        <v>3541</v>
      </c>
      <c r="M426" s="1" t="s">
        <v>3541</v>
      </c>
      <c r="N426" s="12" t="b">
        <f t="shared" si="30"/>
        <v>1</v>
      </c>
      <c r="O426" s="1" t="s">
        <v>3983</v>
      </c>
      <c r="P426" s="1" t="s">
        <v>3984</v>
      </c>
      <c r="Q426" s="1" t="s">
        <v>3985</v>
      </c>
      <c r="R426" s="1" t="s">
        <v>3986</v>
      </c>
      <c r="S426" s="1" t="s">
        <v>3987</v>
      </c>
      <c r="T426" s="1" t="s">
        <v>3988</v>
      </c>
      <c r="U426" s="1" t="s">
        <v>3989</v>
      </c>
      <c r="V426" s="13">
        <f>COUNTIF(L426:$M$1659,L426)</f>
        <v>6</v>
      </c>
      <c r="W426" s="1" t="s">
        <v>3990</v>
      </c>
      <c r="X426">
        <v>520.62</v>
      </c>
      <c r="Y426">
        <v>470.55</v>
      </c>
      <c r="Z426">
        <v>12.395092</v>
      </c>
      <c r="AA426">
        <v>107.572092</v>
      </c>
      <c r="AB426">
        <v>50.07</v>
      </c>
      <c r="AC426">
        <v>12.411678999999999</v>
      </c>
      <c r="AD426">
        <v>107.58042500000001</v>
      </c>
      <c r="AE426" s="5">
        <f t="shared" si="31"/>
        <v>0.70582500000000004</v>
      </c>
      <c r="AF426" s="5">
        <f t="shared" si="32"/>
        <v>7.5105000000000005E-2</v>
      </c>
      <c r="AG426" s="1" t="str">
        <f>TRIM(LEFT(L426,FIND("-",L426)-1))</f>
        <v>Công an tỉnh Lâm Đồng</v>
      </c>
      <c r="AH426" s="1" t="str">
        <f>TRIM(RIGHT(L426, LEN(L426) - FIND("-", L426)))</f>
        <v>TT2
- Công an xã Đức Lập (Trụ sở 2 CAH Đắk Mil cũ)</v>
      </c>
      <c r="AJ426">
        <f t="shared" si="33"/>
        <v>0.47055000000000002</v>
      </c>
      <c r="AK426">
        <f t="shared" si="34"/>
        <v>5.0070000000000003E-2</v>
      </c>
      <c r="AL426" t="e">
        <f>VLOOKUP(L426,'[1]Tuyến cáp H04'!$B:$E,3,0)/1000</f>
        <v>#N/A</v>
      </c>
      <c r="AM426" t="e">
        <f>VLOOKUP(L426,'[1]Tuyến cáp H04'!$B:$E,4,0)</f>
        <v>#N/A</v>
      </c>
    </row>
    <row r="427" spans="1:39" x14ac:dyDescent="0.25">
      <c r="A427" s="1" t="s">
        <v>3991</v>
      </c>
      <c r="B427" s="1" t="s">
        <v>3992</v>
      </c>
      <c r="C427" s="1" t="s">
        <v>3993</v>
      </c>
      <c r="D427" s="1" t="s">
        <v>3827</v>
      </c>
      <c r="E427" s="1" t="s">
        <v>3828</v>
      </c>
      <c r="F427" s="1" t="s">
        <v>3994</v>
      </c>
      <c r="G427" s="1" t="s">
        <v>14129</v>
      </c>
      <c r="H427" s="1" t="s">
        <v>14130</v>
      </c>
      <c r="I427" s="1" t="s">
        <v>14551</v>
      </c>
      <c r="J427" s="1" t="s">
        <v>23</v>
      </c>
      <c r="K427" s="1"/>
      <c r="L427" s="1" t="s">
        <v>3995</v>
      </c>
      <c r="M427" s="1" t="s">
        <v>3995</v>
      </c>
      <c r="N427" s="12" t="b">
        <f t="shared" si="30"/>
        <v>1</v>
      </c>
      <c r="O427" s="1" t="s">
        <v>3996</v>
      </c>
      <c r="P427" s="1" t="s">
        <v>3997</v>
      </c>
      <c r="Q427" s="1" t="s">
        <v>3998</v>
      </c>
      <c r="R427" s="1" t="s">
        <v>3999</v>
      </c>
      <c r="S427" s="1" t="s">
        <v>683</v>
      </c>
      <c r="T427" s="1" t="s">
        <v>4000</v>
      </c>
      <c r="U427" s="1" t="s">
        <v>4001</v>
      </c>
      <c r="V427" s="13">
        <f>COUNTIF(L427:$M$1659,L427)</f>
        <v>4</v>
      </c>
      <c r="W427" s="1" t="s">
        <v>4002</v>
      </c>
      <c r="X427">
        <v>250.43</v>
      </c>
      <c r="Y427">
        <v>245.75</v>
      </c>
      <c r="Z427">
        <v>11.992292000000001</v>
      </c>
      <c r="AA427">
        <v>107.664286</v>
      </c>
      <c r="AB427">
        <v>4.67</v>
      </c>
      <c r="AC427">
        <v>11.982702</v>
      </c>
      <c r="AD427">
        <v>107.655608</v>
      </c>
      <c r="AE427" s="5">
        <f t="shared" si="31"/>
        <v>0.36862499999999998</v>
      </c>
      <c r="AF427" s="5">
        <f t="shared" si="32"/>
        <v>7.0049999999999999E-3</v>
      </c>
      <c r="AG427" s="1" t="str">
        <f>TRIM(LEFT(L427,FIND("-",L427)-1))</f>
        <v>Phòng PK02</v>
      </c>
      <c r="AH427" s="1" t="str">
        <f>TRIM(RIGHT(L427, LEN(L427) - FIND("-", L427)))</f>
        <v>Tổ địa bàn số 2 - Phòng PA06 - Tổ địa bàn số 2</v>
      </c>
      <c r="AJ427">
        <f t="shared" si="33"/>
        <v>0.24575</v>
      </c>
      <c r="AK427">
        <f t="shared" si="34"/>
        <v>4.6699999999999997E-3</v>
      </c>
      <c r="AL427" t="e">
        <f>VLOOKUP(L427,'[1]Tuyến cáp H04'!$B:$E,3,0)/1000</f>
        <v>#N/A</v>
      </c>
      <c r="AM427" t="e">
        <f>VLOOKUP(L427,'[1]Tuyến cáp H04'!$B:$E,4,0)</f>
        <v>#N/A</v>
      </c>
    </row>
    <row r="428" spans="1:39" x14ac:dyDescent="0.25">
      <c r="A428" s="1" t="s">
        <v>4003</v>
      </c>
      <c r="B428" s="1" t="s">
        <v>4004</v>
      </c>
      <c r="C428" s="1" t="s">
        <v>4005</v>
      </c>
      <c r="D428" s="1" t="s">
        <v>3799</v>
      </c>
      <c r="E428" s="1" t="s">
        <v>3800</v>
      </c>
      <c r="F428" s="1" t="s">
        <v>4006</v>
      </c>
      <c r="G428" s="1" t="s">
        <v>14129</v>
      </c>
      <c r="H428" s="1" t="s">
        <v>14130</v>
      </c>
      <c r="I428" s="1" t="s">
        <v>14552</v>
      </c>
      <c r="J428" s="1" t="s">
        <v>23</v>
      </c>
      <c r="K428" s="1"/>
      <c r="L428" s="1" t="s">
        <v>4007</v>
      </c>
      <c r="M428" s="1" t="s">
        <v>4007</v>
      </c>
      <c r="N428" s="12" t="b">
        <f t="shared" si="30"/>
        <v>1</v>
      </c>
      <c r="O428" s="1" t="s">
        <v>4008</v>
      </c>
      <c r="P428" s="1" t="s">
        <v>4009</v>
      </c>
      <c r="Q428" s="1" t="s">
        <v>4010</v>
      </c>
      <c r="R428" s="1" t="s">
        <v>4011</v>
      </c>
      <c r="S428" s="1" t="s">
        <v>4012</v>
      </c>
      <c r="T428" s="1" t="s">
        <v>4013</v>
      </c>
      <c r="U428" s="1" t="s">
        <v>4014</v>
      </c>
      <c r="V428" s="13">
        <f>COUNTIF(L428:$M$1659,L428)</f>
        <v>6</v>
      </c>
      <c r="W428" s="1" t="s">
        <v>4015</v>
      </c>
      <c r="X428">
        <v>229.03</v>
      </c>
      <c r="Y428">
        <v>213.63</v>
      </c>
      <c r="Z428">
        <v>12.006126</v>
      </c>
      <c r="AA428">
        <v>107.67491800000001</v>
      </c>
      <c r="AB428">
        <v>15.4</v>
      </c>
      <c r="AC428">
        <v>12.023471000000001</v>
      </c>
      <c r="AD428">
        <v>107.686087</v>
      </c>
      <c r="AE428" s="5">
        <f t="shared" si="31"/>
        <v>0.32044499999999998</v>
      </c>
      <c r="AF428" s="5">
        <f t="shared" si="32"/>
        <v>2.3100000000000002E-2</v>
      </c>
      <c r="AG428" s="1" t="str">
        <f>TRIM(LEFT(L428,FIND("-",L428)-1))</f>
        <v>Phòng PA06</v>
      </c>
      <c r="AH428" s="1" t="str">
        <f>TRIM(RIGHT(L428, LEN(L428) - FIND("-", L428)))</f>
        <v>Tổ địa bàn số 2 - Công an tỉnh Lâm Đồng - TT2</v>
      </c>
      <c r="AJ428">
        <f t="shared" si="33"/>
        <v>0.21362999999999999</v>
      </c>
      <c r="AK428">
        <f t="shared" si="34"/>
        <v>1.54E-2</v>
      </c>
      <c r="AL428" t="e">
        <f>VLOOKUP(L428,'[1]Tuyến cáp H04'!$B:$E,3,0)/1000</f>
        <v>#N/A</v>
      </c>
      <c r="AM428" t="e">
        <f>VLOOKUP(L428,'[1]Tuyến cáp H04'!$B:$E,4,0)</f>
        <v>#N/A</v>
      </c>
    </row>
    <row r="429" spans="1:39" x14ac:dyDescent="0.25">
      <c r="A429" s="1" t="s">
        <v>4016</v>
      </c>
      <c r="B429" s="1" t="s">
        <v>4017</v>
      </c>
      <c r="C429" s="1" t="s">
        <v>4018</v>
      </c>
      <c r="D429" s="1" t="s">
        <v>3812</v>
      </c>
      <c r="E429" s="1" t="s">
        <v>3813</v>
      </c>
      <c r="F429" s="1" t="s">
        <v>4019</v>
      </c>
      <c r="G429" s="1" t="s">
        <v>14129</v>
      </c>
      <c r="H429" s="1" t="s">
        <v>14130</v>
      </c>
      <c r="I429" s="1" t="s">
        <v>14553</v>
      </c>
      <c r="J429" s="1" t="s">
        <v>23</v>
      </c>
      <c r="K429" s="1"/>
      <c r="L429" s="1" t="s">
        <v>3817</v>
      </c>
      <c r="M429" s="1" t="s">
        <v>3817</v>
      </c>
      <c r="N429" s="12" t="b">
        <f t="shared" si="30"/>
        <v>1</v>
      </c>
      <c r="O429" s="1" t="s">
        <v>4020</v>
      </c>
      <c r="P429" s="1" t="s">
        <v>4021</v>
      </c>
      <c r="Q429" s="1" t="s">
        <v>4022</v>
      </c>
      <c r="R429" s="1" t="s">
        <v>4023</v>
      </c>
      <c r="S429" s="1" t="s">
        <v>3819</v>
      </c>
      <c r="T429" s="1" t="s">
        <v>3820</v>
      </c>
      <c r="U429" s="1" t="s">
        <v>3821</v>
      </c>
      <c r="V429" s="13">
        <f>COUNTIF(L429:$M$1659,L429)</f>
        <v>16</v>
      </c>
      <c r="W429" s="1" t="s">
        <v>3825</v>
      </c>
      <c r="X429">
        <v>3244.7</v>
      </c>
      <c r="Y429">
        <v>3114.51</v>
      </c>
      <c r="Z429">
        <v>11.981562</v>
      </c>
      <c r="AA429">
        <v>107.600892</v>
      </c>
      <c r="AB429">
        <v>130.19</v>
      </c>
      <c r="AC429">
        <v>11.982198</v>
      </c>
      <c r="AD429">
        <v>107.58801200000001</v>
      </c>
      <c r="AE429" s="5">
        <f t="shared" si="31"/>
        <v>4.6717650000000006</v>
      </c>
      <c r="AF429" s="5">
        <f t="shared" si="32"/>
        <v>0.19528499999999999</v>
      </c>
      <c r="AG429" s="1" t="str">
        <f>TRIM(LEFT(L429,FIND("-",L429)-1))</f>
        <v>Công an phường Nam Gia Nghĩa</v>
      </c>
      <c r="AH429" s="1" t="str">
        <f>TRIM(RIGHT(L429, LEN(L429) - FIND("-", L429)))</f>
        <v>Công an xã Kiến Đức</v>
      </c>
      <c r="AJ429">
        <f t="shared" si="33"/>
        <v>3.1145100000000001</v>
      </c>
      <c r="AK429">
        <f t="shared" si="34"/>
        <v>0.13019</v>
      </c>
      <c r="AL429" t="e">
        <f>VLOOKUP(L429,'[1]Tuyến cáp H04'!$B:$E,3,0)/1000</f>
        <v>#N/A</v>
      </c>
      <c r="AM429" t="e">
        <f>VLOOKUP(L429,'[1]Tuyến cáp H04'!$B:$E,4,0)</f>
        <v>#N/A</v>
      </c>
    </row>
    <row r="430" spans="1:39" x14ac:dyDescent="0.25">
      <c r="A430" s="1" t="s">
        <v>4024</v>
      </c>
      <c r="B430" s="1" t="s">
        <v>4025</v>
      </c>
      <c r="C430" s="1" t="s">
        <v>4026</v>
      </c>
      <c r="D430" s="1" t="s">
        <v>3562</v>
      </c>
      <c r="E430" s="1" t="s">
        <v>3563</v>
      </c>
      <c r="F430" s="1" t="s">
        <v>4027</v>
      </c>
      <c r="G430" s="1" t="s">
        <v>14129</v>
      </c>
      <c r="H430" s="1" t="s">
        <v>14130</v>
      </c>
      <c r="I430" s="1" t="s">
        <v>14554</v>
      </c>
      <c r="J430" s="1" t="s">
        <v>23</v>
      </c>
      <c r="K430" s="1"/>
      <c r="L430" s="1" t="s">
        <v>3853</v>
      </c>
      <c r="M430" s="1" t="s">
        <v>3853</v>
      </c>
      <c r="N430" s="12" t="b">
        <f t="shared" si="30"/>
        <v>1</v>
      </c>
      <c r="O430" s="1" t="s">
        <v>4028</v>
      </c>
      <c r="P430" s="1" t="s">
        <v>4029</v>
      </c>
      <c r="Q430" s="1" t="s">
        <v>4030</v>
      </c>
      <c r="R430" s="1" t="s">
        <v>4031</v>
      </c>
      <c r="S430" s="1" t="s">
        <v>4032</v>
      </c>
      <c r="T430" s="1" t="s">
        <v>4033</v>
      </c>
      <c r="U430" s="1" t="s">
        <v>4034</v>
      </c>
      <c r="V430" s="13">
        <f>COUNTIF(L430:$M$1659,L430)</f>
        <v>8</v>
      </c>
      <c r="W430" s="1" t="s">
        <v>3861</v>
      </c>
      <c r="X430">
        <v>1706.19</v>
      </c>
      <c r="Y430">
        <v>93.95</v>
      </c>
      <c r="Z430">
        <v>11.973898</v>
      </c>
      <c r="AA430">
        <v>107.49282700000001</v>
      </c>
      <c r="AB430">
        <v>1612.24</v>
      </c>
      <c r="AC430">
        <v>11.992825</v>
      </c>
      <c r="AD430">
        <v>107.510738</v>
      </c>
      <c r="AE430" s="5">
        <f t="shared" si="31"/>
        <v>0.14092500000000002</v>
      </c>
      <c r="AF430" s="5">
        <f t="shared" si="32"/>
        <v>2.4183600000000003</v>
      </c>
      <c r="AG430" s="1" t="str">
        <f>TRIM(LEFT(L430,FIND("-",L430)-1))</f>
        <v>Đội CC&amp;CNCH khu vực 13</v>
      </c>
      <c r="AH430" s="1" t="str">
        <f>TRIM(RIGHT(L430, LEN(L430) - FIND("-", L430)))</f>
        <v>Công an xã Quảng Tín</v>
      </c>
      <c r="AJ430">
        <f t="shared" si="33"/>
        <v>9.3950000000000006E-2</v>
      </c>
      <c r="AK430">
        <f t="shared" si="34"/>
        <v>1.6122400000000001</v>
      </c>
      <c r="AL430" t="e">
        <f>VLOOKUP(L430,'[1]Tuyến cáp H04'!$B:$E,3,0)/1000</f>
        <v>#N/A</v>
      </c>
      <c r="AM430" t="e">
        <f>VLOOKUP(L430,'[1]Tuyến cáp H04'!$B:$E,4,0)</f>
        <v>#N/A</v>
      </c>
    </row>
    <row r="431" spans="1:39" x14ac:dyDescent="0.25">
      <c r="A431" s="1" t="s">
        <v>4035</v>
      </c>
      <c r="B431" s="1" t="s">
        <v>4036</v>
      </c>
      <c r="C431" s="1" t="s">
        <v>4037</v>
      </c>
      <c r="D431" s="1" t="s">
        <v>3812</v>
      </c>
      <c r="E431" s="1" t="s">
        <v>3813</v>
      </c>
      <c r="F431" s="1" t="s">
        <v>4038</v>
      </c>
      <c r="G431" s="1" t="s">
        <v>14129</v>
      </c>
      <c r="H431" s="1" t="s">
        <v>14130</v>
      </c>
      <c r="I431" s="1" t="s">
        <v>14555</v>
      </c>
      <c r="J431" s="1" t="s">
        <v>23</v>
      </c>
      <c r="K431" s="1"/>
      <c r="L431" s="1" t="s">
        <v>3817</v>
      </c>
      <c r="M431" s="1" t="s">
        <v>3817</v>
      </c>
      <c r="N431" s="12" t="b">
        <f t="shared" si="30"/>
        <v>1</v>
      </c>
      <c r="O431" s="1" t="s">
        <v>4039</v>
      </c>
      <c r="P431" s="1" t="s">
        <v>4040</v>
      </c>
      <c r="Q431" s="1" t="s">
        <v>4041</v>
      </c>
      <c r="R431" s="1" t="s">
        <v>4042</v>
      </c>
      <c r="S431" s="1" t="s">
        <v>3819</v>
      </c>
      <c r="T431" s="1" t="s">
        <v>3820</v>
      </c>
      <c r="U431" s="1" t="s">
        <v>3821</v>
      </c>
      <c r="V431" s="13">
        <f>COUNTIF(L431:$M$1659,L431)</f>
        <v>14</v>
      </c>
      <c r="W431" s="1" t="s">
        <v>3825</v>
      </c>
      <c r="X431">
        <v>204.06</v>
      </c>
      <c r="Y431">
        <v>73.87</v>
      </c>
      <c r="Z431">
        <v>11.976922</v>
      </c>
      <c r="AA431">
        <v>107.625933</v>
      </c>
      <c r="AB431">
        <v>130.19</v>
      </c>
      <c r="AC431">
        <v>11.982198</v>
      </c>
      <c r="AD431">
        <v>107.58801200000001</v>
      </c>
      <c r="AE431" s="5">
        <f t="shared" si="31"/>
        <v>0.110805</v>
      </c>
      <c r="AF431" s="5">
        <f t="shared" si="32"/>
        <v>0.19528499999999999</v>
      </c>
      <c r="AG431" s="1" t="str">
        <f>TRIM(LEFT(L431,FIND("-",L431)-1))</f>
        <v>Công an phường Nam Gia Nghĩa</v>
      </c>
      <c r="AH431" s="1" t="str">
        <f>TRIM(RIGHT(L431, LEN(L431) - FIND("-", L431)))</f>
        <v>Công an xã Kiến Đức</v>
      </c>
      <c r="AJ431">
        <f t="shared" si="33"/>
        <v>7.3870000000000005E-2</v>
      </c>
      <c r="AK431">
        <f t="shared" si="34"/>
        <v>0.13019</v>
      </c>
      <c r="AL431" t="e">
        <f>VLOOKUP(L431,'[1]Tuyến cáp H04'!$B:$E,3,0)/1000</f>
        <v>#N/A</v>
      </c>
      <c r="AM431" t="e">
        <f>VLOOKUP(L431,'[1]Tuyến cáp H04'!$B:$E,4,0)</f>
        <v>#N/A</v>
      </c>
    </row>
    <row r="432" spans="1:39" x14ac:dyDescent="0.25">
      <c r="A432" s="1" t="s">
        <v>4043</v>
      </c>
      <c r="B432" s="1" t="s">
        <v>4044</v>
      </c>
      <c r="C432" s="1" t="s">
        <v>4045</v>
      </c>
      <c r="D432" s="1" t="s">
        <v>3827</v>
      </c>
      <c r="E432" s="1" t="s">
        <v>3828</v>
      </c>
      <c r="F432" s="1" t="s">
        <v>4046</v>
      </c>
      <c r="G432" s="1" t="s">
        <v>14129</v>
      </c>
      <c r="H432" s="1" t="s">
        <v>14130</v>
      </c>
      <c r="I432" s="1" t="s">
        <v>14556</v>
      </c>
      <c r="J432" s="1" t="s">
        <v>23</v>
      </c>
      <c r="K432" s="1"/>
      <c r="L432" s="1" t="s">
        <v>4047</v>
      </c>
      <c r="M432" s="1" t="s">
        <v>4047</v>
      </c>
      <c r="N432" s="12" t="b">
        <f t="shared" si="30"/>
        <v>1</v>
      </c>
      <c r="O432" s="1" t="s">
        <v>4048</v>
      </c>
      <c r="P432" s="1" t="s">
        <v>4049</v>
      </c>
      <c r="Q432" s="1" t="s">
        <v>4050</v>
      </c>
      <c r="R432" s="1" t="s">
        <v>4051</v>
      </c>
      <c r="S432" s="1" t="s">
        <v>4052</v>
      </c>
      <c r="T432" s="1" t="s">
        <v>4053</v>
      </c>
      <c r="U432" s="1" t="s">
        <v>4054</v>
      </c>
      <c r="V432" s="13">
        <f>COUNTIF(L432:$M$1659,L432)</f>
        <v>6</v>
      </c>
      <c r="W432" s="1" t="s">
        <v>4055</v>
      </c>
      <c r="X432">
        <v>1804.94</v>
      </c>
      <c r="Y432">
        <v>1506.47</v>
      </c>
      <c r="Z432">
        <v>11.977278</v>
      </c>
      <c r="AA432">
        <v>107.63810700000001</v>
      </c>
      <c r="AB432">
        <v>298.48</v>
      </c>
      <c r="AC432">
        <v>11.981714</v>
      </c>
      <c r="AD432">
        <v>107.65819399999999</v>
      </c>
      <c r="AE432" s="5">
        <f t="shared" si="31"/>
        <v>2.2597049999999999</v>
      </c>
      <c r="AF432" s="5">
        <f t="shared" si="32"/>
        <v>0.44772000000000001</v>
      </c>
      <c r="AG432" s="1" t="str">
        <f>TRIM(LEFT(L432,FIND("-",L432)-1))</f>
        <v>Công an xã Kiến Đức (Trụ sở CAH Đắk R'Lấp cũ)</v>
      </c>
      <c r="AH432" s="1" t="str">
        <f>TRIM(RIGHT(L432, LEN(L432) - FIND("-", L432)))</f>
        <v>Công an tỉnh Lâm Đồng - TT2</v>
      </c>
      <c r="AJ432">
        <f t="shared" si="33"/>
        <v>1.50647</v>
      </c>
      <c r="AK432">
        <f t="shared" si="34"/>
        <v>0.29848000000000002</v>
      </c>
      <c r="AL432" t="e">
        <f>VLOOKUP(L432,'[1]Tuyến cáp H04'!$B:$E,3,0)/1000</f>
        <v>#N/A</v>
      </c>
      <c r="AM432" t="e">
        <f>VLOOKUP(L432,'[1]Tuyến cáp H04'!$B:$E,4,0)</f>
        <v>#N/A</v>
      </c>
    </row>
    <row r="433" spans="1:39" x14ac:dyDescent="0.25">
      <c r="A433" s="1" t="s">
        <v>4056</v>
      </c>
      <c r="B433" s="1" t="s">
        <v>4057</v>
      </c>
      <c r="C433" s="1" t="s">
        <v>4058</v>
      </c>
      <c r="D433" s="1" t="s">
        <v>4059</v>
      </c>
      <c r="E433" s="1" t="s">
        <v>4060</v>
      </c>
      <c r="F433" s="1" t="s">
        <v>4061</v>
      </c>
      <c r="G433" s="1" t="s">
        <v>14129</v>
      </c>
      <c r="H433" s="1" t="s">
        <v>14130</v>
      </c>
      <c r="I433" s="1" t="s">
        <v>14557</v>
      </c>
      <c r="J433" s="1" t="s">
        <v>23</v>
      </c>
      <c r="K433" s="1"/>
      <c r="L433" s="1" t="s">
        <v>3789</v>
      </c>
      <c r="M433" s="1" t="s">
        <v>3789</v>
      </c>
      <c r="N433" s="12" t="b">
        <f t="shared" si="30"/>
        <v>1</v>
      </c>
      <c r="O433" s="1" t="s">
        <v>4062</v>
      </c>
      <c r="P433" s="1" t="s">
        <v>4063</v>
      </c>
      <c r="Q433" s="1" t="s">
        <v>4064</v>
      </c>
      <c r="R433" s="1" t="s">
        <v>4065</v>
      </c>
      <c r="S433" s="1" t="s">
        <v>4066</v>
      </c>
      <c r="T433" s="1" t="s">
        <v>4067</v>
      </c>
      <c r="U433" s="1" t="s">
        <v>4068</v>
      </c>
      <c r="V433" s="13">
        <f>COUNTIF(L433:$M$1659,L433)</f>
        <v>6</v>
      </c>
      <c r="W433" s="1" t="s">
        <v>3797</v>
      </c>
      <c r="X433">
        <v>2068.52</v>
      </c>
      <c r="Y433">
        <v>2062.38</v>
      </c>
      <c r="Z433">
        <v>11.964795000000001</v>
      </c>
      <c r="AA433">
        <v>107.733818</v>
      </c>
      <c r="AB433">
        <v>6.14</v>
      </c>
      <c r="AC433">
        <v>11.959954</v>
      </c>
      <c r="AD433">
        <v>107.72863599999999</v>
      </c>
      <c r="AE433" s="5">
        <f t="shared" si="31"/>
        <v>3.0935700000000002</v>
      </c>
      <c r="AF433" s="5">
        <f t="shared" si="32"/>
        <v>9.2099999999999994E-3</v>
      </c>
      <c r="AG433" s="1" t="str">
        <f>TRIM(LEFT(L433,FIND("-",L433)-1))</f>
        <v>Công an phường Bắc Gia Nghĩa</v>
      </c>
      <c r="AH433" s="1" t="str">
        <f>TRIM(RIGHT(L433, LEN(L433) - FIND("-", L433)))</f>
        <v>Công an phường Đông Gia Nghĩa</v>
      </c>
      <c r="AJ433">
        <f t="shared" si="33"/>
        <v>2.0623800000000001</v>
      </c>
      <c r="AK433">
        <f t="shared" si="34"/>
        <v>6.1399999999999996E-3</v>
      </c>
      <c r="AL433" t="e">
        <f>VLOOKUP(L433,'[1]Tuyến cáp H04'!$B:$E,3,0)/1000</f>
        <v>#N/A</v>
      </c>
      <c r="AM433" t="e">
        <f>VLOOKUP(L433,'[1]Tuyến cáp H04'!$B:$E,4,0)</f>
        <v>#N/A</v>
      </c>
    </row>
    <row r="434" spans="1:39" x14ac:dyDescent="0.25">
      <c r="A434" s="1" t="s">
        <v>4069</v>
      </c>
      <c r="B434" s="1" t="s">
        <v>4070</v>
      </c>
      <c r="C434" s="1" t="s">
        <v>4071</v>
      </c>
      <c r="D434" s="1" t="s">
        <v>4059</v>
      </c>
      <c r="E434" s="1" t="s">
        <v>4060</v>
      </c>
      <c r="F434" s="1" t="s">
        <v>4072</v>
      </c>
      <c r="G434" s="1" t="s">
        <v>14129</v>
      </c>
      <c r="H434" s="1" t="s">
        <v>14130</v>
      </c>
      <c r="I434" s="1" t="s">
        <v>14558</v>
      </c>
      <c r="J434" s="1" t="s">
        <v>23</v>
      </c>
      <c r="K434" s="1"/>
      <c r="L434" s="1" t="s">
        <v>3789</v>
      </c>
      <c r="M434" s="1" t="s">
        <v>3789</v>
      </c>
      <c r="N434" s="12" t="b">
        <f t="shared" si="30"/>
        <v>1</v>
      </c>
      <c r="O434" s="1" t="s">
        <v>4073</v>
      </c>
      <c r="P434" s="1" t="s">
        <v>4074</v>
      </c>
      <c r="Q434" s="1" t="s">
        <v>4064</v>
      </c>
      <c r="R434" s="1" t="s">
        <v>4065</v>
      </c>
      <c r="S434" s="1" t="s">
        <v>4066</v>
      </c>
      <c r="T434" s="1" t="s">
        <v>4067</v>
      </c>
      <c r="U434" s="1" t="s">
        <v>4068</v>
      </c>
      <c r="V434" s="13">
        <f>COUNTIF(L434:$M$1659,L434)</f>
        <v>4</v>
      </c>
      <c r="W434" s="1" t="s">
        <v>3797</v>
      </c>
      <c r="X434">
        <v>4386.16</v>
      </c>
      <c r="Y434">
        <v>4380.0200000000004</v>
      </c>
      <c r="Z434">
        <v>11.964795000000001</v>
      </c>
      <c r="AA434">
        <v>107.733818</v>
      </c>
      <c r="AB434">
        <v>6.14</v>
      </c>
      <c r="AC434">
        <v>11.959954</v>
      </c>
      <c r="AD434">
        <v>107.72863599999999</v>
      </c>
      <c r="AE434" s="5">
        <f t="shared" si="31"/>
        <v>6.5700300000000009</v>
      </c>
      <c r="AF434" s="5">
        <f t="shared" si="32"/>
        <v>9.2099999999999994E-3</v>
      </c>
      <c r="AG434" s="1" t="str">
        <f>TRIM(LEFT(L434,FIND("-",L434)-1))</f>
        <v>Công an phường Bắc Gia Nghĩa</v>
      </c>
      <c r="AH434" s="1" t="str">
        <f>TRIM(RIGHT(L434, LEN(L434) - FIND("-", L434)))</f>
        <v>Công an phường Đông Gia Nghĩa</v>
      </c>
      <c r="AJ434">
        <f t="shared" si="33"/>
        <v>4.38002</v>
      </c>
      <c r="AK434">
        <f t="shared" si="34"/>
        <v>6.1399999999999996E-3</v>
      </c>
      <c r="AL434" t="e">
        <f>VLOOKUP(L434,'[1]Tuyến cáp H04'!$B:$E,3,0)/1000</f>
        <v>#N/A</v>
      </c>
      <c r="AM434" t="e">
        <f>VLOOKUP(L434,'[1]Tuyến cáp H04'!$B:$E,4,0)</f>
        <v>#N/A</v>
      </c>
    </row>
    <row r="435" spans="1:39" x14ac:dyDescent="0.25">
      <c r="A435" s="1" t="s">
        <v>4075</v>
      </c>
      <c r="B435" s="1" t="s">
        <v>4076</v>
      </c>
      <c r="C435" s="1" t="s">
        <v>4077</v>
      </c>
      <c r="D435" s="1" t="s">
        <v>3829</v>
      </c>
      <c r="E435" s="1" t="s">
        <v>3830</v>
      </c>
      <c r="F435" s="1" t="s">
        <v>4078</v>
      </c>
      <c r="G435" s="1" t="s">
        <v>14129</v>
      </c>
      <c r="H435" s="1" t="s">
        <v>14130</v>
      </c>
      <c r="I435" s="1" t="s">
        <v>14559</v>
      </c>
      <c r="J435" s="1" t="s">
        <v>23</v>
      </c>
      <c r="K435" s="1"/>
      <c r="L435" s="1" t="s">
        <v>4079</v>
      </c>
      <c r="M435" s="1" t="s">
        <v>4079</v>
      </c>
      <c r="N435" s="12" t="b">
        <f t="shared" si="30"/>
        <v>1</v>
      </c>
      <c r="O435" s="1" t="s">
        <v>4080</v>
      </c>
      <c r="P435" s="1" t="s">
        <v>4081</v>
      </c>
      <c r="Q435" s="1" t="s">
        <v>4082</v>
      </c>
      <c r="R435" s="1" t="s">
        <v>4083</v>
      </c>
      <c r="S435" s="1" t="s">
        <v>4084</v>
      </c>
      <c r="T435" s="1" t="s">
        <v>4082</v>
      </c>
      <c r="U435" s="1" t="s">
        <v>4083</v>
      </c>
      <c r="V435" s="13">
        <f>COUNTIF(L435:$M$1659,L435)</f>
        <v>6</v>
      </c>
      <c r="W435" s="1" t="s">
        <v>4085</v>
      </c>
      <c r="X435">
        <v>1381.74</v>
      </c>
      <c r="Y435">
        <v>1378.88</v>
      </c>
      <c r="Z435">
        <v>11.975606000000001</v>
      </c>
      <c r="AA435">
        <v>107.581761</v>
      </c>
      <c r="AB435">
        <v>2.86</v>
      </c>
      <c r="AC435">
        <v>11.975606000000001</v>
      </c>
      <c r="AD435">
        <v>107.581761</v>
      </c>
      <c r="AE435" s="5">
        <f t="shared" si="31"/>
        <v>2.0683200000000004</v>
      </c>
      <c r="AF435" s="5">
        <f t="shared" si="32"/>
        <v>4.2900000000000004E-3</v>
      </c>
      <c r="AG435" s="1" t="str">
        <f>TRIM(LEFT(L435,FIND("-",L435)-1))</f>
        <v>Công An xã Quảng Tín</v>
      </c>
      <c r="AH435" s="1" t="str">
        <f>TRIM(RIGHT(L435, LEN(L435) - FIND("-", L435)))</f>
        <v>Đồn CA KCN Nhân Cơ</v>
      </c>
      <c r="AJ435">
        <f t="shared" si="33"/>
        <v>1.3788800000000001</v>
      </c>
      <c r="AK435">
        <f t="shared" si="34"/>
        <v>2.8599999999999997E-3</v>
      </c>
      <c r="AL435" t="e">
        <f>VLOOKUP(L435,'[1]Tuyến cáp H04'!$B:$E,3,0)/1000</f>
        <v>#N/A</v>
      </c>
      <c r="AM435" t="e">
        <f>VLOOKUP(L435,'[1]Tuyến cáp H04'!$B:$E,4,0)</f>
        <v>#N/A</v>
      </c>
    </row>
    <row r="436" spans="1:39" x14ac:dyDescent="0.25">
      <c r="A436" s="1" t="s">
        <v>4086</v>
      </c>
      <c r="B436" s="1" t="s">
        <v>4087</v>
      </c>
      <c r="C436" s="1" t="s">
        <v>4088</v>
      </c>
      <c r="D436" s="1" t="s">
        <v>3812</v>
      </c>
      <c r="E436" s="1" t="s">
        <v>3813</v>
      </c>
      <c r="F436" s="1" t="s">
        <v>4089</v>
      </c>
      <c r="G436" s="1" t="s">
        <v>14129</v>
      </c>
      <c r="H436" s="1" t="s">
        <v>14130</v>
      </c>
      <c r="I436" s="1" t="s">
        <v>14560</v>
      </c>
      <c r="J436" s="1" t="s">
        <v>23</v>
      </c>
      <c r="K436" s="1"/>
      <c r="L436" s="1" t="s">
        <v>3817</v>
      </c>
      <c r="M436" s="1" t="s">
        <v>3817</v>
      </c>
      <c r="N436" s="12" t="b">
        <f t="shared" si="30"/>
        <v>1</v>
      </c>
      <c r="O436" s="1" t="s">
        <v>4090</v>
      </c>
      <c r="P436" s="1" t="s">
        <v>4091</v>
      </c>
      <c r="Q436" s="1" t="s">
        <v>4092</v>
      </c>
      <c r="R436" s="1" t="s">
        <v>4093</v>
      </c>
      <c r="S436" s="1" t="s">
        <v>3819</v>
      </c>
      <c r="T436" s="1" t="s">
        <v>3820</v>
      </c>
      <c r="U436" s="1" t="s">
        <v>3821</v>
      </c>
      <c r="V436" s="13">
        <f>COUNTIF(L436:$M$1659,L436)</f>
        <v>12</v>
      </c>
      <c r="W436" s="1" t="s">
        <v>3825</v>
      </c>
      <c r="X436">
        <v>850.09</v>
      </c>
      <c r="Y436">
        <v>719.9</v>
      </c>
      <c r="Z436">
        <v>11.980340999999999</v>
      </c>
      <c r="AA436">
        <v>107.607388</v>
      </c>
      <c r="AB436">
        <v>130.19</v>
      </c>
      <c r="AC436">
        <v>11.982198</v>
      </c>
      <c r="AD436">
        <v>107.58801200000001</v>
      </c>
      <c r="AE436" s="5">
        <f t="shared" si="31"/>
        <v>1.07985</v>
      </c>
      <c r="AF436" s="5">
        <f t="shared" si="32"/>
        <v>0.19528499999999999</v>
      </c>
      <c r="AG436" s="1" t="str">
        <f>TRIM(LEFT(L436,FIND("-",L436)-1))</f>
        <v>Công an phường Nam Gia Nghĩa</v>
      </c>
      <c r="AH436" s="1" t="str">
        <f>TRIM(RIGHT(L436, LEN(L436) - FIND("-", L436)))</f>
        <v>Công an xã Kiến Đức</v>
      </c>
      <c r="AJ436">
        <f t="shared" si="33"/>
        <v>0.71989999999999998</v>
      </c>
      <c r="AK436">
        <f t="shared" si="34"/>
        <v>0.13019</v>
      </c>
      <c r="AL436" t="e">
        <f>VLOOKUP(L436,'[1]Tuyến cáp H04'!$B:$E,3,0)/1000</f>
        <v>#N/A</v>
      </c>
      <c r="AM436" t="e">
        <f>VLOOKUP(L436,'[1]Tuyến cáp H04'!$B:$E,4,0)</f>
        <v>#N/A</v>
      </c>
    </row>
    <row r="437" spans="1:39" x14ac:dyDescent="0.25">
      <c r="A437" s="1" t="s">
        <v>4094</v>
      </c>
      <c r="B437" s="1" t="s">
        <v>4095</v>
      </c>
      <c r="C437" s="1" t="s">
        <v>4096</v>
      </c>
      <c r="D437" s="1" t="s">
        <v>3538</v>
      </c>
      <c r="E437" s="1" t="s">
        <v>3539</v>
      </c>
      <c r="F437" s="1" t="s">
        <v>4097</v>
      </c>
      <c r="G437" s="1" t="s">
        <v>14129</v>
      </c>
      <c r="H437" s="1" t="s">
        <v>14130</v>
      </c>
      <c r="I437" s="1" t="s">
        <v>14561</v>
      </c>
      <c r="J437" s="1" t="s">
        <v>23</v>
      </c>
      <c r="K437" s="1"/>
      <c r="L437" s="1" t="s">
        <v>3456</v>
      </c>
      <c r="M437" s="1" t="s">
        <v>3456</v>
      </c>
      <c r="N437" s="12" t="b">
        <f t="shared" si="30"/>
        <v>1</v>
      </c>
      <c r="O437" s="1" t="s">
        <v>4098</v>
      </c>
      <c r="P437" s="1" t="s">
        <v>4099</v>
      </c>
      <c r="Q437" s="1" t="s">
        <v>4100</v>
      </c>
      <c r="R437" s="1" t="s">
        <v>3806</v>
      </c>
      <c r="S437" s="1" t="s">
        <v>4101</v>
      </c>
      <c r="T437" s="1" t="s">
        <v>4102</v>
      </c>
      <c r="U437" s="1" t="s">
        <v>4103</v>
      </c>
      <c r="V437" s="13">
        <f>COUNTIF(L437:$M$1659,L437)</f>
        <v>12</v>
      </c>
      <c r="W437" s="1" t="s">
        <v>3464</v>
      </c>
      <c r="X437">
        <v>18691.84</v>
      </c>
      <c r="Y437">
        <v>2437.89</v>
      </c>
      <c r="Z437">
        <v>12.023574</v>
      </c>
      <c r="AA437">
        <v>107.685997</v>
      </c>
      <c r="AB437">
        <v>16253.95</v>
      </c>
      <c r="AC437">
        <v>12.205287999999999</v>
      </c>
      <c r="AD437">
        <v>107.62650600000001</v>
      </c>
      <c r="AE437" s="5">
        <f t="shared" si="31"/>
        <v>3.6568350000000001</v>
      </c>
      <c r="AF437" s="5">
        <f t="shared" si="32"/>
        <v>24.380925000000001</v>
      </c>
      <c r="AG437" s="1" t="str">
        <f>TRIM(LEFT(L437,FIND("-",L437)-1))</f>
        <v>Công an tỉnh Lâm Đồng</v>
      </c>
      <c r="AH437" s="1" t="str">
        <f>TRIM(RIGHT(L437, LEN(L437) - FIND("-", L437)))</f>
        <v>TT2 - Công an xã Đức An (Trụ sở CAH Đắk Song cũ)</v>
      </c>
      <c r="AJ437">
        <f t="shared" si="33"/>
        <v>2.4378899999999999</v>
      </c>
      <c r="AK437">
        <f t="shared" si="34"/>
        <v>16.25395</v>
      </c>
      <c r="AL437" t="e">
        <f>VLOOKUP(L437,'[1]Tuyến cáp H04'!$B:$E,3,0)/1000</f>
        <v>#N/A</v>
      </c>
      <c r="AM437" t="e">
        <f>VLOOKUP(L437,'[1]Tuyến cáp H04'!$B:$E,4,0)</f>
        <v>#N/A</v>
      </c>
    </row>
    <row r="438" spans="1:39" x14ac:dyDescent="0.25">
      <c r="A438" s="1" t="s">
        <v>4104</v>
      </c>
      <c r="B438" s="1" t="s">
        <v>3551</v>
      </c>
      <c r="C438" s="1" t="s">
        <v>3552</v>
      </c>
      <c r="D438" s="1" t="s">
        <v>3799</v>
      </c>
      <c r="E438" s="1" t="s">
        <v>3800</v>
      </c>
      <c r="F438" s="1" t="s">
        <v>4105</v>
      </c>
      <c r="G438" s="1" t="s">
        <v>14129</v>
      </c>
      <c r="H438" s="1" t="s">
        <v>14130</v>
      </c>
      <c r="I438" s="1" t="s">
        <v>14562</v>
      </c>
      <c r="J438" s="1" t="s">
        <v>23</v>
      </c>
      <c r="K438" s="1"/>
      <c r="L438" s="1" t="s">
        <v>3456</v>
      </c>
      <c r="M438" s="1" t="s">
        <v>3456</v>
      </c>
      <c r="N438" s="12" t="b">
        <f t="shared" si="30"/>
        <v>1</v>
      </c>
      <c r="O438" s="1" t="s">
        <v>4106</v>
      </c>
      <c r="P438" s="1" t="s">
        <v>4107</v>
      </c>
      <c r="Q438" s="1" t="s">
        <v>4108</v>
      </c>
      <c r="R438" s="1" t="s">
        <v>4109</v>
      </c>
      <c r="S438" s="1" t="s">
        <v>3488</v>
      </c>
      <c r="T438" s="1" t="s">
        <v>4100</v>
      </c>
      <c r="U438" s="1" t="s">
        <v>3806</v>
      </c>
      <c r="V438" s="13">
        <f>COUNTIF(L438:$M$1659,L438)</f>
        <v>10</v>
      </c>
      <c r="W438" s="1" t="s">
        <v>3464</v>
      </c>
      <c r="X438">
        <v>404.43</v>
      </c>
      <c r="Y438">
        <v>403.68</v>
      </c>
      <c r="Z438">
        <v>12.202097</v>
      </c>
      <c r="AA438">
        <v>107.633785</v>
      </c>
      <c r="AB438">
        <v>0.75</v>
      </c>
      <c r="AC438">
        <v>12.023574</v>
      </c>
      <c r="AD438">
        <v>107.685997</v>
      </c>
      <c r="AE438" s="5">
        <f t="shared" si="31"/>
        <v>0.60551999999999995</v>
      </c>
      <c r="AF438" s="5">
        <f t="shared" si="32"/>
        <v>1.1249999999999999E-3</v>
      </c>
      <c r="AG438" s="1" t="str">
        <f>TRIM(LEFT(L438,FIND("-",L438)-1))</f>
        <v>Công an tỉnh Lâm Đồng</v>
      </c>
      <c r="AH438" s="1" t="str">
        <f>TRIM(RIGHT(L438, LEN(L438) - FIND("-", L438)))</f>
        <v>TT2 - Công an xã Đức An (Trụ sở CAH Đắk Song cũ)</v>
      </c>
      <c r="AJ438">
        <f t="shared" si="33"/>
        <v>0.40367999999999998</v>
      </c>
      <c r="AK438">
        <f t="shared" si="34"/>
        <v>7.5000000000000002E-4</v>
      </c>
      <c r="AL438" t="e">
        <f>VLOOKUP(L438,'[1]Tuyến cáp H04'!$B:$E,3,0)/1000</f>
        <v>#N/A</v>
      </c>
      <c r="AM438" t="e">
        <f>VLOOKUP(L438,'[1]Tuyến cáp H04'!$B:$E,4,0)</f>
        <v>#N/A</v>
      </c>
    </row>
    <row r="439" spans="1:39" x14ac:dyDescent="0.25">
      <c r="A439" s="1" t="s">
        <v>4104</v>
      </c>
      <c r="B439" s="1" t="s">
        <v>3551</v>
      </c>
      <c r="C439" s="1" t="s">
        <v>3552</v>
      </c>
      <c r="D439" s="1" t="s">
        <v>3799</v>
      </c>
      <c r="E439" s="1" t="s">
        <v>3800</v>
      </c>
      <c r="F439" s="1" t="s">
        <v>4105</v>
      </c>
      <c r="G439" s="1" t="s">
        <v>14129</v>
      </c>
      <c r="H439" s="1" t="s">
        <v>14130</v>
      </c>
      <c r="I439" s="1" t="s">
        <v>14562</v>
      </c>
      <c r="J439" s="1" t="s">
        <v>23</v>
      </c>
      <c r="K439" s="1"/>
      <c r="L439" s="1" t="s">
        <v>3456</v>
      </c>
      <c r="M439" s="1" t="s">
        <v>3456</v>
      </c>
      <c r="N439" s="12" t="b">
        <f t="shared" si="30"/>
        <v>1</v>
      </c>
      <c r="O439" s="1" t="s">
        <v>4106</v>
      </c>
      <c r="P439" s="1" t="s">
        <v>4107</v>
      </c>
      <c r="Q439" s="1" t="s">
        <v>4108</v>
      </c>
      <c r="R439" s="1" t="s">
        <v>4109</v>
      </c>
      <c r="S439" s="1" t="s">
        <v>3488</v>
      </c>
      <c r="T439" s="1" t="s">
        <v>4100</v>
      </c>
      <c r="U439" s="1" t="s">
        <v>3806</v>
      </c>
      <c r="V439" s="13">
        <f>COUNTIF(L439:$M$1659,L439)</f>
        <v>8</v>
      </c>
      <c r="W439" s="1" t="s">
        <v>3464</v>
      </c>
      <c r="X439">
        <v>404.43</v>
      </c>
      <c r="Y439">
        <v>403.68</v>
      </c>
      <c r="Z439">
        <v>12.202097</v>
      </c>
      <c r="AA439">
        <v>107.633785</v>
      </c>
      <c r="AB439">
        <v>0.75</v>
      </c>
      <c r="AC439">
        <v>12.023574</v>
      </c>
      <c r="AD439">
        <v>107.685997</v>
      </c>
      <c r="AE439" s="5">
        <f t="shared" si="31"/>
        <v>0.60551999999999995</v>
      </c>
      <c r="AF439" s="5">
        <f t="shared" si="32"/>
        <v>1.1249999999999999E-3</v>
      </c>
      <c r="AG439" s="1" t="str">
        <f>TRIM(LEFT(L439,FIND("-",L439)-1))</f>
        <v>Công an tỉnh Lâm Đồng</v>
      </c>
      <c r="AH439" s="1" t="str">
        <f>TRIM(RIGHT(L439, LEN(L439) - FIND("-", L439)))</f>
        <v>TT2 - Công an xã Đức An (Trụ sở CAH Đắk Song cũ)</v>
      </c>
      <c r="AJ439">
        <f t="shared" si="33"/>
        <v>0.40367999999999998</v>
      </c>
      <c r="AK439">
        <f t="shared" si="34"/>
        <v>7.5000000000000002E-4</v>
      </c>
      <c r="AL439" t="e">
        <f>VLOOKUP(L439,'[1]Tuyến cáp H04'!$B:$E,3,0)/1000</f>
        <v>#N/A</v>
      </c>
      <c r="AM439" t="e">
        <f>VLOOKUP(L439,'[1]Tuyến cáp H04'!$B:$E,4,0)</f>
        <v>#N/A</v>
      </c>
    </row>
    <row r="440" spans="1:39" x14ac:dyDescent="0.25">
      <c r="A440" s="1" t="s">
        <v>4110</v>
      </c>
      <c r="B440" s="1" t="s">
        <v>3608</v>
      </c>
      <c r="C440" s="1" t="s">
        <v>3609</v>
      </c>
      <c r="D440" s="1" t="s">
        <v>3617</v>
      </c>
      <c r="E440" s="1" t="s">
        <v>3618</v>
      </c>
      <c r="F440" s="1" t="s">
        <v>4111</v>
      </c>
      <c r="G440" s="1" t="s">
        <v>14129</v>
      </c>
      <c r="H440" s="1" t="s">
        <v>14130</v>
      </c>
      <c r="I440" s="1" t="s">
        <v>14563</v>
      </c>
      <c r="J440" s="1" t="s">
        <v>23</v>
      </c>
      <c r="K440" s="1"/>
      <c r="L440" s="1" t="s">
        <v>3620</v>
      </c>
      <c r="M440" s="1" t="s">
        <v>3620</v>
      </c>
      <c r="N440" s="12" t="b">
        <f t="shared" si="30"/>
        <v>1</v>
      </c>
      <c r="O440" s="1" t="s">
        <v>4112</v>
      </c>
      <c r="P440" s="1" t="s">
        <v>4113</v>
      </c>
      <c r="Q440" s="1" t="s">
        <v>4114</v>
      </c>
      <c r="R440" s="1" t="s">
        <v>4115</v>
      </c>
      <c r="S440" s="1" t="s">
        <v>3622</v>
      </c>
      <c r="T440" s="1" t="s">
        <v>3623</v>
      </c>
      <c r="U440" s="1" t="s">
        <v>3624</v>
      </c>
      <c r="V440" s="13">
        <f>COUNTIF(L440:$M$1659,L440)</f>
        <v>2</v>
      </c>
      <c r="W440" s="1" t="s">
        <v>3628</v>
      </c>
      <c r="X440">
        <v>141.31</v>
      </c>
      <c r="Y440">
        <v>138.32</v>
      </c>
      <c r="Z440">
        <v>12.447314</v>
      </c>
      <c r="AA440">
        <v>107.60942900000001</v>
      </c>
      <c r="AB440">
        <v>2.99</v>
      </c>
      <c r="AC440">
        <v>12.459466000000001</v>
      </c>
      <c r="AD440">
        <v>107.61325100000001</v>
      </c>
      <c r="AE440" s="5">
        <f t="shared" si="31"/>
        <v>0.20748</v>
      </c>
      <c r="AF440" s="5">
        <f t="shared" si="32"/>
        <v>4.4850000000000003E-3</v>
      </c>
      <c r="AG440" s="1" t="str">
        <f>TRIM(LEFT(L440,FIND("-",L440)-1))</f>
        <v>Phòng PC07</v>
      </c>
      <c r="AH440" s="1" t="str">
        <f>TRIM(RIGHT(L440, LEN(L440) - FIND("-", L440)))</f>
        <v>Đội CC&amp;CNCH khu vực 14 - Công an xã Đức Lập (Trụ sở 2 CAH Đắk Mil cũ)</v>
      </c>
      <c r="AJ440">
        <f t="shared" si="33"/>
        <v>0.13832</v>
      </c>
      <c r="AK440">
        <f t="shared" si="34"/>
        <v>2.99E-3</v>
      </c>
      <c r="AL440" t="e">
        <f>VLOOKUP(L440,'[1]Tuyến cáp H04'!$B:$E,3,0)/1000</f>
        <v>#N/A</v>
      </c>
      <c r="AM440" t="e">
        <f>VLOOKUP(L440,'[1]Tuyến cáp H04'!$B:$E,4,0)</f>
        <v>#N/A</v>
      </c>
    </row>
    <row r="441" spans="1:39" x14ac:dyDescent="0.25">
      <c r="A441" s="1" t="s">
        <v>4116</v>
      </c>
      <c r="B441" s="1" t="s">
        <v>4117</v>
      </c>
      <c r="C441" s="1" t="s">
        <v>4118</v>
      </c>
      <c r="D441" s="1" t="s">
        <v>3509</v>
      </c>
      <c r="E441" s="1" t="s">
        <v>3510</v>
      </c>
      <c r="F441" s="1" t="s">
        <v>4119</v>
      </c>
      <c r="G441" s="1" t="s">
        <v>14129</v>
      </c>
      <c r="H441" s="1" t="s">
        <v>14130</v>
      </c>
      <c r="I441" s="1" t="s">
        <v>14564</v>
      </c>
      <c r="J441" s="1" t="s">
        <v>23</v>
      </c>
      <c r="K441" s="1"/>
      <c r="L441" s="1" t="s">
        <v>3866</v>
      </c>
      <c r="M441" s="1" t="s">
        <v>3866</v>
      </c>
      <c r="N441" s="12" t="b">
        <f t="shared" si="30"/>
        <v>1</v>
      </c>
      <c r="O441" s="1" t="s">
        <v>4120</v>
      </c>
      <c r="P441" s="1" t="s">
        <v>4121</v>
      </c>
      <c r="Q441" s="1" t="s">
        <v>4122</v>
      </c>
      <c r="R441" s="1" t="s">
        <v>4123</v>
      </c>
      <c r="S441" s="1" t="s">
        <v>3871</v>
      </c>
      <c r="T441" s="1" t="s">
        <v>3872</v>
      </c>
      <c r="U441" s="1" t="s">
        <v>3873</v>
      </c>
      <c r="V441" s="13">
        <f>COUNTIF(L441:$M$1659,L441)</f>
        <v>2</v>
      </c>
      <c r="W441" s="1" t="s">
        <v>3874</v>
      </c>
      <c r="X441">
        <v>2939.26</v>
      </c>
      <c r="Y441">
        <v>2936.68</v>
      </c>
      <c r="Z441">
        <v>12.489153999999999</v>
      </c>
      <c r="AA441">
        <v>107.723986</v>
      </c>
      <c r="AB441">
        <v>2.58</v>
      </c>
      <c r="AC441">
        <v>12.509452</v>
      </c>
      <c r="AD441">
        <v>107.749016</v>
      </c>
      <c r="AE441" s="5">
        <f t="shared" si="31"/>
        <v>4.4050199999999995</v>
      </c>
      <c r="AF441" s="5">
        <f t="shared" si="32"/>
        <v>3.8700000000000002E-3</v>
      </c>
      <c r="AG441" s="1" t="str">
        <f>TRIM(LEFT(L441,FIND("-",L441)-1))</f>
        <v>Công an xã Đắk Mil</v>
      </c>
      <c r="AH441" s="1" t="str">
        <f>TRIM(RIGHT(L441, LEN(L441) - FIND("-", L441)))</f>
        <v>Phòng PC08 - Đội CSGT số 4</v>
      </c>
      <c r="AJ441">
        <f t="shared" si="33"/>
        <v>2.93668</v>
      </c>
      <c r="AK441">
        <f t="shared" si="34"/>
        <v>2.5800000000000003E-3</v>
      </c>
      <c r="AL441" t="e">
        <f>VLOOKUP(L441,'[1]Tuyến cáp H04'!$B:$E,3,0)/1000</f>
        <v>#N/A</v>
      </c>
      <c r="AM441" t="e">
        <f>VLOOKUP(L441,'[1]Tuyến cáp H04'!$B:$E,4,0)</f>
        <v>#N/A</v>
      </c>
    </row>
    <row r="442" spans="1:39" x14ac:dyDescent="0.25">
      <c r="A442" s="1" t="s">
        <v>4124</v>
      </c>
      <c r="B442" s="1" t="s">
        <v>4125</v>
      </c>
      <c r="C442" s="1" t="s">
        <v>4126</v>
      </c>
      <c r="D442" s="1" t="s">
        <v>3466</v>
      </c>
      <c r="E442" s="1" t="s">
        <v>3467</v>
      </c>
      <c r="F442" s="1" t="s">
        <v>4127</v>
      </c>
      <c r="G442" s="1" t="s">
        <v>14129</v>
      </c>
      <c r="H442" s="1" t="s">
        <v>14130</v>
      </c>
      <c r="I442" s="1" t="s">
        <v>14565</v>
      </c>
      <c r="J442" s="1" t="s">
        <v>23</v>
      </c>
      <c r="K442" s="1"/>
      <c r="L442" s="1" t="s">
        <v>3692</v>
      </c>
      <c r="M442" s="1" t="s">
        <v>3692</v>
      </c>
      <c r="N442" s="12" t="b">
        <f t="shared" si="30"/>
        <v>1</v>
      </c>
      <c r="O442" s="1" t="s">
        <v>4128</v>
      </c>
      <c r="P442" s="1" t="s">
        <v>4129</v>
      </c>
      <c r="Q442" s="1" t="s">
        <v>4130</v>
      </c>
      <c r="R442" s="1" t="s">
        <v>4131</v>
      </c>
      <c r="S442" s="1" t="s">
        <v>4132</v>
      </c>
      <c r="T442" s="1" t="s">
        <v>4133</v>
      </c>
      <c r="U442" s="1" t="s">
        <v>4134</v>
      </c>
      <c r="V442" s="13">
        <f>COUNTIF(L442:$M$1659,L442)</f>
        <v>2</v>
      </c>
      <c r="W442" s="1" t="s">
        <v>4135</v>
      </c>
      <c r="X442">
        <v>96.65</v>
      </c>
      <c r="Y442">
        <v>80.05</v>
      </c>
      <c r="Z442">
        <v>12.441776000000001</v>
      </c>
      <c r="AA442">
        <v>107.629672</v>
      </c>
      <c r="AB442">
        <v>16.600000000000001</v>
      </c>
      <c r="AC442">
        <v>12.44727</v>
      </c>
      <c r="AD442">
        <v>107.621786</v>
      </c>
      <c r="AE442" s="5">
        <f t="shared" si="31"/>
        <v>0.12007499999999999</v>
      </c>
      <c r="AF442" s="5">
        <f t="shared" si="32"/>
        <v>2.4900000000000002E-2</v>
      </c>
      <c r="AG442" s="1" t="str">
        <f>TRIM(LEFT(L442,FIND("-",L442)-1))</f>
        <v>Công an xã Đắk Song</v>
      </c>
      <c r="AH442" s="1" t="str">
        <f>TRIM(RIGHT(L442, LEN(L442) - FIND("-", L442)))</f>
        <v>Công an xã Thuận An</v>
      </c>
      <c r="AJ442">
        <f t="shared" si="33"/>
        <v>8.0049999999999996E-2</v>
      </c>
      <c r="AK442">
        <f t="shared" si="34"/>
        <v>1.66E-2</v>
      </c>
      <c r="AL442" t="e">
        <f>VLOOKUP(L442,'[1]Tuyến cáp H04'!$B:$E,3,0)/1000</f>
        <v>#N/A</v>
      </c>
      <c r="AM442" t="e">
        <f>VLOOKUP(L442,'[1]Tuyến cáp H04'!$B:$E,4,0)</f>
        <v>#N/A</v>
      </c>
    </row>
    <row r="443" spans="1:39" x14ac:dyDescent="0.25">
      <c r="A443" s="1" t="s">
        <v>4136</v>
      </c>
      <c r="B443" s="1" t="s">
        <v>4137</v>
      </c>
      <c r="C443" s="1" t="s">
        <v>4138</v>
      </c>
      <c r="D443" s="1" t="s">
        <v>3716</v>
      </c>
      <c r="E443" s="1" t="s">
        <v>3717</v>
      </c>
      <c r="F443" s="1" t="s">
        <v>4139</v>
      </c>
      <c r="G443" s="1" t="s">
        <v>14129</v>
      </c>
      <c r="H443" s="1" t="s">
        <v>14130</v>
      </c>
      <c r="I443" s="1" t="s">
        <v>14566</v>
      </c>
      <c r="J443" s="1" t="s">
        <v>23</v>
      </c>
      <c r="K443" s="1"/>
      <c r="L443" s="1" t="s">
        <v>3541</v>
      </c>
      <c r="M443" s="1" t="s">
        <v>3541</v>
      </c>
      <c r="N443" s="12" t="b">
        <f t="shared" si="30"/>
        <v>1</v>
      </c>
      <c r="O443" s="1" t="s">
        <v>4140</v>
      </c>
      <c r="P443" s="1" t="s">
        <v>4141</v>
      </c>
      <c r="Q443" s="1" t="s">
        <v>4142</v>
      </c>
      <c r="R443" s="1" t="s">
        <v>4143</v>
      </c>
      <c r="S443" s="1" t="s">
        <v>3912</v>
      </c>
      <c r="T443" s="1" t="s">
        <v>3913</v>
      </c>
      <c r="U443" s="1" t="s">
        <v>3914</v>
      </c>
      <c r="V443" s="13">
        <f>COUNTIF(L443:$M$1659,L443)</f>
        <v>4</v>
      </c>
      <c r="W443" s="1" t="s">
        <v>3549</v>
      </c>
      <c r="X443">
        <v>272.7</v>
      </c>
      <c r="Y443">
        <v>128.34</v>
      </c>
      <c r="Z443">
        <v>12.303564</v>
      </c>
      <c r="AA443">
        <v>107.5934</v>
      </c>
      <c r="AB443">
        <v>144.36000000000001</v>
      </c>
      <c r="AC443">
        <v>12.25478</v>
      </c>
      <c r="AD443">
        <v>107.609988</v>
      </c>
      <c r="AE443" s="5">
        <f t="shared" si="31"/>
        <v>0.19250999999999999</v>
      </c>
      <c r="AF443" s="5">
        <f t="shared" si="32"/>
        <v>0.21654000000000001</v>
      </c>
      <c r="AG443" s="1" t="str">
        <f>TRIM(LEFT(L443,FIND("-",L443)-1))</f>
        <v>Công an tỉnh Lâm Đồng</v>
      </c>
      <c r="AH443" s="1" t="str">
        <f>TRIM(RIGHT(L443, LEN(L443) - FIND("-", L443)))</f>
        <v>TT2
- Công an xã Đức Lập (Trụ sở 2 CAH Đắk Mil cũ)</v>
      </c>
      <c r="AJ443">
        <f t="shared" si="33"/>
        <v>0.12834000000000001</v>
      </c>
      <c r="AK443">
        <f t="shared" si="34"/>
        <v>0.14436000000000002</v>
      </c>
      <c r="AL443" t="e">
        <f>VLOOKUP(L443,'[1]Tuyến cáp H04'!$B:$E,3,0)/1000</f>
        <v>#N/A</v>
      </c>
      <c r="AM443" t="e">
        <f>VLOOKUP(L443,'[1]Tuyến cáp H04'!$B:$E,4,0)</f>
        <v>#N/A</v>
      </c>
    </row>
    <row r="444" spans="1:39" x14ac:dyDescent="0.25">
      <c r="A444" s="1" t="s">
        <v>4144</v>
      </c>
      <c r="B444" s="1" t="s">
        <v>3727</v>
      </c>
      <c r="C444" s="1" t="s">
        <v>3728</v>
      </c>
      <c r="D444" s="1" t="s">
        <v>3740</v>
      </c>
      <c r="E444" s="1" t="s">
        <v>3741</v>
      </c>
      <c r="F444" s="1" t="s">
        <v>4145</v>
      </c>
      <c r="G444" s="1" t="s">
        <v>14129</v>
      </c>
      <c r="H444" s="1" t="s">
        <v>14130</v>
      </c>
      <c r="I444" s="1" t="s">
        <v>14567</v>
      </c>
      <c r="J444" s="1" t="s">
        <v>23</v>
      </c>
      <c r="K444" s="1"/>
      <c r="L444" s="1" t="s">
        <v>3565</v>
      </c>
      <c r="M444" s="1" t="s">
        <v>3565</v>
      </c>
      <c r="N444" s="12" t="b">
        <f t="shared" si="30"/>
        <v>1</v>
      </c>
      <c r="O444" s="1" t="s">
        <v>4146</v>
      </c>
      <c r="P444" s="1" t="s">
        <v>4147</v>
      </c>
      <c r="Q444" s="1" t="s">
        <v>3568</v>
      </c>
      <c r="R444" s="1" t="s">
        <v>3569</v>
      </c>
      <c r="S444" s="1" t="s">
        <v>3744</v>
      </c>
      <c r="T444" s="1" t="s">
        <v>3745</v>
      </c>
      <c r="U444" s="1" t="s">
        <v>3746</v>
      </c>
      <c r="V444" s="13">
        <f>COUNTIF(L444:$M$1659,L444)</f>
        <v>6</v>
      </c>
      <c r="W444" s="1" t="s">
        <v>3573</v>
      </c>
      <c r="X444">
        <v>796.62</v>
      </c>
      <c r="Y444">
        <v>647.80999999999995</v>
      </c>
      <c r="Z444">
        <v>12.018853</v>
      </c>
      <c r="AA444">
        <v>107.492485</v>
      </c>
      <c r="AB444">
        <v>148.81</v>
      </c>
      <c r="AC444">
        <v>12.043371</v>
      </c>
      <c r="AD444">
        <v>107.489839</v>
      </c>
      <c r="AE444" s="5">
        <f t="shared" si="31"/>
        <v>0.97171499999999988</v>
      </c>
      <c r="AF444" s="5">
        <f t="shared" si="32"/>
        <v>0.223215</v>
      </c>
      <c r="AG444" s="1" t="str">
        <f>TRIM(LEFT(L444,FIND("-",L444)-1))</f>
        <v>Công an xã Tuy Đức (Trụ sở CAH Tuy Đức cũ)</v>
      </c>
      <c r="AH444" s="1" t="str">
        <f>TRIM(RIGHT(L444, LEN(L444) - FIND("-", L444)))</f>
        <v>Công an xã Kiến Đức (Trụ sở CAH Đắk R'Lấp cũ)</v>
      </c>
      <c r="AJ444">
        <f t="shared" si="33"/>
        <v>0.64781</v>
      </c>
      <c r="AK444">
        <f t="shared" si="34"/>
        <v>0.14881</v>
      </c>
      <c r="AL444" t="e">
        <f>VLOOKUP(L444,'[1]Tuyến cáp H04'!$B:$E,3,0)/1000</f>
        <v>#N/A</v>
      </c>
      <c r="AM444" t="e">
        <f>VLOOKUP(L444,'[1]Tuyến cáp H04'!$B:$E,4,0)</f>
        <v>#N/A</v>
      </c>
    </row>
    <row r="445" spans="1:39" x14ac:dyDescent="0.25">
      <c r="A445" s="1" t="s">
        <v>4148</v>
      </c>
      <c r="B445" s="1" t="s">
        <v>3751</v>
      </c>
      <c r="C445" s="1" t="s">
        <v>3752</v>
      </c>
      <c r="D445" s="1" t="s">
        <v>3538</v>
      </c>
      <c r="E445" s="1" t="s">
        <v>3539</v>
      </c>
      <c r="F445" s="1" t="s">
        <v>4149</v>
      </c>
      <c r="G445" s="1" t="s">
        <v>14129</v>
      </c>
      <c r="H445" s="1" t="s">
        <v>14130</v>
      </c>
      <c r="I445" s="1" t="s">
        <v>14568</v>
      </c>
      <c r="J445" s="1" t="s">
        <v>23</v>
      </c>
      <c r="K445" s="1"/>
      <c r="L445" s="1" t="s">
        <v>3565</v>
      </c>
      <c r="M445" s="1" t="s">
        <v>3565</v>
      </c>
      <c r="N445" s="12" t="b">
        <f t="shared" si="30"/>
        <v>1</v>
      </c>
      <c r="O445" s="1" t="s">
        <v>4150</v>
      </c>
      <c r="P445" s="1" t="s">
        <v>3755</v>
      </c>
      <c r="Q445" s="1" t="s">
        <v>3756</v>
      </c>
      <c r="R445" s="1" t="s">
        <v>3757</v>
      </c>
      <c r="S445" s="1" t="s">
        <v>3570</v>
      </c>
      <c r="T445" s="1" t="s">
        <v>3571</v>
      </c>
      <c r="U445" s="1" t="s">
        <v>3572</v>
      </c>
      <c r="V445" s="13">
        <f>COUNTIF(L445:$M$1659,L445)</f>
        <v>4</v>
      </c>
      <c r="W445" s="1" t="s">
        <v>3573</v>
      </c>
      <c r="X445">
        <v>97.91</v>
      </c>
      <c r="Y445">
        <v>74.84</v>
      </c>
      <c r="Z445">
        <v>12.184903</v>
      </c>
      <c r="AA445">
        <v>107.450288</v>
      </c>
      <c r="AB445">
        <v>23.06</v>
      </c>
      <c r="AC445">
        <v>12.218915000000001</v>
      </c>
      <c r="AD445">
        <v>107.47745500000001</v>
      </c>
      <c r="AE445" s="5">
        <f t="shared" si="31"/>
        <v>0.11226</v>
      </c>
      <c r="AF445" s="5">
        <f t="shared" si="32"/>
        <v>3.4589999999999996E-2</v>
      </c>
      <c r="AG445" s="1" t="str">
        <f>TRIM(LEFT(L445,FIND("-",L445)-1))</f>
        <v>Công an xã Tuy Đức (Trụ sở CAH Tuy Đức cũ)</v>
      </c>
      <c r="AH445" s="1" t="str">
        <f>TRIM(RIGHT(L445, LEN(L445) - FIND("-", L445)))</f>
        <v>Công an xã Kiến Đức (Trụ sở CAH Đắk R'Lấp cũ)</v>
      </c>
      <c r="AJ445">
        <f t="shared" si="33"/>
        <v>7.4840000000000004E-2</v>
      </c>
      <c r="AK445">
        <f t="shared" si="34"/>
        <v>2.3059999999999997E-2</v>
      </c>
      <c r="AL445" t="e">
        <f>VLOOKUP(L445,'[1]Tuyến cáp H04'!$B:$E,3,0)/1000</f>
        <v>#N/A</v>
      </c>
      <c r="AM445" t="e">
        <f>VLOOKUP(L445,'[1]Tuyến cáp H04'!$B:$E,4,0)</f>
        <v>#N/A</v>
      </c>
    </row>
    <row r="446" spans="1:39" x14ac:dyDescent="0.25">
      <c r="A446" s="1" t="s">
        <v>4151</v>
      </c>
      <c r="B446" s="1" t="s">
        <v>4152</v>
      </c>
      <c r="C446" s="1" t="s">
        <v>4153</v>
      </c>
      <c r="D446" s="1" t="s">
        <v>3451</v>
      </c>
      <c r="E446" s="1" t="s">
        <v>3452</v>
      </c>
      <c r="F446" s="1" t="s">
        <v>4154</v>
      </c>
      <c r="G446" s="1" t="s">
        <v>14129</v>
      </c>
      <c r="H446" s="1" t="s">
        <v>14130</v>
      </c>
      <c r="I446" s="1" t="s">
        <v>14569</v>
      </c>
      <c r="J446" s="1" t="s">
        <v>23</v>
      </c>
      <c r="K446" s="1"/>
      <c r="L446" s="1" t="s">
        <v>3541</v>
      </c>
      <c r="M446" s="1" t="s">
        <v>3541</v>
      </c>
      <c r="N446" s="12" t="b">
        <f t="shared" si="30"/>
        <v>1</v>
      </c>
      <c r="O446" s="1" t="s">
        <v>4155</v>
      </c>
      <c r="P446" s="1" t="s">
        <v>4156</v>
      </c>
      <c r="Q446" s="1" t="s">
        <v>4157</v>
      </c>
      <c r="R446" s="1" t="s">
        <v>4158</v>
      </c>
      <c r="S446" s="1" t="s">
        <v>4159</v>
      </c>
      <c r="T446" s="1" t="s">
        <v>4160</v>
      </c>
      <c r="U446" s="1" t="s">
        <v>4161</v>
      </c>
      <c r="V446" s="13">
        <f>COUNTIF(L446:$M$1659,L446)</f>
        <v>2</v>
      </c>
      <c r="W446" s="1" t="s">
        <v>3549</v>
      </c>
      <c r="X446">
        <v>826.18</v>
      </c>
      <c r="Y446">
        <v>452.8</v>
      </c>
      <c r="Z446">
        <v>12.15021</v>
      </c>
      <c r="AA446">
        <v>107.643135</v>
      </c>
      <c r="AB446">
        <v>373.39</v>
      </c>
      <c r="AC446">
        <v>12.099854000000001</v>
      </c>
      <c r="AD446">
        <v>107.656595</v>
      </c>
      <c r="AE446" s="5">
        <f t="shared" si="31"/>
        <v>0.67920000000000003</v>
      </c>
      <c r="AF446" s="5">
        <f t="shared" si="32"/>
        <v>0.56008500000000006</v>
      </c>
      <c r="AG446" s="1" t="str">
        <f>TRIM(LEFT(L446,FIND("-",L446)-1))</f>
        <v>Công an tỉnh Lâm Đồng</v>
      </c>
      <c r="AH446" s="1" t="str">
        <f>TRIM(RIGHT(L446, LEN(L446) - FIND("-", L446)))</f>
        <v>TT2
- Công an xã Đức Lập (Trụ sở 2 CAH Đắk Mil cũ)</v>
      </c>
      <c r="AJ446">
        <f t="shared" si="33"/>
        <v>0.45280000000000004</v>
      </c>
      <c r="AK446">
        <f t="shared" si="34"/>
        <v>0.37339</v>
      </c>
      <c r="AL446" t="e">
        <f>VLOOKUP(L446,'[1]Tuyến cáp H04'!$B:$E,3,0)/1000</f>
        <v>#N/A</v>
      </c>
      <c r="AM446" t="e">
        <f>VLOOKUP(L446,'[1]Tuyến cáp H04'!$B:$E,4,0)</f>
        <v>#N/A</v>
      </c>
    </row>
    <row r="447" spans="1:39" x14ac:dyDescent="0.25">
      <c r="A447" s="1" t="s">
        <v>4162</v>
      </c>
      <c r="B447" s="1" t="s">
        <v>4163</v>
      </c>
      <c r="C447" s="1" t="s">
        <v>4164</v>
      </c>
      <c r="D447" s="1" t="s">
        <v>3799</v>
      </c>
      <c r="E447" s="1" t="s">
        <v>3800</v>
      </c>
      <c r="F447" s="1" t="s">
        <v>4165</v>
      </c>
      <c r="G447" s="1" t="s">
        <v>14129</v>
      </c>
      <c r="H447" s="1" t="s">
        <v>14130</v>
      </c>
      <c r="I447" s="1" t="s">
        <v>14570</v>
      </c>
      <c r="J447" s="1" t="s">
        <v>23</v>
      </c>
      <c r="K447" s="1"/>
      <c r="L447" s="1" t="s">
        <v>3456</v>
      </c>
      <c r="M447" s="1" t="s">
        <v>3456</v>
      </c>
      <c r="N447" s="12" t="b">
        <f t="shared" si="30"/>
        <v>1</v>
      </c>
      <c r="O447" s="1" t="s">
        <v>4166</v>
      </c>
      <c r="P447" s="1" t="s">
        <v>4167</v>
      </c>
      <c r="Q447" s="1" t="s">
        <v>4168</v>
      </c>
      <c r="R447" s="1" t="s">
        <v>4169</v>
      </c>
      <c r="S447" s="1" t="s">
        <v>3488</v>
      </c>
      <c r="T447" s="1" t="s">
        <v>4100</v>
      </c>
      <c r="U447" s="1" t="s">
        <v>3806</v>
      </c>
      <c r="V447" s="13">
        <f>COUNTIF(L447:$M$1659,L447)</f>
        <v>6</v>
      </c>
      <c r="W447" s="1" t="s">
        <v>3464</v>
      </c>
      <c r="X447">
        <v>63.71</v>
      </c>
      <c r="Y447">
        <v>62.95</v>
      </c>
      <c r="Z447">
        <v>12.033683999999999</v>
      </c>
      <c r="AA447">
        <v>107.687252</v>
      </c>
      <c r="AB447">
        <v>0.75</v>
      </c>
      <c r="AC447">
        <v>12.023574</v>
      </c>
      <c r="AD447">
        <v>107.685997</v>
      </c>
      <c r="AE447" s="5">
        <f t="shared" si="31"/>
        <v>9.4425000000000009E-2</v>
      </c>
      <c r="AF447" s="5">
        <f t="shared" si="32"/>
        <v>1.1249999999999999E-3</v>
      </c>
      <c r="AG447" s="1" t="str">
        <f>TRIM(LEFT(L447,FIND("-",L447)-1))</f>
        <v>Công an tỉnh Lâm Đồng</v>
      </c>
      <c r="AH447" s="1" t="str">
        <f>TRIM(RIGHT(L447, LEN(L447) - FIND("-", L447)))</f>
        <v>TT2 - Công an xã Đức An (Trụ sở CAH Đắk Song cũ)</v>
      </c>
      <c r="AJ447">
        <f t="shared" si="33"/>
        <v>6.2950000000000006E-2</v>
      </c>
      <c r="AK447">
        <f t="shared" si="34"/>
        <v>7.5000000000000002E-4</v>
      </c>
      <c r="AL447" t="e">
        <f>VLOOKUP(L447,'[1]Tuyến cáp H04'!$B:$E,3,0)/1000</f>
        <v>#N/A</v>
      </c>
      <c r="AM447" t="e">
        <f>VLOOKUP(L447,'[1]Tuyến cáp H04'!$B:$E,4,0)</f>
        <v>#N/A</v>
      </c>
    </row>
    <row r="448" spans="1:39" x14ac:dyDescent="0.25">
      <c r="A448" s="1" t="s">
        <v>4170</v>
      </c>
      <c r="B448" s="1" t="s">
        <v>4171</v>
      </c>
      <c r="C448" s="1" t="s">
        <v>4172</v>
      </c>
      <c r="D448" s="1" t="s">
        <v>3799</v>
      </c>
      <c r="E448" s="1" t="s">
        <v>3800</v>
      </c>
      <c r="F448" s="1" t="s">
        <v>4173</v>
      </c>
      <c r="G448" s="1" t="s">
        <v>14129</v>
      </c>
      <c r="H448" s="1" t="s">
        <v>14130</v>
      </c>
      <c r="I448" s="1" t="s">
        <v>14571</v>
      </c>
      <c r="J448" s="1" t="s">
        <v>23</v>
      </c>
      <c r="K448" s="1"/>
      <c r="L448" s="1" t="s">
        <v>4174</v>
      </c>
      <c r="M448" s="1" t="s">
        <v>4174</v>
      </c>
      <c r="N448" s="12" t="b">
        <f t="shared" si="30"/>
        <v>1</v>
      </c>
      <c r="O448" s="1" t="s">
        <v>4175</v>
      </c>
      <c r="P448" s="1" t="s">
        <v>4176</v>
      </c>
      <c r="Q448" s="1" t="s">
        <v>4177</v>
      </c>
      <c r="R448" s="1" t="s">
        <v>4178</v>
      </c>
      <c r="S448" s="1" t="s">
        <v>4179</v>
      </c>
      <c r="T448" s="1" t="s">
        <v>4180</v>
      </c>
      <c r="U448" s="1" t="s">
        <v>4181</v>
      </c>
      <c r="V448" s="13">
        <f>COUNTIF(L448:$M$1659,L448)</f>
        <v>2</v>
      </c>
      <c r="W448" s="1" t="s">
        <v>4182</v>
      </c>
      <c r="X448">
        <v>4548.84</v>
      </c>
      <c r="Y448">
        <v>466.02</v>
      </c>
      <c r="Z448">
        <v>12.021367</v>
      </c>
      <c r="AA448">
        <v>107.738292</v>
      </c>
      <c r="AB448">
        <v>4082.82</v>
      </c>
      <c r="AC448">
        <v>12.006174</v>
      </c>
      <c r="AD448">
        <v>107.719054</v>
      </c>
      <c r="AE448" s="5">
        <f t="shared" si="31"/>
        <v>0.69902999999999993</v>
      </c>
      <c r="AF448" s="5">
        <f t="shared" si="32"/>
        <v>6.1242300000000007</v>
      </c>
      <c r="AG448" s="1" t="str">
        <f>TRIM(LEFT(L448,FIND("-",L448)-1))</f>
        <v>Công an xã Quảng Sơn</v>
      </c>
      <c r="AH448" s="1" t="str">
        <f>TRIM(RIGHT(L448, LEN(L448) - FIND("-", L448)))</f>
        <v>Trại tạm giam cơ sở 2</v>
      </c>
      <c r="AJ448">
        <f t="shared" si="33"/>
        <v>0.46601999999999999</v>
      </c>
      <c r="AK448">
        <f t="shared" si="34"/>
        <v>4.0828199999999999</v>
      </c>
      <c r="AL448" t="e">
        <f>VLOOKUP(L448,'[1]Tuyến cáp H04'!$B:$E,3,0)/1000</f>
        <v>#N/A</v>
      </c>
      <c r="AM448" t="e">
        <f>VLOOKUP(L448,'[1]Tuyến cáp H04'!$B:$E,4,0)</f>
        <v>#N/A</v>
      </c>
    </row>
    <row r="449" spans="1:39" x14ac:dyDescent="0.25">
      <c r="A449" s="1" t="s">
        <v>4183</v>
      </c>
      <c r="B449" s="1" t="s">
        <v>4184</v>
      </c>
      <c r="C449" s="1" t="s">
        <v>4185</v>
      </c>
      <c r="D449" s="1" t="s">
        <v>3829</v>
      </c>
      <c r="E449" s="1" t="s">
        <v>3830</v>
      </c>
      <c r="F449" s="1" t="s">
        <v>4186</v>
      </c>
      <c r="G449" s="1" t="s">
        <v>14129</v>
      </c>
      <c r="H449" s="1" t="s">
        <v>14532</v>
      </c>
      <c r="I449" s="1" t="s">
        <v>14572</v>
      </c>
      <c r="J449" s="1" t="s">
        <v>23</v>
      </c>
      <c r="K449" s="1"/>
      <c r="L449" s="1" t="s">
        <v>4079</v>
      </c>
      <c r="M449" s="1" t="s">
        <v>4079</v>
      </c>
      <c r="N449" s="12" t="b">
        <f t="shared" si="30"/>
        <v>1</v>
      </c>
      <c r="O449" s="1" t="s">
        <v>4187</v>
      </c>
      <c r="P449" s="1" t="s">
        <v>4188</v>
      </c>
      <c r="Q449" s="1" t="s">
        <v>4189</v>
      </c>
      <c r="R449" s="1" t="s">
        <v>4190</v>
      </c>
      <c r="S449" s="1" t="s">
        <v>4191</v>
      </c>
      <c r="T449" s="1" t="s">
        <v>4192</v>
      </c>
      <c r="U449" s="1" t="s">
        <v>4193</v>
      </c>
      <c r="V449" s="13">
        <f>COUNTIF(L449:$M$1659,L449)</f>
        <v>4</v>
      </c>
      <c r="W449" s="1" t="s">
        <v>4194</v>
      </c>
      <c r="X449">
        <v>204.91</v>
      </c>
      <c r="Y449">
        <v>108.08</v>
      </c>
      <c r="Z449">
        <v>11.970677999999999</v>
      </c>
      <c r="AA449">
        <v>107.576391</v>
      </c>
      <c r="AB449">
        <v>96.83</v>
      </c>
      <c r="AC449">
        <v>11.976426999999999</v>
      </c>
      <c r="AD449">
        <v>107.58153</v>
      </c>
      <c r="AE449" s="5">
        <f t="shared" si="31"/>
        <v>0.16212000000000001</v>
      </c>
      <c r="AF449" s="5">
        <f t="shared" si="32"/>
        <v>0.14524500000000001</v>
      </c>
      <c r="AG449" s="1" t="str">
        <f>TRIM(LEFT(L449,FIND("-",L449)-1))</f>
        <v>Công An xã Quảng Tín</v>
      </c>
      <c r="AH449" s="1" t="str">
        <f>TRIM(RIGHT(L449, LEN(L449) - FIND("-", L449)))</f>
        <v>Đồn CA KCN Nhân Cơ</v>
      </c>
      <c r="AJ449">
        <f t="shared" si="33"/>
        <v>0.10808</v>
      </c>
      <c r="AK449">
        <f t="shared" si="34"/>
        <v>9.6829999999999999E-2</v>
      </c>
      <c r="AL449" t="e">
        <f>VLOOKUP(L449,'[1]Tuyến cáp H04'!$B:$E,3,0)/1000</f>
        <v>#N/A</v>
      </c>
      <c r="AM449" t="e">
        <f>VLOOKUP(L449,'[1]Tuyến cáp H04'!$B:$E,4,0)</f>
        <v>#N/A</v>
      </c>
    </row>
    <row r="450" spans="1:39" x14ac:dyDescent="0.25">
      <c r="A450" s="1" t="s">
        <v>4195</v>
      </c>
      <c r="B450" s="1" t="s">
        <v>4196</v>
      </c>
      <c r="C450" s="1" t="s">
        <v>4197</v>
      </c>
      <c r="D450" s="1" t="s">
        <v>3562</v>
      </c>
      <c r="E450" s="1" t="s">
        <v>3563</v>
      </c>
      <c r="F450" s="1" t="s">
        <v>4198</v>
      </c>
      <c r="G450" s="1" t="s">
        <v>14129</v>
      </c>
      <c r="H450" s="1" t="s">
        <v>14532</v>
      </c>
      <c r="I450" s="1" t="s">
        <v>14573</v>
      </c>
      <c r="J450" s="1" t="s">
        <v>23</v>
      </c>
      <c r="K450" s="1"/>
      <c r="L450" s="1" t="s">
        <v>3853</v>
      </c>
      <c r="M450" s="1" t="s">
        <v>3853</v>
      </c>
      <c r="N450" s="12" t="b">
        <f t="shared" si="30"/>
        <v>1</v>
      </c>
      <c r="O450" s="1" t="s">
        <v>4199</v>
      </c>
      <c r="P450" s="1" t="s">
        <v>4200</v>
      </c>
      <c r="Q450" s="1" t="s">
        <v>4201</v>
      </c>
      <c r="R450" s="1" t="s">
        <v>4202</v>
      </c>
      <c r="S450" s="1" t="s">
        <v>4203</v>
      </c>
      <c r="T450" s="1" t="s">
        <v>4204</v>
      </c>
      <c r="U450" s="1" t="s">
        <v>4205</v>
      </c>
      <c r="V450" s="13">
        <f>COUNTIF(L450:$M$1659,L450)</f>
        <v>6</v>
      </c>
      <c r="W450" s="1" t="s">
        <v>4206</v>
      </c>
      <c r="X450">
        <v>3604.33</v>
      </c>
      <c r="Y450">
        <v>3532.75</v>
      </c>
      <c r="Z450">
        <v>11.992851999999999</v>
      </c>
      <c r="AA450">
        <v>107.510395</v>
      </c>
      <c r="AB450">
        <v>71.58</v>
      </c>
      <c r="AC450">
        <v>12.00653</v>
      </c>
      <c r="AD450">
        <v>107.513014</v>
      </c>
      <c r="AE450" s="5">
        <f t="shared" si="31"/>
        <v>5.2991250000000001</v>
      </c>
      <c r="AF450" s="5">
        <f t="shared" si="32"/>
        <v>0.10737000000000001</v>
      </c>
      <c r="AG450" s="1" t="str">
        <f>TRIM(LEFT(L450,FIND("-",L450)-1))</f>
        <v>Đội CC&amp;CNCH khu vực 13</v>
      </c>
      <c r="AH450" s="1" t="str">
        <f>TRIM(RIGHT(L450, LEN(L450) - FIND("-", L450)))</f>
        <v>Công an xã Quảng Tín</v>
      </c>
      <c r="AJ450">
        <f t="shared" si="33"/>
        <v>3.5327500000000001</v>
      </c>
      <c r="AK450">
        <f t="shared" si="34"/>
        <v>7.1580000000000005E-2</v>
      </c>
      <c r="AL450" t="e">
        <f>VLOOKUP(L450,'[1]Tuyến cáp H04'!$B:$E,3,0)/1000</f>
        <v>#N/A</v>
      </c>
      <c r="AM450" t="e">
        <f>VLOOKUP(L450,'[1]Tuyến cáp H04'!$B:$E,4,0)</f>
        <v>#N/A</v>
      </c>
    </row>
    <row r="451" spans="1:39" x14ac:dyDescent="0.25">
      <c r="A451" s="1" t="s">
        <v>4207</v>
      </c>
      <c r="B451" s="1" t="s">
        <v>4208</v>
      </c>
      <c r="C451" s="1" t="s">
        <v>4209</v>
      </c>
      <c r="D451" s="1" t="s">
        <v>3562</v>
      </c>
      <c r="E451" s="1" t="s">
        <v>3563</v>
      </c>
      <c r="F451" s="1" t="s">
        <v>4210</v>
      </c>
      <c r="G451" s="1" t="s">
        <v>14129</v>
      </c>
      <c r="H451" s="1" t="s">
        <v>14532</v>
      </c>
      <c r="I451" s="1" t="s">
        <v>14574</v>
      </c>
      <c r="J451" s="1" t="s">
        <v>23</v>
      </c>
      <c r="K451" s="1"/>
      <c r="L451" s="1" t="s">
        <v>3853</v>
      </c>
      <c r="M451" s="1" t="s">
        <v>3853</v>
      </c>
      <c r="N451" s="12" t="b">
        <f t="shared" ref="N451:N514" si="35">L451=M451</f>
        <v>1</v>
      </c>
      <c r="O451" s="1" t="s">
        <v>4211</v>
      </c>
      <c r="P451" s="1" t="s">
        <v>4212</v>
      </c>
      <c r="Q451" s="1" t="s">
        <v>4213</v>
      </c>
      <c r="R451" s="1" t="s">
        <v>4214</v>
      </c>
      <c r="S451" s="1" t="s">
        <v>4032</v>
      </c>
      <c r="T451" s="1" t="s">
        <v>4033</v>
      </c>
      <c r="U451" s="1" t="s">
        <v>4034</v>
      </c>
      <c r="V451" s="13">
        <f>COUNTIF(L451:$M$1659,L451)</f>
        <v>4</v>
      </c>
      <c r="W451" s="1" t="s">
        <v>3861</v>
      </c>
      <c r="X451">
        <v>2602.9899999999998</v>
      </c>
      <c r="Y451">
        <v>990.75</v>
      </c>
      <c r="Z451">
        <v>11.95595</v>
      </c>
      <c r="AA451">
        <v>107.471277</v>
      </c>
      <c r="AB451">
        <v>1612.24</v>
      </c>
      <c r="AC451">
        <v>11.992825</v>
      </c>
      <c r="AD451">
        <v>107.510738</v>
      </c>
      <c r="AE451" s="5">
        <f t="shared" ref="AE451:AE514" si="36">Y451*1.5/1000</f>
        <v>1.4861249999999999</v>
      </c>
      <c r="AF451" s="5">
        <f t="shared" ref="AF451:AF514" si="37">AB451*1.5/1000</f>
        <v>2.4183600000000003</v>
      </c>
      <c r="AG451" s="1" t="str">
        <f>TRIM(LEFT(L451,FIND("-",L451)-1))</f>
        <v>Đội CC&amp;CNCH khu vực 13</v>
      </c>
      <c r="AH451" s="1" t="str">
        <f>TRIM(RIGHT(L451, LEN(L451) - FIND("-", L451)))</f>
        <v>Công an xã Quảng Tín</v>
      </c>
      <c r="AJ451">
        <f t="shared" ref="AJ451:AJ514" si="38">Y451/1000</f>
        <v>0.99075000000000002</v>
      </c>
      <c r="AK451">
        <f t="shared" ref="AK451:AK514" si="39">AB451/1000</f>
        <v>1.6122400000000001</v>
      </c>
      <c r="AL451" t="e">
        <f>VLOOKUP(L451,'[1]Tuyến cáp H04'!$B:$E,3,0)/1000</f>
        <v>#N/A</v>
      </c>
      <c r="AM451" t="e">
        <f>VLOOKUP(L451,'[1]Tuyến cáp H04'!$B:$E,4,0)</f>
        <v>#N/A</v>
      </c>
    </row>
    <row r="452" spans="1:39" x14ac:dyDescent="0.25">
      <c r="A452" s="1" t="s">
        <v>4215</v>
      </c>
      <c r="B452" s="1" t="s">
        <v>4095</v>
      </c>
      <c r="C452" s="1" t="s">
        <v>4096</v>
      </c>
      <c r="D452" s="1" t="s">
        <v>3812</v>
      </c>
      <c r="E452" s="1" t="s">
        <v>3813</v>
      </c>
      <c r="F452" s="1" t="s">
        <v>4216</v>
      </c>
      <c r="G452" s="1" t="s">
        <v>14129</v>
      </c>
      <c r="H452" s="1" t="s">
        <v>14532</v>
      </c>
      <c r="I452" s="1" t="s">
        <v>14575</v>
      </c>
      <c r="J452" s="1" t="s">
        <v>23</v>
      </c>
      <c r="K452" s="1"/>
      <c r="L452" s="1" t="s">
        <v>3817</v>
      </c>
      <c r="M452" s="1" t="s">
        <v>3817</v>
      </c>
      <c r="N452" s="12" t="b">
        <f t="shared" si="35"/>
        <v>1</v>
      </c>
      <c r="O452" s="1" t="s">
        <v>4217</v>
      </c>
      <c r="P452" s="1" t="s">
        <v>4218</v>
      </c>
      <c r="Q452" s="1" t="s">
        <v>4219</v>
      </c>
      <c r="R452" s="1" t="s">
        <v>4220</v>
      </c>
      <c r="S452" s="1" t="s">
        <v>3819</v>
      </c>
      <c r="T452" s="1" t="s">
        <v>3820</v>
      </c>
      <c r="U452" s="1" t="s">
        <v>3821</v>
      </c>
      <c r="V452" s="13">
        <f>COUNTIF(L452:$M$1659,L452)</f>
        <v>10</v>
      </c>
      <c r="W452" s="1" t="s">
        <v>3825</v>
      </c>
      <c r="X452">
        <v>1891.62</v>
      </c>
      <c r="Y452">
        <v>1761.43</v>
      </c>
      <c r="Z452">
        <v>12.001448999999999</v>
      </c>
      <c r="AA452">
        <v>107.676164</v>
      </c>
      <c r="AB452">
        <v>130.19</v>
      </c>
      <c r="AC452">
        <v>11.982198</v>
      </c>
      <c r="AD452">
        <v>107.58801200000001</v>
      </c>
      <c r="AE452" s="5">
        <f t="shared" si="36"/>
        <v>2.6421450000000002</v>
      </c>
      <c r="AF452" s="5">
        <f t="shared" si="37"/>
        <v>0.19528499999999999</v>
      </c>
      <c r="AG452" s="1" t="str">
        <f>TRIM(LEFT(L452,FIND("-",L452)-1))</f>
        <v>Công an phường Nam Gia Nghĩa</v>
      </c>
      <c r="AH452" s="1" t="str">
        <f>TRIM(RIGHT(L452, LEN(L452) - FIND("-", L452)))</f>
        <v>Công an xã Kiến Đức</v>
      </c>
      <c r="AJ452">
        <f t="shared" si="38"/>
        <v>1.7614300000000001</v>
      </c>
      <c r="AK452">
        <f t="shared" si="39"/>
        <v>0.13019</v>
      </c>
      <c r="AL452" t="e">
        <f>VLOOKUP(L452,'[1]Tuyến cáp H04'!$B:$E,3,0)/1000</f>
        <v>#N/A</v>
      </c>
      <c r="AM452" t="e">
        <f>VLOOKUP(L452,'[1]Tuyến cáp H04'!$B:$E,4,0)</f>
        <v>#N/A</v>
      </c>
    </row>
    <row r="453" spans="1:39" x14ac:dyDescent="0.25">
      <c r="A453" s="1" t="s">
        <v>4221</v>
      </c>
      <c r="B453" s="1" t="s">
        <v>4222</v>
      </c>
      <c r="C453" s="1" t="s">
        <v>4223</v>
      </c>
      <c r="D453" s="1" t="s">
        <v>3562</v>
      </c>
      <c r="E453" s="1" t="s">
        <v>3563</v>
      </c>
      <c r="F453" s="1" t="s">
        <v>4224</v>
      </c>
      <c r="G453" s="1" t="s">
        <v>14129</v>
      </c>
      <c r="H453" s="1" t="s">
        <v>14532</v>
      </c>
      <c r="I453" s="1" t="s">
        <v>14576</v>
      </c>
      <c r="J453" s="1" t="s">
        <v>23</v>
      </c>
      <c r="K453" s="1"/>
      <c r="L453" s="1" t="s">
        <v>3817</v>
      </c>
      <c r="M453" s="1" t="s">
        <v>3817</v>
      </c>
      <c r="N453" s="12" t="b">
        <f t="shared" si="35"/>
        <v>1</v>
      </c>
      <c r="O453" s="1" t="s">
        <v>4225</v>
      </c>
      <c r="P453" s="1" t="s">
        <v>4226</v>
      </c>
      <c r="Q453" s="1" t="s">
        <v>4227</v>
      </c>
      <c r="R453" s="1" t="s">
        <v>4228</v>
      </c>
      <c r="S453" s="1" t="s">
        <v>4229</v>
      </c>
      <c r="T453" s="1" t="s">
        <v>4230</v>
      </c>
      <c r="U453" s="1" t="s">
        <v>4231</v>
      </c>
      <c r="V453" s="13">
        <f>COUNTIF(L453:$M$1659,L453)</f>
        <v>8</v>
      </c>
      <c r="W453" s="1" t="s">
        <v>3825</v>
      </c>
      <c r="X453">
        <v>878.46</v>
      </c>
      <c r="Y453">
        <v>222.28</v>
      </c>
      <c r="Z453">
        <v>11.993556999999999</v>
      </c>
      <c r="AA453">
        <v>107.546589</v>
      </c>
      <c r="AB453">
        <v>656.18</v>
      </c>
      <c r="AC453">
        <v>12.001529</v>
      </c>
      <c r="AD453">
        <v>107.511134</v>
      </c>
      <c r="AE453" s="5">
        <f t="shared" si="36"/>
        <v>0.33341999999999999</v>
      </c>
      <c r="AF453" s="5">
        <f t="shared" si="37"/>
        <v>0.98426999999999998</v>
      </c>
      <c r="AG453" s="1" t="str">
        <f>TRIM(LEFT(L453,FIND("-",L453)-1))</f>
        <v>Công an phường Nam Gia Nghĩa</v>
      </c>
      <c r="AH453" s="1" t="str">
        <f>TRIM(RIGHT(L453, LEN(L453) - FIND("-", L453)))</f>
        <v>Công an xã Kiến Đức</v>
      </c>
      <c r="AJ453">
        <f t="shared" si="38"/>
        <v>0.22228000000000001</v>
      </c>
      <c r="AK453">
        <f t="shared" si="39"/>
        <v>0.65617999999999999</v>
      </c>
      <c r="AL453" t="e">
        <f>VLOOKUP(L453,'[1]Tuyến cáp H04'!$B:$E,3,0)/1000</f>
        <v>#N/A</v>
      </c>
      <c r="AM453" t="e">
        <f>VLOOKUP(L453,'[1]Tuyến cáp H04'!$B:$E,4,0)</f>
        <v>#N/A</v>
      </c>
    </row>
    <row r="454" spans="1:39" x14ac:dyDescent="0.25">
      <c r="A454" s="1" t="s">
        <v>4232</v>
      </c>
      <c r="B454" s="1" t="s">
        <v>4095</v>
      </c>
      <c r="C454" s="1" t="s">
        <v>4096</v>
      </c>
      <c r="D454" s="1" t="s">
        <v>3827</v>
      </c>
      <c r="E454" s="1" t="s">
        <v>3828</v>
      </c>
      <c r="F454" s="1" t="s">
        <v>4233</v>
      </c>
      <c r="G454" s="1" t="s">
        <v>14129</v>
      </c>
      <c r="H454" s="1" t="s">
        <v>14532</v>
      </c>
      <c r="I454" s="1" t="s">
        <v>14577</v>
      </c>
      <c r="J454" s="1" t="s">
        <v>23</v>
      </c>
      <c r="K454" s="1"/>
      <c r="L454" s="1" t="s">
        <v>4234</v>
      </c>
      <c r="M454" s="1" t="s">
        <v>4234</v>
      </c>
      <c r="N454" s="12" t="b">
        <f t="shared" si="35"/>
        <v>1</v>
      </c>
      <c r="O454" s="1" t="s">
        <v>4235</v>
      </c>
      <c r="P454" s="1" t="s">
        <v>4236</v>
      </c>
      <c r="Q454" s="1" t="s">
        <v>4237</v>
      </c>
      <c r="R454" s="1" t="s">
        <v>4238</v>
      </c>
      <c r="S454" s="1" t="s">
        <v>4239</v>
      </c>
      <c r="T454" s="1" t="s">
        <v>4240</v>
      </c>
      <c r="U454" s="1" t="s">
        <v>4241</v>
      </c>
      <c r="V454" s="13">
        <f>COUNTIF(L454:$M$1659,L454)</f>
        <v>2</v>
      </c>
      <c r="W454" s="1" t="s">
        <v>4242</v>
      </c>
      <c r="X454">
        <v>1887.02</v>
      </c>
      <c r="Y454">
        <v>1596.34</v>
      </c>
      <c r="Z454">
        <v>12.013104</v>
      </c>
      <c r="AA454">
        <v>107.68238100000001</v>
      </c>
      <c r="AB454">
        <v>290.69</v>
      </c>
      <c r="AC454">
        <v>11.981328</v>
      </c>
      <c r="AD454">
        <v>107.65792500000001</v>
      </c>
      <c r="AE454" s="5">
        <f t="shared" si="36"/>
        <v>2.3945099999999999</v>
      </c>
      <c r="AF454" s="5">
        <f t="shared" si="37"/>
        <v>0.43603499999999995</v>
      </c>
      <c r="AG454" s="1" t="str">
        <f>TRIM(LEFT(L454,FIND("-",L454)-1))</f>
        <v>Công an xã Nhân Cơ</v>
      </c>
      <c r="AH454" s="1" t="str">
        <f>TRIM(RIGHT(L454, LEN(L454) - FIND("-", L454)))</f>
        <v>Công an tỉnh Lâm Đồng - TT2</v>
      </c>
      <c r="AJ454">
        <f t="shared" si="38"/>
        <v>1.5963399999999999</v>
      </c>
      <c r="AK454">
        <f t="shared" si="39"/>
        <v>0.29069</v>
      </c>
      <c r="AL454" t="e">
        <f>VLOOKUP(L454,'[1]Tuyến cáp H04'!$B:$E,3,0)/1000</f>
        <v>#N/A</v>
      </c>
      <c r="AM454" t="e">
        <f>VLOOKUP(L454,'[1]Tuyến cáp H04'!$B:$E,4,0)</f>
        <v>#N/A</v>
      </c>
    </row>
    <row r="455" spans="1:39" x14ac:dyDescent="0.25">
      <c r="A455" s="1" t="s">
        <v>4243</v>
      </c>
      <c r="B455" s="1" t="s">
        <v>4244</v>
      </c>
      <c r="C455" s="1" t="s">
        <v>4245</v>
      </c>
      <c r="D455" s="1" t="s">
        <v>3562</v>
      </c>
      <c r="E455" s="1" t="s">
        <v>3563</v>
      </c>
      <c r="F455" s="1" t="s">
        <v>4246</v>
      </c>
      <c r="G455" s="1" t="s">
        <v>14129</v>
      </c>
      <c r="H455" s="1" t="s">
        <v>14532</v>
      </c>
      <c r="I455" s="1" t="s">
        <v>14578</v>
      </c>
      <c r="J455" s="1" t="s">
        <v>23</v>
      </c>
      <c r="K455" s="1"/>
      <c r="L455" s="1" t="s">
        <v>3730</v>
      </c>
      <c r="M455" s="1" t="s">
        <v>3730</v>
      </c>
      <c r="N455" s="12" t="b">
        <f t="shared" si="35"/>
        <v>1</v>
      </c>
      <c r="O455" s="1" t="s">
        <v>4247</v>
      </c>
      <c r="P455" s="1" t="s">
        <v>4248</v>
      </c>
      <c r="Q455" s="1" t="s">
        <v>4249</v>
      </c>
      <c r="R455" s="1" t="s">
        <v>4250</v>
      </c>
      <c r="S455" s="1" t="s">
        <v>4251</v>
      </c>
      <c r="T455" s="1" t="s">
        <v>4249</v>
      </c>
      <c r="U455" s="1" t="s">
        <v>4250</v>
      </c>
      <c r="V455" s="13">
        <f>COUNTIF(L455:$M$1659,L455)</f>
        <v>4</v>
      </c>
      <c r="W455" s="1" t="s">
        <v>4252</v>
      </c>
      <c r="X455">
        <v>1580.52</v>
      </c>
      <c r="Y455">
        <v>1573.51</v>
      </c>
      <c r="Z455">
        <v>12.007192</v>
      </c>
      <c r="AA455">
        <v>107.51297599999999</v>
      </c>
      <c r="AB455">
        <v>7.01</v>
      </c>
      <c r="AC455">
        <v>12.007192</v>
      </c>
      <c r="AD455">
        <v>107.51297599999999</v>
      </c>
      <c r="AE455" s="5">
        <f t="shared" si="36"/>
        <v>2.3602650000000001</v>
      </c>
      <c r="AF455" s="5">
        <f t="shared" si="37"/>
        <v>1.0515E-2</v>
      </c>
      <c r="AG455" s="1" t="str">
        <f>TRIM(LEFT(L455,FIND("-",L455)-1))</f>
        <v>Đường Quảng Tân</v>
      </c>
      <c r="AH455" s="1" t="str">
        <f>TRIM(RIGHT(L455, LEN(L455) - FIND("-", L455)))</f>
        <v>TTCMKV Đắk R'Lấp</v>
      </c>
      <c r="AJ455">
        <f t="shared" si="38"/>
        <v>1.57351</v>
      </c>
      <c r="AK455">
        <f t="shared" si="39"/>
        <v>7.0099999999999997E-3</v>
      </c>
      <c r="AL455" t="e">
        <f>VLOOKUP(L455,'[1]Tuyến cáp H04'!$B:$E,3,0)/1000</f>
        <v>#N/A</v>
      </c>
      <c r="AM455" t="e">
        <f>VLOOKUP(L455,'[1]Tuyến cáp H04'!$B:$E,4,0)</f>
        <v>#N/A</v>
      </c>
    </row>
    <row r="456" spans="1:39" x14ac:dyDescent="0.25">
      <c r="A456" s="1" t="s">
        <v>4253</v>
      </c>
      <c r="B456" s="1" t="s">
        <v>4254</v>
      </c>
      <c r="C456" s="1" t="s">
        <v>4255</v>
      </c>
      <c r="D456" s="1" t="s">
        <v>3848</v>
      </c>
      <c r="E456" s="1" t="s">
        <v>3849</v>
      </c>
      <c r="F456" s="1" t="s">
        <v>4256</v>
      </c>
      <c r="G456" s="1" t="s">
        <v>14129</v>
      </c>
      <c r="H456" s="1" t="s">
        <v>14532</v>
      </c>
      <c r="I456" s="1" t="s">
        <v>14579</v>
      </c>
      <c r="J456" s="1" t="s">
        <v>23</v>
      </c>
      <c r="K456" s="1"/>
      <c r="L456" s="1" t="s">
        <v>4079</v>
      </c>
      <c r="M456" s="1" t="s">
        <v>4079</v>
      </c>
      <c r="N456" s="12" t="b">
        <f t="shared" si="35"/>
        <v>1</v>
      </c>
      <c r="O456" s="1" t="s">
        <v>4257</v>
      </c>
      <c r="P456" s="1" t="s">
        <v>4258</v>
      </c>
      <c r="Q456" s="1" t="s">
        <v>4259</v>
      </c>
      <c r="R456" s="1" t="s">
        <v>4260</v>
      </c>
      <c r="S456" s="1" t="s">
        <v>4261</v>
      </c>
      <c r="T456" s="1" t="s">
        <v>4262</v>
      </c>
      <c r="U456" s="1" t="s">
        <v>4263</v>
      </c>
      <c r="V456" s="13">
        <f>COUNTIF(L456:$M$1659,L456)</f>
        <v>2</v>
      </c>
      <c r="W456" s="1" t="s">
        <v>4194</v>
      </c>
      <c r="X456">
        <v>1133.31</v>
      </c>
      <c r="Y456">
        <v>163.54</v>
      </c>
      <c r="Z456">
        <v>11.877682999999999</v>
      </c>
      <c r="AA456">
        <v>107.41624</v>
      </c>
      <c r="AB456">
        <v>969.77</v>
      </c>
      <c r="AC456">
        <v>11.904558</v>
      </c>
      <c r="AD456">
        <v>107.395252</v>
      </c>
      <c r="AE456" s="5">
        <f t="shared" si="36"/>
        <v>0.24531</v>
      </c>
      <c r="AF456" s="5">
        <f t="shared" si="37"/>
        <v>1.454655</v>
      </c>
      <c r="AG456" s="1" t="str">
        <f>TRIM(LEFT(L456,FIND("-",L456)-1))</f>
        <v>Công An xã Quảng Tín</v>
      </c>
      <c r="AH456" s="1" t="str">
        <f>TRIM(RIGHT(L456, LEN(L456) - FIND("-", L456)))</f>
        <v>Đồn CA KCN Nhân Cơ</v>
      </c>
      <c r="AJ456">
        <f t="shared" si="38"/>
        <v>0.16353999999999999</v>
      </c>
      <c r="AK456">
        <f t="shared" si="39"/>
        <v>0.96977000000000002</v>
      </c>
      <c r="AL456" t="e">
        <f>VLOOKUP(L456,'[1]Tuyến cáp H04'!$B:$E,3,0)/1000</f>
        <v>#N/A</v>
      </c>
      <c r="AM456" t="e">
        <f>VLOOKUP(L456,'[1]Tuyến cáp H04'!$B:$E,4,0)</f>
        <v>#N/A</v>
      </c>
    </row>
    <row r="457" spans="1:39" x14ac:dyDescent="0.25">
      <c r="A457" s="1" t="s">
        <v>4264</v>
      </c>
      <c r="B457" s="1" t="s">
        <v>4265</v>
      </c>
      <c r="C457" s="1" t="s">
        <v>4266</v>
      </c>
      <c r="D457" s="1" t="s">
        <v>3562</v>
      </c>
      <c r="E457" s="1" t="s">
        <v>3563</v>
      </c>
      <c r="F457" s="1" t="s">
        <v>4267</v>
      </c>
      <c r="G457" s="1" t="s">
        <v>14129</v>
      </c>
      <c r="H457" s="1" t="s">
        <v>14532</v>
      </c>
      <c r="I457" s="1" t="s">
        <v>14580</v>
      </c>
      <c r="J457" s="1" t="s">
        <v>23</v>
      </c>
      <c r="K457" s="1"/>
      <c r="L457" s="1" t="s">
        <v>3853</v>
      </c>
      <c r="M457" s="1" t="s">
        <v>3853</v>
      </c>
      <c r="N457" s="12" t="b">
        <f t="shared" si="35"/>
        <v>1</v>
      </c>
      <c r="O457" s="1" t="s">
        <v>4268</v>
      </c>
      <c r="P457" s="1" t="s">
        <v>4269</v>
      </c>
      <c r="Q457" s="1" t="s">
        <v>4270</v>
      </c>
      <c r="R457" s="1" t="s">
        <v>4271</v>
      </c>
      <c r="S457" s="1" t="s">
        <v>4032</v>
      </c>
      <c r="T457" s="1" t="s">
        <v>4033</v>
      </c>
      <c r="U457" s="1" t="s">
        <v>4034</v>
      </c>
      <c r="V457" s="13">
        <f>COUNTIF(L457:$M$1659,L457)</f>
        <v>2</v>
      </c>
      <c r="W457" s="1" t="s">
        <v>3861</v>
      </c>
      <c r="X457">
        <v>1706.8</v>
      </c>
      <c r="Y457">
        <v>94.57</v>
      </c>
      <c r="Z457">
        <v>11.932662000000001</v>
      </c>
      <c r="AA457">
        <v>107.433708</v>
      </c>
      <c r="AB457">
        <v>1612.24</v>
      </c>
      <c r="AC457">
        <v>11.992825</v>
      </c>
      <c r="AD457">
        <v>107.510738</v>
      </c>
      <c r="AE457" s="5">
        <f t="shared" si="36"/>
        <v>0.14185499999999998</v>
      </c>
      <c r="AF457" s="5">
        <f t="shared" si="37"/>
        <v>2.4183600000000003</v>
      </c>
      <c r="AG457" s="1" t="str">
        <f>TRIM(LEFT(L457,FIND("-",L457)-1))</f>
        <v>Đội CC&amp;CNCH khu vực 13</v>
      </c>
      <c r="AH457" s="1" t="str">
        <f>TRIM(RIGHT(L457, LEN(L457) - FIND("-", L457)))</f>
        <v>Công an xã Quảng Tín</v>
      </c>
      <c r="AJ457">
        <f t="shared" si="38"/>
        <v>9.4569999999999987E-2</v>
      </c>
      <c r="AK457">
        <f t="shared" si="39"/>
        <v>1.6122400000000001</v>
      </c>
      <c r="AL457" t="e">
        <f>VLOOKUP(L457,'[1]Tuyến cáp H04'!$B:$E,3,0)/1000</f>
        <v>#N/A</v>
      </c>
      <c r="AM457" t="e">
        <f>VLOOKUP(L457,'[1]Tuyến cáp H04'!$B:$E,4,0)</f>
        <v>#N/A</v>
      </c>
    </row>
    <row r="458" spans="1:39" x14ac:dyDescent="0.25">
      <c r="A458" s="1" t="s">
        <v>4272</v>
      </c>
      <c r="B458" s="1" t="s">
        <v>4273</v>
      </c>
      <c r="C458" s="1" t="s">
        <v>4274</v>
      </c>
      <c r="D458" s="1" t="s">
        <v>4059</v>
      </c>
      <c r="E458" s="1" t="s">
        <v>4060</v>
      </c>
      <c r="F458" s="1" t="s">
        <v>4275</v>
      </c>
      <c r="G458" s="1" t="s">
        <v>14129</v>
      </c>
      <c r="H458" s="1" t="s">
        <v>14532</v>
      </c>
      <c r="I458" s="1" t="s">
        <v>14581</v>
      </c>
      <c r="J458" s="1" t="s">
        <v>23</v>
      </c>
      <c r="K458" s="1"/>
      <c r="L458" s="1" t="s">
        <v>4276</v>
      </c>
      <c r="M458" s="1" t="s">
        <v>4276</v>
      </c>
      <c r="N458" s="12" t="b">
        <f t="shared" si="35"/>
        <v>1</v>
      </c>
      <c r="O458" s="1" t="s">
        <v>4277</v>
      </c>
      <c r="P458" s="1" t="s">
        <v>4278</v>
      </c>
      <c r="Q458" s="1" t="s">
        <v>4279</v>
      </c>
      <c r="R458" s="1" t="s">
        <v>4280</v>
      </c>
      <c r="S458" s="1" t="s">
        <v>4281</v>
      </c>
      <c r="T458" s="1" t="s">
        <v>4282</v>
      </c>
      <c r="U458" s="1" t="s">
        <v>4283</v>
      </c>
      <c r="V458" s="13">
        <f>COUNTIF(L458:$M$1659,L458)</f>
        <v>4</v>
      </c>
      <c r="W458" s="1" t="s">
        <v>4284</v>
      </c>
      <c r="X458">
        <v>162.13999999999999</v>
      </c>
      <c r="Y458">
        <v>157.93</v>
      </c>
      <c r="Z458">
        <v>11.958558</v>
      </c>
      <c r="AA458">
        <v>107.727834</v>
      </c>
      <c r="AB458">
        <v>4.21</v>
      </c>
      <c r="AC458">
        <v>11.95994</v>
      </c>
      <c r="AD458">
        <v>107.728562</v>
      </c>
      <c r="AE458" s="5">
        <f t="shared" si="36"/>
        <v>0.23689500000000002</v>
      </c>
      <c r="AF458" s="5">
        <f t="shared" si="37"/>
        <v>6.3149999999999994E-3</v>
      </c>
      <c r="AG458" s="1" t="str">
        <f>TRIM(LEFT(L458,FIND("-",L458)-1))</f>
        <v>Công an phường Đông Gia Nghĩa</v>
      </c>
      <c r="AH458" s="1" t="str">
        <f>TRIM(RIGHT(L458, LEN(L458) - FIND("-", L458)))</f>
        <v>Công an phường Nam Gia Nghĩa</v>
      </c>
      <c r="AJ458">
        <f t="shared" si="38"/>
        <v>0.15793000000000001</v>
      </c>
      <c r="AK458">
        <f t="shared" si="39"/>
        <v>4.2100000000000002E-3</v>
      </c>
      <c r="AL458" t="e">
        <f>VLOOKUP(L458,'[1]Tuyến cáp H04'!$B:$E,3,0)/1000</f>
        <v>#N/A</v>
      </c>
      <c r="AM458" t="e">
        <f>VLOOKUP(L458,'[1]Tuyến cáp H04'!$B:$E,4,0)</f>
        <v>#N/A</v>
      </c>
    </row>
    <row r="459" spans="1:39" x14ac:dyDescent="0.25">
      <c r="A459" s="1" t="s">
        <v>4285</v>
      </c>
      <c r="B459" s="1" t="s">
        <v>4286</v>
      </c>
      <c r="C459" s="1" t="s">
        <v>4287</v>
      </c>
      <c r="D459" s="1" t="s">
        <v>3799</v>
      </c>
      <c r="E459" s="1" t="s">
        <v>3800</v>
      </c>
      <c r="F459" s="1" t="s">
        <v>4288</v>
      </c>
      <c r="G459" s="1" t="s">
        <v>14281</v>
      </c>
      <c r="H459" s="1" t="s">
        <v>14282</v>
      </c>
      <c r="I459" s="1" t="s">
        <v>14582</v>
      </c>
      <c r="J459" s="1" t="s">
        <v>23</v>
      </c>
      <c r="K459" s="1"/>
      <c r="L459" s="1" t="s">
        <v>4007</v>
      </c>
      <c r="M459" s="1" t="s">
        <v>4007</v>
      </c>
      <c r="N459" s="12" t="b">
        <f t="shared" si="35"/>
        <v>1</v>
      </c>
      <c r="O459" s="1" t="s">
        <v>4289</v>
      </c>
      <c r="P459" s="1" t="s">
        <v>4290</v>
      </c>
      <c r="Q459" s="1" t="s">
        <v>4291</v>
      </c>
      <c r="R459" s="1" t="s">
        <v>4292</v>
      </c>
      <c r="S459" s="1" t="s">
        <v>4012</v>
      </c>
      <c r="T459" s="1" t="s">
        <v>4013</v>
      </c>
      <c r="U459" s="1" t="s">
        <v>4014</v>
      </c>
      <c r="V459" s="13">
        <f>COUNTIF(L459:$M$1659,L459)</f>
        <v>4</v>
      </c>
      <c r="W459" s="1" t="s">
        <v>4015</v>
      </c>
      <c r="X459">
        <v>364.07</v>
      </c>
      <c r="Y459">
        <v>348.67</v>
      </c>
      <c r="Z459">
        <v>11.992516999999999</v>
      </c>
      <c r="AA459">
        <v>107.6704</v>
      </c>
      <c r="AB459">
        <v>15.4</v>
      </c>
      <c r="AC459">
        <v>12.023471000000001</v>
      </c>
      <c r="AD459">
        <v>107.686087</v>
      </c>
      <c r="AE459" s="5">
        <f t="shared" si="36"/>
        <v>0.52300499999999994</v>
      </c>
      <c r="AF459" s="5">
        <f t="shared" si="37"/>
        <v>2.3100000000000002E-2</v>
      </c>
      <c r="AG459" s="1" t="str">
        <f>TRIM(LEFT(L459,FIND("-",L459)-1))</f>
        <v>Phòng PA06</v>
      </c>
      <c r="AH459" s="1" t="str">
        <f>TRIM(RIGHT(L459, LEN(L459) - FIND("-", L459)))</f>
        <v>Tổ địa bàn số 2 - Công an tỉnh Lâm Đồng - TT2</v>
      </c>
      <c r="AJ459">
        <f t="shared" si="38"/>
        <v>0.34867000000000004</v>
      </c>
      <c r="AK459">
        <f t="shared" si="39"/>
        <v>1.54E-2</v>
      </c>
      <c r="AL459" t="e">
        <f>VLOOKUP(L459,'[1]Tuyến cáp H04'!$B:$E,3,0)/1000</f>
        <v>#N/A</v>
      </c>
      <c r="AM459" t="e">
        <f>VLOOKUP(L459,'[1]Tuyến cáp H04'!$B:$E,4,0)</f>
        <v>#N/A</v>
      </c>
    </row>
    <row r="460" spans="1:39" x14ac:dyDescent="0.25">
      <c r="A460" s="1" t="s">
        <v>4293</v>
      </c>
      <c r="B460" s="1" t="s">
        <v>3799</v>
      </c>
      <c r="C460" s="1" t="s">
        <v>3800</v>
      </c>
      <c r="D460" s="1" t="s">
        <v>4286</v>
      </c>
      <c r="E460" s="1" t="s">
        <v>4287</v>
      </c>
      <c r="F460" s="1" t="s">
        <v>4294</v>
      </c>
      <c r="G460" s="1" t="s">
        <v>14281</v>
      </c>
      <c r="H460" s="1" t="s">
        <v>14282</v>
      </c>
      <c r="I460" s="1" t="s">
        <v>14583</v>
      </c>
      <c r="J460" s="1" t="s">
        <v>23</v>
      </c>
      <c r="K460" s="1"/>
      <c r="L460" s="1" t="s">
        <v>4007</v>
      </c>
      <c r="M460" s="1" t="s">
        <v>4007</v>
      </c>
      <c r="N460" s="12" t="b">
        <f t="shared" si="35"/>
        <v>1</v>
      </c>
      <c r="O460" s="1" t="s">
        <v>4289</v>
      </c>
      <c r="P460" s="1" t="s">
        <v>4012</v>
      </c>
      <c r="Q460" s="1" t="s">
        <v>4013</v>
      </c>
      <c r="R460" s="1" t="s">
        <v>4014</v>
      </c>
      <c r="S460" s="1" t="s">
        <v>4290</v>
      </c>
      <c r="T460" s="1" t="s">
        <v>4291</v>
      </c>
      <c r="U460" s="1" t="s">
        <v>4292</v>
      </c>
      <c r="V460" s="13">
        <f>COUNTIF(L460:$M$1659,L460)</f>
        <v>2</v>
      </c>
      <c r="W460" s="1" t="s">
        <v>4015</v>
      </c>
      <c r="X460">
        <v>364.07</v>
      </c>
      <c r="Y460">
        <v>15.4</v>
      </c>
      <c r="Z460">
        <v>12.023471000000001</v>
      </c>
      <c r="AA460">
        <v>107.686087</v>
      </c>
      <c r="AB460">
        <v>348.67</v>
      </c>
      <c r="AC460">
        <v>11.992516999999999</v>
      </c>
      <c r="AD460">
        <v>107.6704</v>
      </c>
      <c r="AE460" s="5">
        <f t="shared" si="36"/>
        <v>2.3100000000000002E-2</v>
      </c>
      <c r="AF460" s="5">
        <f t="shared" si="37"/>
        <v>0.52300499999999994</v>
      </c>
      <c r="AG460" s="1" t="str">
        <f>TRIM(LEFT(L460,FIND("-",L460)-1))</f>
        <v>Phòng PA06</v>
      </c>
      <c r="AH460" s="1" t="str">
        <f>TRIM(RIGHT(L460, LEN(L460) - FIND("-", L460)))</f>
        <v>Tổ địa bàn số 2 - Công an tỉnh Lâm Đồng - TT2</v>
      </c>
      <c r="AJ460">
        <f t="shared" si="38"/>
        <v>1.54E-2</v>
      </c>
      <c r="AK460">
        <f t="shared" si="39"/>
        <v>0.34867000000000004</v>
      </c>
      <c r="AL460" t="e">
        <f>VLOOKUP(L460,'[1]Tuyến cáp H04'!$B:$E,3,0)/1000</f>
        <v>#N/A</v>
      </c>
      <c r="AM460" t="e">
        <f>VLOOKUP(L460,'[1]Tuyến cáp H04'!$B:$E,4,0)</f>
        <v>#N/A</v>
      </c>
    </row>
    <row r="461" spans="1:39" x14ac:dyDescent="0.25">
      <c r="A461" s="1" t="s">
        <v>4295</v>
      </c>
      <c r="B461" s="1" t="s">
        <v>3799</v>
      </c>
      <c r="C461" s="1" t="s">
        <v>3800</v>
      </c>
      <c r="D461" s="1" t="s">
        <v>4095</v>
      </c>
      <c r="E461" s="1" t="s">
        <v>4096</v>
      </c>
      <c r="F461" s="1" t="s">
        <v>4296</v>
      </c>
      <c r="G461" s="1" t="s">
        <v>14281</v>
      </c>
      <c r="H461" s="1" t="s">
        <v>14282</v>
      </c>
      <c r="I461" s="1" t="s">
        <v>14584</v>
      </c>
      <c r="J461" s="1" t="s">
        <v>23</v>
      </c>
      <c r="K461" s="1"/>
      <c r="L461" s="1" t="s">
        <v>3528</v>
      </c>
      <c r="M461" s="1" t="s">
        <v>3528</v>
      </c>
      <c r="N461" s="12" t="b">
        <f t="shared" si="35"/>
        <v>1</v>
      </c>
      <c r="O461" s="1" t="s">
        <v>4297</v>
      </c>
      <c r="P461" s="1" t="s">
        <v>3804</v>
      </c>
      <c r="Q461" s="1" t="s">
        <v>3805</v>
      </c>
      <c r="R461" s="1" t="s">
        <v>3806</v>
      </c>
      <c r="S461" s="1" t="s">
        <v>4298</v>
      </c>
      <c r="T461" s="1" t="s">
        <v>4299</v>
      </c>
      <c r="U461" s="1" t="s">
        <v>4300</v>
      </c>
      <c r="V461" s="13">
        <f>COUNTIF(L461:$M$1659,L461)</f>
        <v>12</v>
      </c>
      <c r="W461" s="1" t="s">
        <v>3810</v>
      </c>
      <c r="X461">
        <v>90.99</v>
      </c>
      <c r="Y461">
        <v>1.35</v>
      </c>
      <c r="Z461">
        <v>12.023592000000001</v>
      </c>
      <c r="AA461">
        <v>107.685997</v>
      </c>
      <c r="AB461">
        <v>89.63</v>
      </c>
      <c r="AC461">
        <v>12.00291</v>
      </c>
      <c r="AD461">
        <v>107.69305199999999</v>
      </c>
      <c r="AE461" s="5">
        <f t="shared" si="36"/>
        <v>2.0250000000000003E-3</v>
      </c>
      <c r="AF461" s="5">
        <f t="shared" si="37"/>
        <v>0.13444499999999998</v>
      </c>
      <c r="AG461" s="1" t="str">
        <f>TRIM(LEFT(L461,FIND("-",L461)-1))</f>
        <v>Công an tỉnh Lâm Đồng</v>
      </c>
      <c r="AH461" s="1" t="str">
        <f>TRIM(RIGHT(L461, LEN(L461) - FIND("-", L461)))</f>
        <v>TT2 - Công an xã Quảng Khê</v>
      </c>
      <c r="AJ461">
        <f t="shared" si="38"/>
        <v>1.3500000000000001E-3</v>
      </c>
      <c r="AK461">
        <f t="shared" si="39"/>
        <v>8.9630000000000001E-2</v>
      </c>
      <c r="AL461" t="e">
        <f>VLOOKUP(L461,'[1]Tuyến cáp H04'!$B:$E,3,0)/1000</f>
        <v>#N/A</v>
      </c>
      <c r="AM461" t="e">
        <f>VLOOKUP(L461,'[1]Tuyến cáp H04'!$B:$E,4,0)</f>
        <v>#N/A</v>
      </c>
    </row>
    <row r="462" spans="1:39" x14ac:dyDescent="0.25">
      <c r="A462" s="1" t="s">
        <v>4301</v>
      </c>
      <c r="B462" s="1" t="s">
        <v>4286</v>
      </c>
      <c r="C462" s="1" t="s">
        <v>4287</v>
      </c>
      <c r="D462" s="1" t="s">
        <v>3562</v>
      </c>
      <c r="E462" s="1" t="s">
        <v>3563</v>
      </c>
      <c r="F462" s="1" t="s">
        <v>4302</v>
      </c>
      <c r="G462" s="1" t="s">
        <v>14281</v>
      </c>
      <c r="H462" s="1" t="s">
        <v>14282</v>
      </c>
      <c r="I462" s="1" t="s">
        <v>14585</v>
      </c>
      <c r="J462" s="1" t="s">
        <v>23</v>
      </c>
      <c r="K462" s="1"/>
      <c r="L462" s="1" t="s">
        <v>3817</v>
      </c>
      <c r="M462" s="1" t="s">
        <v>3817</v>
      </c>
      <c r="N462" s="12" t="b">
        <f t="shared" si="35"/>
        <v>1</v>
      </c>
      <c r="O462" s="1" t="s">
        <v>4303</v>
      </c>
      <c r="P462" s="1" t="s">
        <v>4304</v>
      </c>
      <c r="Q462" s="1" t="s">
        <v>4305</v>
      </c>
      <c r="R462" s="1" t="s">
        <v>4306</v>
      </c>
      <c r="S462" s="1" t="s">
        <v>4229</v>
      </c>
      <c r="T462" s="1" t="s">
        <v>4230</v>
      </c>
      <c r="U462" s="1" t="s">
        <v>4231</v>
      </c>
      <c r="V462" s="13">
        <f>COUNTIF(L462:$M$1659,L462)</f>
        <v>6</v>
      </c>
      <c r="W462" s="1" t="s">
        <v>3825</v>
      </c>
      <c r="X462">
        <v>1003.78</v>
      </c>
      <c r="Y462">
        <v>347.59</v>
      </c>
      <c r="Z462">
        <v>11.992580999999999</v>
      </c>
      <c r="AA462">
        <v>107.670472</v>
      </c>
      <c r="AB462">
        <v>656.18</v>
      </c>
      <c r="AC462">
        <v>12.001529</v>
      </c>
      <c r="AD462">
        <v>107.511134</v>
      </c>
      <c r="AE462" s="5">
        <f t="shared" si="36"/>
        <v>0.52138499999999999</v>
      </c>
      <c r="AF462" s="5">
        <f t="shared" si="37"/>
        <v>0.98426999999999998</v>
      </c>
      <c r="AG462" s="1" t="str">
        <f>TRIM(LEFT(L462,FIND("-",L462)-1))</f>
        <v>Công an phường Nam Gia Nghĩa</v>
      </c>
      <c r="AH462" s="1" t="str">
        <f>TRIM(RIGHT(L462, LEN(L462) - FIND("-", L462)))</f>
        <v>Công an xã Kiến Đức</v>
      </c>
      <c r="AJ462">
        <f t="shared" si="38"/>
        <v>0.34758999999999995</v>
      </c>
      <c r="AK462">
        <f t="shared" si="39"/>
        <v>0.65617999999999999</v>
      </c>
      <c r="AL462" t="e">
        <f>VLOOKUP(L462,'[1]Tuyến cáp H04'!$B:$E,3,0)/1000</f>
        <v>#N/A</v>
      </c>
      <c r="AM462" t="e">
        <f>VLOOKUP(L462,'[1]Tuyến cáp H04'!$B:$E,4,0)</f>
        <v>#N/A</v>
      </c>
    </row>
    <row r="463" spans="1:39" x14ac:dyDescent="0.25">
      <c r="A463" s="1" t="s">
        <v>4307</v>
      </c>
      <c r="B463" s="1" t="s">
        <v>3562</v>
      </c>
      <c r="C463" s="1" t="s">
        <v>3563</v>
      </c>
      <c r="D463" s="1" t="s">
        <v>3799</v>
      </c>
      <c r="E463" s="1" t="s">
        <v>3800</v>
      </c>
      <c r="F463" s="1" t="s">
        <v>4308</v>
      </c>
      <c r="G463" s="1" t="s">
        <v>14281</v>
      </c>
      <c r="H463" s="1" t="s">
        <v>14282</v>
      </c>
      <c r="I463" s="1" t="s">
        <v>14586</v>
      </c>
      <c r="J463" s="1" t="s">
        <v>23</v>
      </c>
      <c r="K463" s="1"/>
      <c r="L463" s="1" t="s">
        <v>3817</v>
      </c>
      <c r="M463" s="1" t="s">
        <v>3817</v>
      </c>
      <c r="N463" s="12" t="b">
        <f t="shared" si="35"/>
        <v>1</v>
      </c>
      <c r="O463" s="1" t="s">
        <v>4309</v>
      </c>
      <c r="P463" s="1" t="s">
        <v>4229</v>
      </c>
      <c r="Q463" s="1" t="s">
        <v>4230</v>
      </c>
      <c r="R463" s="1" t="s">
        <v>4231</v>
      </c>
      <c r="S463" s="1" t="s">
        <v>4310</v>
      </c>
      <c r="T463" s="1" t="s">
        <v>4311</v>
      </c>
      <c r="U463" s="1" t="s">
        <v>4312</v>
      </c>
      <c r="V463" s="13">
        <f>COUNTIF(L463:$M$1659,L463)</f>
        <v>4</v>
      </c>
      <c r="W463" s="1" t="s">
        <v>3825</v>
      </c>
      <c r="X463">
        <v>3155.9</v>
      </c>
      <c r="Y463">
        <v>656.18</v>
      </c>
      <c r="Z463">
        <v>12.001529</v>
      </c>
      <c r="AA463">
        <v>107.511134</v>
      </c>
      <c r="AB463">
        <v>2499.7199999999998</v>
      </c>
      <c r="AC463">
        <v>12.003710999999999</v>
      </c>
      <c r="AD463">
        <v>107.675248</v>
      </c>
      <c r="AE463" s="5">
        <f t="shared" si="36"/>
        <v>0.98426999999999998</v>
      </c>
      <c r="AF463" s="5">
        <f t="shared" si="37"/>
        <v>3.7495799999999999</v>
      </c>
      <c r="AG463" s="1" t="str">
        <f>TRIM(LEFT(L463,FIND("-",L463)-1))</f>
        <v>Công an phường Nam Gia Nghĩa</v>
      </c>
      <c r="AH463" s="1" t="str">
        <f>TRIM(RIGHT(L463, LEN(L463) - FIND("-", L463)))</f>
        <v>Công an xã Kiến Đức</v>
      </c>
      <c r="AJ463">
        <f t="shared" si="38"/>
        <v>0.65617999999999999</v>
      </c>
      <c r="AK463">
        <f t="shared" si="39"/>
        <v>2.4997199999999999</v>
      </c>
      <c r="AL463" t="e">
        <f>VLOOKUP(L463,'[1]Tuyến cáp H04'!$B:$E,3,0)/1000</f>
        <v>#N/A</v>
      </c>
      <c r="AM463" t="e">
        <f>VLOOKUP(L463,'[1]Tuyến cáp H04'!$B:$E,4,0)</f>
        <v>#N/A</v>
      </c>
    </row>
    <row r="464" spans="1:39" x14ac:dyDescent="0.25">
      <c r="A464" s="1" t="s">
        <v>4313</v>
      </c>
      <c r="B464" s="1" t="s">
        <v>4059</v>
      </c>
      <c r="C464" s="1" t="s">
        <v>4060</v>
      </c>
      <c r="D464" s="1" t="s">
        <v>4314</v>
      </c>
      <c r="E464" s="1" t="s">
        <v>4315</v>
      </c>
      <c r="F464" s="1" t="s">
        <v>4316</v>
      </c>
      <c r="G464" s="1" t="s">
        <v>14281</v>
      </c>
      <c r="H464" s="1" t="s">
        <v>14282</v>
      </c>
      <c r="I464" s="1" t="s">
        <v>14587</v>
      </c>
      <c r="J464" s="1" t="s">
        <v>23</v>
      </c>
      <c r="K464" s="1"/>
      <c r="L464" s="1" t="s">
        <v>3528</v>
      </c>
      <c r="M464" s="1" t="s">
        <v>3528</v>
      </c>
      <c r="N464" s="12" t="b">
        <f t="shared" si="35"/>
        <v>1</v>
      </c>
      <c r="O464" s="1" t="s">
        <v>4317</v>
      </c>
      <c r="P464" s="1" t="s">
        <v>4318</v>
      </c>
      <c r="Q464" s="1" t="s">
        <v>4319</v>
      </c>
      <c r="R464" s="1" t="s">
        <v>4320</v>
      </c>
      <c r="S464" s="1" t="s">
        <v>4321</v>
      </c>
      <c r="T464" s="1" t="s">
        <v>4322</v>
      </c>
      <c r="U464" s="1" t="s">
        <v>4323</v>
      </c>
      <c r="V464" s="13">
        <f>COUNTIF(L464:$M$1659,L464)</f>
        <v>10</v>
      </c>
      <c r="W464" s="1" t="s">
        <v>3810</v>
      </c>
      <c r="X464">
        <v>1177.03</v>
      </c>
      <c r="Y464">
        <v>588.54999999999995</v>
      </c>
      <c r="Z464">
        <v>11.965242999999999</v>
      </c>
      <c r="AA464">
        <v>107.729074</v>
      </c>
      <c r="AB464">
        <v>588.48</v>
      </c>
      <c r="AC464">
        <v>11.940144</v>
      </c>
      <c r="AD464">
        <v>107.75215799999999</v>
      </c>
      <c r="AE464" s="5">
        <f t="shared" si="36"/>
        <v>0.88282499999999997</v>
      </c>
      <c r="AF464" s="5">
        <f t="shared" si="37"/>
        <v>0.88272000000000006</v>
      </c>
      <c r="AG464" s="1" t="str">
        <f>TRIM(LEFT(L464,FIND("-",L464)-1))</f>
        <v>Công an tỉnh Lâm Đồng</v>
      </c>
      <c r="AH464" s="1" t="str">
        <f>TRIM(RIGHT(L464, LEN(L464) - FIND("-", L464)))</f>
        <v>TT2 - Công an xã Quảng Khê</v>
      </c>
      <c r="AJ464">
        <f t="shared" si="38"/>
        <v>0.58854999999999991</v>
      </c>
      <c r="AK464">
        <f t="shared" si="39"/>
        <v>0.58848</v>
      </c>
      <c r="AL464" t="e">
        <f>VLOOKUP(L464,'[1]Tuyến cáp H04'!$B:$E,3,0)/1000</f>
        <v>#N/A</v>
      </c>
      <c r="AM464" t="e">
        <f>VLOOKUP(L464,'[1]Tuyến cáp H04'!$B:$E,4,0)</f>
        <v>#N/A</v>
      </c>
    </row>
    <row r="465" spans="1:39" x14ac:dyDescent="0.25">
      <c r="A465" s="1" t="s">
        <v>4324</v>
      </c>
      <c r="B465" s="1" t="s">
        <v>4286</v>
      </c>
      <c r="C465" s="1" t="s">
        <v>4287</v>
      </c>
      <c r="D465" s="1" t="s">
        <v>4325</v>
      </c>
      <c r="E465" s="1" t="s">
        <v>4326</v>
      </c>
      <c r="F465" s="1" t="s">
        <v>4327</v>
      </c>
      <c r="G465" s="1" t="s">
        <v>14281</v>
      </c>
      <c r="H465" s="1" t="s">
        <v>14282</v>
      </c>
      <c r="I465" s="1" t="s">
        <v>14588</v>
      </c>
      <c r="J465" s="1" t="s">
        <v>23</v>
      </c>
      <c r="K465" s="1"/>
      <c r="L465" s="1" t="s">
        <v>3817</v>
      </c>
      <c r="M465" s="1" t="s">
        <v>3817</v>
      </c>
      <c r="N465" s="12" t="b">
        <f t="shared" si="35"/>
        <v>1</v>
      </c>
      <c r="O465" s="1" t="s">
        <v>4328</v>
      </c>
      <c r="P465" s="1" t="s">
        <v>4304</v>
      </c>
      <c r="Q465" s="1" t="s">
        <v>4305</v>
      </c>
      <c r="R465" s="1" t="s">
        <v>4306</v>
      </c>
      <c r="S465" s="1" t="s">
        <v>4329</v>
      </c>
      <c r="T465" s="1" t="s">
        <v>4219</v>
      </c>
      <c r="U465" s="1" t="s">
        <v>4220</v>
      </c>
      <c r="V465" s="13">
        <f>COUNTIF(L465:$M$1659,L465)</f>
        <v>2</v>
      </c>
      <c r="W465" s="1" t="s">
        <v>3825</v>
      </c>
      <c r="X465">
        <v>448.57</v>
      </c>
      <c r="Y465">
        <v>347.59</v>
      </c>
      <c r="Z465">
        <v>11.992580999999999</v>
      </c>
      <c r="AA465">
        <v>107.670472</v>
      </c>
      <c r="AB465">
        <v>100.98</v>
      </c>
      <c r="AC465">
        <v>12.001448999999999</v>
      </c>
      <c r="AD465">
        <v>107.676164</v>
      </c>
      <c r="AE465" s="5">
        <f t="shared" si="36"/>
        <v>0.52138499999999999</v>
      </c>
      <c r="AF465" s="5">
        <f t="shared" si="37"/>
        <v>0.15146999999999999</v>
      </c>
      <c r="AG465" s="1" t="str">
        <f>TRIM(LEFT(L465,FIND("-",L465)-1))</f>
        <v>Công an phường Nam Gia Nghĩa</v>
      </c>
      <c r="AH465" s="1" t="str">
        <f>TRIM(RIGHT(L465, LEN(L465) - FIND("-", L465)))</f>
        <v>Công an xã Kiến Đức</v>
      </c>
      <c r="AJ465">
        <f t="shared" si="38"/>
        <v>0.34758999999999995</v>
      </c>
      <c r="AK465">
        <f t="shared" si="39"/>
        <v>0.10098</v>
      </c>
      <c r="AL465" t="e">
        <f>VLOOKUP(L465,'[1]Tuyến cáp H04'!$B:$E,3,0)/1000</f>
        <v>#N/A</v>
      </c>
      <c r="AM465" t="e">
        <f>VLOOKUP(L465,'[1]Tuyến cáp H04'!$B:$E,4,0)</f>
        <v>#N/A</v>
      </c>
    </row>
    <row r="466" spans="1:39" x14ac:dyDescent="0.25">
      <c r="A466" s="1" t="s">
        <v>4330</v>
      </c>
      <c r="B466" s="1" t="s">
        <v>4325</v>
      </c>
      <c r="C466" s="1" t="s">
        <v>4326</v>
      </c>
      <c r="D466" s="1" t="s">
        <v>4331</v>
      </c>
      <c r="E466" s="1" t="s">
        <v>4332</v>
      </c>
      <c r="F466" s="1" t="s">
        <v>4333</v>
      </c>
      <c r="G466" s="1" t="s">
        <v>14281</v>
      </c>
      <c r="H466" s="1" t="s">
        <v>14282</v>
      </c>
      <c r="I466" s="1" t="s">
        <v>14589</v>
      </c>
      <c r="J466" s="1" t="s">
        <v>23</v>
      </c>
      <c r="K466" s="1"/>
      <c r="L466" s="1" t="s">
        <v>4047</v>
      </c>
      <c r="M466" s="1" t="s">
        <v>4047</v>
      </c>
      <c r="N466" s="12" t="b">
        <f t="shared" si="35"/>
        <v>1</v>
      </c>
      <c r="O466" s="1" t="s">
        <v>4334</v>
      </c>
      <c r="P466" s="1" t="s">
        <v>4335</v>
      </c>
      <c r="Q466" s="1" t="s">
        <v>4336</v>
      </c>
      <c r="R466" s="1" t="s">
        <v>4337</v>
      </c>
      <c r="S466" s="1" t="s">
        <v>4338</v>
      </c>
      <c r="T466" s="1" t="s">
        <v>4339</v>
      </c>
      <c r="U466" s="1" t="s">
        <v>4340</v>
      </c>
      <c r="V466" s="13">
        <f>COUNTIF(L466:$M$1659,L466)</f>
        <v>4</v>
      </c>
      <c r="W466" s="1" t="s">
        <v>4055</v>
      </c>
      <c r="X466">
        <v>469.85</v>
      </c>
      <c r="Y466">
        <v>361.91</v>
      </c>
      <c r="Z466">
        <v>12.001927</v>
      </c>
      <c r="AA466">
        <v>107.673315</v>
      </c>
      <c r="AB466">
        <v>107.94</v>
      </c>
      <c r="AC466">
        <v>12.016175</v>
      </c>
      <c r="AD466">
        <v>107.68436699999999</v>
      </c>
      <c r="AE466" s="5">
        <f t="shared" si="36"/>
        <v>0.54286500000000004</v>
      </c>
      <c r="AF466" s="5">
        <f t="shared" si="37"/>
        <v>0.16191</v>
      </c>
      <c r="AG466" s="1" t="str">
        <f>TRIM(LEFT(L466,FIND("-",L466)-1))</f>
        <v>Công an xã Kiến Đức (Trụ sở CAH Đắk R'Lấp cũ)</v>
      </c>
      <c r="AH466" s="1" t="str">
        <f>TRIM(RIGHT(L466, LEN(L466) - FIND("-", L466)))</f>
        <v>Công an tỉnh Lâm Đồng - TT2</v>
      </c>
      <c r="AJ466">
        <f t="shared" si="38"/>
        <v>0.36191000000000001</v>
      </c>
      <c r="AK466">
        <f t="shared" si="39"/>
        <v>0.10793999999999999</v>
      </c>
      <c r="AL466" t="e">
        <f>VLOOKUP(L466,'[1]Tuyến cáp H04'!$B:$E,3,0)/1000</f>
        <v>#N/A</v>
      </c>
      <c r="AM466" t="e">
        <f>VLOOKUP(L466,'[1]Tuyến cáp H04'!$B:$E,4,0)</f>
        <v>#N/A</v>
      </c>
    </row>
    <row r="467" spans="1:39" x14ac:dyDescent="0.25">
      <c r="A467" s="1" t="s">
        <v>4341</v>
      </c>
      <c r="B467" s="1" t="s">
        <v>3784</v>
      </c>
      <c r="C467" s="1" t="s">
        <v>3785</v>
      </c>
      <c r="D467" s="1" t="s">
        <v>4342</v>
      </c>
      <c r="E467" s="1" t="s">
        <v>4343</v>
      </c>
      <c r="F467" s="1" t="s">
        <v>4344</v>
      </c>
      <c r="G467" s="1" t="s">
        <v>14281</v>
      </c>
      <c r="H467" s="1" t="s">
        <v>14282</v>
      </c>
      <c r="I467" s="1" t="s">
        <v>14590</v>
      </c>
      <c r="J467" s="1" t="s">
        <v>23</v>
      </c>
      <c r="K467" s="1"/>
      <c r="L467" s="1" t="s">
        <v>3528</v>
      </c>
      <c r="M467" s="1" t="s">
        <v>3528</v>
      </c>
      <c r="N467" s="12" t="b">
        <f t="shared" si="35"/>
        <v>1</v>
      </c>
      <c r="O467" s="1" t="s">
        <v>4345</v>
      </c>
      <c r="P467" s="1" t="s">
        <v>4346</v>
      </c>
      <c r="Q467" s="1" t="s">
        <v>4347</v>
      </c>
      <c r="R467" s="1" t="s">
        <v>4348</v>
      </c>
      <c r="S467" s="1" t="s">
        <v>4349</v>
      </c>
      <c r="T467" s="1" t="s">
        <v>4350</v>
      </c>
      <c r="U467" s="1" t="s">
        <v>4351</v>
      </c>
      <c r="V467" s="13">
        <f>COUNTIF(L467:$M$1659,L467)</f>
        <v>8</v>
      </c>
      <c r="W467" s="1" t="s">
        <v>3810</v>
      </c>
      <c r="X467">
        <v>720.29</v>
      </c>
      <c r="Y467">
        <v>647.54999999999995</v>
      </c>
      <c r="Z467">
        <v>12.003776</v>
      </c>
      <c r="AA467">
        <v>107.691926</v>
      </c>
      <c r="AB467">
        <v>72.739999999999995</v>
      </c>
      <c r="AC467">
        <v>11.998570000000001</v>
      </c>
      <c r="AD467">
        <v>107.70381500000001</v>
      </c>
      <c r="AE467" s="5">
        <f t="shared" si="36"/>
        <v>0.97132499999999988</v>
      </c>
      <c r="AF467" s="5">
        <f t="shared" si="37"/>
        <v>0.10910999999999998</v>
      </c>
      <c r="AG467" s="1" t="str">
        <f>TRIM(LEFT(L467,FIND("-",L467)-1))</f>
        <v>Công an tỉnh Lâm Đồng</v>
      </c>
      <c r="AH467" s="1" t="str">
        <f>TRIM(RIGHT(L467, LEN(L467) - FIND("-", L467)))</f>
        <v>TT2 - Công an xã Quảng Khê</v>
      </c>
      <c r="AJ467">
        <f t="shared" si="38"/>
        <v>0.64754999999999996</v>
      </c>
      <c r="AK467">
        <f t="shared" si="39"/>
        <v>7.2739999999999999E-2</v>
      </c>
      <c r="AL467" t="e">
        <f>VLOOKUP(L467,'[1]Tuyến cáp H04'!$B:$E,3,0)/1000</f>
        <v>#N/A</v>
      </c>
      <c r="AM467" t="e">
        <f>VLOOKUP(L467,'[1]Tuyến cáp H04'!$B:$E,4,0)</f>
        <v>#N/A</v>
      </c>
    </row>
    <row r="468" spans="1:39" x14ac:dyDescent="0.25">
      <c r="A468" s="1" t="s">
        <v>4352</v>
      </c>
      <c r="B468" s="1" t="s">
        <v>4095</v>
      </c>
      <c r="C468" s="1" t="s">
        <v>4096</v>
      </c>
      <c r="D468" s="1" t="s">
        <v>3799</v>
      </c>
      <c r="E468" s="1" t="s">
        <v>3800</v>
      </c>
      <c r="F468" s="1" t="s">
        <v>4353</v>
      </c>
      <c r="G468" s="1" t="s">
        <v>14281</v>
      </c>
      <c r="H468" s="1" t="s">
        <v>14282</v>
      </c>
      <c r="I468" s="1" t="s">
        <v>14591</v>
      </c>
      <c r="J468" s="1" t="s">
        <v>23</v>
      </c>
      <c r="K468" s="1"/>
      <c r="L468" s="1" t="s">
        <v>3528</v>
      </c>
      <c r="M468" s="1" t="s">
        <v>3528</v>
      </c>
      <c r="N468" s="12" t="b">
        <f t="shared" si="35"/>
        <v>1</v>
      </c>
      <c r="O468" s="1" t="s">
        <v>4297</v>
      </c>
      <c r="P468" s="1" t="s">
        <v>4298</v>
      </c>
      <c r="Q468" s="1" t="s">
        <v>4299</v>
      </c>
      <c r="R468" s="1" t="s">
        <v>4300</v>
      </c>
      <c r="S468" s="1" t="s">
        <v>3804</v>
      </c>
      <c r="T468" s="1" t="s">
        <v>3805</v>
      </c>
      <c r="U468" s="1" t="s">
        <v>3806</v>
      </c>
      <c r="V468" s="13">
        <f>COUNTIF(L468:$M$1659,L468)</f>
        <v>6</v>
      </c>
      <c r="W468" s="1" t="s">
        <v>3810</v>
      </c>
      <c r="X468">
        <v>90.99</v>
      </c>
      <c r="Y468">
        <v>89.63</v>
      </c>
      <c r="Z468">
        <v>12.00291</v>
      </c>
      <c r="AA468">
        <v>107.69305199999999</v>
      </c>
      <c r="AB468">
        <v>1.35</v>
      </c>
      <c r="AC468">
        <v>12.023592000000001</v>
      </c>
      <c r="AD468">
        <v>107.685997</v>
      </c>
      <c r="AE468" s="5">
        <f t="shared" si="36"/>
        <v>0.13444499999999998</v>
      </c>
      <c r="AF468" s="5">
        <f t="shared" si="37"/>
        <v>2.0250000000000003E-3</v>
      </c>
      <c r="AG468" s="1" t="str">
        <f>TRIM(LEFT(L468,FIND("-",L468)-1))</f>
        <v>Công an tỉnh Lâm Đồng</v>
      </c>
      <c r="AH468" s="1" t="str">
        <f>TRIM(RIGHT(L468, LEN(L468) - FIND("-", L468)))</f>
        <v>TT2 - Công an xã Quảng Khê</v>
      </c>
      <c r="AJ468">
        <f t="shared" si="38"/>
        <v>8.9630000000000001E-2</v>
      </c>
      <c r="AK468">
        <f t="shared" si="39"/>
        <v>1.3500000000000001E-3</v>
      </c>
      <c r="AL468" t="e">
        <f>VLOOKUP(L468,'[1]Tuyến cáp H04'!$B:$E,3,0)/1000</f>
        <v>#N/A</v>
      </c>
      <c r="AM468" t="e">
        <f>VLOOKUP(L468,'[1]Tuyến cáp H04'!$B:$E,4,0)</f>
        <v>#N/A</v>
      </c>
    </row>
    <row r="469" spans="1:39" x14ac:dyDescent="0.25">
      <c r="A469" s="1" t="s">
        <v>4354</v>
      </c>
      <c r="B469" s="1" t="s">
        <v>4355</v>
      </c>
      <c r="C469" s="1" t="s">
        <v>4356</v>
      </c>
      <c r="D469" s="1" t="s">
        <v>4059</v>
      </c>
      <c r="E469" s="1" t="s">
        <v>4060</v>
      </c>
      <c r="F469" s="1" t="s">
        <v>4357</v>
      </c>
      <c r="G469" s="1" t="s">
        <v>14281</v>
      </c>
      <c r="H469" s="1" t="s">
        <v>14282</v>
      </c>
      <c r="I469" s="1" t="s">
        <v>14592</v>
      </c>
      <c r="J469" s="1" t="s">
        <v>23</v>
      </c>
      <c r="K469" s="1"/>
      <c r="L469" s="1" t="s">
        <v>4276</v>
      </c>
      <c r="M469" s="1" t="s">
        <v>4276</v>
      </c>
      <c r="N469" s="12" t="b">
        <f t="shared" si="35"/>
        <v>1</v>
      </c>
      <c r="O469" s="1" t="s">
        <v>4358</v>
      </c>
      <c r="P469" s="1" t="s">
        <v>4359</v>
      </c>
      <c r="Q469" s="1" t="s">
        <v>4360</v>
      </c>
      <c r="R469" s="1" t="s">
        <v>4361</v>
      </c>
      <c r="S469" s="1" t="s">
        <v>4281</v>
      </c>
      <c r="T469" s="1" t="s">
        <v>4282</v>
      </c>
      <c r="U469" s="1" t="s">
        <v>4283</v>
      </c>
      <c r="V469" s="13">
        <f>COUNTIF(L469:$M$1659,L469)</f>
        <v>2</v>
      </c>
      <c r="W469" s="1" t="s">
        <v>4284</v>
      </c>
      <c r="X469">
        <v>1680.11</v>
      </c>
      <c r="Y469">
        <v>1675.9</v>
      </c>
      <c r="Z469">
        <v>11.965643</v>
      </c>
      <c r="AA469">
        <v>107.70783900000001</v>
      </c>
      <c r="AB469">
        <v>4.21</v>
      </c>
      <c r="AC469">
        <v>11.95994</v>
      </c>
      <c r="AD469">
        <v>107.728562</v>
      </c>
      <c r="AE469" s="5">
        <f t="shared" si="36"/>
        <v>2.5138500000000006</v>
      </c>
      <c r="AF469" s="5">
        <f t="shared" si="37"/>
        <v>6.3149999999999994E-3</v>
      </c>
      <c r="AG469" s="1" t="str">
        <f>TRIM(LEFT(L469,FIND("-",L469)-1))</f>
        <v>Công an phường Đông Gia Nghĩa</v>
      </c>
      <c r="AH469" s="1" t="str">
        <f>TRIM(RIGHT(L469, LEN(L469) - FIND("-", L469)))</f>
        <v>Công an phường Nam Gia Nghĩa</v>
      </c>
      <c r="AJ469">
        <f t="shared" si="38"/>
        <v>1.6759000000000002</v>
      </c>
      <c r="AK469">
        <f t="shared" si="39"/>
        <v>4.2100000000000002E-3</v>
      </c>
      <c r="AL469" t="e">
        <f>VLOOKUP(L469,'[1]Tuyến cáp H04'!$B:$E,3,0)/1000</f>
        <v>#N/A</v>
      </c>
      <c r="AM469" t="e">
        <f>VLOOKUP(L469,'[1]Tuyến cáp H04'!$B:$E,4,0)</f>
        <v>#N/A</v>
      </c>
    </row>
    <row r="470" spans="1:39" x14ac:dyDescent="0.25">
      <c r="A470" s="1" t="s">
        <v>4362</v>
      </c>
      <c r="B470" s="1" t="s">
        <v>4363</v>
      </c>
      <c r="C470" s="1" t="s">
        <v>4364</v>
      </c>
      <c r="D470" s="1" t="s">
        <v>3799</v>
      </c>
      <c r="E470" s="1" t="s">
        <v>3800</v>
      </c>
      <c r="F470" s="1" t="s">
        <v>4365</v>
      </c>
      <c r="G470" s="1" t="s">
        <v>14281</v>
      </c>
      <c r="H470" s="1" t="s">
        <v>14282</v>
      </c>
      <c r="I470" s="1" t="s">
        <v>14593</v>
      </c>
      <c r="J470" s="1" t="s">
        <v>23</v>
      </c>
      <c r="K470" s="1"/>
      <c r="L470" s="1" t="s">
        <v>3528</v>
      </c>
      <c r="M470" s="1" t="s">
        <v>3528</v>
      </c>
      <c r="N470" s="12" t="b">
        <f t="shared" si="35"/>
        <v>1</v>
      </c>
      <c r="O470" s="1" t="s">
        <v>4366</v>
      </c>
      <c r="P470" s="1" t="s">
        <v>4367</v>
      </c>
      <c r="Q470" s="1" t="s">
        <v>4368</v>
      </c>
      <c r="R470" s="1" t="s">
        <v>4369</v>
      </c>
      <c r="S470" s="1" t="s">
        <v>3804</v>
      </c>
      <c r="T470" s="1" t="s">
        <v>3805</v>
      </c>
      <c r="U470" s="1" t="s">
        <v>3806</v>
      </c>
      <c r="V470" s="13">
        <f>COUNTIF(L470:$M$1659,L470)</f>
        <v>4</v>
      </c>
      <c r="W470" s="1" t="s">
        <v>3810</v>
      </c>
      <c r="X470">
        <v>392.76</v>
      </c>
      <c r="Y470">
        <v>391.41</v>
      </c>
      <c r="Z470">
        <v>11.985188000000001</v>
      </c>
      <c r="AA470">
        <v>107.701414</v>
      </c>
      <c r="AB470">
        <v>1.35</v>
      </c>
      <c r="AC470">
        <v>12.023592000000001</v>
      </c>
      <c r="AD470">
        <v>107.685997</v>
      </c>
      <c r="AE470" s="5">
        <f t="shared" si="36"/>
        <v>0.58711500000000005</v>
      </c>
      <c r="AF470" s="5">
        <f t="shared" si="37"/>
        <v>2.0250000000000003E-3</v>
      </c>
      <c r="AG470" s="1" t="str">
        <f>TRIM(LEFT(L470,FIND("-",L470)-1))</f>
        <v>Công an tỉnh Lâm Đồng</v>
      </c>
      <c r="AH470" s="1" t="str">
        <f>TRIM(RIGHT(L470, LEN(L470) - FIND("-", L470)))</f>
        <v>TT2 - Công an xã Quảng Khê</v>
      </c>
      <c r="AJ470">
        <f t="shared" si="38"/>
        <v>0.39141000000000004</v>
      </c>
      <c r="AK470">
        <f t="shared" si="39"/>
        <v>1.3500000000000001E-3</v>
      </c>
      <c r="AL470" t="e">
        <f>VLOOKUP(L470,'[1]Tuyến cáp H04'!$B:$E,3,0)/1000</f>
        <v>#N/A</v>
      </c>
      <c r="AM470" t="e">
        <f>VLOOKUP(L470,'[1]Tuyến cáp H04'!$B:$E,4,0)</f>
        <v>#N/A</v>
      </c>
    </row>
    <row r="471" spans="1:39" x14ac:dyDescent="0.25">
      <c r="A471" s="1" t="s">
        <v>4370</v>
      </c>
      <c r="B471" s="1" t="s">
        <v>4331</v>
      </c>
      <c r="C471" s="1" t="s">
        <v>4332</v>
      </c>
      <c r="D471" s="1" t="s">
        <v>3784</v>
      </c>
      <c r="E471" s="1" t="s">
        <v>3785</v>
      </c>
      <c r="F471" s="1" t="s">
        <v>4371</v>
      </c>
      <c r="G471" s="1" t="s">
        <v>14281</v>
      </c>
      <c r="H471" s="1" t="s">
        <v>14282</v>
      </c>
      <c r="I471" s="1" t="s">
        <v>14594</v>
      </c>
      <c r="J471" s="1" t="s">
        <v>23</v>
      </c>
      <c r="K471" s="1"/>
      <c r="L471" s="1" t="s">
        <v>4372</v>
      </c>
      <c r="M471" s="1" t="s">
        <v>4372</v>
      </c>
      <c r="N471" s="12" t="b">
        <f t="shared" si="35"/>
        <v>1</v>
      </c>
      <c r="O471" s="1" t="s">
        <v>4373</v>
      </c>
      <c r="P471" s="1" t="s">
        <v>4374</v>
      </c>
      <c r="Q471" s="1" t="s">
        <v>4375</v>
      </c>
      <c r="R471" s="1" t="s">
        <v>4376</v>
      </c>
      <c r="S471" s="1" t="s">
        <v>4377</v>
      </c>
      <c r="T471" s="1" t="s">
        <v>4378</v>
      </c>
      <c r="U471" s="1" t="s">
        <v>4379</v>
      </c>
      <c r="V471" s="13">
        <f>COUNTIF(L471:$M$1659,L471)</f>
        <v>2</v>
      </c>
      <c r="W471" s="1" t="s">
        <v>4380</v>
      </c>
      <c r="X471">
        <v>301.29000000000002</v>
      </c>
      <c r="Y471">
        <v>244.46</v>
      </c>
      <c r="Z471">
        <v>12.015499</v>
      </c>
      <c r="AA471">
        <v>107.687308</v>
      </c>
      <c r="AB471">
        <v>56.83</v>
      </c>
      <c r="AC471">
        <v>12.009066000000001</v>
      </c>
      <c r="AD471">
        <v>107.69403800000001</v>
      </c>
      <c r="AE471" s="5">
        <f t="shared" si="36"/>
        <v>0.36669000000000002</v>
      </c>
      <c r="AF471" s="5">
        <f t="shared" si="37"/>
        <v>8.5245000000000001E-2</v>
      </c>
      <c r="AG471" s="1" t="str">
        <f>TRIM(LEFT(L471,FIND("-",L471)-1))</f>
        <v>Công an tỉnh Lâm Đồng</v>
      </c>
      <c r="AH471" s="1" t="str">
        <f>TRIM(RIGHT(L471, LEN(L471) - FIND("-", L471)))</f>
        <v>TT2 - Công an phường Bắc Gia Nghĩa</v>
      </c>
      <c r="AJ471">
        <f t="shared" si="38"/>
        <v>0.24446000000000001</v>
      </c>
      <c r="AK471">
        <f t="shared" si="39"/>
        <v>5.6829999999999999E-2</v>
      </c>
      <c r="AL471" t="e">
        <f>VLOOKUP(L471,'[1]Tuyến cáp H04'!$B:$E,3,0)/1000</f>
        <v>#N/A</v>
      </c>
      <c r="AM471" t="e">
        <f>VLOOKUP(L471,'[1]Tuyến cáp H04'!$B:$E,4,0)</f>
        <v>#N/A</v>
      </c>
    </row>
    <row r="472" spans="1:39" x14ac:dyDescent="0.25">
      <c r="A472" s="1" t="s">
        <v>4381</v>
      </c>
      <c r="B472" s="1" t="s">
        <v>4382</v>
      </c>
      <c r="C472" s="1" t="s">
        <v>4383</v>
      </c>
      <c r="D472" s="1" t="s">
        <v>3799</v>
      </c>
      <c r="E472" s="1" t="s">
        <v>3800</v>
      </c>
      <c r="F472" s="1" t="s">
        <v>4384</v>
      </c>
      <c r="G472" s="1" t="s">
        <v>14281</v>
      </c>
      <c r="H472" s="1" t="s">
        <v>14282</v>
      </c>
      <c r="I472" s="1" t="s">
        <v>14595</v>
      </c>
      <c r="J472" s="1" t="s">
        <v>23</v>
      </c>
      <c r="K472" s="1"/>
      <c r="L472" s="1" t="s">
        <v>3528</v>
      </c>
      <c r="M472" s="1" t="s">
        <v>3528</v>
      </c>
      <c r="N472" s="12" t="b">
        <f t="shared" si="35"/>
        <v>1</v>
      </c>
      <c r="O472" s="1" t="s">
        <v>4385</v>
      </c>
      <c r="P472" s="1" t="s">
        <v>4386</v>
      </c>
      <c r="Q472" s="1" t="s">
        <v>4387</v>
      </c>
      <c r="R472" s="1" t="s">
        <v>4388</v>
      </c>
      <c r="S472" s="1" t="s">
        <v>3804</v>
      </c>
      <c r="T472" s="1" t="s">
        <v>3805</v>
      </c>
      <c r="U472" s="1" t="s">
        <v>3806</v>
      </c>
      <c r="V472" s="13">
        <f>COUNTIF(L472:$M$1659,L472)</f>
        <v>2</v>
      </c>
      <c r="W472" s="1" t="s">
        <v>3810</v>
      </c>
      <c r="X472">
        <v>481.47</v>
      </c>
      <c r="Y472">
        <v>480.12</v>
      </c>
      <c r="Z472">
        <v>12.001099999999999</v>
      </c>
      <c r="AA472">
        <v>107.694659</v>
      </c>
      <c r="AB472">
        <v>1.35</v>
      </c>
      <c r="AC472">
        <v>12.023592000000001</v>
      </c>
      <c r="AD472">
        <v>107.685997</v>
      </c>
      <c r="AE472" s="5">
        <f t="shared" si="36"/>
        <v>0.72018000000000004</v>
      </c>
      <c r="AF472" s="5">
        <f t="shared" si="37"/>
        <v>2.0250000000000003E-3</v>
      </c>
      <c r="AG472" s="1" t="str">
        <f>TRIM(LEFT(L472,FIND("-",L472)-1))</f>
        <v>Công an tỉnh Lâm Đồng</v>
      </c>
      <c r="AH472" s="1" t="str">
        <f>TRIM(RIGHT(L472, LEN(L472) - FIND("-", L472)))</f>
        <v>TT2 - Công an xã Quảng Khê</v>
      </c>
      <c r="AJ472">
        <f t="shared" si="38"/>
        <v>0.48011999999999999</v>
      </c>
      <c r="AK472">
        <f t="shared" si="39"/>
        <v>1.3500000000000001E-3</v>
      </c>
      <c r="AL472" t="e">
        <f>VLOOKUP(L472,'[1]Tuyến cáp H04'!$B:$E,3,0)/1000</f>
        <v>#N/A</v>
      </c>
      <c r="AM472" t="e">
        <f>VLOOKUP(L472,'[1]Tuyến cáp H04'!$B:$E,4,0)</f>
        <v>#N/A</v>
      </c>
    </row>
    <row r="473" spans="1:39" x14ac:dyDescent="0.25">
      <c r="A473" s="1" t="s">
        <v>4389</v>
      </c>
      <c r="B473" s="1" t="s">
        <v>3630</v>
      </c>
      <c r="C473" s="1" t="s">
        <v>3631</v>
      </c>
      <c r="D473" s="1" t="s">
        <v>3466</v>
      </c>
      <c r="E473" s="1" t="s">
        <v>3467</v>
      </c>
      <c r="F473" s="1" t="s">
        <v>4390</v>
      </c>
      <c r="G473" s="1" t="s">
        <v>14281</v>
      </c>
      <c r="H473" s="1" t="s">
        <v>14282</v>
      </c>
      <c r="I473" s="1" t="s">
        <v>14596</v>
      </c>
      <c r="J473" s="1" t="s">
        <v>23</v>
      </c>
      <c r="K473" s="1"/>
      <c r="L473" s="1" t="s">
        <v>3471</v>
      </c>
      <c r="M473" s="1" t="s">
        <v>3471</v>
      </c>
      <c r="N473" s="12" t="b">
        <f t="shared" si="35"/>
        <v>1</v>
      </c>
      <c r="O473" s="1" t="s">
        <v>3633</v>
      </c>
      <c r="P473" s="1" t="s">
        <v>3637</v>
      </c>
      <c r="Q473" s="1" t="s">
        <v>3638</v>
      </c>
      <c r="R473" s="1" t="s">
        <v>3639</v>
      </c>
      <c r="S473" s="1" t="s">
        <v>3634</v>
      </c>
      <c r="T473" s="1" t="s">
        <v>3635</v>
      </c>
      <c r="U473" s="1" t="s">
        <v>3636</v>
      </c>
      <c r="V473" s="13">
        <f>COUNTIF(L473:$M$1659,L473)</f>
        <v>4</v>
      </c>
      <c r="W473" s="1" t="s">
        <v>3521</v>
      </c>
      <c r="X473">
        <v>290.98</v>
      </c>
      <c r="Y473">
        <v>116.38</v>
      </c>
      <c r="Z473">
        <v>12.455816</v>
      </c>
      <c r="AA473">
        <v>107.636764</v>
      </c>
      <c r="AB473">
        <v>174.6</v>
      </c>
      <c r="AC473">
        <v>12.448781</v>
      </c>
      <c r="AD473">
        <v>107.62094999999999</v>
      </c>
      <c r="AE473" s="5">
        <f t="shared" si="36"/>
        <v>0.17457</v>
      </c>
      <c r="AF473" s="5">
        <f t="shared" si="37"/>
        <v>0.26189999999999997</v>
      </c>
      <c r="AG473" s="1" t="str">
        <f>TRIM(LEFT(L473,FIND("-",L473)-1))</f>
        <v xml:space="preserve">Công an xã Đức Lập (Trụ sở 2 CAH Đắk Mil cũ)
</v>
      </c>
      <c r="AH473" s="1" t="str">
        <f>TRIM(RIGHT(L473, LEN(L473) - FIND("-", L473)))</f>
        <v>Công an xã Cư Jút (Trụ sở CAH Cư Jút cũ)</v>
      </c>
      <c r="AJ473">
        <f t="shared" si="38"/>
        <v>0.11638</v>
      </c>
      <c r="AK473">
        <f t="shared" si="39"/>
        <v>0.17460000000000001</v>
      </c>
      <c r="AL473" t="e">
        <f>VLOOKUP(L473,'[1]Tuyến cáp H04'!$B:$E,3,0)/1000</f>
        <v>#N/A</v>
      </c>
      <c r="AM473" t="e">
        <f>VLOOKUP(L473,'[1]Tuyến cáp H04'!$B:$E,4,0)</f>
        <v>#N/A</v>
      </c>
    </row>
    <row r="474" spans="1:39" x14ac:dyDescent="0.25">
      <c r="A474" s="1" t="s">
        <v>4391</v>
      </c>
      <c r="B474" s="1" t="s">
        <v>3494</v>
      </c>
      <c r="C474" s="1" t="s">
        <v>3495</v>
      </c>
      <c r="D474" s="1" t="s">
        <v>4392</v>
      </c>
      <c r="E474" s="1" t="s">
        <v>4393</v>
      </c>
      <c r="F474" s="1" t="s">
        <v>4394</v>
      </c>
      <c r="G474" s="1" t="s">
        <v>14281</v>
      </c>
      <c r="H474" s="1" t="s">
        <v>14282</v>
      </c>
      <c r="I474" s="1" t="s">
        <v>14597</v>
      </c>
      <c r="J474" s="1" t="s">
        <v>23</v>
      </c>
      <c r="K474" s="1"/>
      <c r="L474" s="1" t="s">
        <v>4395</v>
      </c>
      <c r="M474" s="1" t="s">
        <v>4395</v>
      </c>
      <c r="N474" s="12" t="b">
        <f t="shared" si="35"/>
        <v>1</v>
      </c>
      <c r="O474" s="1" t="s">
        <v>4396</v>
      </c>
      <c r="P474" s="1" t="s">
        <v>4397</v>
      </c>
      <c r="Q474" s="1" t="s">
        <v>4398</v>
      </c>
      <c r="R474" s="1" t="s">
        <v>4399</v>
      </c>
      <c r="S474" s="1" t="s">
        <v>4400</v>
      </c>
      <c r="T474" s="1" t="s">
        <v>4401</v>
      </c>
      <c r="U474" s="1" t="s">
        <v>4402</v>
      </c>
      <c r="V474" s="13">
        <f>COUNTIF(L474:$M$1659,L474)</f>
        <v>2</v>
      </c>
      <c r="W474" s="1" t="s">
        <v>4403</v>
      </c>
      <c r="X474">
        <v>219.67</v>
      </c>
      <c r="Y474">
        <v>53.32</v>
      </c>
      <c r="Z474">
        <v>12.095286</v>
      </c>
      <c r="AA474">
        <v>107.48086600000001</v>
      </c>
      <c r="AB474">
        <v>166.35</v>
      </c>
      <c r="AC474">
        <v>12.069982</v>
      </c>
      <c r="AD474">
        <v>107.474149</v>
      </c>
      <c r="AE474" s="5">
        <f t="shared" si="36"/>
        <v>7.9980000000000009E-2</v>
      </c>
      <c r="AF474" s="5">
        <f t="shared" si="37"/>
        <v>0.24952499999999997</v>
      </c>
      <c r="AG474" s="1" t="str">
        <f>TRIM(LEFT(L474,FIND("-",L474)-1))</f>
        <v>Đường Cơ sở cai nghiện số 4</v>
      </c>
      <c r="AH474" s="1" t="str">
        <f>TRIM(RIGHT(L474, LEN(L474) - FIND("-", L474)))</f>
        <v>Quảng Tân</v>
      </c>
      <c r="AJ474">
        <f t="shared" si="38"/>
        <v>5.3319999999999999E-2</v>
      </c>
      <c r="AK474">
        <f t="shared" si="39"/>
        <v>0.16635</v>
      </c>
      <c r="AL474" t="e">
        <f>VLOOKUP(L474,'[1]Tuyến cáp H04'!$B:$E,3,0)/1000</f>
        <v>#N/A</v>
      </c>
      <c r="AM474" t="e">
        <f>VLOOKUP(L474,'[1]Tuyến cáp H04'!$B:$E,4,0)</f>
        <v>#N/A</v>
      </c>
    </row>
    <row r="475" spans="1:39" x14ac:dyDescent="0.25">
      <c r="A475" s="1" t="s">
        <v>4404</v>
      </c>
      <c r="B475" s="1" t="s">
        <v>3716</v>
      </c>
      <c r="C475" s="1" t="s">
        <v>3717</v>
      </c>
      <c r="D475" s="1" t="s">
        <v>4405</v>
      </c>
      <c r="E475" s="1" t="s">
        <v>4406</v>
      </c>
      <c r="F475" s="1" t="s">
        <v>4407</v>
      </c>
      <c r="G475" s="1" t="s">
        <v>14281</v>
      </c>
      <c r="H475" s="1" t="s">
        <v>14282</v>
      </c>
      <c r="I475" s="1" t="s">
        <v>14598</v>
      </c>
      <c r="J475" s="1" t="s">
        <v>23</v>
      </c>
      <c r="K475" s="1"/>
      <c r="L475" s="1" t="s">
        <v>3456</v>
      </c>
      <c r="M475" s="1" t="s">
        <v>3456</v>
      </c>
      <c r="N475" s="12" t="b">
        <f t="shared" si="35"/>
        <v>1</v>
      </c>
      <c r="O475" s="1" t="s">
        <v>4408</v>
      </c>
      <c r="P475" s="1" t="s">
        <v>3720</v>
      </c>
      <c r="Q475" s="1" t="s">
        <v>3721</v>
      </c>
      <c r="R475" s="1" t="s">
        <v>3722</v>
      </c>
      <c r="S475" s="1" t="s">
        <v>4409</v>
      </c>
      <c r="T475" s="1" t="s">
        <v>4410</v>
      </c>
      <c r="U475" s="1" t="s">
        <v>4411</v>
      </c>
      <c r="V475" s="13">
        <f>COUNTIF(L475:$M$1659,L475)</f>
        <v>4</v>
      </c>
      <c r="W475" s="1" t="s">
        <v>3464</v>
      </c>
      <c r="X475">
        <v>248.83</v>
      </c>
      <c r="Y475">
        <v>101.63</v>
      </c>
      <c r="Z475">
        <v>12.254339</v>
      </c>
      <c r="AA475">
        <v>107.609391</v>
      </c>
      <c r="AB475">
        <v>147.19999999999999</v>
      </c>
      <c r="AC475">
        <v>12.251628</v>
      </c>
      <c r="AD475">
        <v>107.61387499999999</v>
      </c>
      <c r="AE475" s="5">
        <f t="shared" si="36"/>
        <v>0.152445</v>
      </c>
      <c r="AF475" s="5">
        <f t="shared" si="37"/>
        <v>0.2208</v>
      </c>
      <c r="AG475" s="1" t="str">
        <f>TRIM(LEFT(L475,FIND("-",L475)-1))</f>
        <v>Công an tỉnh Lâm Đồng</v>
      </c>
      <c r="AH475" s="1" t="str">
        <f>TRIM(RIGHT(L475, LEN(L475) - FIND("-", L475)))</f>
        <v>TT2 - Công an xã Đức An (Trụ sở CAH Đắk Song cũ)</v>
      </c>
      <c r="AJ475">
        <f t="shared" si="38"/>
        <v>0.10163</v>
      </c>
      <c r="AK475">
        <f t="shared" si="39"/>
        <v>0.1472</v>
      </c>
      <c r="AL475" t="e">
        <f>VLOOKUP(L475,'[1]Tuyến cáp H04'!$B:$E,3,0)/1000</f>
        <v>#N/A</v>
      </c>
      <c r="AM475" t="e">
        <f>VLOOKUP(L475,'[1]Tuyến cáp H04'!$B:$E,4,0)</f>
        <v>#N/A</v>
      </c>
    </row>
    <row r="476" spans="1:39" x14ac:dyDescent="0.25">
      <c r="A476" s="1" t="s">
        <v>4412</v>
      </c>
      <c r="B476" s="1" t="s">
        <v>4413</v>
      </c>
      <c r="C476" s="1" t="s">
        <v>4414</v>
      </c>
      <c r="D476" s="1" t="s">
        <v>3562</v>
      </c>
      <c r="E476" s="1" t="s">
        <v>3563</v>
      </c>
      <c r="F476" s="1" t="s">
        <v>4415</v>
      </c>
      <c r="G476" s="1" t="s">
        <v>14281</v>
      </c>
      <c r="H476" s="1" t="s">
        <v>14282</v>
      </c>
      <c r="I476" s="1" t="s">
        <v>14599</v>
      </c>
      <c r="J476" s="1" t="s">
        <v>23</v>
      </c>
      <c r="K476" s="1"/>
      <c r="L476" s="1" t="s">
        <v>4047</v>
      </c>
      <c r="M476" s="1" t="s">
        <v>4047</v>
      </c>
      <c r="N476" s="12" t="b">
        <f t="shared" si="35"/>
        <v>1</v>
      </c>
      <c r="O476" s="1" t="s">
        <v>4416</v>
      </c>
      <c r="P476" s="1" t="s">
        <v>4417</v>
      </c>
      <c r="Q476" s="1" t="s">
        <v>4418</v>
      </c>
      <c r="R476" s="1" t="s">
        <v>4419</v>
      </c>
      <c r="S476" s="1" t="s">
        <v>4420</v>
      </c>
      <c r="T476" s="1" t="s">
        <v>4421</v>
      </c>
      <c r="U476" s="1" t="s">
        <v>4422</v>
      </c>
      <c r="V476" s="13">
        <f>COUNTIF(L476:$M$1659,L476)</f>
        <v>2</v>
      </c>
      <c r="W476" s="1" t="s">
        <v>4423</v>
      </c>
      <c r="X476">
        <v>120.28</v>
      </c>
      <c r="Y476">
        <v>77.290000000000006</v>
      </c>
      <c r="Z476">
        <v>11.99624</v>
      </c>
      <c r="AA476">
        <v>107.512438</v>
      </c>
      <c r="AB476">
        <v>42.99</v>
      </c>
      <c r="AC476">
        <v>12.006997999999999</v>
      </c>
      <c r="AD476">
        <v>107.512562</v>
      </c>
      <c r="AE476" s="5">
        <f t="shared" si="36"/>
        <v>0.115935</v>
      </c>
      <c r="AF476" s="5">
        <f t="shared" si="37"/>
        <v>6.4485000000000001E-2</v>
      </c>
      <c r="AG476" s="1" t="str">
        <f>TRIM(LEFT(L476,FIND("-",L476)-1))</f>
        <v>Công an xã Kiến Đức (Trụ sở CAH Đắk R'Lấp cũ)</v>
      </c>
      <c r="AH476" s="1" t="str">
        <f>TRIM(RIGHT(L476, LEN(L476) - FIND("-", L476)))</f>
        <v>Công an tỉnh Lâm Đồng - TT2</v>
      </c>
      <c r="AJ476">
        <f t="shared" si="38"/>
        <v>7.7290000000000011E-2</v>
      </c>
      <c r="AK476">
        <f t="shared" si="39"/>
        <v>4.299E-2</v>
      </c>
      <c r="AL476" t="e">
        <f>VLOOKUP(L476,'[1]Tuyến cáp H04'!$B:$E,3,0)/1000</f>
        <v>#N/A</v>
      </c>
      <c r="AM476" t="e">
        <f>VLOOKUP(L476,'[1]Tuyến cáp H04'!$B:$E,4,0)</f>
        <v>#N/A</v>
      </c>
    </row>
    <row r="477" spans="1:39" x14ac:dyDescent="0.25">
      <c r="A477" s="1" t="s">
        <v>4424</v>
      </c>
      <c r="B477" s="1" t="s">
        <v>4425</v>
      </c>
      <c r="C477" s="1" t="s">
        <v>4426</v>
      </c>
      <c r="D477" s="1" t="s">
        <v>3827</v>
      </c>
      <c r="E477" s="1" t="s">
        <v>3828</v>
      </c>
      <c r="F477" s="1" t="s">
        <v>4427</v>
      </c>
      <c r="G477" s="1" t="s">
        <v>14281</v>
      </c>
      <c r="H477" s="1" t="s">
        <v>14282</v>
      </c>
      <c r="I477" s="1" t="s">
        <v>14600</v>
      </c>
      <c r="J477" s="1" t="s">
        <v>23</v>
      </c>
      <c r="K477" s="1"/>
      <c r="L477" s="1" t="s">
        <v>3995</v>
      </c>
      <c r="M477" s="1" t="s">
        <v>3995</v>
      </c>
      <c r="N477" s="12" t="b">
        <f t="shared" si="35"/>
        <v>1</v>
      </c>
      <c r="O477" s="1" t="s">
        <v>4428</v>
      </c>
      <c r="P477" s="1" t="s">
        <v>4429</v>
      </c>
      <c r="Q477" s="1" t="s">
        <v>4000</v>
      </c>
      <c r="R477" s="1" t="s">
        <v>4001</v>
      </c>
      <c r="S477" s="1" t="s">
        <v>683</v>
      </c>
      <c r="T477" s="1" t="s">
        <v>4000</v>
      </c>
      <c r="U477" s="1" t="s">
        <v>4001</v>
      </c>
      <c r="V477" s="13">
        <f>COUNTIF(L477:$M$1659,L477)</f>
        <v>2</v>
      </c>
      <c r="W477" s="1" t="s">
        <v>4002</v>
      </c>
      <c r="X477">
        <v>2109.31</v>
      </c>
      <c r="Y477">
        <v>2104.63</v>
      </c>
      <c r="Z477">
        <v>11.982702</v>
      </c>
      <c r="AA477">
        <v>107.655608</v>
      </c>
      <c r="AB477">
        <v>4.67</v>
      </c>
      <c r="AC477">
        <v>11.982702</v>
      </c>
      <c r="AD477">
        <v>107.655608</v>
      </c>
      <c r="AE477" s="5">
        <f t="shared" si="36"/>
        <v>3.1569450000000003</v>
      </c>
      <c r="AF477" s="5">
        <f t="shared" si="37"/>
        <v>7.0049999999999999E-3</v>
      </c>
      <c r="AG477" s="1" t="str">
        <f>TRIM(LEFT(L477,FIND("-",L477)-1))</f>
        <v>Phòng PK02</v>
      </c>
      <c r="AH477" s="1" t="str">
        <f>TRIM(RIGHT(L477, LEN(L477) - FIND("-", L477)))</f>
        <v>Tổ địa bàn số 2 - Phòng PA06 - Tổ địa bàn số 2</v>
      </c>
      <c r="AJ477">
        <f t="shared" si="38"/>
        <v>2.1046300000000002</v>
      </c>
      <c r="AK477">
        <f t="shared" si="39"/>
        <v>4.6699999999999997E-3</v>
      </c>
      <c r="AL477" t="e">
        <f>VLOOKUP(L477,'[1]Tuyến cáp H04'!$B:$E,3,0)/1000</f>
        <v>#N/A</v>
      </c>
      <c r="AM477" t="e">
        <f>VLOOKUP(L477,'[1]Tuyến cáp H04'!$B:$E,4,0)</f>
        <v>#N/A</v>
      </c>
    </row>
    <row r="478" spans="1:39" x14ac:dyDescent="0.25">
      <c r="A478" s="1" t="s">
        <v>4430</v>
      </c>
      <c r="B478" s="1" t="s">
        <v>4431</v>
      </c>
      <c r="C478" s="1" t="s">
        <v>4432</v>
      </c>
      <c r="D478" s="1" t="s">
        <v>4059</v>
      </c>
      <c r="E478" s="1" t="s">
        <v>4060</v>
      </c>
      <c r="F478" s="1" t="s">
        <v>4433</v>
      </c>
      <c r="G478" s="1" t="s">
        <v>14281</v>
      </c>
      <c r="H478" s="1" t="s">
        <v>14282</v>
      </c>
      <c r="I478" s="1" t="s">
        <v>14601</v>
      </c>
      <c r="J478" s="1" t="s">
        <v>23</v>
      </c>
      <c r="K478" s="1"/>
      <c r="L478" s="1" t="s">
        <v>3789</v>
      </c>
      <c r="M478" s="1" t="s">
        <v>3789</v>
      </c>
      <c r="N478" s="12" t="b">
        <f t="shared" si="35"/>
        <v>1</v>
      </c>
      <c r="O478" s="1" t="s">
        <v>4434</v>
      </c>
      <c r="P478" s="1" t="s">
        <v>4435</v>
      </c>
      <c r="Q478" s="1" t="s">
        <v>4436</v>
      </c>
      <c r="R478" s="1" t="s">
        <v>4437</v>
      </c>
      <c r="S478" s="1" t="s">
        <v>4066</v>
      </c>
      <c r="T478" s="1" t="s">
        <v>4067</v>
      </c>
      <c r="U478" s="1" t="s">
        <v>4068</v>
      </c>
      <c r="V478" s="13">
        <f>COUNTIF(L478:$M$1659,L478)</f>
        <v>2</v>
      </c>
      <c r="W478" s="1" t="s">
        <v>3797</v>
      </c>
      <c r="X478">
        <v>2885.78</v>
      </c>
      <c r="Y478">
        <v>2879.64</v>
      </c>
      <c r="Z478">
        <v>11.964401000000001</v>
      </c>
      <c r="AA478">
        <v>107.73414</v>
      </c>
      <c r="AB478">
        <v>6.14</v>
      </c>
      <c r="AC478">
        <v>11.959954</v>
      </c>
      <c r="AD478">
        <v>107.72863599999999</v>
      </c>
      <c r="AE478" s="5">
        <f t="shared" si="36"/>
        <v>4.3194600000000003</v>
      </c>
      <c r="AF478" s="5">
        <f t="shared" si="37"/>
        <v>9.2099999999999994E-3</v>
      </c>
      <c r="AG478" s="1" t="str">
        <f>TRIM(LEFT(L478,FIND("-",L478)-1))</f>
        <v>Công an phường Bắc Gia Nghĩa</v>
      </c>
      <c r="AH478" s="1" t="str">
        <f>TRIM(RIGHT(L478, LEN(L478) - FIND("-", L478)))</f>
        <v>Công an phường Đông Gia Nghĩa</v>
      </c>
      <c r="AJ478">
        <f t="shared" si="38"/>
        <v>2.8796399999999998</v>
      </c>
      <c r="AK478">
        <f t="shared" si="39"/>
        <v>6.1399999999999996E-3</v>
      </c>
      <c r="AL478" t="e">
        <f>VLOOKUP(L478,'[1]Tuyến cáp H04'!$B:$E,3,0)/1000</f>
        <v>#N/A</v>
      </c>
      <c r="AM478" t="e">
        <f>VLOOKUP(L478,'[1]Tuyến cáp H04'!$B:$E,4,0)</f>
        <v>#N/A</v>
      </c>
    </row>
    <row r="479" spans="1:39" x14ac:dyDescent="0.25">
      <c r="A479" s="1" t="s">
        <v>4438</v>
      </c>
      <c r="B479" s="1" t="s">
        <v>4439</v>
      </c>
      <c r="C479" s="1" t="s">
        <v>4440</v>
      </c>
      <c r="D479" s="1" t="s">
        <v>3716</v>
      </c>
      <c r="E479" s="1" t="s">
        <v>3717</v>
      </c>
      <c r="F479" s="1" t="s">
        <v>4441</v>
      </c>
      <c r="G479" s="1" t="s">
        <v>14281</v>
      </c>
      <c r="H479" s="1" t="s">
        <v>14282</v>
      </c>
      <c r="I479" s="1" t="s">
        <v>14602</v>
      </c>
      <c r="J479" s="1" t="s">
        <v>23</v>
      </c>
      <c r="K479" s="1"/>
      <c r="L479" s="1" t="s">
        <v>3456</v>
      </c>
      <c r="M479" s="1" t="s">
        <v>3456</v>
      </c>
      <c r="N479" s="12" t="b">
        <f t="shared" si="35"/>
        <v>1</v>
      </c>
      <c r="O479" s="1" t="s">
        <v>4442</v>
      </c>
      <c r="P479" s="1" t="s">
        <v>4443</v>
      </c>
      <c r="Q479" s="1" t="s">
        <v>4444</v>
      </c>
      <c r="R479" s="1" t="s">
        <v>4445</v>
      </c>
      <c r="S479" s="1" t="s">
        <v>3720</v>
      </c>
      <c r="T479" s="1" t="s">
        <v>3721</v>
      </c>
      <c r="U479" s="1" t="s">
        <v>3722</v>
      </c>
      <c r="V479" s="13">
        <f>COUNTIF(L479:$M$1659,L479)</f>
        <v>2</v>
      </c>
      <c r="W479" s="1" t="s">
        <v>3464</v>
      </c>
      <c r="X479">
        <v>353.36</v>
      </c>
      <c r="Y479">
        <v>251.73</v>
      </c>
      <c r="Z479">
        <v>12.234887000000001</v>
      </c>
      <c r="AA479">
        <v>107.627437</v>
      </c>
      <c r="AB479">
        <v>101.63</v>
      </c>
      <c r="AC479">
        <v>12.254339</v>
      </c>
      <c r="AD479">
        <v>107.609391</v>
      </c>
      <c r="AE479" s="5">
        <f t="shared" si="36"/>
        <v>0.37759499999999996</v>
      </c>
      <c r="AF479" s="5">
        <f t="shared" si="37"/>
        <v>0.152445</v>
      </c>
      <c r="AG479" s="1" t="str">
        <f>TRIM(LEFT(L479,FIND("-",L479)-1))</f>
        <v>Công an tỉnh Lâm Đồng</v>
      </c>
      <c r="AH479" s="1" t="str">
        <f>TRIM(RIGHT(L479, LEN(L479) - FIND("-", L479)))</f>
        <v>TT2 - Công an xã Đức An (Trụ sở CAH Đắk Song cũ)</v>
      </c>
      <c r="AJ479">
        <f t="shared" si="38"/>
        <v>0.25173000000000001</v>
      </c>
      <c r="AK479">
        <f t="shared" si="39"/>
        <v>0.10163</v>
      </c>
      <c r="AL479" t="e">
        <f>VLOOKUP(L479,'[1]Tuyến cáp H04'!$B:$E,3,0)/1000</f>
        <v>#N/A</v>
      </c>
      <c r="AM479" t="e">
        <f>VLOOKUP(L479,'[1]Tuyến cáp H04'!$B:$E,4,0)</f>
        <v>#N/A</v>
      </c>
    </row>
    <row r="480" spans="1:39" x14ac:dyDescent="0.25">
      <c r="A480" s="1" t="s">
        <v>4446</v>
      </c>
      <c r="B480" s="1" t="s">
        <v>4447</v>
      </c>
      <c r="C480" s="1" t="s">
        <v>4448</v>
      </c>
      <c r="D480" s="1" t="s">
        <v>3668</v>
      </c>
      <c r="E480" s="1" t="s">
        <v>3669</v>
      </c>
      <c r="F480" s="1" t="s">
        <v>4449</v>
      </c>
      <c r="G480" s="1" t="s">
        <v>14281</v>
      </c>
      <c r="H480" s="1" t="s">
        <v>14282</v>
      </c>
      <c r="I480" s="1" t="s">
        <v>14603</v>
      </c>
      <c r="J480" s="1" t="s">
        <v>23</v>
      </c>
      <c r="K480" s="1"/>
      <c r="L480" s="1" t="s">
        <v>3679</v>
      </c>
      <c r="M480" s="1" t="s">
        <v>3679</v>
      </c>
      <c r="N480" s="12" t="b">
        <f t="shared" si="35"/>
        <v>1</v>
      </c>
      <c r="O480" s="1" t="s">
        <v>4450</v>
      </c>
      <c r="P480" s="1" t="s">
        <v>4451</v>
      </c>
      <c r="Q480" s="1" t="s">
        <v>4452</v>
      </c>
      <c r="R480" s="1" t="s">
        <v>4453</v>
      </c>
      <c r="S480" s="1" t="s">
        <v>3681</v>
      </c>
      <c r="T480" s="1" t="s">
        <v>3682</v>
      </c>
      <c r="U480" s="1" t="s">
        <v>3683</v>
      </c>
      <c r="V480" s="13">
        <f>COUNTIF(L480:$M$1659,L480)</f>
        <v>2</v>
      </c>
      <c r="W480" s="1" t="s">
        <v>3687</v>
      </c>
      <c r="X480">
        <v>534.69000000000005</v>
      </c>
      <c r="Y480">
        <v>141.1</v>
      </c>
      <c r="Z480">
        <v>12.432173000000001</v>
      </c>
      <c r="AA480">
        <v>107.65992</v>
      </c>
      <c r="AB480">
        <v>393.59</v>
      </c>
      <c r="AC480">
        <v>12.431642999999999</v>
      </c>
      <c r="AD480">
        <v>107.667064</v>
      </c>
      <c r="AE480" s="5">
        <f t="shared" si="36"/>
        <v>0.21164999999999998</v>
      </c>
      <c r="AF480" s="5">
        <f t="shared" si="37"/>
        <v>0.59038499999999994</v>
      </c>
      <c r="AG480" s="1" t="str">
        <f>TRIM(LEFT(L480,FIND("-",L480)-1))</f>
        <v>Đắk Sắk</v>
      </c>
      <c r="AH480" s="1" t="str">
        <f>TRIM(RIGHT(L480, LEN(L480) - FIND("-", L480)))</f>
        <v>Đắk Song</v>
      </c>
      <c r="AJ480">
        <f t="shared" si="38"/>
        <v>0.1411</v>
      </c>
      <c r="AK480">
        <f t="shared" si="39"/>
        <v>0.39359</v>
      </c>
      <c r="AL480">
        <f>VLOOKUP(L480,'[1]Tuyến cáp H04'!$B:$E,3,0)/1000</f>
        <v>5.859</v>
      </c>
      <c r="AM480" t="str">
        <f>VLOOKUP(L480,'[1]Tuyến cáp H04'!$B:$E,4,0)</f>
        <v>Mạng cấp 4</v>
      </c>
    </row>
    <row r="481" spans="1:39" x14ac:dyDescent="0.25">
      <c r="A481" s="1" t="s">
        <v>4454</v>
      </c>
      <c r="B481" s="1" t="s">
        <v>4455</v>
      </c>
      <c r="C481" s="1" t="s">
        <v>4456</v>
      </c>
      <c r="D481" s="1" t="s">
        <v>3494</v>
      </c>
      <c r="E481" s="1" t="s">
        <v>3495</v>
      </c>
      <c r="F481" s="1" t="s">
        <v>4457</v>
      </c>
      <c r="G481" s="1" t="s">
        <v>14281</v>
      </c>
      <c r="H481" s="1" t="s">
        <v>14282</v>
      </c>
      <c r="I481" s="1" t="s">
        <v>14604</v>
      </c>
      <c r="J481" s="1" t="s">
        <v>23</v>
      </c>
      <c r="K481" s="1"/>
      <c r="L481" s="1" t="s">
        <v>3499</v>
      </c>
      <c r="M481" s="1" t="s">
        <v>3499</v>
      </c>
      <c r="N481" s="12" t="b">
        <f t="shared" si="35"/>
        <v>1</v>
      </c>
      <c r="O481" s="1" t="s">
        <v>4458</v>
      </c>
      <c r="P481" s="1" t="s">
        <v>3967</v>
      </c>
      <c r="Q481" s="1" t="s">
        <v>4459</v>
      </c>
      <c r="R481" s="1" t="s">
        <v>4460</v>
      </c>
      <c r="S481" s="1" t="s">
        <v>3501</v>
      </c>
      <c r="T481" s="1" t="s">
        <v>3502</v>
      </c>
      <c r="U481" s="1" t="s">
        <v>3503</v>
      </c>
      <c r="V481" s="13">
        <f>COUNTIF(L481:$M$1659,L481)</f>
        <v>2</v>
      </c>
      <c r="W481" s="1" t="s">
        <v>3507</v>
      </c>
      <c r="X481">
        <v>101.25</v>
      </c>
      <c r="Y481">
        <v>54.19</v>
      </c>
      <c r="Z481">
        <v>12.131736999999999</v>
      </c>
      <c r="AA481">
        <v>107.471434</v>
      </c>
      <c r="AB481">
        <v>47.06</v>
      </c>
      <c r="AC481">
        <v>12.095340999999999</v>
      </c>
      <c r="AD481">
        <v>107.480919</v>
      </c>
      <c r="AE481" s="5">
        <f t="shared" si="36"/>
        <v>8.1284999999999996E-2</v>
      </c>
      <c r="AF481" s="5">
        <f t="shared" si="37"/>
        <v>7.059E-2</v>
      </c>
      <c r="AG481" s="1" t="str">
        <f>TRIM(LEFT(L481,FIND("-",L481)-1))</f>
        <v>Đường PC08 đội 6</v>
      </c>
      <c r="AH481" s="1" t="str">
        <f>TRIM(RIGHT(L481, LEN(L481) - FIND("-", L481)))</f>
        <v>CS Cai nghiện số 4</v>
      </c>
      <c r="AJ481">
        <f t="shared" si="38"/>
        <v>5.4189999999999995E-2</v>
      </c>
      <c r="AK481">
        <f t="shared" si="39"/>
        <v>4.7060000000000005E-2</v>
      </c>
      <c r="AL481" t="e">
        <f>VLOOKUP(L481,'[1]Tuyến cáp H04'!$B:$E,3,0)/1000</f>
        <v>#N/A</v>
      </c>
      <c r="AM481" t="e">
        <f>VLOOKUP(L481,'[1]Tuyến cáp H04'!$B:$E,4,0)</f>
        <v>#N/A</v>
      </c>
    </row>
    <row r="482" spans="1:39" x14ac:dyDescent="0.25">
      <c r="A482" s="1" t="s">
        <v>4461</v>
      </c>
      <c r="B482" s="1" t="s">
        <v>4392</v>
      </c>
      <c r="C482" s="1" t="s">
        <v>4393</v>
      </c>
      <c r="D482" s="1" t="s">
        <v>3740</v>
      </c>
      <c r="E482" s="1" t="s">
        <v>3741</v>
      </c>
      <c r="F482" s="1" t="s">
        <v>4462</v>
      </c>
      <c r="G482" s="1" t="s">
        <v>14281</v>
      </c>
      <c r="H482" s="1" t="s">
        <v>14282</v>
      </c>
      <c r="I482" s="1" t="s">
        <v>14605</v>
      </c>
      <c r="J482" s="1" t="s">
        <v>23</v>
      </c>
      <c r="K482" s="1"/>
      <c r="L482" s="1" t="s">
        <v>3565</v>
      </c>
      <c r="M482" s="1" t="s">
        <v>3565</v>
      </c>
      <c r="N482" s="12" t="b">
        <f t="shared" si="35"/>
        <v>1</v>
      </c>
      <c r="O482" s="1" t="s">
        <v>4463</v>
      </c>
      <c r="P482" s="1" t="s">
        <v>4464</v>
      </c>
      <c r="Q482" s="1" t="s">
        <v>4465</v>
      </c>
      <c r="R482" s="1" t="s">
        <v>4466</v>
      </c>
      <c r="S482" s="1" t="s">
        <v>3744</v>
      </c>
      <c r="T482" s="1" t="s">
        <v>3745</v>
      </c>
      <c r="U482" s="1" t="s">
        <v>3746</v>
      </c>
      <c r="V482" s="13">
        <f>COUNTIF(L482:$M$1659,L482)</f>
        <v>2</v>
      </c>
      <c r="W482" s="1" t="s">
        <v>3573</v>
      </c>
      <c r="X482">
        <v>311.76</v>
      </c>
      <c r="Y482">
        <v>162.94999999999999</v>
      </c>
      <c r="Z482">
        <v>12.069725999999999</v>
      </c>
      <c r="AA482">
        <v>107.47431400000001</v>
      </c>
      <c r="AB482">
        <v>148.81</v>
      </c>
      <c r="AC482">
        <v>12.043371</v>
      </c>
      <c r="AD482">
        <v>107.489839</v>
      </c>
      <c r="AE482" s="5">
        <f t="shared" si="36"/>
        <v>0.24442499999999998</v>
      </c>
      <c r="AF482" s="5">
        <f t="shared" si="37"/>
        <v>0.223215</v>
      </c>
      <c r="AG482" s="1" t="str">
        <f>TRIM(LEFT(L482,FIND("-",L482)-1))</f>
        <v>Công an xã Tuy Đức (Trụ sở CAH Tuy Đức cũ)</v>
      </c>
      <c r="AH482" s="1" t="str">
        <f>TRIM(RIGHT(L482, LEN(L482) - FIND("-", L482)))</f>
        <v>Công an xã Kiến Đức (Trụ sở CAH Đắk R'Lấp cũ)</v>
      </c>
      <c r="AJ482">
        <f t="shared" si="38"/>
        <v>0.16294999999999998</v>
      </c>
      <c r="AK482">
        <f t="shared" si="39"/>
        <v>0.14881</v>
      </c>
      <c r="AL482" t="e">
        <f>VLOOKUP(L482,'[1]Tuyến cáp H04'!$B:$E,3,0)/1000</f>
        <v>#N/A</v>
      </c>
      <c r="AM482" t="e">
        <f>VLOOKUP(L482,'[1]Tuyến cáp H04'!$B:$E,4,0)</f>
        <v>#N/A</v>
      </c>
    </row>
    <row r="483" spans="1:39" x14ac:dyDescent="0.25">
      <c r="A483" s="1" t="s">
        <v>4467</v>
      </c>
      <c r="B483" s="1" t="s">
        <v>4468</v>
      </c>
      <c r="C483" s="1" t="s">
        <v>4469</v>
      </c>
      <c r="D483" s="1" t="s">
        <v>3740</v>
      </c>
      <c r="E483" s="1" t="s">
        <v>3741</v>
      </c>
      <c r="F483" s="1" t="s">
        <v>4470</v>
      </c>
      <c r="G483" s="1" t="s">
        <v>14281</v>
      </c>
      <c r="H483" s="1" t="s">
        <v>14282</v>
      </c>
      <c r="I483" s="1" t="s">
        <v>14606</v>
      </c>
      <c r="J483" s="1" t="s">
        <v>23</v>
      </c>
      <c r="K483" s="1"/>
      <c r="L483" s="1" t="s">
        <v>3730</v>
      </c>
      <c r="M483" s="1" t="s">
        <v>3730</v>
      </c>
      <c r="N483" s="12" t="b">
        <f t="shared" si="35"/>
        <v>1</v>
      </c>
      <c r="O483" s="1" t="s">
        <v>4471</v>
      </c>
      <c r="P483" s="1" t="s">
        <v>4472</v>
      </c>
      <c r="Q483" s="1" t="s">
        <v>4473</v>
      </c>
      <c r="R483" s="1" t="s">
        <v>4474</v>
      </c>
      <c r="S483" s="1" t="s">
        <v>4475</v>
      </c>
      <c r="T483" s="1" t="s">
        <v>4476</v>
      </c>
      <c r="U483" s="1" t="s">
        <v>4477</v>
      </c>
      <c r="V483" s="13">
        <f>COUNTIF(L483:$M$1659,L483)</f>
        <v>2</v>
      </c>
      <c r="W483" s="1" t="s">
        <v>4252</v>
      </c>
      <c r="X483">
        <v>1796.42</v>
      </c>
      <c r="Y483">
        <v>1777.72</v>
      </c>
      <c r="Z483">
        <v>12.024914000000001</v>
      </c>
      <c r="AA483">
        <v>107.492846</v>
      </c>
      <c r="AB483">
        <v>18.7</v>
      </c>
      <c r="AC483">
        <v>12.044472000000001</v>
      </c>
      <c r="AD483">
        <v>107.490295</v>
      </c>
      <c r="AE483" s="5">
        <f t="shared" si="36"/>
        <v>2.6665799999999997</v>
      </c>
      <c r="AF483" s="5">
        <f t="shared" si="37"/>
        <v>2.8049999999999999E-2</v>
      </c>
      <c r="AG483" s="1" t="str">
        <f>TRIM(LEFT(L483,FIND("-",L483)-1))</f>
        <v>Đường Quảng Tân</v>
      </c>
      <c r="AH483" s="1" t="str">
        <f>TRIM(RIGHT(L483, LEN(L483) - FIND("-", L483)))</f>
        <v>TTCMKV Đắk R'Lấp</v>
      </c>
      <c r="AJ483">
        <f t="shared" si="38"/>
        <v>1.77772</v>
      </c>
      <c r="AK483">
        <f t="shared" si="39"/>
        <v>1.8699999999999998E-2</v>
      </c>
      <c r="AL483" t="e">
        <f>VLOOKUP(L483,'[1]Tuyến cáp H04'!$B:$E,3,0)/1000</f>
        <v>#N/A</v>
      </c>
      <c r="AM483" t="e">
        <f>VLOOKUP(L483,'[1]Tuyến cáp H04'!$B:$E,4,0)</f>
        <v>#N/A</v>
      </c>
    </row>
    <row r="484" spans="1:39" x14ac:dyDescent="0.25">
      <c r="A484" s="1" t="s">
        <v>4478</v>
      </c>
      <c r="B484" s="1" t="s">
        <v>4479</v>
      </c>
      <c r="C484" s="1" t="s">
        <v>4480</v>
      </c>
      <c r="D484" s="1" t="s">
        <v>3523</v>
      </c>
      <c r="E484" s="1" t="s">
        <v>3524</v>
      </c>
      <c r="F484" s="1" t="s">
        <v>4481</v>
      </c>
      <c r="G484" s="1" t="s">
        <v>14281</v>
      </c>
      <c r="H484" s="1" t="s">
        <v>14282</v>
      </c>
      <c r="I484" s="1" t="s">
        <v>14607</v>
      </c>
      <c r="J484" s="1" t="s">
        <v>23</v>
      </c>
      <c r="K484" s="1"/>
      <c r="L484" s="1" t="s">
        <v>4482</v>
      </c>
      <c r="M484" s="1" t="s">
        <v>4482</v>
      </c>
      <c r="N484" s="12" t="b">
        <f t="shared" si="35"/>
        <v>1</v>
      </c>
      <c r="O484" s="1" t="s">
        <v>4483</v>
      </c>
      <c r="P484" s="1" t="s">
        <v>4484</v>
      </c>
      <c r="Q484" s="1" t="s">
        <v>4485</v>
      </c>
      <c r="R484" s="1" t="s">
        <v>4486</v>
      </c>
      <c r="S484" s="1" t="s">
        <v>4487</v>
      </c>
      <c r="T484" s="1" t="s">
        <v>4488</v>
      </c>
      <c r="U484" s="1" t="s">
        <v>4489</v>
      </c>
      <c r="V484" s="13">
        <f>COUNTIF(L484:$M$1659,L484)</f>
        <v>4</v>
      </c>
      <c r="W484" s="1" t="s">
        <v>4490</v>
      </c>
      <c r="X484">
        <v>1397.07</v>
      </c>
      <c r="Y484">
        <v>1304.8399999999999</v>
      </c>
      <c r="Z484">
        <v>11.907869</v>
      </c>
      <c r="AA484">
        <v>107.79853799999999</v>
      </c>
      <c r="AB484">
        <v>92.23</v>
      </c>
      <c r="AC484">
        <v>11.912006999999999</v>
      </c>
      <c r="AD484">
        <v>107.792113</v>
      </c>
      <c r="AE484" s="5">
        <f t="shared" si="36"/>
        <v>1.9572599999999998</v>
      </c>
      <c r="AF484" s="5">
        <f t="shared" si="37"/>
        <v>0.138345</v>
      </c>
      <c r="AG484" s="1" t="str">
        <f>TRIM(LEFT(L484,FIND("-",L484)-1))</f>
        <v>Công an xã Quảng Khê</v>
      </c>
      <c r="AH484" s="1" t="str">
        <f>TRIM(RIGHT(L484, LEN(L484) - FIND("-", L484)))</f>
        <v>Công an xã Tà Đùng</v>
      </c>
      <c r="AJ484">
        <f t="shared" si="38"/>
        <v>1.30484</v>
      </c>
      <c r="AK484">
        <f t="shared" si="39"/>
        <v>9.2230000000000006E-2</v>
      </c>
      <c r="AL484" t="e">
        <f>VLOOKUP(L484,'[1]Tuyến cáp H04'!$B:$E,3,0)/1000</f>
        <v>#N/A</v>
      </c>
      <c r="AM484" t="e">
        <f>VLOOKUP(L484,'[1]Tuyến cáp H04'!$B:$E,4,0)</f>
        <v>#N/A</v>
      </c>
    </row>
    <row r="485" spans="1:39" x14ac:dyDescent="0.25">
      <c r="A485" s="1" t="s">
        <v>4491</v>
      </c>
      <c r="B485" s="1" t="s">
        <v>4492</v>
      </c>
      <c r="C485" s="1" t="s">
        <v>4493</v>
      </c>
      <c r="D485" s="1" t="s">
        <v>3523</v>
      </c>
      <c r="E485" s="1" t="s">
        <v>3524</v>
      </c>
      <c r="F485" s="1" t="s">
        <v>4494</v>
      </c>
      <c r="G485" s="1" t="s">
        <v>14281</v>
      </c>
      <c r="H485" s="1" t="s">
        <v>14282</v>
      </c>
      <c r="I485" s="1" t="s">
        <v>14608</v>
      </c>
      <c r="J485" s="1" t="s">
        <v>23</v>
      </c>
      <c r="K485" s="1"/>
      <c r="L485" s="1" t="s">
        <v>4482</v>
      </c>
      <c r="M485" s="1" t="s">
        <v>4482</v>
      </c>
      <c r="N485" s="12" t="b">
        <f t="shared" si="35"/>
        <v>1</v>
      </c>
      <c r="O485" s="1" t="s">
        <v>4495</v>
      </c>
      <c r="P485" s="1" t="s">
        <v>4496</v>
      </c>
      <c r="Q485" s="1" t="s">
        <v>4497</v>
      </c>
      <c r="R485" s="1" t="s">
        <v>4498</v>
      </c>
      <c r="S485" s="1" t="s">
        <v>4487</v>
      </c>
      <c r="T485" s="1" t="s">
        <v>4488</v>
      </c>
      <c r="U485" s="1" t="s">
        <v>4489</v>
      </c>
      <c r="V485" s="13">
        <f>COUNTIF(L485:$M$1659,L485)</f>
        <v>2</v>
      </c>
      <c r="W485" s="1" t="s">
        <v>4490</v>
      </c>
      <c r="X485">
        <v>1151.92</v>
      </c>
      <c r="Y485">
        <v>1059.69</v>
      </c>
      <c r="Z485">
        <v>11.900826</v>
      </c>
      <c r="AA485">
        <v>107.824889</v>
      </c>
      <c r="AB485">
        <v>92.23</v>
      </c>
      <c r="AC485">
        <v>11.912006999999999</v>
      </c>
      <c r="AD485">
        <v>107.792113</v>
      </c>
      <c r="AE485" s="5">
        <f t="shared" si="36"/>
        <v>1.5895350000000001</v>
      </c>
      <c r="AF485" s="5">
        <f t="shared" si="37"/>
        <v>0.138345</v>
      </c>
      <c r="AG485" s="1" t="str">
        <f>TRIM(LEFT(L485,FIND("-",L485)-1))</f>
        <v>Công an xã Quảng Khê</v>
      </c>
      <c r="AH485" s="1" t="str">
        <f>TRIM(RIGHT(L485, LEN(L485) - FIND("-", L485)))</f>
        <v>Công an xã Tà Đùng</v>
      </c>
      <c r="AJ485">
        <f t="shared" si="38"/>
        <v>1.05969</v>
      </c>
      <c r="AK485">
        <f t="shared" si="39"/>
        <v>9.2230000000000006E-2</v>
      </c>
      <c r="AL485" t="e">
        <f>VLOOKUP(L485,'[1]Tuyến cáp H04'!$B:$E,3,0)/1000</f>
        <v>#N/A</v>
      </c>
      <c r="AM485" t="e">
        <f>VLOOKUP(L485,'[1]Tuyến cáp H04'!$B:$E,4,0)</f>
        <v>#N/A</v>
      </c>
    </row>
    <row r="486" spans="1:39" x14ac:dyDescent="0.25">
      <c r="A486" s="1" t="s">
        <v>4389</v>
      </c>
      <c r="B486" s="1" t="s">
        <v>3630</v>
      </c>
      <c r="C486" s="1" t="s">
        <v>3631</v>
      </c>
      <c r="D486" s="1" t="s">
        <v>3466</v>
      </c>
      <c r="E486" s="1" t="s">
        <v>3467</v>
      </c>
      <c r="F486" s="1" t="s">
        <v>4390</v>
      </c>
      <c r="G486" s="1" t="s">
        <v>14281</v>
      </c>
      <c r="H486" s="1" t="s">
        <v>14282</v>
      </c>
      <c r="I486" s="1" t="s">
        <v>14596</v>
      </c>
      <c r="J486" s="1" t="s">
        <v>23</v>
      </c>
      <c r="K486" s="1"/>
      <c r="L486" s="1" t="s">
        <v>3471</v>
      </c>
      <c r="M486" s="1" t="s">
        <v>3471</v>
      </c>
      <c r="N486" s="12" t="b">
        <f t="shared" si="35"/>
        <v>1</v>
      </c>
      <c r="O486" s="1" t="s">
        <v>3633</v>
      </c>
      <c r="P486" s="1" t="s">
        <v>3637</v>
      </c>
      <c r="Q486" s="1" t="s">
        <v>3638</v>
      </c>
      <c r="R486" s="1" t="s">
        <v>3639</v>
      </c>
      <c r="S486" s="1" t="s">
        <v>3634</v>
      </c>
      <c r="T486" s="1" t="s">
        <v>3635</v>
      </c>
      <c r="U486" s="1" t="s">
        <v>3636</v>
      </c>
      <c r="V486" s="13">
        <f>COUNTIF(L486:$M$1659,L486)</f>
        <v>2</v>
      </c>
      <c r="W486" s="1" t="s">
        <v>3521</v>
      </c>
      <c r="X486">
        <v>290.98</v>
      </c>
      <c r="Y486">
        <v>116.38</v>
      </c>
      <c r="Z486">
        <v>12.455816</v>
      </c>
      <c r="AA486">
        <v>107.636764</v>
      </c>
      <c r="AB486">
        <v>174.6</v>
      </c>
      <c r="AC486">
        <v>12.448781</v>
      </c>
      <c r="AD486">
        <v>107.62094999999999</v>
      </c>
      <c r="AE486" s="5">
        <f t="shared" si="36"/>
        <v>0.17457</v>
      </c>
      <c r="AF486" s="5">
        <f t="shared" si="37"/>
        <v>0.26189999999999997</v>
      </c>
      <c r="AG486" s="1" t="str">
        <f>TRIM(LEFT(L486,FIND("-",L486)-1))</f>
        <v xml:space="preserve">Công an xã Đức Lập (Trụ sở 2 CAH Đắk Mil cũ)
</v>
      </c>
      <c r="AH486" s="1" t="str">
        <f>TRIM(RIGHT(L486, LEN(L486) - FIND("-", L486)))</f>
        <v>Công an xã Cư Jút (Trụ sở CAH Cư Jút cũ)</v>
      </c>
      <c r="AJ486">
        <f t="shared" si="38"/>
        <v>0.11638</v>
      </c>
      <c r="AK486">
        <f t="shared" si="39"/>
        <v>0.17460000000000001</v>
      </c>
      <c r="AL486" t="e">
        <f>VLOOKUP(L486,'[1]Tuyến cáp H04'!$B:$E,3,0)/1000</f>
        <v>#N/A</v>
      </c>
      <c r="AM486" t="e">
        <f>VLOOKUP(L486,'[1]Tuyến cáp H04'!$B:$E,4,0)</f>
        <v>#N/A</v>
      </c>
    </row>
    <row r="487" spans="1:39" x14ac:dyDescent="0.25">
      <c r="A487" s="1" t="s">
        <v>4499</v>
      </c>
      <c r="B487" s="1" t="s">
        <v>4500</v>
      </c>
      <c r="C487" s="1" t="s">
        <v>4501</v>
      </c>
      <c r="D487" s="1" t="s">
        <v>4502</v>
      </c>
      <c r="E487" s="1" t="s">
        <v>4503</v>
      </c>
      <c r="F487" s="1" t="s">
        <v>4504</v>
      </c>
      <c r="G487" s="1" t="s">
        <v>14129</v>
      </c>
      <c r="H487" s="1" t="s">
        <v>14130</v>
      </c>
      <c r="I487" s="1" t="s">
        <v>14609</v>
      </c>
      <c r="J487" s="1" t="s">
        <v>23</v>
      </c>
      <c r="K487" s="1"/>
      <c r="L487" s="12" t="s">
        <v>4499</v>
      </c>
      <c r="M487" s="1" t="s">
        <v>4499</v>
      </c>
      <c r="N487" s="12" t="b">
        <f t="shared" si="35"/>
        <v>1</v>
      </c>
      <c r="O487" s="1" t="s">
        <v>4505</v>
      </c>
      <c r="P487" s="1" t="s">
        <v>4506</v>
      </c>
      <c r="Q487" s="1" t="s">
        <v>4507</v>
      </c>
      <c r="R487" s="1" t="s">
        <v>4508</v>
      </c>
      <c r="S487" s="1" t="s">
        <v>4509</v>
      </c>
      <c r="T487" s="1" t="s">
        <v>4510</v>
      </c>
      <c r="U487" s="1" t="s">
        <v>4511</v>
      </c>
      <c r="V487" s="13">
        <f>COUNTIF(L487:$M$1659,L487)</f>
        <v>4</v>
      </c>
      <c r="W487" s="1" t="s">
        <v>4512</v>
      </c>
      <c r="X487">
        <v>2358.2600000000002</v>
      </c>
      <c r="Y487">
        <v>2321.4</v>
      </c>
      <c r="Z487">
        <v>14.703706</v>
      </c>
      <c r="AA487">
        <v>107.68625900000001</v>
      </c>
      <c r="AB487">
        <v>36.869999999999997</v>
      </c>
      <c r="AC487">
        <v>14.398239</v>
      </c>
      <c r="AD487">
        <v>107.79636600000001</v>
      </c>
      <c r="AE487" s="5">
        <f t="shared" si="36"/>
        <v>3.4821000000000004</v>
      </c>
      <c r="AF487" s="5">
        <f t="shared" si="37"/>
        <v>5.5304999999999993E-2</v>
      </c>
      <c r="AG487" s="1" t="str">
        <f>TRIM(LEFT(L487,FIND("-",L487)-1))</f>
        <v>Ngọc Hồi</v>
      </c>
      <c r="AH487" s="1" t="str">
        <f>TRIM(RIGHT(L487, LEN(L487) - FIND("-", L487)))</f>
        <v>Sa Thầy</v>
      </c>
      <c r="AJ487">
        <f t="shared" si="38"/>
        <v>2.3214000000000001</v>
      </c>
      <c r="AK487">
        <f t="shared" si="39"/>
        <v>3.687E-2</v>
      </c>
      <c r="AL487" t="e">
        <f>VLOOKUP(L487,'[1]Tuyến cáp H04'!$B:$E,3,0)/1000</f>
        <v>#N/A</v>
      </c>
      <c r="AM487" t="e">
        <f>VLOOKUP(L487,'[1]Tuyến cáp H04'!$B:$E,4,0)</f>
        <v>#N/A</v>
      </c>
    </row>
    <row r="488" spans="1:39" x14ac:dyDescent="0.25">
      <c r="A488" s="1" t="s">
        <v>4513</v>
      </c>
      <c r="B488" s="1" t="s">
        <v>4514</v>
      </c>
      <c r="C488" s="1" t="s">
        <v>4515</v>
      </c>
      <c r="D488" s="1" t="s">
        <v>4516</v>
      </c>
      <c r="E488" s="1" t="s">
        <v>4517</v>
      </c>
      <c r="F488" s="1" t="s">
        <v>4518</v>
      </c>
      <c r="G488" s="1" t="s">
        <v>14129</v>
      </c>
      <c r="H488" s="1" t="s">
        <v>14130</v>
      </c>
      <c r="I488" s="1" t="s">
        <v>14610</v>
      </c>
      <c r="J488" s="1" t="s">
        <v>23</v>
      </c>
      <c r="K488" s="1"/>
      <c r="L488" s="12" t="s">
        <v>4519</v>
      </c>
      <c r="M488" s="1" t="s">
        <v>4519</v>
      </c>
      <c r="N488" s="12" t="b">
        <f t="shared" si="35"/>
        <v>1</v>
      </c>
      <c r="O488" s="1" t="s">
        <v>4520</v>
      </c>
      <c r="P488" s="1" t="s">
        <v>4521</v>
      </c>
      <c r="Q488" s="1" t="s">
        <v>4522</v>
      </c>
      <c r="R488" s="1" t="s">
        <v>4523</v>
      </c>
      <c r="S488" s="1" t="s">
        <v>4524</v>
      </c>
      <c r="T488" s="1" t="s">
        <v>4525</v>
      </c>
      <c r="U488" s="1" t="s">
        <v>4526</v>
      </c>
      <c r="V488" s="13">
        <f>COUNTIF(L488:$M$1659,L488)</f>
        <v>6</v>
      </c>
      <c r="W488" s="1" t="s">
        <v>4527</v>
      </c>
      <c r="X488">
        <v>4806.4799999999996</v>
      </c>
      <c r="Y488">
        <v>52.76</v>
      </c>
      <c r="Z488">
        <v>14.698688000000001</v>
      </c>
      <c r="AA488">
        <v>107.83670499999999</v>
      </c>
      <c r="AB488">
        <v>4753.72</v>
      </c>
      <c r="AC488">
        <v>14.716917</v>
      </c>
      <c r="AD488">
        <v>107.795519</v>
      </c>
      <c r="AE488" s="5">
        <f t="shared" si="36"/>
        <v>7.9140000000000002E-2</v>
      </c>
      <c r="AF488" s="5">
        <f t="shared" si="37"/>
        <v>7.1305800000000001</v>
      </c>
      <c r="AG488" s="1" t="str">
        <f>TRIM(LEFT(L488,FIND("-",L488)-1))</f>
        <v>Đăk Mar</v>
      </c>
      <c r="AH488" s="1" t="str">
        <f>TRIM(RIGHT(L488, LEN(L488) - FIND("-", L488)))</f>
        <v>Ngọk Tụ</v>
      </c>
      <c r="AJ488">
        <f t="shared" si="38"/>
        <v>5.2760000000000001E-2</v>
      </c>
      <c r="AK488">
        <f t="shared" si="39"/>
        <v>4.7537200000000004</v>
      </c>
      <c r="AL488">
        <f>VLOOKUP(L488,'[1]Tuyến cáp H04'!$B:$E,3,0)/1000</f>
        <v>30.866</v>
      </c>
      <c r="AM488" t="str">
        <f>VLOOKUP(L488,'[1]Tuyến cáp H04'!$B:$E,4,0)</f>
        <v>Mạng cấp 4</v>
      </c>
    </row>
    <row r="489" spans="1:39" x14ac:dyDescent="0.25">
      <c r="A489" s="1" t="s">
        <v>4528</v>
      </c>
      <c r="B489" s="1" t="s">
        <v>4500</v>
      </c>
      <c r="C489" s="1" t="s">
        <v>4501</v>
      </c>
      <c r="D489" s="1" t="s">
        <v>4529</v>
      </c>
      <c r="E489" s="1" t="s">
        <v>4530</v>
      </c>
      <c r="F489" s="1" t="s">
        <v>4531</v>
      </c>
      <c r="G489" s="1" t="s">
        <v>14129</v>
      </c>
      <c r="H489" s="1" t="s">
        <v>14130</v>
      </c>
      <c r="I489" s="1" t="s">
        <v>14611</v>
      </c>
      <c r="J489" s="1" t="s">
        <v>23</v>
      </c>
      <c r="K489" s="1"/>
      <c r="L489" s="12" t="s">
        <v>4532</v>
      </c>
      <c r="M489" s="1" t="s">
        <v>4532</v>
      </c>
      <c r="N489" s="12" t="b">
        <f t="shared" si="35"/>
        <v>1</v>
      </c>
      <c r="O489" s="1" t="s">
        <v>4533</v>
      </c>
      <c r="P489" s="1" t="s">
        <v>707</v>
      </c>
      <c r="Q489" s="1" t="s">
        <v>4534</v>
      </c>
      <c r="R489" s="1" t="s">
        <v>4535</v>
      </c>
      <c r="S489" s="1" t="s">
        <v>4536</v>
      </c>
      <c r="T489" s="1" t="s">
        <v>4537</v>
      </c>
      <c r="U489" s="1" t="s">
        <v>4538</v>
      </c>
      <c r="V489" s="13">
        <f>COUNTIF(L489:$M$1659,L489)</f>
        <v>4</v>
      </c>
      <c r="W489" s="1" t="s">
        <v>4539</v>
      </c>
      <c r="X489">
        <v>2202.5500000000002</v>
      </c>
      <c r="Y489">
        <v>15.81</v>
      </c>
      <c r="Z489">
        <v>14.724418999999999</v>
      </c>
      <c r="AA489">
        <v>107.68789200000001</v>
      </c>
      <c r="AB489">
        <v>2186.7399999999998</v>
      </c>
      <c r="AC489">
        <v>14.694341</v>
      </c>
      <c r="AD489">
        <v>107.68619099999999</v>
      </c>
      <c r="AE489" s="5">
        <f t="shared" si="36"/>
        <v>2.3715E-2</v>
      </c>
      <c r="AF489" s="5">
        <f t="shared" si="37"/>
        <v>3.2801099999999996</v>
      </c>
      <c r="AG489" s="1" t="str">
        <f>TRIM(LEFT(L489,FIND("-",L489)-1))</f>
        <v>TTCMKV Ngọc Hồi</v>
      </c>
      <c r="AH489" s="1" t="str">
        <f>TRIM(RIGHT(L489, LEN(L489) - FIND("-", L489)))</f>
        <v>Sa Loong</v>
      </c>
      <c r="AJ489">
        <f t="shared" si="38"/>
        <v>1.5810000000000001E-2</v>
      </c>
      <c r="AK489">
        <f t="shared" si="39"/>
        <v>2.1867399999999999</v>
      </c>
      <c r="AL489">
        <f>VLOOKUP(L489,'[1]Tuyến cáp H04'!$B:$E,3,0)/1000</f>
        <v>16.399999999999999</v>
      </c>
      <c r="AM489" t="str">
        <f>VLOOKUP(L489,'[1]Tuyến cáp H04'!$B:$E,4,0)</f>
        <v>Mạng cấp 4</v>
      </c>
    </row>
    <row r="490" spans="1:39" x14ac:dyDescent="0.25">
      <c r="A490" s="1" t="s">
        <v>4540</v>
      </c>
      <c r="B490" s="1" t="s">
        <v>4502</v>
      </c>
      <c r="C490" s="1" t="s">
        <v>4503</v>
      </c>
      <c r="D490" s="1" t="s">
        <v>4541</v>
      </c>
      <c r="E490" s="1" t="s">
        <v>4542</v>
      </c>
      <c r="F490" s="1" t="s">
        <v>4543</v>
      </c>
      <c r="G490" s="1" t="s">
        <v>14129</v>
      </c>
      <c r="H490" s="1" t="s">
        <v>14130</v>
      </c>
      <c r="I490" s="1" t="s">
        <v>14612</v>
      </c>
      <c r="J490" s="1" t="s">
        <v>23</v>
      </c>
      <c r="K490" s="1"/>
      <c r="L490" s="12" t="s">
        <v>4544</v>
      </c>
      <c r="M490" s="1" t="s">
        <v>4544</v>
      </c>
      <c r="N490" s="12" t="b">
        <f t="shared" si="35"/>
        <v>1</v>
      </c>
      <c r="O490" s="1" t="s">
        <v>4545</v>
      </c>
      <c r="P490" s="1" t="s">
        <v>4546</v>
      </c>
      <c r="Q490" s="1" t="s">
        <v>4547</v>
      </c>
      <c r="R490" s="1" t="s">
        <v>4548</v>
      </c>
      <c r="S490" s="1" t="s">
        <v>4549</v>
      </c>
      <c r="T490" s="1" t="s">
        <v>4550</v>
      </c>
      <c r="U490" s="1" t="s">
        <v>4551</v>
      </c>
      <c r="V490" s="13">
        <f>COUNTIF(L490:$M$1659,L490)</f>
        <v>4</v>
      </c>
      <c r="W490" s="1" t="s">
        <v>4552</v>
      </c>
      <c r="X490">
        <v>971.36</v>
      </c>
      <c r="Y490">
        <v>2.2799999999999998</v>
      </c>
      <c r="Z490">
        <v>14.39805</v>
      </c>
      <c r="AA490">
        <v>107.79609600000001</v>
      </c>
      <c r="AB490">
        <v>969.08</v>
      </c>
      <c r="AC490">
        <v>14.396425000000001</v>
      </c>
      <c r="AD490">
        <v>107.81647</v>
      </c>
      <c r="AE490" s="5">
        <f t="shared" si="36"/>
        <v>3.4199999999999999E-3</v>
      </c>
      <c r="AF490" s="5">
        <f t="shared" si="37"/>
        <v>1.4536200000000001</v>
      </c>
      <c r="AG490" s="1" t="str">
        <f>TRIM(LEFT(L490,FIND("-",L490)-1))</f>
        <v>TTCMKV Sa Thầy</v>
      </c>
      <c r="AH490" s="1" t="str">
        <f>TRIM(RIGHT(L490, LEN(L490) - FIND("-", L490)))</f>
        <v>Sa Bình</v>
      </c>
      <c r="AJ490">
        <f t="shared" si="38"/>
        <v>2.2799999999999999E-3</v>
      </c>
      <c r="AK490">
        <f t="shared" si="39"/>
        <v>0.96908000000000005</v>
      </c>
      <c r="AL490">
        <f>VLOOKUP(L490,'[1]Tuyến cáp H04'!$B:$E,3,0)/1000</f>
        <v>21.3</v>
      </c>
      <c r="AM490" t="str">
        <f>VLOOKUP(L490,'[1]Tuyến cáp H04'!$B:$E,4,0)</f>
        <v>Mạng cấp 4</v>
      </c>
    </row>
    <row r="491" spans="1:39" x14ac:dyDescent="0.25">
      <c r="A491" s="1" t="s">
        <v>4553</v>
      </c>
      <c r="B491" s="1" t="s">
        <v>4554</v>
      </c>
      <c r="C491" s="1" t="s">
        <v>4555</v>
      </c>
      <c r="D491" s="1" t="s">
        <v>4556</v>
      </c>
      <c r="E491" s="1" t="s">
        <v>4557</v>
      </c>
      <c r="F491" s="1" t="s">
        <v>4558</v>
      </c>
      <c r="G491" s="1" t="s">
        <v>14129</v>
      </c>
      <c r="H491" s="1" t="s">
        <v>14130</v>
      </c>
      <c r="I491" s="1" t="s">
        <v>14613</v>
      </c>
      <c r="J491" s="1" t="s">
        <v>23</v>
      </c>
      <c r="K491" s="1"/>
      <c r="L491" s="12" t="s">
        <v>4559</v>
      </c>
      <c r="M491" s="1" t="s">
        <v>4559</v>
      </c>
      <c r="N491" s="12" t="b">
        <f t="shared" si="35"/>
        <v>1</v>
      </c>
      <c r="O491" s="1" t="s">
        <v>4560</v>
      </c>
      <c r="P491" s="1" t="s">
        <v>4561</v>
      </c>
      <c r="Q491" s="1" t="s">
        <v>4562</v>
      </c>
      <c r="R491" s="1" t="s">
        <v>4563</v>
      </c>
      <c r="S491" s="1" t="s">
        <v>4564</v>
      </c>
      <c r="T491" s="1" t="s">
        <v>4565</v>
      </c>
      <c r="U491" s="1" t="s">
        <v>4566</v>
      </c>
      <c r="V491" s="13">
        <f>COUNTIF(L491:$M$1659,L491)</f>
        <v>6</v>
      </c>
      <c r="W491" s="1" t="s">
        <v>4567</v>
      </c>
      <c r="X491">
        <v>2086.91</v>
      </c>
      <c r="Y491">
        <v>77.010000000000005</v>
      </c>
      <c r="Z491">
        <v>14.352309</v>
      </c>
      <c r="AA491">
        <v>108.007857</v>
      </c>
      <c r="AB491">
        <v>2009.89</v>
      </c>
      <c r="AC491">
        <v>14.500681</v>
      </c>
      <c r="AD491">
        <v>107.943207</v>
      </c>
      <c r="AE491" s="5">
        <f t="shared" si="36"/>
        <v>0.11551500000000002</v>
      </c>
      <c r="AF491" s="5">
        <f t="shared" si="37"/>
        <v>3.0148350000000002</v>
      </c>
      <c r="AG491" s="1" t="str">
        <f>TRIM(LEFT(L491,FIND("-",L491)-1))</f>
        <v>TT2 Kon Tum</v>
      </c>
      <c r="AH491" s="1" t="str">
        <f>TRIM(RIGHT(L491, LEN(L491) - FIND("-", L491)))</f>
        <v>PC11</v>
      </c>
      <c r="AJ491">
        <f t="shared" si="38"/>
        <v>7.7010000000000009E-2</v>
      </c>
      <c r="AK491">
        <f t="shared" si="39"/>
        <v>2.00989</v>
      </c>
      <c r="AL491">
        <f>VLOOKUP(L491,'[1]Tuyến cáp H04'!$B:$E,3,0)/1000</f>
        <v>24.687000000000001</v>
      </c>
      <c r="AM491" t="str">
        <f>VLOOKUP(L491,'[1]Tuyến cáp H04'!$B:$E,4,0)</f>
        <v>Mạng cấp 3</v>
      </c>
    </row>
    <row r="492" spans="1:39" x14ac:dyDescent="0.25">
      <c r="A492" s="1" t="s">
        <v>4568</v>
      </c>
      <c r="B492" s="1" t="s">
        <v>4569</v>
      </c>
      <c r="C492" s="1" t="s">
        <v>4570</v>
      </c>
      <c r="D492" s="1" t="s">
        <v>4571</v>
      </c>
      <c r="E492" s="1" t="s">
        <v>4572</v>
      </c>
      <c r="F492" s="1" t="s">
        <v>4573</v>
      </c>
      <c r="G492" s="1" t="s">
        <v>14129</v>
      </c>
      <c r="H492" s="1" t="s">
        <v>14130</v>
      </c>
      <c r="I492" s="1" t="s">
        <v>14614</v>
      </c>
      <c r="J492" s="1" t="s">
        <v>23</v>
      </c>
      <c r="K492" s="1"/>
      <c r="L492" s="12" t="s">
        <v>4574</v>
      </c>
      <c r="M492" s="1" t="s">
        <v>4574</v>
      </c>
      <c r="N492" s="12" t="b">
        <f t="shared" si="35"/>
        <v>1</v>
      </c>
      <c r="O492" s="1" t="s">
        <v>4575</v>
      </c>
      <c r="P492" s="1" t="s">
        <v>4576</v>
      </c>
      <c r="Q492" s="1" t="s">
        <v>4577</v>
      </c>
      <c r="R492" s="1" t="s">
        <v>4578</v>
      </c>
      <c r="S492" s="1" t="s">
        <v>4579</v>
      </c>
      <c r="T492" s="1" t="s">
        <v>4580</v>
      </c>
      <c r="U492" s="1" t="s">
        <v>4581</v>
      </c>
      <c r="V492" s="13">
        <f>COUNTIF(L492:$M$1659,L492)</f>
        <v>8</v>
      </c>
      <c r="W492" s="1" t="s">
        <v>4582</v>
      </c>
      <c r="X492">
        <v>141.22</v>
      </c>
      <c r="Y492">
        <v>50.16</v>
      </c>
      <c r="Z492">
        <v>14.53088</v>
      </c>
      <c r="AA492">
        <v>107.94065399999999</v>
      </c>
      <c r="AB492">
        <v>91.06</v>
      </c>
      <c r="AC492">
        <v>14.545249999999999</v>
      </c>
      <c r="AD492">
        <v>107.920755</v>
      </c>
      <c r="AE492" s="5">
        <f t="shared" si="36"/>
        <v>7.5240000000000001E-2</v>
      </c>
      <c r="AF492" s="5">
        <f t="shared" si="37"/>
        <v>0.13659000000000002</v>
      </c>
      <c r="AG492" s="1" t="str">
        <f>TRIM(LEFT(L492,FIND("-",L492)-1))</f>
        <v>Đăk Ui</v>
      </c>
      <c r="AH492" s="1" t="str">
        <f>TRIM(RIGHT(L492, LEN(L492) - FIND("-", L492)))</f>
        <v>Đăk Mar</v>
      </c>
      <c r="AJ492">
        <f t="shared" si="38"/>
        <v>5.0159999999999996E-2</v>
      </c>
      <c r="AK492">
        <f t="shared" si="39"/>
        <v>9.1060000000000002E-2</v>
      </c>
      <c r="AL492">
        <f>VLOOKUP(L492,'[1]Tuyến cáp H04'!$B:$E,3,0)/1000</f>
        <v>4.383</v>
      </c>
      <c r="AM492" t="str">
        <f>VLOOKUP(L492,'[1]Tuyến cáp H04'!$B:$E,4,0)</f>
        <v>Mạng cấp 4</v>
      </c>
    </row>
    <row r="493" spans="1:39" x14ac:dyDescent="0.25">
      <c r="A493" s="1" t="s">
        <v>4583</v>
      </c>
      <c r="B493" s="1" t="s">
        <v>4571</v>
      </c>
      <c r="C493" s="1" t="s">
        <v>4572</v>
      </c>
      <c r="D493" s="1" t="s">
        <v>4584</v>
      </c>
      <c r="E493" s="1" t="s">
        <v>4585</v>
      </c>
      <c r="F493" s="1" t="s">
        <v>4586</v>
      </c>
      <c r="G493" s="1" t="s">
        <v>14129</v>
      </c>
      <c r="H493" s="1" t="s">
        <v>14130</v>
      </c>
      <c r="I493" s="1" t="s">
        <v>14615</v>
      </c>
      <c r="J493" s="1" t="s">
        <v>23</v>
      </c>
      <c r="K493" s="1"/>
      <c r="L493" s="12" t="s">
        <v>283</v>
      </c>
      <c r="M493" s="1" t="s">
        <v>283</v>
      </c>
      <c r="N493" s="12" t="b">
        <f t="shared" si="35"/>
        <v>1</v>
      </c>
      <c r="O493" s="1" t="s">
        <v>4587</v>
      </c>
      <c r="P493" s="1" t="s">
        <v>4588</v>
      </c>
      <c r="Q493" s="1" t="s">
        <v>4589</v>
      </c>
      <c r="R493" s="1" t="s">
        <v>4590</v>
      </c>
      <c r="S493" s="1" t="s">
        <v>4591</v>
      </c>
      <c r="T493" s="1" t="s">
        <v>4592</v>
      </c>
      <c r="U493" s="1" t="s">
        <v>4593</v>
      </c>
      <c r="V493" s="13">
        <f>COUNTIF(L493:$M$1659,L493)</f>
        <v>18</v>
      </c>
      <c r="W493" s="1" t="s">
        <v>291</v>
      </c>
      <c r="X493">
        <v>499.47</v>
      </c>
      <c r="Y493">
        <v>79.930000000000007</v>
      </c>
      <c r="Z493">
        <v>14.545743999999999</v>
      </c>
      <c r="AA493">
        <v>107.920731</v>
      </c>
      <c r="AB493">
        <v>419.54</v>
      </c>
      <c r="AC493">
        <v>14.521151</v>
      </c>
      <c r="AD493">
        <v>107.918747</v>
      </c>
      <c r="AE493" s="5">
        <f t="shared" si="36"/>
        <v>0.11989500000000002</v>
      </c>
      <c r="AF493" s="5">
        <f t="shared" si="37"/>
        <v>0.62931000000000004</v>
      </c>
      <c r="AG493" s="1" t="str">
        <f>TRIM(LEFT(L493,FIND("-",L493)-1))</f>
        <v>Đăk Tô</v>
      </c>
      <c r="AH493" s="1" t="str">
        <f>TRIM(RIGHT(L493, LEN(L493) - FIND("-", L493)))</f>
        <v>TT2 Kon Tum</v>
      </c>
      <c r="AJ493">
        <f t="shared" si="38"/>
        <v>7.9930000000000001E-2</v>
      </c>
      <c r="AK493">
        <f t="shared" si="39"/>
        <v>0.41954000000000002</v>
      </c>
      <c r="AL493">
        <f>VLOOKUP(L493,'[1]Tuyến cáp H04'!$B:$E,3,0)/1000</f>
        <v>43.9602</v>
      </c>
      <c r="AM493" t="str">
        <f>VLOOKUP(L493,'[1]Tuyến cáp H04'!$B:$E,4,0)</f>
        <v>Mạng cấp 3</v>
      </c>
    </row>
    <row r="494" spans="1:39" x14ac:dyDescent="0.25">
      <c r="A494" s="1" t="s">
        <v>4594</v>
      </c>
      <c r="B494" s="1" t="s">
        <v>4595</v>
      </c>
      <c r="C494" s="1" t="s">
        <v>4596</v>
      </c>
      <c r="D494" s="1" t="s">
        <v>4597</v>
      </c>
      <c r="E494" s="1" t="s">
        <v>4598</v>
      </c>
      <c r="F494" s="1" t="s">
        <v>4599</v>
      </c>
      <c r="G494" s="1" t="s">
        <v>14129</v>
      </c>
      <c r="H494" s="1" t="s">
        <v>14130</v>
      </c>
      <c r="I494" s="1" t="s">
        <v>14616</v>
      </c>
      <c r="J494" s="1" t="s">
        <v>23</v>
      </c>
      <c r="K494" s="1"/>
      <c r="L494" s="12" t="s">
        <v>4600</v>
      </c>
      <c r="M494" s="1" t="s">
        <v>4600</v>
      </c>
      <c r="N494" s="12" t="b">
        <f t="shared" si="35"/>
        <v>1</v>
      </c>
      <c r="O494" s="1" t="s">
        <v>4601</v>
      </c>
      <c r="P494" s="1" t="s">
        <v>4602</v>
      </c>
      <c r="Q494" s="1" t="s">
        <v>4603</v>
      </c>
      <c r="R494" s="1" t="s">
        <v>4604</v>
      </c>
      <c r="S494" s="1" t="s">
        <v>4605</v>
      </c>
      <c r="T494" s="1" t="s">
        <v>4606</v>
      </c>
      <c r="U494" s="1" t="s">
        <v>4607</v>
      </c>
      <c r="V494" s="13">
        <f>COUNTIF(L494:$M$1659,L494)</f>
        <v>4</v>
      </c>
      <c r="W494" s="1" t="s">
        <v>4608</v>
      </c>
      <c r="X494">
        <v>2835.25</v>
      </c>
      <c r="Y494">
        <v>80.02</v>
      </c>
      <c r="Z494">
        <v>14.491633999999999</v>
      </c>
      <c r="AA494">
        <v>107.925735</v>
      </c>
      <c r="AB494">
        <v>2755.23</v>
      </c>
      <c r="AC494">
        <v>14.47508</v>
      </c>
      <c r="AD494">
        <v>107.932951</v>
      </c>
      <c r="AE494" s="5">
        <f t="shared" si="36"/>
        <v>0.12003</v>
      </c>
      <c r="AF494" s="5">
        <f t="shared" si="37"/>
        <v>4.1328450000000005</v>
      </c>
      <c r="AG494" s="1" t="str">
        <f>TRIM(LEFT(L494,FIND("-",L494)-1))</f>
        <v>Đăk Pxi</v>
      </c>
      <c r="AH494" s="1" t="str">
        <f>TRIM(RIGHT(L494, LEN(L494) - FIND("-", L494)))</f>
        <v>CAT Kon Tum</v>
      </c>
      <c r="AJ494">
        <f t="shared" si="38"/>
        <v>8.0019999999999994E-2</v>
      </c>
      <c r="AK494">
        <f t="shared" si="39"/>
        <v>2.7552300000000001</v>
      </c>
      <c r="AL494">
        <f>VLOOKUP(L494,'[1]Tuyến cáp H04'!$B:$E,3,0)/1000</f>
        <v>37.417999999999999</v>
      </c>
      <c r="AM494" t="str">
        <f>VLOOKUP(L494,'[1]Tuyến cáp H04'!$B:$E,4,0)</f>
        <v>Mạng cấp 4</v>
      </c>
    </row>
    <row r="495" spans="1:39" x14ac:dyDescent="0.25">
      <c r="A495" s="1" t="s">
        <v>4609</v>
      </c>
      <c r="B495" s="1" t="s">
        <v>4595</v>
      </c>
      <c r="C495" s="1" t="s">
        <v>4596</v>
      </c>
      <c r="D495" s="1" t="s">
        <v>4610</v>
      </c>
      <c r="E495" s="1" t="s">
        <v>4611</v>
      </c>
      <c r="F495" s="1" t="s">
        <v>4612</v>
      </c>
      <c r="G495" s="1" t="s">
        <v>14129</v>
      </c>
      <c r="H495" s="1" t="s">
        <v>14130</v>
      </c>
      <c r="I495" s="1" t="s">
        <v>14617</v>
      </c>
      <c r="J495" s="1" t="s">
        <v>23</v>
      </c>
      <c r="K495" s="1"/>
      <c r="L495" s="12" t="s">
        <v>4613</v>
      </c>
      <c r="M495" s="1" t="s">
        <v>4559</v>
      </c>
      <c r="N495" s="12" t="b">
        <f t="shared" si="35"/>
        <v>0</v>
      </c>
      <c r="O495" s="1" t="s">
        <v>4614</v>
      </c>
      <c r="P495" s="1" t="s">
        <v>4615</v>
      </c>
      <c r="Q495" s="1" t="s">
        <v>4616</v>
      </c>
      <c r="R495" s="1" t="s">
        <v>4617</v>
      </c>
      <c r="S495" s="1" t="s">
        <v>4618</v>
      </c>
      <c r="T495" s="1" t="s">
        <v>4619</v>
      </c>
      <c r="U495" s="1" t="s">
        <v>4620</v>
      </c>
      <c r="V495" s="13">
        <f>COUNTIF(L495:$M$1659,L495)</f>
        <v>9</v>
      </c>
      <c r="W495" s="1" t="s">
        <v>4621</v>
      </c>
      <c r="X495">
        <v>103344.28</v>
      </c>
      <c r="Y495">
        <v>99366.74</v>
      </c>
      <c r="Z495">
        <v>15.340258</v>
      </c>
      <c r="AA495">
        <v>108.213703</v>
      </c>
      <c r="AB495">
        <v>3977.54</v>
      </c>
      <c r="AC495">
        <v>15.550722</v>
      </c>
      <c r="AD495">
        <v>108.413776</v>
      </c>
      <c r="AE495" s="5">
        <f t="shared" si="36"/>
        <v>149.05011000000002</v>
      </c>
      <c r="AF495" s="5">
        <f t="shared" si="37"/>
        <v>5.9663099999999991</v>
      </c>
      <c r="AG495" s="1" t="str">
        <f>TRIM(LEFT(L495,FIND("-",L495)-1))</f>
        <v>Bắc Trà My</v>
      </c>
      <c r="AH495" s="1" t="str">
        <f>TRIM(RIGHT(L495, LEN(L495) - FIND("-", L495)))</f>
        <v>Phú Ninh</v>
      </c>
      <c r="AJ495">
        <f t="shared" si="38"/>
        <v>99.366740000000007</v>
      </c>
      <c r="AK495">
        <f t="shared" si="39"/>
        <v>3.9775399999999999</v>
      </c>
      <c r="AL495">
        <f>VLOOKUP(L495,'[1]Tuyến cáp H04'!$B:$E,3,0)/1000</f>
        <v>44.34</v>
      </c>
      <c r="AM495" t="str">
        <f>VLOOKUP(L495,'[1]Tuyến cáp H04'!$B:$E,4,0)</f>
        <v>Mạng cấp 3</v>
      </c>
    </row>
    <row r="496" spans="1:39" x14ac:dyDescent="0.25">
      <c r="A496" s="1" t="s">
        <v>4622</v>
      </c>
      <c r="B496" s="1" t="s">
        <v>4610</v>
      </c>
      <c r="C496" s="1" t="s">
        <v>4611</v>
      </c>
      <c r="D496" s="1" t="s">
        <v>4623</v>
      </c>
      <c r="E496" s="1" t="s">
        <v>4624</v>
      </c>
      <c r="F496" s="1" t="s">
        <v>4625</v>
      </c>
      <c r="G496" s="1" t="s">
        <v>14129</v>
      </c>
      <c r="H496" s="1" t="s">
        <v>14130</v>
      </c>
      <c r="I496" s="1" t="s">
        <v>14618</v>
      </c>
      <c r="J496" s="1" t="s">
        <v>23</v>
      </c>
      <c r="K496" s="1"/>
      <c r="L496" s="12" t="s">
        <v>4613</v>
      </c>
      <c r="M496" s="1" t="s">
        <v>15696</v>
      </c>
      <c r="N496" s="12" t="b">
        <f t="shared" si="35"/>
        <v>0</v>
      </c>
      <c r="O496" s="1" t="s">
        <v>4626</v>
      </c>
      <c r="P496" s="1" t="s">
        <v>4618</v>
      </c>
      <c r="Q496" s="1" t="s">
        <v>4619</v>
      </c>
      <c r="R496" s="1" t="s">
        <v>4620</v>
      </c>
      <c r="S496" s="1" t="s">
        <v>4627</v>
      </c>
      <c r="T496" s="1" t="s">
        <v>4616</v>
      </c>
      <c r="U496" s="1" t="s">
        <v>4617</v>
      </c>
      <c r="V496" s="13">
        <f>COUNTIF(L496:$M$1659,L496)</f>
        <v>8</v>
      </c>
      <c r="W496" s="1" t="s">
        <v>4621</v>
      </c>
      <c r="X496">
        <v>99239.15</v>
      </c>
      <c r="Y496">
        <v>3977.54</v>
      </c>
      <c r="Z496">
        <v>15.550722</v>
      </c>
      <c r="AA496">
        <v>108.413776</v>
      </c>
      <c r="AB496">
        <v>95261.61</v>
      </c>
      <c r="AC496">
        <v>15.340258</v>
      </c>
      <c r="AD496">
        <v>108.213703</v>
      </c>
      <c r="AE496" s="5">
        <f t="shared" si="36"/>
        <v>5.9663099999999991</v>
      </c>
      <c r="AF496" s="5">
        <f t="shared" si="37"/>
        <v>142.892415</v>
      </c>
      <c r="AG496" s="1" t="str">
        <f>TRIM(LEFT(L496,FIND("-",L496)-1))</f>
        <v>Bắc Trà My</v>
      </c>
      <c r="AH496" s="1" t="str">
        <f>TRIM(RIGHT(L496, LEN(L496) - FIND("-", L496)))</f>
        <v>Phú Ninh</v>
      </c>
      <c r="AJ496">
        <f t="shared" si="38"/>
        <v>3.9775399999999999</v>
      </c>
      <c r="AK496">
        <f t="shared" si="39"/>
        <v>95.261610000000005</v>
      </c>
      <c r="AL496">
        <f>VLOOKUP(L496,'[1]Tuyến cáp H04'!$B:$E,3,0)/1000</f>
        <v>44.34</v>
      </c>
      <c r="AM496" t="str">
        <f>VLOOKUP(L496,'[1]Tuyến cáp H04'!$B:$E,4,0)</f>
        <v>Mạng cấp 3</v>
      </c>
    </row>
    <row r="497" spans="1:39" x14ac:dyDescent="0.25">
      <c r="A497" s="1" t="s">
        <v>4628</v>
      </c>
      <c r="B497" s="1" t="s">
        <v>4514</v>
      </c>
      <c r="C497" s="1" t="s">
        <v>4515</v>
      </c>
      <c r="D497" s="1" t="s">
        <v>4629</v>
      </c>
      <c r="E497" s="1" t="s">
        <v>4630</v>
      </c>
      <c r="F497" s="1" t="s">
        <v>4631</v>
      </c>
      <c r="G497" s="1" t="s">
        <v>14129</v>
      </c>
      <c r="H497" s="1" t="s">
        <v>14130</v>
      </c>
      <c r="I497" s="1" t="s">
        <v>14619</v>
      </c>
      <c r="J497" s="1" t="s">
        <v>23</v>
      </c>
      <c r="K497" s="1"/>
      <c r="L497" s="12" t="s">
        <v>4632</v>
      </c>
      <c r="M497" s="1" t="s">
        <v>4632</v>
      </c>
      <c r="N497" s="12" t="b">
        <f t="shared" si="35"/>
        <v>1</v>
      </c>
      <c r="O497" s="1" t="s">
        <v>3920</v>
      </c>
      <c r="P497" s="1" t="s">
        <v>4633</v>
      </c>
      <c r="Q497" s="1" t="s">
        <v>4634</v>
      </c>
      <c r="R497" s="1" t="s">
        <v>4635</v>
      </c>
      <c r="S497" s="1" t="s">
        <v>4636</v>
      </c>
      <c r="T497" s="1" t="s">
        <v>4637</v>
      </c>
      <c r="U497" s="1" t="s">
        <v>4638</v>
      </c>
      <c r="V497" s="13">
        <f>COUNTIF(L497:$M$1659,L497)</f>
        <v>2</v>
      </c>
      <c r="W497" s="1" t="s">
        <v>4639</v>
      </c>
      <c r="X497">
        <v>93.89</v>
      </c>
      <c r="Y497">
        <v>0.99</v>
      </c>
      <c r="Z497">
        <v>14.698413</v>
      </c>
      <c r="AA497">
        <v>107.836294</v>
      </c>
      <c r="AB497">
        <v>92.9</v>
      </c>
      <c r="AC497">
        <v>14.695057</v>
      </c>
      <c r="AD497">
        <v>107.837833</v>
      </c>
      <c r="AE497" s="5">
        <f t="shared" si="36"/>
        <v>1.4849999999999998E-3</v>
      </c>
      <c r="AF497" s="5">
        <f t="shared" si="37"/>
        <v>0.13935000000000003</v>
      </c>
      <c r="AG497" s="1" t="str">
        <f>TRIM(LEFT(L497,FIND("-",L497)-1))</f>
        <v>TTCMKV Đăk Tô</v>
      </c>
      <c r="AH497" s="1" t="str">
        <f>TRIM(RIGHT(L497, LEN(L497) - FIND("-", L497)))</f>
        <v>Kon Đào</v>
      </c>
      <c r="AJ497">
        <f t="shared" si="38"/>
        <v>9.8999999999999999E-4</v>
      </c>
      <c r="AK497">
        <f t="shared" si="39"/>
        <v>9.290000000000001E-2</v>
      </c>
      <c r="AL497">
        <f>VLOOKUP(L497,'[1]Tuyến cáp H04'!$B:$E,3,0)/1000</f>
        <v>4.9969999999999999</v>
      </c>
      <c r="AM497" t="str">
        <f>VLOOKUP(L497,'[1]Tuyến cáp H04'!$B:$E,4,0)</f>
        <v>Mạng cấp 4</v>
      </c>
    </row>
    <row r="498" spans="1:39" x14ac:dyDescent="0.25">
      <c r="A498" s="1" t="s">
        <v>4640</v>
      </c>
      <c r="B498" s="1" t="s">
        <v>4500</v>
      </c>
      <c r="C498" s="1" t="s">
        <v>4501</v>
      </c>
      <c r="D498" s="1" t="s">
        <v>4641</v>
      </c>
      <c r="E498" s="1" t="s">
        <v>4642</v>
      </c>
      <c r="F498" s="1" t="s">
        <v>4643</v>
      </c>
      <c r="G498" s="1" t="s">
        <v>14129</v>
      </c>
      <c r="H498" s="1" t="s">
        <v>14130</v>
      </c>
      <c r="I498" s="1" t="s">
        <v>14620</v>
      </c>
      <c r="J498" s="1" t="s">
        <v>23</v>
      </c>
      <c r="K498" s="1"/>
      <c r="L498" s="12" t="s">
        <v>4532</v>
      </c>
      <c r="M498" s="1" t="s">
        <v>4532</v>
      </c>
      <c r="N498" s="12" t="b">
        <f t="shared" si="35"/>
        <v>1</v>
      </c>
      <c r="O498" s="1" t="s">
        <v>4644</v>
      </c>
      <c r="P498" s="1" t="s">
        <v>707</v>
      </c>
      <c r="Q498" s="1" t="s">
        <v>4534</v>
      </c>
      <c r="R498" s="1" t="s">
        <v>4535</v>
      </c>
      <c r="S498" s="1" t="s">
        <v>4645</v>
      </c>
      <c r="T498" s="1" t="s">
        <v>4646</v>
      </c>
      <c r="U498" s="1" t="s">
        <v>4647</v>
      </c>
      <c r="V498" s="13">
        <f>COUNTIF(L498:$M$1659,L498)</f>
        <v>2</v>
      </c>
      <c r="W498" s="1" t="s">
        <v>4539</v>
      </c>
      <c r="X498">
        <v>55.91</v>
      </c>
      <c r="Y498">
        <v>15.81</v>
      </c>
      <c r="Z498">
        <v>14.724418999999999</v>
      </c>
      <c r="AA498">
        <v>107.68789200000001</v>
      </c>
      <c r="AB498">
        <v>40.1</v>
      </c>
      <c r="AC498">
        <v>14.687182</v>
      </c>
      <c r="AD498">
        <v>107.68757100000001</v>
      </c>
      <c r="AE498" s="5">
        <f t="shared" si="36"/>
        <v>2.3715E-2</v>
      </c>
      <c r="AF498" s="5">
        <f t="shared" si="37"/>
        <v>6.0150000000000009E-2</v>
      </c>
      <c r="AG498" s="1" t="str">
        <f>TRIM(LEFT(L498,FIND("-",L498)-1))</f>
        <v>TTCMKV Ngọc Hồi</v>
      </c>
      <c r="AH498" s="1" t="str">
        <f>TRIM(RIGHT(L498, LEN(L498) - FIND("-", L498)))</f>
        <v>Sa Loong</v>
      </c>
      <c r="AJ498">
        <f t="shared" si="38"/>
        <v>1.5810000000000001E-2</v>
      </c>
      <c r="AK498">
        <f t="shared" si="39"/>
        <v>4.0100000000000004E-2</v>
      </c>
      <c r="AL498">
        <f>VLOOKUP(L498,'[1]Tuyến cáp H04'!$B:$E,3,0)/1000</f>
        <v>16.399999999999999</v>
      </c>
      <c r="AM498" t="str">
        <f>VLOOKUP(L498,'[1]Tuyến cáp H04'!$B:$E,4,0)</f>
        <v>Mạng cấp 4</v>
      </c>
    </row>
    <row r="499" spans="1:39" x14ac:dyDescent="0.25">
      <c r="A499" s="1" t="s">
        <v>4648</v>
      </c>
      <c r="B499" s="1" t="s">
        <v>4649</v>
      </c>
      <c r="C499" s="1" t="s">
        <v>4650</v>
      </c>
      <c r="D499" s="1" t="s">
        <v>4500</v>
      </c>
      <c r="E499" s="1" t="s">
        <v>4501</v>
      </c>
      <c r="F499" s="1" t="s">
        <v>4651</v>
      </c>
      <c r="G499" s="1" t="s">
        <v>14129</v>
      </c>
      <c r="H499" s="1" t="s">
        <v>14130</v>
      </c>
      <c r="I499" s="1" t="s">
        <v>14621</v>
      </c>
      <c r="J499" s="1" t="s">
        <v>23</v>
      </c>
      <c r="K499" s="1"/>
      <c r="L499" s="12" t="s">
        <v>4652</v>
      </c>
      <c r="M499" s="1" t="s">
        <v>4652</v>
      </c>
      <c r="N499" s="12" t="b">
        <f t="shared" si="35"/>
        <v>1</v>
      </c>
      <c r="O499" s="1" t="s">
        <v>4653</v>
      </c>
      <c r="P499" s="1" t="s">
        <v>4654</v>
      </c>
      <c r="Q499" s="1" t="s">
        <v>4655</v>
      </c>
      <c r="R499" s="1" t="s">
        <v>4656</v>
      </c>
      <c r="S499" s="1" t="s">
        <v>4657</v>
      </c>
      <c r="T499" s="1" t="s">
        <v>4658</v>
      </c>
      <c r="U499" s="1" t="s">
        <v>4659</v>
      </c>
      <c r="V499" s="13">
        <f>COUNTIF(L499:$M$1659,L499)</f>
        <v>2</v>
      </c>
      <c r="W499" s="1" t="s">
        <v>4660</v>
      </c>
      <c r="X499">
        <v>191.92</v>
      </c>
      <c r="Y499">
        <v>110.28</v>
      </c>
      <c r="Z499">
        <v>14.493387999999999</v>
      </c>
      <c r="AA499">
        <v>107.92475899999999</v>
      </c>
      <c r="AB499">
        <v>81.64</v>
      </c>
      <c r="AC499">
        <v>14.724747000000001</v>
      </c>
      <c r="AD499">
        <v>107.688525</v>
      </c>
      <c r="AE499" s="5">
        <f t="shared" si="36"/>
        <v>0.16542000000000001</v>
      </c>
      <c r="AF499" s="5">
        <f t="shared" si="37"/>
        <v>0.12246000000000001</v>
      </c>
      <c r="AG499" s="1" t="str">
        <f>TRIM(LEFT(L499,FIND("-",L499)-1))</f>
        <v>Đak Hà</v>
      </c>
      <c r="AH499" s="1" t="str">
        <f>TRIM(RIGHT(L499, LEN(L499) - FIND("-", L499)))</f>
        <v>Ngọc Hồi</v>
      </c>
      <c r="AJ499">
        <f t="shared" si="38"/>
        <v>0.11028</v>
      </c>
      <c r="AK499">
        <f t="shared" si="39"/>
        <v>8.1640000000000004E-2</v>
      </c>
      <c r="AL499" t="e">
        <f>VLOOKUP(L499,'[1]Tuyến cáp H04'!$B:$E,3,0)/1000</f>
        <v>#N/A</v>
      </c>
      <c r="AM499" t="e">
        <f>VLOOKUP(L499,'[1]Tuyến cáp H04'!$B:$E,4,0)</f>
        <v>#N/A</v>
      </c>
    </row>
    <row r="500" spans="1:39" x14ac:dyDescent="0.25">
      <c r="A500" s="1" t="s">
        <v>4661</v>
      </c>
      <c r="B500" s="1" t="s">
        <v>4662</v>
      </c>
      <c r="C500" s="1" t="s">
        <v>4663</v>
      </c>
      <c r="D500" s="1" t="s">
        <v>4500</v>
      </c>
      <c r="E500" s="1" t="s">
        <v>4501</v>
      </c>
      <c r="F500" s="1" t="s">
        <v>4664</v>
      </c>
      <c r="G500" s="1" t="s">
        <v>14129</v>
      </c>
      <c r="H500" s="1" t="s">
        <v>14130</v>
      </c>
      <c r="I500" s="1" t="s">
        <v>14622</v>
      </c>
      <c r="J500" s="1" t="s">
        <v>23</v>
      </c>
      <c r="K500" s="1"/>
      <c r="L500" s="12" t="s">
        <v>4665</v>
      </c>
      <c r="M500" s="1" t="s">
        <v>4665</v>
      </c>
      <c r="N500" s="12" t="b">
        <f t="shared" si="35"/>
        <v>1</v>
      </c>
      <c r="O500" s="1" t="s">
        <v>4666</v>
      </c>
      <c r="P500" s="1" t="s">
        <v>4667</v>
      </c>
      <c r="Q500" s="1" t="s">
        <v>4668</v>
      </c>
      <c r="R500" s="1" t="s">
        <v>4669</v>
      </c>
      <c r="S500" s="1" t="s">
        <v>4670</v>
      </c>
      <c r="T500" s="1" t="s">
        <v>4671</v>
      </c>
      <c r="U500" s="1" t="s">
        <v>4672</v>
      </c>
      <c r="V500" s="13">
        <f>COUNTIF(L500:$M$1659,L500)</f>
        <v>6</v>
      </c>
      <c r="W500" s="1" t="s">
        <v>4673</v>
      </c>
      <c r="X500">
        <v>161.46</v>
      </c>
      <c r="Y500">
        <v>145.96</v>
      </c>
      <c r="Z500">
        <v>14.704893</v>
      </c>
      <c r="AA500">
        <v>107.69735900000001</v>
      </c>
      <c r="AB500">
        <v>15.5</v>
      </c>
      <c r="AC500">
        <v>14.724413999999999</v>
      </c>
      <c r="AD500">
        <v>107.68788000000001</v>
      </c>
      <c r="AE500" s="5">
        <f t="shared" si="36"/>
        <v>0.21894</v>
      </c>
      <c r="AF500" s="5">
        <f t="shared" si="37"/>
        <v>2.325E-2</v>
      </c>
      <c r="AG500" s="1" t="str">
        <f>TRIM(LEFT(L500,FIND("-",L500)-1))</f>
        <v>Pô Kô</v>
      </c>
      <c r="AH500" s="1" t="str">
        <f>TRIM(RIGHT(L500, LEN(L500) - FIND("-", L500)))</f>
        <v>TTCMKV Ngọc Hồi</v>
      </c>
      <c r="AJ500">
        <f t="shared" si="38"/>
        <v>0.14596000000000001</v>
      </c>
      <c r="AK500">
        <f t="shared" si="39"/>
        <v>1.55E-2</v>
      </c>
      <c r="AL500">
        <f>VLOOKUP(L500,'[1]Tuyến cáp H04'!$B:$E,3,0)/1000</f>
        <v>30.841999999999999</v>
      </c>
      <c r="AM500" t="str">
        <f>VLOOKUP(L500,'[1]Tuyến cáp H04'!$B:$E,4,0)</f>
        <v>Mạng cấp 4</v>
      </c>
    </row>
    <row r="501" spans="1:39" x14ac:dyDescent="0.25">
      <c r="A501" s="1" t="s">
        <v>4674</v>
      </c>
      <c r="B501" s="1" t="s">
        <v>4649</v>
      </c>
      <c r="C501" s="1" t="s">
        <v>4650</v>
      </c>
      <c r="D501" s="1" t="s">
        <v>4514</v>
      </c>
      <c r="E501" s="1" t="s">
        <v>4515</v>
      </c>
      <c r="F501" s="1" t="s">
        <v>4675</v>
      </c>
      <c r="G501" s="1" t="s">
        <v>14129</v>
      </c>
      <c r="H501" s="1" t="s">
        <v>14130</v>
      </c>
      <c r="I501" s="1" t="s">
        <v>14623</v>
      </c>
      <c r="J501" s="1" t="s">
        <v>23</v>
      </c>
      <c r="K501" s="1"/>
      <c r="L501" s="12" t="s">
        <v>283</v>
      </c>
      <c r="M501" s="1" t="s">
        <v>283</v>
      </c>
      <c r="N501" s="12" t="b">
        <f t="shared" si="35"/>
        <v>1</v>
      </c>
      <c r="O501" s="1" t="s">
        <v>4676</v>
      </c>
      <c r="P501" s="1" t="s">
        <v>4677</v>
      </c>
      <c r="Q501" s="1" t="s">
        <v>4678</v>
      </c>
      <c r="R501" s="1" t="s">
        <v>4679</v>
      </c>
      <c r="S501" s="1" t="s">
        <v>4680</v>
      </c>
      <c r="T501" s="1" t="s">
        <v>4681</v>
      </c>
      <c r="U501" s="1" t="s">
        <v>4682</v>
      </c>
      <c r="V501" s="13">
        <f>COUNTIF(L501:$M$1659,L501)</f>
        <v>16</v>
      </c>
      <c r="W501" s="1" t="s">
        <v>291</v>
      </c>
      <c r="X501">
        <v>4425.24</v>
      </c>
      <c r="Y501">
        <v>109.89</v>
      </c>
      <c r="Z501">
        <v>14.493391000000001</v>
      </c>
      <c r="AA501">
        <v>107.924763</v>
      </c>
      <c r="AB501">
        <v>4315.3500000000004</v>
      </c>
      <c r="AC501">
        <v>14.659758</v>
      </c>
      <c r="AD501">
        <v>107.83978500000001</v>
      </c>
      <c r="AE501" s="5">
        <f t="shared" si="36"/>
        <v>0.16483500000000001</v>
      </c>
      <c r="AF501" s="5">
        <f t="shared" si="37"/>
        <v>6.4730250000000007</v>
      </c>
      <c r="AG501" s="1" t="str">
        <f>TRIM(LEFT(L501,FIND("-",L501)-1))</f>
        <v>Đăk Tô</v>
      </c>
      <c r="AH501" s="1" t="str">
        <f>TRIM(RIGHT(L501, LEN(L501) - FIND("-", L501)))</f>
        <v>TT2 Kon Tum</v>
      </c>
      <c r="AJ501">
        <f t="shared" si="38"/>
        <v>0.10989</v>
      </c>
      <c r="AK501">
        <f t="shared" si="39"/>
        <v>4.3153500000000005</v>
      </c>
      <c r="AL501">
        <f>VLOOKUP(L501,'[1]Tuyến cáp H04'!$B:$E,3,0)/1000</f>
        <v>43.9602</v>
      </c>
      <c r="AM501" t="str">
        <f>VLOOKUP(L501,'[1]Tuyến cáp H04'!$B:$E,4,0)</f>
        <v>Mạng cấp 3</v>
      </c>
    </row>
    <row r="502" spans="1:39" x14ac:dyDescent="0.25">
      <c r="A502" s="1" t="s">
        <v>4683</v>
      </c>
      <c r="B502" s="1" t="s">
        <v>4684</v>
      </c>
      <c r="C502" s="1" t="s">
        <v>4685</v>
      </c>
      <c r="D502" s="1" t="s">
        <v>4500</v>
      </c>
      <c r="E502" s="1" t="s">
        <v>4501</v>
      </c>
      <c r="F502" s="1" t="s">
        <v>4686</v>
      </c>
      <c r="G502" s="1" t="s">
        <v>14129</v>
      </c>
      <c r="H502" s="1" t="s">
        <v>14130</v>
      </c>
      <c r="I502" s="1" t="s">
        <v>14624</v>
      </c>
      <c r="J502" s="1" t="s">
        <v>23</v>
      </c>
      <c r="K502" s="1"/>
      <c r="L502" s="12" t="s">
        <v>4687</v>
      </c>
      <c r="M502" s="1" t="s">
        <v>4687</v>
      </c>
      <c r="N502" s="12" t="b">
        <f t="shared" si="35"/>
        <v>1</v>
      </c>
      <c r="O502" s="1" t="s">
        <v>4688</v>
      </c>
      <c r="P502" s="1" t="s">
        <v>4689</v>
      </c>
      <c r="Q502" s="1" t="s">
        <v>4690</v>
      </c>
      <c r="R502" s="1" t="s">
        <v>4691</v>
      </c>
      <c r="S502" s="1" t="s">
        <v>4692</v>
      </c>
      <c r="T502" s="1" t="s">
        <v>4693</v>
      </c>
      <c r="U502" s="1" t="s">
        <v>4694</v>
      </c>
      <c r="V502" s="13">
        <f>COUNTIF(L502:$M$1659,L502)</f>
        <v>2</v>
      </c>
      <c r="W502" s="1" t="s">
        <v>4695</v>
      </c>
      <c r="X502">
        <v>131.09</v>
      </c>
      <c r="Y502">
        <v>114.38</v>
      </c>
      <c r="Z502">
        <v>14.732032</v>
      </c>
      <c r="AA502">
        <v>107.691819</v>
      </c>
      <c r="AB502">
        <v>16.71</v>
      </c>
      <c r="AC502">
        <v>14.724416</v>
      </c>
      <c r="AD502">
        <v>107.687901</v>
      </c>
      <c r="AE502" s="5">
        <f t="shared" si="36"/>
        <v>0.17157</v>
      </c>
      <c r="AF502" s="5">
        <f t="shared" si="37"/>
        <v>2.5065E-2</v>
      </c>
      <c r="AG502" s="1" t="str">
        <f>TRIM(LEFT(L502,FIND("-",L502)-1))</f>
        <v>Bờ Y</v>
      </c>
      <c r="AH502" s="1" t="str">
        <f>TRIM(RIGHT(L502, LEN(L502) - FIND("-", L502)))</f>
        <v>Đăk Môn</v>
      </c>
      <c r="AJ502">
        <f t="shared" si="38"/>
        <v>0.11438</v>
      </c>
      <c r="AK502">
        <f t="shared" si="39"/>
        <v>1.6709999999999999E-2</v>
      </c>
      <c r="AL502">
        <f>VLOOKUP(L502,'[1]Tuyến cáp H04'!$B:$E,3,0)/1000</f>
        <v>21.48</v>
      </c>
      <c r="AM502" t="str">
        <f>VLOOKUP(L502,'[1]Tuyến cáp H04'!$B:$E,4,0)</f>
        <v>Mạng cấp 4</v>
      </c>
    </row>
    <row r="503" spans="1:39" x14ac:dyDescent="0.25">
      <c r="A503" s="1" t="s">
        <v>4696</v>
      </c>
      <c r="B503" s="1" t="s">
        <v>4697</v>
      </c>
      <c r="C503" s="1" t="s">
        <v>4698</v>
      </c>
      <c r="D503" s="1" t="s">
        <v>4500</v>
      </c>
      <c r="E503" s="1" t="s">
        <v>4501</v>
      </c>
      <c r="F503" s="1" t="s">
        <v>4699</v>
      </c>
      <c r="G503" s="1" t="s">
        <v>14129</v>
      </c>
      <c r="H503" s="1" t="s">
        <v>14130</v>
      </c>
      <c r="I503" s="1" t="s">
        <v>14625</v>
      </c>
      <c r="J503" s="1" t="s">
        <v>23</v>
      </c>
      <c r="K503" s="1"/>
      <c r="L503" s="12" t="s">
        <v>4665</v>
      </c>
      <c r="M503" s="1" t="s">
        <v>4665</v>
      </c>
      <c r="N503" s="12" t="b">
        <f t="shared" si="35"/>
        <v>1</v>
      </c>
      <c r="O503" s="1" t="s">
        <v>4700</v>
      </c>
      <c r="P503" s="1" t="s">
        <v>4701</v>
      </c>
      <c r="Q503" s="1" t="s">
        <v>4702</v>
      </c>
      <c r="R503" s="1" t="s">
        <v>4703</v>
      </c>
      <c r="S503" s="1" t="s">
        <v>4670</v>
      </c>
      <c r="T503" s="1" t="s">
        <v>4671</v>
      </c>
      <c r="U503" s="1" t="s">
        <v>4672</v>
      </c>
      <c r="V503" s="13">
        <f>COUNTIF(L503:$M$1659,L503)</f>
        <v>4</v>
      </c>
      <c r="W503" s="1" t="s">
        <v>4673</v>
      </c>
      <c r="X503">
        <v>135.58000000000001</v>
      </c>
      <c r="Y503">
        <v>120.08</v>
      </c>
      <c r="Z503">
        <v>14.688022</v>
      </c>
      <c r="AA503">
        <v>107.717382</v>
      </c>
      <c r="AB503">
        <v>15.5</v>
      </c>
      <c r="AC503">
        <v>14.724413999999999</v>
      </c>
      <c r="AD503">
        <v>107.68788000000001</v>
      </c>
      <c r="AE503" s="5">
        <f t="shared" si="36"/>
        <v>0.18012</v>
      </c>
      <c r="AF503" s="5">
        <f t="shared" si="37"/>
        <v>2.325E-2</v>
      </c>
      <c r="AG503" s="1" t="str">
        <f>TRIM(LEFT(L503,FIND("-",L503)-1))</f>
        <v>Pô Kô</v>
      </c>
      <c r="AH503" s="1" t="str">
        <f>TRIM(RIGHT(L503, LEN(L503) - FIND("-", L503)))</f>
        <v>TTCMKV Ngọc Hồi</v>
      </c>
      <c r="AJ503">
        <f t="shared" si="38"/>
        <v>0.12007999999999999</v>
      </c>
      <c r="AK503">
        <f t="shared" si="39"/>
        <v>1.55E-2</v>
      </c>
      <c r="AL503">
        <f>VLOOKUP(L503,'[1]Tuyến cáp H04'!$B:$E,3,0)/1000</f>
        <v>30.841999999999999</v>
      </c>
      <c r="AM503" t="str">
        <f>VLOOKUP(L503,'[1]Tuyến cáp H04'!$B:$E,4,0)</f>
        <v>Mạng cấp 4</v>
      </c>
    </row>
    <row r="504" spans="1:39" x14ac:dyDescent="0.25">
      <c r="A504" s="1" t="s">
        <v>4704</v>
      </c>
      <c r="B504" s="1" t="s">
        <v>4705</v>
      </c>
      <c r="C504" s="1" t="s">
        <v>4706</v>
      </c>
      <c r="D504" s="1" t="s">
        <v>4707</v>
      </c>
      <c r="E504" s="1" t="s">
        <v>4708</v>
      </c>
      <c r="F504" s="1" t="s">
        <v>4709</v>
      </c>
      <c r="G504" s="1" t="s">
        <v>14129</v>
      </c>
      <c r="H504" s="1" t="s">
        <v>14130</v>
      </c>
      <c r="I504" s="1" t="s">
        <v>14626</v>
      </c>
      <c r="J504" s="1" t="s">
        <v>23</v>
      </c>
      <c r="K504" s="1"/>
      <c r="L504" s="12" t="s">
        <v>4710</v>
      </c>
      <c r="M504" s="1" t="s">
        <v>4710</v>
      </c>
      <c r="N504" s="12" t="b">
        <f t="shared" si="35"/>
        <v>1</v>
      </c>
      <c r="O504" s="1" t="s">
        <v>4711</v>
      </c>
      <c r="P504" s="1" t="s">
        <v>4712</v>
      </c>
      <c r="Q504" s="1" t="s">
        <v>4713</v>
      </c>
      <c r="R504" s="1" t="s">
        <v>4714</v>
      </c>
      <c r="S504" s="1" t="s">
        <v>4715</v>
      </c>
      <c r="T504" s="1" t="s">
        <v>4716</v>
      </c>
      <c r="U504" s="1" t="s">
        <v>4717</v>
      </c>
      <c r="V504" s="13">
        <f>COUNTIF(L504:$M$1659,L504)</f>
        <v>14</v>
      </c>
      <c r="W504" s="1" t="s">
        <v>4718</v>
      </c>
      <c r="X504">
        <v>87.67</v>
      </c>
      <c r="Y504">
        <v>55.13</v>
      </c>
      <c r="Z504">
        <v>14.302493</v>
      </c>
      <c r="AA504">
        <v>107.993155</v>
      </c>
      <c r="AB504">
        <v>32.54</v>
      </c>
      <c r="AC504">
        <v>14.30256</v>
      </c>
      <c r="AD504">
        <v>107.99348999999999</v>
      </c>
      <c r="AE504" s="5">
        <f t="shared" si="36"/>
        <v>8.2695000000000005E-2</v>
      </c>
      <c r="AF504" s="5">
        <f t="shared" si="37"/>
        <v>4.8809999999999999E-2</v>
      </c>
      <c r="AG504" s="1" t="str">
        <f>TRIM(LEFT(L504,FIND("-",L504)-1))</f>
        <v>CAT Kon TUm</v>
      </c>
      <c r="AH504" s="1" t="str">
        <f>TRIM(RIGHT(L504, LEN(L504) - FIND("-", L504)))</f>
        <v>Đăk Bla</v>
      </c>
      <c r="AJ504">
        <f t="shared" si="38"/>
        <v>5.5130000000000005E-2</v>
      </c>
      <c r="AK504">
        <f t="shared" si="39"/>
        <v>3.2539999999999999E-2</v>
      </c>
      <c r="AL504">
        <f>VLOOKUP(L504,'[1]Tuyến cáp H04'!$B:$E,3,0)/1000</f>
        <v>9.5890000000000004</v>
      </c>
      <c r="AM504" t="str">
        <f>VLOOKUP(L504,'[1]Tuyến cáp H04'!$B:$E,4,0)</f>
        <v>Mạng cấp 4</v>
      </c>
    </row>
    <row r="505" spans="1:39" x14ac:dyDescent="0.25">
      <c r="A505" s="1" t="s">
        <v>4719</v>
      </c>
      <c r="B505" s="1" t="s">
        <v>4720</v>
      </c>
      <c r="C505" s="1" t="s">
        <v>4721</v>
      </c>
      <c r="D505" s="1" t="s">
        <v>4707</v>
      </c>
      <c r="E505" s="1" t="s">
        <v>4708</v>
      </c>
      <c r="F505" s="1" t="s">
        <v>4722</v>
      </c>
      <c r="G505" s="1" t="s">
        <v>14129</v>
      </c>
      <c r="H505" s="1" t="s">
        <v>14130</v>
      </c>
      <c r="I505" s="1" t="s">
        <v>14627</v>
      </c>
      <c r="J505" s="1" t="s">
        <v>23</v>
      </c>
      <c r="K505" s="1"/>
      <c r="L505" s="12" t="s">
        <v>4710</v>
      </c>
      <c r="M505" s="1" t="s">
        <v>4710</v>
      </c>
      <c r="N505" s="12" t="b">
        <f t="shared" si="35"/>
        <v>1</v>
      </c>
      <c r="O505" s="1" t="s">
        <v>4723</v>
      </c>
      <c r="P505" s="1" t="s">
        <v>4724</v>
      </c>
      <c r="Q505" s="1" t="s">
        <v>4725</v>
      </c>
      <c r="R505" s="1" t="s">
        <v>4726</v>
      </c>
      <c r="S505" s="1" t="s">
        <v>4715</v>
      </c>
      <c r="T505" s="1" t="s">
        <v>4716</v>
      </c>
      <c r="U505" s="1" t="s">
        <v>4717</v>
      </c>
      <c r="V505" s="13">
        <f>COUNTIF(L505:$M$1659,L505)</f>
        <v>12</v>
      </c>
      <c r="W505" s="1" t="s">
        <v>4718</v>
      </c>
      <c r="X505">
        <v>178.46</v>
      </c>
      <c r="Y505">
        <v>145.91999999999999</v>
      </c>
      <c r="Z505">
        <v>14.319241999999999</v>
      </c>
      <c r="AA505">
        <v>107.987888</v>
      </c>
      <c r="AB505">
        <v>32.54</v>
      </c>
      <c r="AC505">
        <v>14.30256</v>
      </c>
      <c r="AD505">
        <v>107.99348999999999</v>
      </c>
      <c r="AE505" s="5">
        <f t="shared" si="36"/>
        <v>0.21887999999999999</v>
      </c>
      <c r="AF505" s="5">
        <f t="shared" si="37"/>
        <v>4.8809999999999999E-2</v>
      </c>
      <c r="AG505" s="1" t="str">
        <f>TRIM(LEFT(L505,FIND("-",L505)-1))</f>
        <v>CAT Kon TUm</v>
      </c>
      <c r="AH505" s="1" t="str">
        <f>TRIM(RIGHT(L505, LEN(L505) - FIND("-", L505)))</f>
        <v>Đăk Bla</v>
      </c>
      <c r="AJ505">
        <f t="shared" si="38"/>
        <v>0.14591999999999999</v>
      </c>
      <c r="AK505">
        <f t="shared" si="39"/>
        <v>3.2539999999999999E-2</v>
      </c>
      <c r="AL505">
        <f>VLOOKUP(L505,'[1]Tuyến cáp H04'!$B:$E,3,0)/1000</f>
        <v>9.5890000000000004</v>
      </c>
      <c r="AM505" t="str">
        <f>VLOOKUP(L505,'[1]Tuyến cáp H04'!$B:$E,4,0)</f>
        <v>Mạng cấp 4</v>
      </c>
    </row>
    <row r="506" spans="1:39" x14ac:dyDescent="0.25">
      <c r="A506" s="1" t="s">
        <v>4727</v>
      </c>
      <c r="B506" s="1" t="s">
        <v>4728</v>
      </c>
      <c r="C506" s="1" t="s">
        <v>4729</v>
      </c>
      <c r="D506" s="1" t="s">
        <v>278</v>
      </c>
      <c r="E506" s="1" t="s">
        <v>279</v>
      </c>
      <c r="F506" s="1" t="s">
        <v>4730</v>
      </c>
      <c r="G506" s="1" t="s">
        <v>14129</v>
      </c>
      <c r="H506" s="1" t="s">
        <v>14130</v>
      </c>
      <c r="I506" s="1" t="s">
        <v>14628</v>
      </c>
      <c r="J506" s="1" t="s">
        <v>23</v>
      </c>
      <c r="K506" s="1"/>
      <c r="L506" s="12" t="s">
        <v>283</v>
      </c>
      <c r="M506" s="1" t="s">
        <v>15697</v>
      </c>
      <c r="N506" s="12" t="b">
        <f t="shared" si="35"/>
        <v>0</v>
      </c>
      <c r="O506" s="1" t="s">
        <v>4731</v>
      </c>
      <c r="P506" s="1" t="s">
        <v>4732</v>
      </c>
      <c r="Q506" s="1" t="s">
        <v>4733</v>
      </c>
      <c r="R506" s="1" t="s">
        <v>4734</v>
      </c>
      <c r="S506" s="1" t="s">
        <v>285</v>
      </c>
      <c r="T506" s="1" t="s">
        <v>286</v>
      </c>
      <c r="U506" s="1" t="s">
        <v>287</v>
      </c>
      <c r="V506" s="13">
        <f>COUNTIF(L506:$M$1659,L506)</f>
        <v>14</v>
      </c>
      <c r="W506" s="1" t="s">
        <v>291</v>
      </c>
      <c r="X506">
        <v>252756.48000000001</v>
      </c>
      <c r="Y506">
        <v>172.28</v>
      </c>
      <c r="Z506">
        <v>14.367519</v>
      </c>
      <c r="AA506">
        <v>107.994969</v>
      </c>
      <c r="AB506">
        <v>252584.19</v>
      </c>
      <c r="AC506">
        <v>14.659686000000001</v>
      </c>
      <c r="AD506">
        <v>107.839439</v>
      </c>
      <c r="AE506" s="5">
        <f t="shared" si="36"/>
        <v>0.25842000000000004</v>
      </c>
      <c r="AF506" s="5">
        <f t="shared" si="37"/>
        <v>378.87628500000005</v>
      </c>
      <c r="AG506" s="1" t="str">
        <f>TRIM(LEFT(L506,FIND("-",L506)-1))</f>
        <v>Đăk Tô</v>
      </c>
      <c r="AH506" s="1" t="str">
        <f>TRIM(RIGHT(L506, LEN(L506) - FIND("-", L506)))</f>
        <v>TT2 Kon Tum</v>
      </c>
      <c r="AJ506">
        <f t="shared" si="38"/>
        <v>0.17227999999999999</v>
      </c>
      <c r="AK506">
        <f t="shared" si="39"/>
        <v>252.58419000000001</v>
      </c>
      <c r="AL506">
        <f>VLOOKUP(L506,'[1]Tuyến cáp H04'!$B:$E,3,0)/1000</f>
        <v>43.9602</v>
      </c>
      <c r="AM506" t="str">
        <f>VLOOKUP(L506,'[1]Tuyến cáp H04'!$B:$E,4,0)</f>
        <v>Mạng cấp 3</v>
      </c>
    </row>
    <row r="507" spans="1:39" x14ac:dyDescent="0.25">
      <c r="A507" s="1" t="s">
        <v>4735</v>
      </c>
      <c r="B507" s="1" t="s">
        <v>4736</v>
      </c>
      <c r="C507" s="1" t="s">
        <v>4737</v>
      </c>
      <c r="D507" s="1" t="s">
        <v>4738</v>
      </c>
      <c r="E507" s="1" t="s">
        <v>4739</v>
      </c>
      <c r="F507" s="1" t="s">
        <v>4740</v>
      </c>
      <c r="G507" s="1" t="s">
        <v>14129</v>
      </c>
      <c r="H507" s="1" t="s">
        <v>14130</v>
      </c>
      <c r="I507" s="1" t="s">
        <v>14629</v>
      </c>
      <c r="J507" s="1" t="s">
        <v>23</v>
      </c>
      <c r="K507" s="1"/>
      <c r="L507" s="12" t="s">
        <v>283</v>
      </c>
      <c r="M507" s="1" t="s">
        <v>15698</v>
      </c>
      <c r="N507" s="12" t="b">
        <f t="shared" si="35"/>
        <v>0</v>
      </c>
      <c r="O507" s="1" t="s">
        <v>4741</v>
      </c>
      <c r="P507" s="1" t="s">
        <v>4742</v>
      </c>
      <c r="Q507" s="1" t="s">
        <v>4743</v>
      </c>
      <c r="R507" s="1" t="s">
        <v>4744</v>
      </c>
      <c r="S507" s="1" t="s">
        <v>4745</v>
      </c>
      <c r="T507" s="1" t="s">
        <v>4681</v>
      </c>
      <c r="U507" s="1" t="s">
        <v>4682</v>
      </c>
      <c r="V507" s="13">
        <f>COUNTIF(L507:$M$1659,L507)</f>
        <v>13</v>
      </c>
      <c r="W507" s="1" t="s">
        <v>291</v>
      </c>
      <c r="X507">
        <v>156046.13</v>
      </c>
      <c r="Y507">
        <v>796.64</v>
      </c>
      <c r="Z507">
        <v>14.363782</v>
      </c>
      <c r="AA507">
        <v>107.999065</v>
      </c>
      <c r="AB507">
        <v>155249.48000000001</v>
      </c>
      <c r="AC507">
        <v>14.659758</v>
      </c>
      <c r="AD507">
        <v>107.83978500000001</v>
      </c>
      <c r="AE507" s="5">
        <f t="shared" si="36"/>
        <v>1.19496</v>
      </c>
      <c r="AF507" s="5">
        <f t="shared" si="37"/>
        <v>232.87422000000004</v>
      </c>
      <c r="AG507" s="1" t="str">
        <f>TRIM(LEFT(L507,FIND("-",L507)-1))</f>
        <v>Đăk Tô</v>
      </c>
      <c r="AH507" s="1" t="str">
        <f>TRIM(RIGHT(L507, LEN(L507) - FIND("-", L507)))</f>
        <v>TT2 Kon Tum</v>
      </c>
      <c r="AJ507">
        <f t="shared" si="38"/>
        <v>0.79664000000000001</v>
      </c>
      <c r="AK507">
        <f t="shared" si="39"/>
        <v>155.24948000000001</v>
      </c>
      <c r="AL507">
        <f>VLOOKUP(L507,'[1]Tuyến cáp H04'!$B:$E,3,0)/1000</f>
        <v>43.9602</v>
      </c>
      <c r="AM507" t="str">
        <f>VLOOKUP(L507,'[1]Tuyến cáp H04'!$B:$E,4,0)</f>
        <v>Mạng cấp 3</v>
      </c>
    </row>
    <row r="508" spans="1:39" x14ac:dyDescent="0.25">
      <c r="A508" s="1" t="s">
        <v>4746</v>
      </c>
      <c r="B508" s="1" t="s">
        <v>4747</v>
      </c>
      <c r="C508" s="1" t="s">
        <v>4748</v>
      </c>
      <c r="D508" s="1" t="s">
        <v>4749</v>
      </c>
      <c r="E508" s="1" t="s">
        <v>4750</v>
      </c>
      <c r="F508" s="1" t="s">
        <v>4751</v>
      </c>
      <c r="G508" s="1" t="s">
        <v>14129</v>
      </c>
      <c r="H508" s="1" t="s">
        <v>14130</v>
      </c>
      <c r="I508" s="1" t="s">
        <v>14630</v>
      </c>
      <c r="J508" s="1" t="s">
        <v>23</v>
      </c>
      <c r="K508" s="1"/>
      <c r="L508" s="12" t="s">
        <v>4752</v>
      </c>
      <c r="M508" s="1" t="s">
        <v>4752</v>
      </c>
      <c r="N508" s="12" t="b">
        <f t="shared" si="35"/>
        <v>1</v>
      </c>
      <c r="O508" s="1" t="s">
        <v>4753</v>
      </c>
      <c r="P508" s="1" t="s">
        <v>4754</v>
      </c>
      <c r="Q508" s="1" t="s">
        <v>4755</v>
      </c>
      <c r="R508" s="1" t="s">
        <v>4756</v>
      </c>
      <c r="S508" s="1" t="s">
        <v>4757</v>
      </c>
      <c r="T508" s="1" t="s">
        <v>4758</v>
      </c>
      <c r="U508" s="1" t="s">
        <v>4759</v>
      </c>
      <c r="V508" s="13">
        <f>COUNTIF(L508:$M$1659,L508)</f>
        <v>7</v>
      </c>
      <c r="W508" s="1" t="s">
        <v>4760</v>
      </c>
      <c r="X508">
        <v>331.13</v>
      </c>
      <c r="Y508">
        <v>290.43</v>
      </c>
      <c r="Z508">
        <v>14.381186</v>
      </c>
      <c r="AA508">
        <v>108.029183</v>
      </c>
      <c r="AB508">
        <v>40.700000000000003</v>
      </c>
      <c r="AC508">
        <v>14.377231999999999</v>
      </c>
      <c r="AD508">
        <v>108.02014</v>
      </c>
      <c r="AE508" s="5">
        <f t="shared" si="36"/>
        <v>0.435645</v>
      </c>
      <c r="AF508" s="5">
        <f t="shared" si="37"/>
        <v>6.1050000000000007E-2</v>
      </c>
      <c r="AG508" s="1" t="str">
        <f>TRIM(LEFT(L508,FIND("-",L508)-1))</f>
        <v>Ia chim</v>
      </c>
      <c r="AH508" s="1" t="str">
        <f>TRIM(RIGHT(L508, LEN(L508) - FIND("-", L508)))</f>
        <v>Đăk Rơ Wa</v>
      </c>
      <c r="AJ508">
        <f t="shared" si="38"/>
        <v>0.29043000000000002</v>
      </c>
      <c r="AK508">
        <f t="shared" si="39"/>
        <v>4.07E-2</v>
      </c>
      <c r="AL508">
        <f>VLOOKUP(L508,'[1]Tuyến cáp H04'!$B:$E,3,0)/1000</f>
        <v>17.221</v>
      </c>
      <c r="AM508" t="str">
        <f>VLOOKUP(L508,'[1]Tuyến cáp H04'!$B:$E,4,0)</f>
        <v>Mạng cấp 4</v>
      </c>
    </row>
    <row r="509" spans="1:39" x14ac:dyDescent="0.25">
      <c r="A509" s="1" t="s">
        <v>4761</v>
      </c>
      <c r="B509" s="1" t="s">
        <v>4556</v>
      </c>
      <c r="C509" s="1" t="s">
        <v>4557</v>
      </c>
      <c r="D509" s="1" t="s">
        <v>4569</v>
      </c>
      <c r="E509" s="1" t="s">
        <v>4570</v>
      </c>
      <c r="F509" s="1" t="s">
        <v>4762</v>
      </c>
      <c r="G509" s="1" t="s">
        <v>14129</v>
      </c>
      <c r="H509" s="1" t="s">
        <v>14130</v>
      </c>
      <c r="I509" s="1" t="s">
        <v>14631</v>
      </c>
      <c r="J509" s="1" t="s">
        <v>23</v>
      </c>
      <c r="K509" s="1"/>
      <c r="L509" s="12" t="s">
        <v>4763</v>
      </c>
      <c r="M509" s="1" t="s">
        <v>4763</v>
      </c>
      <c r="N509" s="12" t="b">
        <f t="shared" si="35"/>
        <v>1</v>
      </c>
      <c r="O509" s="1" t="s">
        <v>4764</v>
      </c>
      <c r="P509" s="1" t="s">
        <v>4765</v>
      </c>
      <c r="Q509" s="1" t="s">
        <v>4766</v>
      </c>
      <c r="R509" s="1" t="s">
        <v>4767</v>
      </c>
      <c r="S509" s="1" t="s">
        <v>4768</v>
      </c>
      <c r="T509" s="1" t="s">
        <v>4769</v>
      </c>
      <c r="U509" s="1" t="s">
        <v>4770</v>
      </c>
      <c r="V509" s="13">
        <f>COUNTIF(L509:$M$1659,L509)</f>
        <v>2</v>
      </c>
      <c r="W509" s="1" t="s">
        <v>4771</v>
      </c>
      <c r="X509">
        <v>1111.72</v>
      </c>
      <c r="Y509">
        <v>1055.28</v>
      </c>
      <c r="Z509">
        <v>14.519339</v>
      </c>
      <c r="AA509">
        <v>107.936525</v>
      </c>
      <c r="AB509">
        <v>56.44</v>
      </c>
      <c r="AC509">
        <v>14.530480000000001</v>
      </c>
      <c r="AD509">
        <v>107.940293</v>
      </c>
      <c r="AE509" s="5">
        <f t="shared" si="36"/>
        <v>1.5829200000000001</v>
      </c>
      <c r="AF509" s="5">
        <f t="shared" si="37"/>
        <v>8.4659999999999999E-2</v>
      </c>
      <c r="AG509" s="1" t="str">
        <f>TRIM(LEFT(L509,FIND("-",L509)-1))</f>
        <v>Đăk Hà</v>
      </c>
      <c r="AH509" s="1" t="str">
        <f>TRIM(RIGHT(L509, LEN(L509) - FIND("-", L509)))</f>
        <v>Đăk Ui</v>
      </c>
      <c r="AJ509">
        <f t="shared" si="38"/>
        <v>1.05528</v>
      </c>
      <c r="AK509">
        <f t="shared" si="39"/>
        <v>5.6439999999999997E-2</v>
      </c>
      <c r="AL509">
        <f>VLOOKUP(L509,'[1]Tuyến cáp H04'!$B:$E,3,0)/1000</f>
        <v>5.8010000000000002</v>
      </c>
      <c r="AM509" t="str">
        <f>VLOOKUP(L509,'[1]Tuyến cáp H04'!$B:$E,4,0)</f>
        <v>Mạng cấp 4</v>
      </c>
    </row>
    <row r="510" spans="1:39" x14ac:dyDescent="0.25">
      <c r="A510" s="1" t="s">
        <v>4568</v>
      </c>
      <c r="B510" s="1" t="s">
        <v>4569</v>
      </c>
      <c r="C510" s="1" t="s">
        <v>4570</v>
      </c>
      <c r="D510" s="1" t="s">
        <v>4571</v>
      </c>
      <c r="E510" s="1" t="s">
        <v>4572</v>
      </c>
      <c r="F510" s="1" t="s">
        <v>4573</v>
      </c>
      <c r="G510" s="1" t="s">
        <v>14129</v>
      </c>
      <c r="H510" s="1" t="s">
        <v>14130</v>
      </c>
      <c r="I510" s="1" t="s">
        <v>14614</v>
      </c>
      <c r="J510" s="1" t="s">
        <v>23</v>
      </c>
      <c r="K510" s="1"/>
      <c r="L510" s="12" t="s">
        <v>4574</v>
      </c>
      <c r="M510" s="1" t="s">
        <v>4574</v>
      </c>
      <c r="N510" s="12" t="b">
        <f t="shared" si="35"/>
        <v>1</v>
      </c>
      <c r="O510" s="1" t="s">
        <v>4575</v>
      </c>
      <c r="P510" s="1" t="s">
        <v>4576</v>
      </c>
      <c r="Q510" s="1" t="s">
        <v>4577</v>
      </c>
      <c r="R510" s="1" t="s">
        <v>4578</v>
      </c>
      <c r="S510" s="1" t="s">
        <v>4579</v>
      </c>
      <c r="T510" s="1" t="s">
        <v>4580</v>
      </c>
      <c r="U510" s="1" t="s">
        <v>4581</v>
      </c>
      <c r="V510" s="13">
        <f>COUNTIF(L510:$M$1659,L510)</f>
        <v>6</v>
      </c>
      <c r="W510" s="1" t="s">
        <v>4582</v>
      </c>
      <c r="X510">
        <v>141.22</v>
      </c>
      <c r="Y510">
        <v>50.16</v>
      </c>
      <c r="Z510">
        <v>14.53088</v>
      </c>
      <c r="AA510">
        <v>107.94065399999999</v>
      </c>
      <c r="AB510">
        <v>91.06</v>
      </c>
      <c r="AC510">
        <v>14.545249999999999</v>
      </c>
      <c r="AD510">
        <v>107.920755</v>
      </c>
      <c r="AE510" s="5">
        <f t="shared" si="36"/>
        <v>7.5240000000000001E-2</v>
      </c>
      <c r="AF510" s="5">
        <f t="shared" si="37"/>
        <v>0.13659000000000002</v>
      </c>
      <c r="AG510" s="1" t="str">
        <f>TRIM(LEFT(L510,FIND("-",L510)-1))</f>
        <v>Đăk Ui</v>
      </c>
      <c r="AH510" s="1" t="str">
        <f>TRIM(RIGHT(L510, LEN(L510) - FIND("-", L510)))</f>
        <v>Đăk Mar</v>
      </c>
      <c r="AJ510">
        <f t="shared" si="38"/>
        <v>5.0159999999999996E-2</v>
      </c>
      <c r="AK510">
        <f t="shared" si="39"/>
        <v>9.1060000000000002E-2</v>
      </c>
      <c r="AL510">
        <f>VLOOKUP(L510,'[1]Tuyến cáp H04'!$B:$E,3,0)/1000</f>
        <v>4.383</v>
      </c>
      <c r="AM510" t="str">
        <f>VLOOKUP(L510,'[1]Tuyến cáp H04'!$B:$E,4,0)</f>
        <v>Mạng cấp 4</v>
      </c>
    </row>
    <row r="511" spans="1:39" x14ac:dyDescent="0.25">
      <c r="A511" s="1" t="s">
        <v>4772</v>
      </c>
      <c r="B511" s="1" t="s">
        <v>4584</v>
      </c>
      <c r="C511" s="1" t="s">
        <v>4585</v>
      </c>
      <c r="D511" s="1" t="s">
        <v>4595</v>
      </c>
      <c r="E511" s="1" t="s">
        <v>4596</v>
      </c>
      <c r="F511" s="1" t="s">
        <v>4773</v>
      </c>
      <c r="G511" s="1" t="s">
        <v>14129</v>
      </c>
      <c r="H511" s="1" t="s">
        <v>14130</v>
      </c>
      <c r="I511" s="1" t="s">
        <v>14632</v>
      </c>
      <c r="J511" s="1" t="s">
        <v>23</v>
      </c>
      <c r="K511" s="1"/>
      <c r="L511" s="12" t="s">
        <v>283</v>
      </c>
      <c r="M511" s="1" t="s">
        <v>283</v>
      </c>
      <c r="N511" s="12" t="b">
        <f t="shared" si="35"/>
        <v>1</v>
      </c>
      <c r="O511" s="1" t="s">
        <v>4774</v>
      </c>
      <c r="P511" s="1" t="s">
        <v>4591</v>
      </c>
      <c r="Q511" s="1" t="s">
        <v>4592</v>
      </c>
      <c r="R511" s="1" t="s">
        <v>4593</v>
      </c>
      <c r="S511" s="1" t="s">
        <v>4775</v>
      </c>
      <c r="T511" s="1" t="s">
        <v>4776</v>
      </c>
      <c r="U511" s="1" t="s">
        <v>4777</v>
      </c>
      <c r="V511" s="13">
        <f>COUNTIF(L511:$M$1659,L511)</f>
        <v>12</v>
      </c>
      <c r="W511" s="1" t="s">
        <v>291</v>
      </c>
      <c r="X511">
        <v>500.13</v>
      </c>
      <c r="Y511">
        <v>419.54</v>
      </c>
      <c r="Z511">
        <v>14.521151</v>
      </c>
      <c r="AA511">
        <v>107.918747</v>
      </c>
      <c r="AB511">
        <v>80.59</v>
      </c>
      <c r="AC511">
        <v>14.491771</v>
      </c>
      <c r="AD511">
        <v>107.925631</v>
      </c>
      <c r="AE511" s="5">
        <f t="shared" si="36"/>
        <v>0.62931000000000004</v>
      </c>
      <c r="AF511" s="5">
        <f t="shared" si="37"/>
        <v>0.12088500000000001</v>
      </c>
      <c r="AG511" s="1" t="str">
        <f>TRIM(LEFT(L511,FIND("-",L511)-1))</f>
        <v>Đăk Tô</v>
      </c>
      <c r="AH511" s="1" t="str">
        <f>TRIM(RIGHT(L511, LEN(L511) - FIND("-", L511)))</f>
        <v>TT2 Kon Tum</v>
      </c>
      <c r="AJ511">
        <f t="shared" si="38"/>
        <v>0.41954000000000002</v>
      </c>
      <c r="AK511">
        <f t="shared" si="39"/>
        <v>8.0590000000000009E-2</v>
      </c>
      <c r="AL511">
        <f>VLOOKUP(L511,'[1]Tuyến cáp H04'!$B:$E,3,0)/1000</f>
        <v>43.9602</v>
      </c>
      <c r="AM511" t="str">
        <f>VLOOKUP(L511,'[1]Tuyến cáp H04'!$B:$E,4,0)</f>
        <v>Mạng cấp 3</v>
      </c>
    </row>
    <row r="512" spans="1:39" x14ac:dyDescent="0.25">
      <c r="A512" s="1" t="s">
        <v>4609</v>
      </c>
      <c r="B512" s="1" t="s">
        <v>4595</v>
      </c>
      <c r="C512" s="1" t="s">
        <v>4596</v>
      </c>
      <c r="D512" s="1" t="s">
        <v>4610</v>
      </c>
      <c r="E512" s="1" t="s">
        <v>4611</v>
      </c>
      <c r="F512" s="1" t="s">
        <v>4612</v>
      </c>
      <c r="G512" s="1" t="s">
        <v>14129</v>
      </c>
      <c r="H512" s="1" t="s">
        <v>14130</v>
      </c>
      <c r="I512" s="1" t="s">
        <v>14617</v>
      </c>
      <c r="J512" s="1" t="s">
        <v>23</v>
      </c>
      <c r="K512" s="1"/>
      <c r="L512" s="12" t="s">
        <v>4613</v>
      </c>
      <c r="M512" s="1" t="s">
        <v>4559</v>
      </c>
      <c r="N512" s="12" t="b">
        <f t="shared" si="35"/>
        <v>0</v>
      </c>
      <c r="O512" s="1" t="s">
        <v>4614</v>
      </c>
      <c r="P512" s="1" t="s">
        <v>4615</v>
      </c>
      <c r="Q512" s="1" t="s">
        <v>4616</v>
      </c>
      <c r="R512" s="1" t="s">
        <v>4617</v>
      </c>
      <c r="S512" s="1" t="s">
        <v>4618</v>
      </c>
      <c r="T512" s="1" t="s">
        <v>4619</v>
      </c>
      <c r="U512" s="1" t="s">
        <v>4620</v>
      </c>
      <c r="V512" s="13">
        <f>COUNTIF(L512:$M$1659,L512)</f>
        <v>7</v>
      </c>
      <c r="W512" s="1" t="s">
        <v>4621</v>
      </c>
      <c r="X512">
        <v>103344.28</v>
      </c>
      <c r="Y512">
        <v>99366.74</v>
      </c>
      <c r="Z512">
        <v>15.340258</v>
      </c>
      <c r="AA512">
        <v>108.213703</v>
      </c>
      <c r="AB512">
        <v>3977.54</v>
      </c>
      <c r="AC512">
        <v>15.550722</v>
      </c>
      <c r="AD512">
        <v>108.413776</v>
      </c>
      <c r="AE512" s="5">
        <f t="shared" si="36"/>
        <v>149.05011000000002</v>
      </c>
      <c r="AF512" s="5">
        <f t="shared" si="37"/>
        <v>5.9663099999999991</v>
      </c>
      <c r="AG512" s="1" t="str">
        <f>TRIM(LEFT(L512,FIND("-",L512)-1))</f>
        <v>Bắc Trà My</v>
      </c>
      <c r="AH512" s="1" t="str">
        <f>TRIM(RIGHT(L512, LEN(L512) - FIND("-", L512)))</f>
        <v>Phú Ninh</v>
      </c>
      <c r="AJ512">
        <f t="shared" si="38"/>
        <v>99.366740000000007</v>
      </c>
      <c r="AK512">
        <f t="shared" si="39"/>
        <v>3.9775399999999999</v>
      </c>
      <c r="AL512">
        <f>VLOOKUP(L512,'[1]Tuyến cáp H04'!$B:$E,3,0)/1000</f>
        <v>44.34</v>
      </c>
      <c r="AM512" t="str">
        <f>VLOOKUP(L512,'[1]Tuyến cáp H04'!$B:$E,4,0)</f>
        <v>Mạng cấp 3</v>
      </c>
    </row>
    <row r="513" spans="1:39" x14ac:dyDescent="0.25">
      <c r="A513" s="1" t="s">
        <v>4778</v>
      </c>
      <c r="B513" s="1" t="s">
        <v>4623</v>
      </c>
      <c r="C513" s="1" t="s">
        <v>4624</v>
      </c>
      <c r="D513" s="1" t="s">
        <v>4554</v>
      </c>
      <c r="E513" s="1" t="s">
        <v>4555</v>
      </c>
      <c r="F513" s="1" t="s">
        <v>4779</v>
      </c>
      <c r="G513" s="1" t="s">
        <v>14129</v>
      </c>
      <c r="H513" s="1" t="s">
        <v>14130</v>
      </c>
      <c r="I513" s="1" t="s">
        <v>14633</v>
      </c>
      <c r="J513" s="1" t="s">
        <v>23</v>
      </c>
      <c r="K513" s="1"/>
      <c r="L513" s="12" t="s">
        <v>4559</v>
      </c>
      <c r="M513" s="1" t="s">
        <v>4559</v>
      </c>
      <c r="N513" s="12" t="b">
        <f t="shared" si="35"/>
        <v>1</v>
      </c>
      <c r="O513" s="1" t="s">
        <v>4780</v>
      </c>
      <c r="P513" s="1" t="s">
        <v>4781</v>
      </c>
      <c r="Q513" s="1" t="s">
        <v>4782</v>
      </c>
      <c r="R513" s="1" t="s">
        <v>4783</v>
      </c>
      <c r="S513" s="1" t="s">
        <v>4561</v>
      </c>
      <c r="T513" s="1" t="s">
        <v>4562</v>
      </c>
      <c r="U513" s="1" t="s">
        <v>4563</v>
      </c>
      <c r="V513" s="13">
        <f>COUNTIF(L513:$M$1659,L513)</f>
        <v>2</v>
      </c>
      <c r="W513" s="1" t="s">
        <v>4567</v>
      </c>
      <c r="X513">
        <v>5661.56</v>
      </c>
      <c r="Y513">
        <v>5584.54</v>
      </c>
      <c r="Z513">
        <v>14.494221</v>
      </c>
      <c r="AA513">
        <v>107.959389</v>
      </c>
      <c r="AB513">
        <v>77.010000000000005</v>
      </c>
      <c r="AC513">
        <v>14.352309</v>
      </c>
      <c r="AD513">
        <v>108.007857</v>
      </c>
      <c r="AE513" s="5">
        <f t="shared" si="36"/>
        <v>8.376809999999999</v>
      </c>
      <c r="AF513" s="5">
        <f t="shared" si="37"/>
        <v>0.11551500000000002</v>
      </c>
      <c r="AG513" s="1" t="str">
        <f>TRIM(LEFT(L513,FIND("-",L513)-1))</f>
        <v>TT2 Kon Tum</v>
      </c>
      <c r="AH513" s="1" t="str">
        <f>TRIM(RIGHT(L513, LEN(L513) - FIND("-", L513)))</f>
        <v>PC11</v>
      </c>
      <c r="AJ513">
        <f t="shared" si="38"/>
        <v>5.5845399999999996</v>
      </c>
      <c r="AK513">
        <f t="shared" si="39"/>
        <v>7.7010000000000009E-2</v>
      </c>
      <c r="AL513">
        <f>VLOOKUP(L513,'[1]Tuyến cáp H04'!$B:$E,3,0)/1000</f>
        <v>24.687000000000001</v>
      </c>
      <c r="AM513" t="str">
        <f>VLOOKUP(L513,'[1]Tuyến cáp H04'!$B:$E,4,0)</f>
        <v>Mạng cấp 3</v>
      </c>
    </row>
    <row r="514" spans="1:39" x14ac:dyDescent="0.25">
      <c r="A514" s="1" t="s">
        <v>4784</v>
      </c>
      <c r="B514" s="1" t="s">
        <v>4785</v>
      </c>
      <c r="C514" s="1" t="s">
        <v>4786</v>
      </c>
      <c r="D514" s="1" t="s">
        <v>4738</v>
      </c>
      <c r="E514" s="1" t="s">
        <v>4739</v>
      </c>
      <c r="F514" s="1" t="s">
        <v>4787</v>
      </c>
      <c r="G514" s="1" t="s">
        <v>14129</v>
      </c>
      <c r="H514" s="1" t="s">
        <v>14130</v>
      </c>
      <c r="I514" s="1" t="s">
        <v>14634</v>
      </c>
      <c r="J514" s="1" t="s">
        <v>23</v>
      </c>
      <c r="K514" s="1"/>
      <c r="L514" s="12" t="s">
        <v>283</v>
      </c>
      <c r="M514" s="1" t="s">
        <v>283</v>
      </c>
      <c r="N514" s="12" t="b">
        <f t="shared" si="35"/>
        <v>1</v>
      </c>
      <c r="O514" s="1" t="s">
        <v>4788</v>
      </c>
      <c r="P514" s="1" t="s">
        <v>4789</v>
      </c>
      <c r="Q514" s="1" t="s">
        <v>289</v>
      </c>
      <c r="R514" s="1" t="s">
        <v>290</v>
      </c>
      <c r="S514" s="1" t="s">
        <v>4745</v>
      </c>
      <c r="T514" s="1" t="s">
        <v>4681</v>
      </c>
      <c r="U514" s="1" t="s">
        <v>4682</v>
      </c>
      <c r="V514" s="13">
        <f>COUNTIF(L514:$M$1659,L514)</f>
        <v>10</v>
      </c>
      <c r="W514" s="1" t="s">
        <v>291</v>
      </c>
      <c r="X514">
        <v>156124.85999999999</v>
      </c>
      <c r="Y514">
        <v>875.38</v>
      </c>
      <c r="Z514">
        <v>14.352316999999999</v>
      </c>
      <c r="AA514">
        <v>108.007831</v>
      </c>
      <c r="AB514">
        <v>155249.48000000001</v>
      </c>
      <c r="AC514">
        <v>14.659758</v>
      </c>
      <c r="AD514">
        <v>107.83978500000001</v>
      </c>
      <c r="AE514" s="5">
        <f t="shared" si="36"/>
        <v>1.31307</v>
      </c>
      <c r="AF514" s="5">
        <f t="shared" si="37"/>
        <v>232.87422000000004</v>
      </c>
      <c r="AG514" s="1" t="str">
        <f>TRIM(LEFT(L514,FIND("-",L514)-1))</f>
        <v>Đăk Tô</v>
      </c>
      <c r="AH514" s="1" t="str">
        <f>TRIM(RIGHT(L514, LEN(L514) - FIND("-", L514)))</f>
        <v>TT2 Kon Tum</v>
      </c>
      <c r="AJ514">
        <f t="shared" si="38"/>
        <v>0.87538000000000005</v>
      </c>
      <c r="AK514">
        <f t="shared" si="39"/>
        <v>155.24948000000001</v>
      </c>
      <c r="AL514">
        <f>VLOOKUP(L514,'[1]Tuyến cáp H04'!$B:$E,3,0)/1000</f>
        <v>43.9602</v>
      </c>
      <c r="AM514" t="str">
        <f>VLOOKUP(L514,'[1]Tuyến cáp H04'!$B:$E,4,0)</f>
        <v>Mạng cấp 3</v>
      </c>
    </row>
    <row r="515" spans="1:39" x14ac:dyDescent="0.25">
      <c r="A515" s="1" t="s">
        <v>4790</v>
      </c>
      <c r="B515" s="1" t="s">
        <v>4791</v>
      </c>
      <c r="C515" s="1" t="s">
        <v>4792</v>
      </c>
      <c r="D515" s="1" t="s">
        <v>278</v>
      </c>
      <c r="E515" s="1" t="s">
        <v>279</v>
      </c>
      <c r="F515" s="1" t="s">
        <v>4793</v>
      </c>
      <c r="G515" s="1" t="s">
        <v>14129</v>
      </c>
      <c r="H515" s="1" t="s">
        <v>14130</v>
      </c>
      <c r="I515" s="1" t="s">
        <v>14635</v>
      </c>
      <c r="J515" s="1" t="s">
        <v>23</v>
      </c>
      <c r="K515" s="1"/>
      <c r="L515" s="12" t="s">
        <v>283</v>
      </c>
      <c r="M515" s="1" t="s">
        <v>283</v>
      </c>
      <c r="N515" s="12" t="b">
        <f t="shared" ref="N515:N578" si="40">L515=M515</f>
        <v>1</v>
      </c>
      <c r="O515" s="1" t="s">
        <v>4794</v>
      </c>
      <c r="P515" s="1" t="s">
        <v>4795</v>
      </c>
      <c r="Q515" s="1" t="s">
        <v>4743</v>
      </c>
      <c r="R515" s="1" t="s">
        <v>4744</v>
      </c>
      <c r="S515" s="1" t="s">
        <v>285</v>
      </c>
      <c r="T515" s="1" t="s">
        <v>286</v>
      </c>
      <c r="U515" s="1" t="s">
        <v>287</v>
      </c>
      <c r="V515" s="13">
        <f>COUNTIF(L515:$M$1659,L515)</f>
        <v>8</v>
      </c>
      <c r="W515" s="1" t="s">
        <v>291</v>
      </c>
      <c r="X515">
        <v>253903.22</v>
      </c>
      <c r="Y515">
        <v>1319.03</v>
      </c>
      <c r="Z515">
        <v>14.363782</v>
      </c>
      <c r="AA515">
        <v>107.999065</v>
      </c>
      <c r="AB515">
        <v>252584.19</v>
      </c>
      <c r="AC515">
        <v>14.659686000000001</v>
      </c>
      <c r="AD515">
        <v>107.839439</v>
      </c>
      <c r="AE515" s="5">
        <f t="shared" ref="AE515:AE578" si="41">Y515*1.5/1000</f>
        <v>1.978545</v>
      </c>
      <c r="AF515" s="5">
        <f t="shared" ref="AF515:AF578" si="42">AB515*1.5/1000</f>
        <v>378.87628500000005</v>
      </c>
      <c r="AG515" s="1" t="str">
        <f>TRIM(LEFT(L515,FIND("-",L515)-1))</f>
        <v>Đăk Tô</v>
      </c>
      <c r="AH515" s="1" t="str">
        <f>TRIM(RIGHT(L515, LEN(L515) - FIND("-", L515)))</f>
        <v>TT2 Kon Tum</v>
      </c>
      <c r="AJ515">
        <f t="shared" ref="AJ515:AJ578" si="43">Y515/1000</f>
        <v>1.3190299999999999</v>
      </c>
      <c r="AK515">
        <f t="shared" ref="AK515:AK578" si="44">AB515/1000</f>
        <v>252.58419000000001</v>
      </c>
      <c r="AL515">
        <f>VLOOKUP(L515,'[1]Tuyến cáp H04'!$B:$E,3,0)/1000</f>
        <v>43.9602</v>
      </c>
      <c r="AM515" t="str">
        <f>VLOOKUP(L515,'[1]Tuyến cáp H04'!$B:$E,4,0)</f>
        <v>Mạng cấp 3</v>
      </c>
    </row>
    <row r="516" spans="1:39" x14ac:dyDescent="0.25">
      <c r="A516" s="1" t="s">
        <v>4796</v>
      </c>
      <c r="B516" s="1" t="s">
        <v>4797</v>
      </c>
      <c r="C516" s="1" t="s">
        <v>4798</v>
      </c>
      <c r="D516" s="1" t="s">
        <v>278</v>
      </c>
      <c r="E516" s="1" t="s">
        <v>279</v>
      </c>
      <c r="F516" s="1" t="s">
        <v>4799</v>
      </c>
      <c r="G516" s="1" t="s">
        <v>14129</v>
      </c>
      <c r="H516" s="1" t="s">
        <v>14130</v>
      </c>
      <c r="I516" s="1" t="s">
        <v>14636</v>
      </c>
      <c r="J516" s="1" t="s">
        <v>23</v>
      </c>
      <c r="K516" s="1"/>
      <c r="L516" s="12" t="s">
        <v>283</v>
      </c>
      <c r="M516" s="1" t="s">
        <v>283</v>
      </c>
      <c r="N516" s="12" t="b">
        <f t="shared" si="40"/>
        <v>1</v>
      </c>
      <c r="O516" s="1" t="s">
        <v>4800</v>
      </c>
      <c r="P516" s="1" t="s">
        <v>4801</v>
      </c>
      <c r="Q516" s="1" t="s">
        <v>4802</v>
      </c>
      <c r="R516" s="1" t="s">
        <v>4803</v>
      </c>
      <c r="S516" s="1" t="s">
        <v>285</v>
      </c>
      <c r="T516" s="1" t="s">
        <v>286</v>
      </c>
      <c r="U516" s="1" t="s">
        <v>287</v>
      </c>
      <c r="V516" s="13">
        <f>COUNTIF(L516:$M$1659,L516)</f>
        <v>6</v>
      </c>
      <c r="W516" s="1" t="s">
        <v>291</v>
      </c>
      <c r="X516">
        <v>252723.12</v>
      </c>
      <c r="Y516">
        <v>138.93</v>
      </c>
      <c r="Z516">
        <v>14.360533999999999</v>
      </c>
      <c r="AA516">
        <v>107.999864</v>
      </c>
      <c r="AB516">
        <v>252584.19</v>
      </c>
      <c r="AC516">
        <v>14.659686000000001</v>
      </c>
      <c r="AD516">
        <v>107.839439</v>
      </c>
      <c r="AE516" s="5">
        <f t="shared" si="41"/>
        <v>0.208395</v>
      </c>
      <c r="AF516" s="5">
        <f t="shared" si="42"/>
        <v>378.87628500000005</v>
      </c>
      <c r="AG516" s="1" t="str">
        <f>TRIM(LEFT(L516,FIND("-",L516)-1))</f>
        <v>Đăk Tô</v>
      </c>
      <c r="AH516" s="1" t="str">
        <f>TRIM(RIGHT(L516, LEN(L516) - FIND("-", L516)))</f>
        <v>TT2 Kon Tum</v>
      </c>
      <c r="AJ516">
        <f t="shared" si="43"/>
        <v>0.13893</v>
      </c>
      <c r="AK516">
        <f t="shared" si="44"/>
        <v>252.58419000000001</v>
      </c>
      <c r="AL516">
        <f>VLOOKUP(L516,'[1]Tuyến cáp H04'!$B:$E,3,0)/1000</f>
        <v>43.9602</v>
      </c>
      <c r="AM516" t="str">
        <f>VLOOKUP(L516,'[1]Tuyến cáp H04'!$B:$E,4,0)</f>
        <v>Mạng cấp 3</v>
      </c>
    </row>
    <row r="517" spans="1:39" x14ac:dyDescent="0.25">
      <c r="A517" s="1" t="s">
        <v>4804</v>
      </c>
      <c r="B517" s="1" t="s">
        <v>4805</v>
      </c>
      <c r="C517" s="1" t="s">
        <v>4806</v>
      </c>
      <c r="D517" s="1" t="s">
        <v>4807</v>
      </c>
      <c r="E517" s="1" t="s">
        <v>4808</v>
      </c>
      <c r="F517" s="1" t="s">
        <v>4809</v>
      </c>
      <c r="G517" s="1" t="s">
        <v>14129</v>
      </c>
      <c r="H517" s="1" t="s">
        <v>14130</v>
      </c>
      <c r="I517" s="1" t="s">
        <v>14637</v>
      </c>
      <c r="J517" s="1" t="s">
        <v>23</v>
      </c>
      <c r="K517" s="1"/>
      <c r="L517" s="12" t="s">
        <v>4810</v>
      </c>
      <c r="M517" s="1" t="s">
        <v>4810</v>
      </c>
      <c r="N517" s="12" t="b">
        <f t="shared" si="40"/>
        <v>1</v>
      </c>
      <c r="O517" s="1" t="s">
        <v>4811</v>
      </c>
      <c r="P517" s="1" t="s">
        <v>4812</v>
      </c>
      <c r="Q517" s="1" t="s">
        <v>4813</v>
      </c>
      <c r="R517" s="1" t="s">
        <v>4814</v>
      </c>
      <c r="S517" s="1" t="s">
        <v>4815</v>
      </c>
      <c r="T517" s="1" t="s">
        <v>4816</v>
      </c>
      <c r="U517" s="1" t="s">
        <v>4817</v>
      </c>
      <c r="V517" s="13">
        <f>COUNTIF(L517:$M$1659,L517)</f>
        <v>4</v>
      </c>
      <c r="W517" s="1" t="s">
        <v>4818</v>
      </c>
      <c r="X517">
        <v>58.43</v>
      </c>
      <c r="Y517">
        <v>52.82</v>
      </c>
      <c r="Z517">
        <v>14.356553999999999</v>
      </c>
      <c r="AA517">
        <v>107.994704</v>
      </c>
      <c r="AB517">
        <v>5.61</v>
      </c>
      <c r="AC517">
        <v>14.358169</v>
      </c>
      <c r="AD517">
        <v>107.97927</v>
      </c>
      <c r="AE517" s="5">
        <f t="shared" si="41"/>
        <v>7.9230000000000009E-2</v>
      </c>
      <c r="AF517" s="5">
        <f t="shared" si="42"/>
        <v>8.4150000000000006E-3</v>
      </c>
      <c r="AG517" s="1" t="str">
        <f>TRIM(LEFT(L517,FIND("-",L517)-1))</f>
        <v>CAT Kon Tum</v>
      </c>
      <c r="AH517" s="1" t="str">
        <f>TRIM(RIGHT(L517, LEN(L517) - FIND("-", L517)))</f>
        <v>Ngọk Bay</v>
      </c>
      <c r="AJ517">
        <f t="shared" si="43"/>
        <v>5.2819999999999999E-2</v>
      </c>
      <c r="AK517">
        <f t="shared" si="44"/>
        <v>5.6100000000000004E-3</v>
      </c>
      <c r="AL517">
        <f>VLOOKUP(L517,'[1]Tuyến cáp H04'!$B:$E,3,0)/1000</f>
        <v>4.367</v>
      </c>
      <c r="AM517" t="str">
        <f>VLOOKUP(L517,'[1]Tuyến cáp H04'!$B:$E,4,0)</f>
        <v>Mạng cấp 4</v>
      </c>
    </row>
    <row r="518" spans="1:39" x14ac:dyDescent="0.25">
      <c r="A518" s="1" t="s">
        <v>4819</v>
      </c>
      <c r="B518" s="1" t="s">
        <v>4820</v>
      </c>
      <c r="C518" s="1" t="s">
        <v>4821</v>
      </c>
      <c r="D518" s="1" t="s">
        <v>4807</v>
      </c>
      <c r="E518" s="1" t="s">
        <v>4808</v>
      </c>
      <c r="F518" s="1" t="s">
        <v>4822</v>
      </c>
      <c r="G518" s="1" t="s">
        <v>14129</v>
      </c>
      <c r="H518" s="1" t="s">
        <v>14130</v>
      </c>
      <c r="I518" s="1" t="s">
        <v>14638</v>
      </c>
      <c r="J518" s="1" t="s">
        <v>23</v>
      </c>
      <c r="K518" s="1"/>
      <c r="L518" s="12" t="s">
        <v>4823</v>
      </c>
      <c r="M518" s="1" t="s">
        <v>4823</v>
      </c>
      <c r="N518" s="12" t="b">
        <f t="shared" si="40"/>
        <v>1</v>
      </c>
      <c r="O518" s="1" t="s">
        <v>4824</v>
      </c>
      <c r="P518" s="1" t="s">
        <v>4825</v>
      </c>
      <c r="Q518" s="1" t="s">
        <v>4826</v>
      </c>
      <c r="R518" s="1" t="s">
        <v>4827</v>
      </c>
      <c r="S518" s="1" t="s">
        <v>4828</v>
      </c>
      <c r="T518" s="1" t="s">
        <v>4829</v>
      </c>
      <c r="U518" s="1" t="s">
        <v>4830</v>
      </c>
      <c r="V518" s="13">
        <f>COUNTIF(L518:$M$1659,L518)</f>
        <v>2</v>
      </c>
      <c r="W518" s="1" t="s">
        <v>4831</v>
      </c>
      <c r="X518">
        <v>303.87</v>
      </c>
      <c r="Y518">
        <v>303.14999999999998</v>
      </c>
      <c r="Z518">
        <v>14.36042</v>
      </c>
      <c r="AA518">
        <v>107.974538</v>
      </c>
      <c r="AB518">
        <v>0.72</v>
      </c>
      <c r="AC518">
        <v>14.358211000000001</v>
      </c>
      <c r="AD518">
        <v>107.979293</v>
      </c>
      <c r="AE518" s="5">
        <f t="shared" si="41"/>
        <v>0.45472499999999999</v>
      </c>
      <c r="AF518" s="5">
        <f t="shared" si="42"/>
        <v>1.08E-3</v>
      </c>
      <c r="AG518" s="1" t="str">
        <f>TRIM(LEFT(L518,FIND("-",L518)-1))</f>
        <v>Ngọk Bay</v>
      </c>
      <c r="AH518" s="1" t="str">
        <f>TRIM(RIGHT(L518, LEN(L518) - FIND("-", L518)))</f>
        <v>Ya Ly</v>
      </c>
      <c r="AJ518">
        <f t="shared" si="43"/>
        <v>0.30314999999999998</v>
      </c>
      <c r="AK518">
        <f t="shared" si="44"/>
        <v>7.1999999999999994E-4</v>
      </c>
      <c r="AL518">
        <f>VLOOKUP(L518,'[1]Tuyến cáp H04'!$B:$E,3,0)/1000</f>
        <v>31.995000000000001</v>
      </c>
      <c r="AM518" t="str">
        <f>VLOOKUP(L518,'[1]Tuyến cáp H04'!$B:$E,4,0)</f>
        <v>Mạng cấp 4</v>
      </c>
    </row>
    <row r="519" spans="1:39" x14ac:dyDescent="0.25">
      <c r="A519" s="1" t="s">
        <v>4832</v>
      </c>
      <c r="B519" s="1" t="s">
        <v>4833</v>
      </c>
      <c r="C519" s="1" t="s">
        <v>4834</v>
      </c>
      <c r="D519" s="1" t="s">
        <v>4835</v>
      </c>
      <c r="E519" s="1" t="s">
        <v>4836</v>
      </c>
      <c r="F519" s="1" t="s">
        <v>4837</v>
      </c>
      <c r="G519" s="1" t="s">
        <v>14129</v>
      </c>
      <c r="H519" s="1" t="s">
        <v>14130</v>
      </c>
      <c r="I519" s="1" t="s">
        <v>14639</v>
      </c>
      <c r="J519" s="1" t="s">
        <v>23</v>
      </c>
      <c r="K519" s="1"/>
      <c r="L519" s="12" t="s">
        <v>4838</v>
      </c>
      <c r="M519" s="1" t="s">
        <v>4838</v>
      </c>
      <c r="N519" s="12" t="b">
        <f t="shared" si="40"/>
        <v>1</v>
      </c>
      <c r="O519" s="1" t="s">
        <v>4839</v>
      </c>
      <c r="P519" s="1" t="s">
        <v>4840</v>
      </c>
      <c r="Q519" s="1" t="s">
        <v>4841</v>
      </c>
      <c r="R519" s="1" t="s">
        <v>4842</v>
      </c>
      <c r="S519" s="1" t="s">
        <v>4843</v>
      </c>
      <c r="T519" s="1" t="s">
        <v>4844</v>
      </c>
      <c r="U519" s="1" t="s">
        <v>4845</v>
      </c>
      <c r="V519" s="13">
        <f>COUNTIF(L519:$M$1659,L519)</f>
        <v>6</v>
      </c>
      <c r="W519" s="1" t="s">
        <v>4846</v>
      </c>
      <c r="X519">
        <v>462.93</v>
      </c>
      <c r="Y519">
        <v>37.479999999999997</v>
      </c>
      <c r="Z519">
        <v>14.364989</v>
      </c>
      <c r="AA519">
        <v>107.990376</v>
      </c>
      <c r="AB519">
        <v>425.45</v>
      </c>
      <c r="AC519">
        <v>14.377385</v>
      </c>
      <c r="AD519">
        <v>107.984059</v>
      </c>
      <c r="AE519" s="5">
        <f t="shared" si="41"/>
        <v>5.6219999999999999E-2</v>
      </c>
      <c r="AF519" s="5">
        <f t="shared" si="42"/>
        <v>0.63817499999999994</v>
      </c>
      <c r="AG519" s="1" t="str">
        <f>TRIM(LEFT(L519,FIND("-",L519)-1))</f>
        <v>Sa Thầy</v>
      </c>
      <c r="AH519" s="1" t="str">
        <f>TRIM(RIGHT(L519, LEN(L519) - FIND("-", L519)))</f>
        <v>TT2 Kon Tum</v>
      </c>
      <c r="AJ519">
        <f t="shared" si="43"/>
        <v>3.7479999999999999E-2</v>
      </c>
      <c r="AK519">
        <f t="shared" si="44"/>
        <v>0.42544999999999999</v>
      </c>
      <c r="AL519" t="e">
        <f>VLOOKUP(L519,'[1]Tuyến cáp H04'!$B:$E,3,0)/1000</f>
        <v>#N/A</v>
      </c>
      <c r="AM519" t="e">
        <f>VLOOKUP(L519,'[1]Tuyến cáp H04'!$B:$E,4,0)</f>
        <v>#N/A</v>
      </c>
    </row>
    <row r="520" spans="1:39" x14ac:dyDescent="0.25">
      <c r="A520" s="1" t="s">
        <v>4847</v>
      </c>
      <c r="B520" s="1" t="s">
        <v>4848</v>
      </c>
      <c r="C520" s="1" t="s">
        <v>4849</v>
      </c>
      <c r="D520" s="1" t="s">
        <v>4850</v>
      </c>
      <c r="E520" s="1" t="s">
        <v>4851</v>
      </c>
      <c r="F520" s="1" t="s">
        <v>4852</v>
      </c>
      <c r="G520" s="1" t="s">
        <v>14129</v>
      </c>
      <c r="H520" s="1" t="s">
        <v>14130</v>
      </c>
      <c r="I520" s="1" t="s">
        <v>14640</v>
      </c>
      <c r="J520" s="1" t="s">
        <v>23</v>
      </c>
      <c r="K520" s="1"/>
      <c r="L520" s="12" t="s">
        <v>4710</v>
      </c>
      <c r="M520" s="1" t="s">
        <v>4710</v>
      </c>
      <c r="N520" s="12" t="b">
        <f t="shared" si="40"/>
        <v>1</v>
      </c>
      <c r="O520" s="1" t="s">
        <v>4853</v>
      </c>
      <c r="P520" s="1" t="s">
        <v>4854</v>
      </c>
      <c r="Q520" s="1" t="s">
        <v>4855</v>
      </c>
      <c r="R520" s="1" t="s">
        <v>4856</v>
      </c>
      <c r="S520" s="1" t="s">
        <v>4857</v>
      </c>
      <c r="T520" s="1" t="s">
        <v>4858</v>
      </c>
      <c r="U520" s="1" t="s">
        <v>4859</v>
      </c>
      <c r="V520" s="13">
        <f>COUNTIF(L520:$M$1659,L520)</f>
        <v>10</v>
      </c>
      <c r="W520" s="1" t="s">
        <v>4860</v>
      </c>
      <c r="X520">
        <v>397.23</v>
      </c>
      <c r="Y520">
        <v>142.83000000000001</v>
      </c>
      <c r="Z520">
        <v>14.34604</v>
      </c>
      <c r="AA520">
        <v>108.01441699999999</v>
      </c>
      <c r="AB520">
        <v>254.4</v>
      </c>
      <c r="AC520">
        <v>14.352304</v>
      </c>
      <c r="AD520">
        <v>108.007864</v>
      </c>
      <c r="AE520" s="5">
        <f t="shared" si="41"/>
        <v>0.21424499999999999</v>
      </c>
      <c r="AF520" s="5">
        <f t="shared" si="42"/>
        <v>0.38160000000000005</v>
      </c>
      <c r="AG520" s="1" t="str">
        <f>TRIM(LEFT(L520,FIND("-",L520)-1))</f>
        <v>CAT Kon TUm</v>
      </c>
      <c r="AH520" s="1" t="str">
        <f>TRIM(RIGHT(L520, LEN(L520) - FIND("-", L520)))</f>
        <v>Đăk Bla</v>
      </c>
      <c r="AJ520">
        <f t="shared" si="43"/>
        <v>0.14283000000000001</v>
      </c>
      <c r="AK520">
        <f t="shared" si="44"/>
        <v>0.25440000000000002</v>
      </c>
      <c r="AL520">
        <f>VLOOKUP(L520,'[1]Tuyến cáp H04'!$B:$E,3,0)/1000</f>
        <v>9.5890000000000004</v>
      </c>
      <c r="AM520" t="str">
        <f>VLOOKUP(L520,'[1]Tuyến cáp H04'!$B:$E,4,0)</f>
        <v>Mạng cấp 4</v>
      </c>
    </row>
    <row r="521" spans="1:39" x14ac:dyDescent="0.25">
      <c r="A521" s="1" t="s">
        <v>4861</v>
      </c>
      <c r="B521" s="1" t="s">
        <v>4862</v>
      </c>
      <c r="C521" s="1" t="s">
        <v>4863</v>
      </c>
      <c r="D521" s="1" t="s">
        <v>4749</v>
      </c>
      <c r="E521" s="1" t="s">
        <v>4750</v>
      </c>
      <c r="F521" s="1" t="s">
        <v>4864</v>
      </c>
      <c r="G521" s="1" t="s">
        <v>14129</v>
      </c>
      <c r="H521" s="1" t="s">
        <v>14130</v>
      </c>
      <c r="I521" s="1" t="s">
        <v>14641</v>
      </c>
      <c r="J521" s="1" t="s">
        <v>23</v>
      </c>
      <c r="K521" s="1"/>
      <c r="L521" s="12" t="s">
        <v>4752</v>
      </c>
      <c r="M521" s="1" t="s">
        <v>4752</v>
      </c>
      <c r="N521" s="12" t="b">
        <f t="shared" si="40"/>
        <v>1</v>
      </c>
      <c r="O521" s="1" t="s">
        <v>4865</v>
      </c>
      <c r="P521" s="1" t="s">
        <v>4866</v>
      </c>
      <c r="Q521" s="1" t="s">
        <v>4867</v>
      </c>
      <c r="R521" s="1" t="s">
        <v>4868</v>
      </c>
      <c r="S521" s="1" t="s">
        <v>4757</v>
      </c>
      <c r="T521" s="1" t="s">
        <v>4758</v>
      </c>
      <c r="U521" s="1" t="s">
        <v>4759</v>
      </c>
      <c r="V521" s="13">
        <f>COUNTIF(L521:$M$1659,L521)</f>
        <v>5</v>
      </c>
      <c r="W521" s="1" t="s">
        <v>4760</v>
      </c>
      <c r="X521">
        <v>64.91</v>
      </c>
      <c r="Y521">
        <v>24.22</v>
      </c>
      <c r="Z521">
        <v>14.377484000000001</v>
      </c>
      <c r="AA521">
        <v>108.021191</v>
      </c>
      <c r="AB521">
        <v>40.700000000000003</v>
      </c>
      <c r="AC521">
        <v>14.377231999999999</v>
      </c>
      <c r="AD521">
        <v>108.02014</v>
      </c>
      <c r="AE521" s="5">
        <f t="shared" si="41"/>
        <v>3.6330000000000001E-2</v>
      </c>
      <c r="AF521" s="5">
        <f t="shared" si="42"/>
        <v>6.1050000000000007E-2</v>
      </c>
      <c r="AG521" s="1" t="str">
        <f>TRIM(LEFT(L521,FIND("-",L521)-1))</f>
        <v>Ia chim</v>
      </c>
      <c r="AH521" s="1" t="str">
        <f>TRIM(RIGHT(L521, LEN(L521) - FIND("-", L521)))</f>
        <v>Đăk Rơ Wa</v>
      </c>
      <c r="AJ521">
        <f t="shared" si="43"/>
        <v>2.4219999999999998E-2</v>
      </c>
      <c r="AK521">
        <f t="shared" si="44"/>
        <v>4.07E-2</v>
      </c>
      <c r="AL521">
        <f>VLOOKUP(L521,'[1]Tuyến cáp H04'!$B:$E,3,0)/1000</f>
        <v>17.221</v>
      </c>
      <c r="AM521" t="str">
        <f>VLOOKUP(L521,'[1]Tuyến cáp H04'!$B:$E,4,0)</f>
        <v>Mạng cấp 4</v>
      </c>
    </row>
    <row r="522" spans="1:39" x14ac:dyDescent="0.25">
      <c r="A522" s="1" t="s">
        <v>4869</v>
      </c>
      <c r="B522" s="1" t="s">
        <v>4870</v>
      </c>
      <c r="C522" s="1" t="s">
        <v>4871</v>
      </c>
      <c r="D522" s="1" t="s">
        <v>4872</v>
      </c>
      <c r="E522" s="1" t="s">
        <v>4873</v>
      </c>
      <c r="F522" s="1" t="s">
        <v>4874</v>
      </c>
      <c r="G522" s="1" t="s">
        <v>14129</v>
      </c>
      <c r="H522" s="1" t="s">
        <v>14130</v>
      </c>
      <c r="I522" s="1" t="s">
        <v>14642</v>
      </c>
      <c r="J522" s="1" t="s">
        <v>23</v>
      </c>
      <c r="K522" s="1"/>
      <c r="L522" s="12" t="s">
        <v>4875</v>
      </c>
      <c r="M522" s="1" t="s">
        <v>4875</v>
      </c>
      <c r="N522" s="12" t="b">
        <f t="shared" si="40"/>
        <v>1</v>
      </c>
      <c r="O522" s="1" t="s">
        <v>4876</v>
      </c>
      <c r="P522" s="1" t="s">
        <v>4877</v>
      </c>
      <c r="Q522" s="1" t="s">
        <v>4878</v>
      </c>
      <c r="R522" s="1" t="s">
        <v>4879</v>
      </c>
      <c r="S522" s="1" t="s">
        <v>4880</v>
      </c>
      <c r="T522" s="1" t="s">
        <v>4881</v>
      </c>
      <c r="U522" s="1" t="s">
        <v>4882</v>
      </c>
      <c r="V522" s="13">
        <f>COUNTIF(L522:$M$1659,L522)</f>
        <v>6</v>
      </c>
      <c r="W522" s="1" t="s">
        <v>4883</v>
      </c>
      <c r="X522">
        <v>684.03</v>
      </c>
      <c r="Y522">
        <v>61.17</v>
      </c>
      <c r="Z522">
        <v>14.276998000000001</v>
      </c>
      <c r="AA522">
        <v>107.929247</v>
      </c>
      <c r="AB522">
        <v>622.86</v>
      </c>
      <c r="AC522">
        <v>14.30968</v>
      </c>
      <c r="AD522">
        <v>107.92868</v>
      </c>
      <c r="AE522" s="5">
        <f t="shared" si="41"/>
        <v>9.1754999999999989E-2</v>
      </c>
      <c r="AF522" s="5">
        <f t="shared" si="42"/>
        <v>0.93428999999999995</v>
      </c>
      <c r="AG522" s="1" t="str">
        <f>TRIM(LEFT(L522,FIND("-",L522)-1))</f>
        <v>Đăk Bla</v>
      </c>
      <c r="AH522" s="1" t="str">
        <f>TRIM(RIGHT(L522, LEN(L522) - FIND("-", L522)))</f>
        <v>Ia Chim</v>
      </c>
      <c r="AJ522">
        <f t="shared" si="43"/>
        <v>6.1170000000000002E-2</v>
      </c>
      <c r="AK522">
        <f t="shared" si="44"/>
        <v>0.62285999999999997</v>
      </c>
      <c r="AL522">
        <f>VLOOKUP(L522,'[1]Tuyến cáp H04'!$B:$E,3,0)/1000</f>
        <v>20.282</v>
      </c>
      <c r="AM522" t="str">
        <f>VLOOKUP(L522,'[1]Tuyến cáp H04'!$B:$E,4,0)</f>
        <v>Mạng cấp 4</v>
      </c>
    </row>
    <row r="523" spans="1:39" x14ac:dyDescent="0.25">
      <c r="A523" s="1" t="s">
        <v>4884</v>
      </c>
      <c r="B523" s="1" t="s">
        <v>4885</v>
      </c>
      <c r="C523" s="1" t="s">
        <v>4886</v>
      </c>
      <c r="D523" s="1" t="s">
        <v>4514</v>
      </c>
      <c r="E523" s="1" t="s">
        <v>4515</v>
      </c>
      <c r="F523" s="1" t="s">
        <v>4887</v>
      </c>
      <c r="G523" s="1" t="s">
        <v>14129</v>
      </c>
      <c r="H523" s="1" t="s">
        <v>14130</v>
      </c>
      <c r="I523" s="1" t="s">
        <v>14643</v>
      </c>
      <c r="J523" s="1" t="s">
        <v>23</v>
      </c>
      <c r="K523" s="1"/>
      <c r="L523" s="12" t="s">
        <v>4519</v>
      </c>
      <c r="M523" s="1" t="s">
        <v>4519</v>
      </c>
      <c r="N523" s="12" t="b">
        <f t="shared" si="40"/>
        <v>1</v>
      </c>
      <c r="O523" s="1" t="s">
        <v>4888</v>
      </c>
      <c r="P523" s="1" t="s">
        <v>4889</v>
      </c>
      <c r="Q523" s="1" t="s">
        <v>4525</v>
      </c>
      <c r="R523" s="1" t="s">
        <v>4526</v>
      </c>
      <c r="S523" s="1" t="s">
        <v>4521</v>
      </c>
      <c r="T523" s="1" t="s">
        <v>4522</v>
      </c>
      <c r="U523" s="1" t="s">
        <v>4523</v>
      </c>
      <c r="V523" s="13">
        <f>COUNTIF(L523:$M$1659,L523)</f>
        <v>4</v>
      </c>
      <c r="W523" s="1" t="s">
        <v>4527</v>
      </c>
      <c r="X523">
        <v>326.56</v>
      </c>
      <c r="Y523">
        <v>273.8</v>
      </c>
      <c r="Z523">
        <v>14.716917</v>
      </c>
      <c r="AA523">
        <v>107.795519</v>
      </c>
      <c r="AB523">
        <v>52.76</v>
      </c>
      <c r="AC523">
        <v>14.698688000000001</v>
      </c>
      <c r="AD523">
        <v>107.83670499999999</v>
      </c>
      <c r="AE523" s="5">
        <f t="shared" si="41"/>
        <v>0.41070000000000007</v>
      </c>
      <c r="AF523" s="5">
        <f t="shared" si="42"/>
        <v>7.9140000000000002E-2</v>
      </c>
      <c r="AG523" s="1" t="str">
        <f>TRIM(LEFT(L523,FIND("-",L523)-1))</f>
        <v>Đăk Mar</v>
      </c>
      <c r="AH523" s="1" t="str">
        <f>TRIM(RIGHT(L523, LEN(L523) - FIND("-", L523)))</f>
        <v>Ngọk Tụ</v>
      </c>
      <c r="AJ523">
        <f t="shared" si="43"/>
        <v>0.27379999999999999</v>
      </c>
      <c r="AK523">
        <f t="shared" si="44"/>
        <v>5.2760000000000001E-2</v>
      </c>
      <c r="AL523">
        <f>VLOOKUP(L523,'[1]Tuyến cáp H04'!$B:$E,3,0)/1000</f>
        <v>30.866</v>
      </c>
      <c r="AM523" t="str">
        <f>VLOOKUP(L523,'[1]Tuyến cáp H04'!$B:$E,4,0)</f>
        <v>Mạng cấp 4</v>
      </c>
    </row>
    <row r="524" spans="1:39" x14ac:dyDescent="0.25">
      <c r="A524" s="1" t="s">
        <v>4890</v>
      </c>
      <c r="B524" s="1" t="s">
        <v>4891</v>
      </c>
      <c r="C524" s="1" t="s">
        <v>4892</v>
      </c>
      <c r="D524" s="1" t="s">
        <v>4502</v>
      </c>
      <c r="E524" s="1" t="s">
        <v>4503</v>
      </c>
      <c r="F524" s="1" t="s">
        <v>4893</v>
      </c>
      <c r="G524" s="1" t="s">
        <v>14129</v>
      </c>
      <c r="H524" s="1" t="s">
        <v>14130</v>
      </c>
      <c r="I524" s="1" t="s">
        <v>14644</v>
      </c>
      <c r="J524" s="1" t="s">
        <v>23</v>
      </c>
      <c r="K524" s="1"/>
      <c r="L524" s="12" t="s">
        <v>4544</v>
      </c>
      <c r="M524" s="1" t="s">
        <v>4544</v>
      </c>
      <c r="N524" s="12" t="b">
        <f t="shared" si="40"/>
        <v>1</v>
      </c>
      <c r="O524" s="1" t="s">
        <v>4894</v>
      </c>
      <c r="P524" s="1" t="s">
        <v>4895</v>
      </c>
      <c r="Q524" s="1" t="s">
        <v>4896</v>
      </c>
      <c r="R524" s="1" t="s">
        <v>4897</v>
      </c>
      <c r="S524" s="1" t="s">
        <v>4546</v>
      </c>
      <c r="T524" s="1" t="s">
        <v>4547</v>
      </c>
      <c r="U524" s="1" t="s">
        <v>4548</v>
      </c>
      <c r="V524" s="13">
        <f>COUNTIF(L524:$M$1659,L524)</f>
        <v>2</v>
      </c>
      <c r="W524" s="1" t="s">
        <v>4552</v>
      </c>
      <c r="X524">
        <v>127.71</v>
      </c>
      <c r="Y524">
        <v>125.43</v>
      </c>
      <c r="Z524">
        <v>14.394170000000001</v>
      </c>
      <c r="AA524">
        <v>107.809774</v>
      </c>
      <c r="AB524">
        <v>2.2799999999999998</v>
      </c>
      <c r="AC524">
        <v>14.39805</v>
      </c>
      <c r="AD524">
        <v>107.79609600000001</v>
      </c>
      <c r="AE524" s="5">
        <f t="shared" si="41"/>
        <v>0.18814500000000001</v>
      </c>
      <c r="AF524" s="5">
        <f t="shared" si="42"/>
        <v>3.4199999999999999E-3</v>
      </c>
      <c r="AG524" s="1" t="str">
        <f>TRIM(LEFT(L524,FIND("-",L524)-1))</f>
        <v>TTCMKV Sa Thầy</v>
      </c>
      <c r="AH524" s="1" t="str">
        <f>TRIM(RIGHT(L524, LEN(L524) - FIND("-", L524)))</f>
        <v>Sa Bình</v>
      </c>
      <c r="AJ524">
        <f t="shared" si="43"/>
        <v>0.12543000000000001</v>
      </c>
      <c r="AK524">
        <f t="shared" si="44"/>
        <v>2.2799999999999999E-3</v>
      </c>
      <c r="AL524">
        <f>VLOOKUP(L524,'[1]Tuyến cáp H04'!$B:$E,3,0)/1000</f>
        <v>21.3</v>
      </c>
      <c r="AM524" t="str">
        <f>VLOOKUP(L524,'[1]Tuyến cáp H04'!$B:$E,4,0)</f>
        <v>Mạng cấp 4</v>
      </c>
    </row>
    <row r="525" spans="1:39" x14ac:dyDescent="0.25">
      <c r="A525" s="1" t="s">
        <v>4898</v>
      </c>
      <c r="B525" s="1" t="s">
        <v>4899</v>
      </c>
      <c r="C525" s="1" t="s">
        <v>4900</v>
      </c>
      <c r="D525" s="1" t="s">
        <v>4502</v>
      </c>
      <c r="E525" s="1" t="s">
        <v>4503</v>
      </c>
      <c r="F525" s="1" t="s">
        <v>4901</v>
      </c>
      <c r="G525" s="1" t="s">
        <v>14129</v>
      </c>
      <c r="H525" s="1" t="s">
        <v>14130</v>
      </c>
      <c r="I525" s="1" t="s">
        <v>14645</v>
      </c>
      <c r="J525" s="1" t="s">
        <v>23</v>
      </c>
      <c r="K525" s="1"/>
      <c r="L525" s="12" t="s">
        <v>4902</v>
      </c>
      <c r="M525" s="1" t="s">
        <v>4902</v>
      </c>
      <c r="N525" s="12" t="b">
        <f t="shared" si="40"/>
        <v>1</v>
      </c>
      <c r="O525" s="1" t="s">
        <v>4903</v>
      </c>
      <c r="P525" s="1" t="s">
        <v>4904</v>
      </c>
      <c r="Q525" s="1" t="s">
        <v>4905</v>
      </c>
      <c r="R525" s="1" t="s">
        <v>4906</v>
      </c>
      <c r="S525" s="1" t="s">
        <v>4907</v>
      </c>
      <c r="T525" s="1" t="s">
        <v>4908</v>
      </c>
      <c r="U525" s="1" t="s">
        <v>4909</v>
      </c>
      <c r="V525" s="13">
        <f>COUNTIF(L525:$M$1659,L525)</f>
        <v>2</v>
      </c>
      <c r="W525" s="1" t="s">
        <v>4910</v>
      </c>
      <c r="X525">
        <v>93.5</v>
      </c>
      <c r="Y525">
        <v>91.99</v>
      </c>
      <c r="Z525">
        <v>14.381275</v>
      </c>
      <c r="AA525">
        <v>107.802266</v>
      </c>
      <c r="AB525">
        <v>1.51</v>
      </c>
      <c r="AC525">
        <v>14.398033</v>
      </c>
      <c r="AD525">
        <v>107.796086</v>
      </c>
      <c r="AE525" s="5">
        <f t="shared" si="41"/>
        <v>0.137985</v>
      </c>
      <c r="AF525" s="5">
        <f t="shared" si="42"/>
        <v>2.2650000000000001E-3</v>
      </c>
      <c r="AG525" s="1" t="str">
        <f>TRIM(LEFT(L525,FIND("-",L525)-1))</f>
        <v>Ya Ly</v>
      </c>
      <c r="AH525" s="1" t="str">
        <f>TRIM(RIGHT(L525, LEN(L525) - FIND("-", L525)))</f>
        <v>Sa Thầy</v>
      </c>
      <c r="AJ525">
        <f t="shared" si="43"/>
        <v>9.1989999999999988E-2</v>
      </c>
      <c r="AK525">
        <f t="shared" si="44"/>
        <v>1.5100000000000001E-3</v>
      </c>
      <c r="AL525">
        <f>VLOOKUP(L525,'[1]Tuyến cáp H04'!$B:$E,3,0)/1000</f>
        <v>4.9489999999999998</v>
      </c>
      <c r="AM525" t="str">
        <f>VLOOKUP(L525,'[1]Tuyến cáp H04'!$B:$E,4,0)</f>
        <v>Mạng cấp 4</v>
      </c>
    </row>
    <row r="526" spans="1:39" x14ac:dyDescent="0.25">
      <c r="A526" s="1" t="s">
        <v>4911</v>
      </c>
      <c r="B526" s="1" t="s">
        <v>4912</v>
      </c>
      <c r="C526" s="1" t="s">
        <v>4913</v>
      </c>
      <c r="D526" s="1" t="s">
        <v>4502</v>
      </c>
      <c r="E526" s="1" t="s">
        <v>4503</v>
      </c>
      <c r="F526" s="1" t="s">
        <v>4914</v>
      </c>
      <c r="G526" s="1" t="s">
        <v>14129</v>
      </c>
      <c r="H526" s="1" t="s">
        <v>14130</v>
      </c>
      <c r="I526" s="1" t="s">
        <v>14646</v>
      </c>
      <c r="J526" s="1" t="s">
        <v>23</v>
      </c>
      <c r="K526" s="1"/>
      <c r="L526" s="12" t="s">
        <v>4499</v>
      </c>
      <c r="M526" s="1" t="s">
        <v>4499</v>
      </c>
      <c r="N526" s="12" t="b">
        <f t="shared" si="40"/>
        <v>1</v>
      </c>
      <c r="O526" s="1" t="s">
        <v>4915</v>
      </c>
      <c r="P526" s="1" t="s">
        <v>4916</v>
      </c>
      <c r="Q526" s="1" t="s">
        <v>4917</v>
      </c>
      <c r="R526" s="1" t="s">
        <v>4918</v>
      </c>
      <c r="S526" s="1" t="s">
        <v>4509</v>
      </c>
      <c r="T526" s="1" t="s">
        <v>4510</v>
      </c>
      <c r="U526" s="1" t="s">
        <v>4511</v>
      </c>
      <c r="V526" s="13">
        <f>COUNTIF(L526:$M$1659,L526)</f>
        <v>2</v>
      </c>
      <c r="W526" s="1" t="s">
        <v>4512</v>
      </c>
      <c r="X526">
        <v>2070.4499999999998</v>
      </c>
      <c r="Y526">
        <v>2033.58</v>
      </c>
      <c r="Z526">
        <v>14.410907</v>
      </c>
      <c r="AA526">
        <v>107.786083</v>
      </c>
      <c r="AB526">
        <v>36.869999999999997</v>
      </c>
      <c r="AC526">
        <v>14.398239</v>
      </c>
      <c r="AD526">
        <v>107.79636600000001</v>
      </c>
      <c r="AE526" s="5">
        <f t="shared" si="41"/>
        <v>3.05037</v>
      </c>
      <c r="AF526" s="5">
        <f t="shared" si="42"/>
        <v>5.5304999999999993E-2</v>
      </c>
      <c r="AG526" s="1" t="str">
        <f>TRIM(LEFT(L526,FIND("-",L526)-1))</f>
        <v>Ngọc Hồi</v>
      </c>
      <c r="AH526" s="1" t="str">
        <f>TRIM(RIGHT(L526, LEN(L526) - FIND("-", L526)))</f>
        <v>Sa Thầy</v>
      </c>
      <c r="AJ526">
        <f t="shared" si="43"/>
        <v>2.0335799999999997</v>
      </c>
      <c r="AK526">
        <f t="shared" si="44"/>
        <v>3.687E-2</v>
      </c>
      <c r="AL526" t="e">
        <f>VLOOKUP(L526,'[1]Tuyến cáp H04'!$B:$E,3,0)/1000</f>
        <v>#N/A</v>
      </c>
      <c r="AM526" t="e">
        <f>VLOOKUP(L526,'[1]Tuyến cáp H04'!$B:$E,4,0)</f>
        <v>#N/A</v>
      </c>
    </row>
    <row r="527" spans="1:39" x14ac:dyDescent="0.25">
      <c r="A527" s="1" t="s">
        <v>4919</v>
      </c>
      <c r="B527" s="1" t="s">
        <v>4920</v>
      </c>
      <c r="C527" s="1" t="s">
        <v>4921</v>
      </c>
      <c r="D527" s="1" t="s">
        <v>4554</v>
      </c>
      <c r="E527" s="1" t="s">
        <v>4555</v>
      </c>
      <c r="F527" s="1" t="s">
        <v>4922</v>
      </c>
      <c r="G527" s="1" t="s">
        <v>14281</v>
      </c>
      <c r="H527" s="1" t="s">
        <v>14282</v>
      </c>
      <c r="I527" s="1" t="s">
        <v>14647</v>
      </c>
      <c r="J527" s="1" t="s">
        <v>23</v>
      </c>
      <c r="K527" s="1"/>
      <c r="L527" s="12" t="s">
        <v>283</v>
      </c>
      <c r="M527" s="1" t="s">
        <v>283</v>
      </c>
      <c r="N527" s="12" t="b">
        <f t="shared" si="40"/>
        <v>1</v>
      </c>
      <c r="O527" s="1" t="s">
        <v>4923</v>
      </c>
      <c r="P527" s="1" t="s">
        <v>4924</v>
      </c>
      <c r="Q527" s="1" t="s">
        <v>4925</v>
      </c>
      <c r="R527" s="1" t="s">
        <v>4926</v>
      </c>
      <c r="S527" s="1" t="s">
        <v>4927</v>
      </c>
      <c r="T527" s="1" t="s">
        <v>289</v>
      </c>
      <c r="U527" s="1" t="s">
        <v>290</v>
      </c>
      <c r="V527" s="13">
        <f>COUNTIF(L527:$M$1659,L527)</f>
        <v>4</v>
      </c>
      <c r="W527" s="1" t="s">
        <v>291</v>
      </c>
      <c r="X527">
        <v>178.47</v>
      </c>
      <c r="Y527">
        <v>102.19</v>
      </c>
      <c r="Z527">
        <v>14.354221000000001</v>
      </c>
      <c r="AA527">
        <v>108.00283</v>
      </c>
      <c r="AB527">
        <v>76.28</v>
      </c>
      <c r="AC527">
        <v>14.352316999999999</v>
      </c>
      <c r="AD527">
        <v>108.007831</v>
      </c>
      <c r="AE527" s="5">
        <f t="shared" si="41"/>
        <v>0.153285</v>
      </c>
      <c r="AF527" s="5">
        <f t="shared" si="42"/>
        <v>0.11442000000000001</v>
      </c>
      <c r="AG527" s="1" t="str">
        <f>TRIM(LEFT(L527,FIND("-",L527)-1))</f>
        <v>Đăk Tô</v>
      </c>
      <c r="AH527" s="1" t="str">
        <f>TRIM(RIGHT(L527, LEN(L527) - FIND("-", L527)))</f>
        <v>TT2 Kon Tum</v>
      </c>
      <c r="AJ527">
        <f t="shared" si="43"/>
        <v>0.10219</v>
      </c>
      <c r="AK527">
        <f t="shared" si="44"/>
        <v>7.6280000000000001E-2</v>
      </c>
      <c r="AL527">
        <f>VLOOKUP(L527,'[1]Tuyến cáp H04'!$B:$E,3,0)/1000</f>
        <v>43.9602</v>
      </c>
      <c r="AM527" t="str">
        <f>VLOOKUP(L527,'[1]Tuyến cáp H04'!$B:$E,4,0)</f>
        <v>Mạng cấp 3</v>
      </c>
    </row>
    <row r="528" spans="1:39" x14ac:dyDescent="0.25">
      <c r="A528" s="1" t="s">
        <v>4928</v>
      </c>
      <c r="B528" s="1" t="s">
        <v>4554</v>
      </c>
      <c r="C528" s="1" t="s">
        <v>4555</v>
      </c>
      <c r="D528" s="1" t="s">
        <v>4749</v>
      </c>
      <c r="E528" s="1" t="s">
        <v>4750</v>
      </c>
      <c r="F528" s="1" t="s">
        <v>4929</v>
      </c>
      <c r="G528" s="1" t="s">
        <v>14281</v>
      </c>
      <c r="H528" s="1" t="s">
        <v>14282</v>
      </c>
      <c r="I528" s="1" t="s">
        <v>14648</v>
      </c>
      <c r="J528" s="1" t="s">
        <v>23</v>
      </c>
      <c r="K528" s="1"/>
      <c r="L528" s="12" t="s">
        <v>4930</v>
      </c>
      <c r="M528" s="1" t="s">
        <v>4930</v>
      </c>
      <c r="N528" s="12" t="b">
        <f t="shared" si="40"/>
        <v>1</v>
      </c>
      <c r="O528" s="1" t="s">
        <v>4931</v>
      </c>
      <c r="P528" s="1" t="s">
        <v>4932</v>
      </c>
      <c r="Q528" s="1" t="s">
        <v>4933</v>
      </c>
      <c r="R528" s="1" t="s">
        <v>4934</v>
      </c>
      <c r="S528" s="1" t="s">
        <v>4935</v>
      </c>
      <c r="T528" s="1" t="s">
        <v>4936</v>
      </c>
      <c r="U528" s="1" t="s">
        <v>4937</v>
      </c>
      <c r="V528" s="13">
        <f>COUNTIF(L528:$M$1659,L528)</f>
        <v>5</v>
      </c>
      <c r="W528" s="1" t="s">
        <v>4938</v>
      </c>
      <c r="X528">
        <v>345.25</v>
      </c>
      <c r="Y528">
        <v>341.75</v>
      </c>
      <c r="Z528">
        <v>14.349970000000001</v>
      </c>
      <c r="AA528">
        <v>108.007367</v>
      </c>
      <c r="AB528">
        <v>3.5</v>
      </c>
      <c r="AC528">
        <v>14.376951</v>
      </c>
      <c r="AD528">
        <v>108.019868</v>
      </c>
      <c r="AE528" s="5">
        <f t="shared" si="41"/>
        <v>0.512625</v>
      </c>
      <c r="AF528" s="5">
        <f t="shared" si="42"/>
        <v>5.2500000000000003E-3</v>
      </c>
      <c r="AG528" s="1" t="e">
        <f>TRIM(LEFT(L528,FIND("-",L528)-1))</f>
        <v>#VALUE!</v>
      </c>
      <c r="AH528" s="1" t="e">
        <f>TRIM(RIGHT(L528, LEN(L528) - FIND("-", L528)))</f>
        <v>#VALUE!</v>
      </c>
      <c r="AJ528">
        <f t="shared" si="43"/>
        <v>0.34175</v>
      </c>
      <c r="AK528">
        <f t="shared" si="44"/>
        <v>3.5000000000000001E-3</v>
      </c>
      <c r="AL528" t="e">
        <f>VLOOKUP(L528,'[1]Tuyến cáp H04'!$B:$E,3,0)/1000</f>
        <v>#N/A</v>
      </c>
      <c r="AM528" t="e">
        <f>VLOOKUP(L528,'[1]Tuyến cáp H04'!$B:$E,4,0)</f>
        <v>#N/A</v>
      </c>
    </row>
    <row r="529" spans="1:39" x14ac:dyDescent="0.25">
      <c r="A529" s="1" t="s">
        <v>4939</v>
      </c>
      <c r="B529" s="1" t="s">
        <v>4940</v>
      </c>
      <c r="C529" s="1" t="s">
        <v>4941</v>
      </c>
      <c r="D529" s="1" t="s">
        <v>4835</v>
      </c>
      <c r="E529" s="1" t="s">
        <v>4836</v>
      </c>
      <c r="F529" s="1" t="s">
        <v>4942</v>
      </c>
      <c r="G529" s="1" t="s">
        <v>14281</v>
      </c>
      <c r="H529" s="1" t="s">
        <v>14282</v>
      </c>
      <c r="I529" s="1" t="s">
        <v>14649</v>
      </c>
      <c r="J529" s="1" t="s">
        <v>23</v>
      </c>
      <c r="K529" s="1"/>
      <c r="L529" s="12" t="s">
        <v>4838</v>
      </c>
      <c r="M529" s="1" t="s">
        <v>4838</v>
      </c>
      <c r="N529" s="12" t="b">
        <f t="shared" si="40"/>
        <v>1</v>
      </c>
      <c r="O529" s="1" t="s">
        <v>4943</v>
      </c>
      <c r="P529" s="1" t="s">
        <v>4944</v>
      </c>
      <c r="Q529" s="1" t="s">
        <v>4945</v>
      </c>
      <c r="R529" s="1" t="s">
        <v>4946</v>
      </c>
      <c r="S529" s="1" t="s">
        <v>4843</v>
      </c>
      <c r="T529" s="1" t="s">
        <v>4844</v>
      </c>
      <c r="U529" s="1" t="s">
        <v>4845</v>
      </c>
      <c r="V529" s="13">
        <f>COUNTIF(L529:$M$1659,L529)</f>
        <v>4</v>
      </c>
      <c r="W529" s="1" t="s">
        <v>4846</v>
      </c>
      <c r="X529">
        <v>519.5</v>
      </c>
      <c r="Y529">
        <v>94.05</v>
      </c>
      <c r="Z529">
        <v>14.381167</v>
      </c>
      <c r="AA529">
        <v>107.975342</v>
      </c>
      <c r="AB529">
        <v>425.45</v>
      </c>
      <c r="AC529">
        <v>14.377385</v>
      </c>
      <c r="AD529">
        <v>107.984059</v>
      </c>
      <c r="AE529" s="5">
        <f t="shared" si="41"/>
        <v>0.14107499999999998</v>
      </c>
      <c r="AF529" s="5">
        <f t="shared" si="42"/>
        <v>0.63817499999999994</v>
      </c>
      <c r="AG529" s="1" t="str">
        <f>TRIM(LEFT(L529,FIND("-",L529)-1))</f>
        <v>Sa Thầy</v>
      </c>
      <c r="AH529" s="1" t="str">
        <f>TRIM(RIGHT(L529, LEN(L529) - FIND("-", L529)))</f>
        <v>TT2 Kon Tum</v>
      </c>
      <c r="AJ529">
        <f t="shared" si="43"/>
        <v>9.4049999999999995E-2</v>
      </c>
      <c r="AK529">
        <f t="shared" si="44"/>
        <v>0.42544999999999999</v>
      </c>
      <c r="AL529" t="e">
        <f>VLOOKUP(L529,'[1]Tuyến cáp H04'!$B:$E,3,0)/1000</f>
        <v>#N/A</v>
      </c>
      <c r="AM529" t="e">
        <f>VLOOKUP(L529,'[1]Tuyến cáp H04'!$B:$E,4,0)</f>
        <v>#N/A</v>
      </c>
    </row>
    <row r="530" spans="1:39" x14ac:dyDescent="0.25">
      <c r="A530" s="1" t="s">
        <v>4947</v>
      </c>
      <c r="B530" s="1" t="s">
        <v>4920</v>
      </c>
      <c r="C530" s="1" t="s">
        <v>4921</v>
      </c>
      <c r="D530" s="1" t="s">
        <v>4948</v>
      </c>
      <c r="E530" s="1" t="s">
        <v>4949</v>
      </c>
      <c r="F530" s="1" t="s">
        <v>4950</v>
      </c>
      <c r="G530" s="1" t="s">
        <v>14281</v>
      </c>
      <c r="H530" s="1" t="s">
        <v>14282</v>
      </c>
      <c r="I530" s="1" t="s">
        <v>14650</v>
      </c>
      <c r="J530" s="1" t="s">
        <v>23</v>
      </c>
      <c r="K530" s="1"/>
      <c r="L530" s="12" t="s">
        <v>283</v>
      </c>
      <c r="M530" s="1" t="s">
        <v>4930</v>
      </c>
      <c r="N530" s="12" t="b">
        <f t="shared" si="40"/>
        <v>0</v>
      </c>
      <c r="O530" s="1" t="s">
        <v>4951</v>
      </c>
      <c r="P530" s="1" t="s">
        <v>4924</v>
      </c>
      <c r="Q530" s="1" t="s">
        <v>4925</v>
      </c>
      <c r="R530" s="1" t="s">
        <v>4926</v>
      </c>
      <c r="S530" s="1" t="s">
        <v>4952</v>
      </c>
      <c r="T530" s="1" t="s">
        <v>4681</v>
      </c>
      <c r="U530" s="1" t="s">
        <v>4682</v>
      </c>
      <c r="V530" s="13">
        <f>COUNTIF(L530:$M$1659,L530)</f>
        <v>2</v>
      </c>
      <c r="W530" s="1" t="s">
        <v>291</v>
      </c>
      <c r="X530">
        <v>161755.38</v>
      </c>
      <c r="Y530">
        <v>102.19</v>
      </c>
      <c r="Z530">
        <v>14.354221000000001</v>
      </c>
      <c r="AA530">
        <v>108.00283</v>
      </c>
      <c r="AB530">
        <v>161653.19</v>
      </c>
      <c r="AC530">
        <v>14.659758</v>
      </c>
      <c r="AD530">
        <v>107.83978500000001</v>
      </c>
      <c r="AE530" s="5">
        <f t="shared" si="41"/>
        <v>0.153285</v>
      </c>
      <c r="AF530" s="5">
        <f t="shared" si="42"/>
        <v>242.47978499999999</v>
      </c>
      <c r="AG530" s="1" t="str">
        <f>TRIM(LEFT(L530,FIND("-",L530)-1))</f>
        <v>Đăk Tô</v>
      </c>
      <c r="AH530" s="1" t="str">
        <f>TRIM(RIGHT(L530, LEN(L530) - FIND("-", L530)))</f>
        <v>TT2 Kon Tum</v>
      </c>
      <c r="AJ530">
        <f t="shared" si="43"/>
        <v>0.10219</v>
      </c>
      <c r="AK530">
        <f t="shared" si="44"/>
        <v>161.65319</v>
      </c>
      <c r="AL530">
        <f>VLOOKUP(L530,'[1]Tuyến cáp H04'!$B:$E,3,0)/1000</f>
        <v>43.9602</v>
      </c>
      <c r="AM530" t="str">
        <f>VLOOKUP(L530,'[1]Tuyến cáp H04'!$B:$E,4,0)</f>
        <v>Mạng cấp 3</v>
      </c>
    </row>
    <row r="531" spans="1:39" x14ac:dyDescent="0.25">
      <c r="A531" s="1" t="s">
        <v>4953</v>
      </c>
      <c r="B531" s="1" t="s">
        <v>4948</v>
      </c>
      <c r="C531" s="1" t="s">
        <v>4949</v>
      </c>
      <c r="D531" s="1" t="s">
        <v>278</v>
      </c>
      <c r="E531" s="1" t="s">
        <v>279</v>
      </c>
      <c r="F531" s="1" t="s">
        <v>4954</v>
      </c>
      <c r="G531" s="1" t="s">
        <v>14281</v>
      </c>
      <c r="H531" s="1" t="s">
        <v>14282</v>
      </c>
      <c r="I531" s="1" t="s">
        <v>14651</v>
      </c>
      <c r="J531" s="1" t="s">
        <v>23</v>
      </c>
      <c r="K531" s="1"/>
      <c r="L531" s="12" t="s">
        <v>4955</v>
      </c>
      <c r="M531" s="1" t="s">
        <v>15699</v>
      </c>
      <c r="N531" s="12" t="b">
        <f t="shared" si="40"/>
        <v>0</v>
      </c>
      <c r="O531" s="1" t="s">
        <v>4956</v>
      </c>
      <c r="P531" s="1" t="s">
        <v>4957</v>
      </c>
      <c r="Q531" s="1" t="s">
        <v>4958</v>
      </c>
      <c r="R531" s="1" t="s">
        <v>4959</v>
      </c>
      <c r="S531" s="1" t="s">
        <v>4960</v>
      </c>
      <c r="T531" s="1" t="s">
        <v>4961</v>
      </c>
      <c r="U531" s="1" t="s">
        <v>4962</v>
      </c>
      <c r="V531" s="13">
        <f>COUNTIF(L531:$M$1659,L531)</f>
        <v>2</v>
      </c>
      <c r="W531" s="1" t="s">
        <v>4963</v>
      </c>
      <c r="X531">
        <v>126697.95</v>
      </c>
      <c r="Y531">
        <v>24952.22</v>
      </c>
      <c r="Z531">
        <v>16.242723999999999</v>
      </c>
      <c r="AA531">
        <v>108.077691</v>
      </c>
      <c r="AB531">
        <v>101745.73</v>
      </c>
      <c r="AC531">
        <v>16.274787</v>
      </c>
      <c r="AD531">
        <v>107.860466</v>
      </c>
      <c r="AE531" s="5">
        <f t="shared" si="41"/>
        <v>37.428330000000003</v>
      </c>
      <c r="AF531" s="5">
        <f t="shared" si="42"/>
        <v>152.618595</v>
      </c>
      <c r="AG531" s="1" t="str">
        <f>TRIM(LEFT(L531,FIND("-",L531)-1))</f>
        <v>Ring 1 Chân Mây_Lăng Cô</v>
      </c>
      <c r="AH531" s="1" t="str">
        <f>TRIM(RIGHT(L531, LEN(L531) - FIND("-", L531)))</f>
        <v>Phú Lộc</v>
      </c>
      <c r="AJ531">
        <f t="shared" si="43"/>
        <v>24.952220000000001</v>
      </c>
      <c r="AK531">
        <f t="shared" si="44"/>
        <v>101.74572999999999</v>
      </c>
      <c r="AL531" t="e">
        <f>VLOOKUP(L531,'[1]Tuyến cáp H04'!$B:$E,3,0)/1000</f>
        <v>#N/A</v>
      </c>
      <c r="AM531" t="e">
        <f>VLOOKUP(L531,'[1]Tuyến cáp H04'!$B:$E,4,0)</f>
        <v>#N/A</v>
      </c>
    </row>
    <row r="532" spans="1:39" x14ac:dyDescent="0.25">
      <c r="A532" s="1" t="s">
        <v>4964</v>
      </c>
      <c r="B532" s="1" t="s">
        <v>278</v>
      </c>
      <c r="C532" s="1" t="s">
        <v>279</v>
      </c>
      <c r="D532" s="1" t="s">
        <v>4738</v>
      </c>
      <c r="E532" s="1" t="s">
        <v>4739</v>
      </c>
      <c r="F532" s="1" t="s">
        <v>4965</v>
      </c>
      <c r="G532" s="1" t="s">
        <v>14281</v>
      </c>
      <c r="H532" s="1" t="s">
        <v>14282</v>
      </c>
      <c r="I532" s="1" t="s">
        <v>14652</v>
      </c>
      <c r="J532" s="1" t="s">
        <v>23</v>
      </c>
      <c r="K532" s="1"/>
      <c r="L532" s="12" t="s">
        <v>4955</v>
      </c>
      <c r="M532" s="1" t="s">
        <v>4752</v>
      </c>
      <c r="N532" s="12" t="b">
        <f t="shared" si="40"/>
        <v>0</v>
      </c>
      <c r="O532" s="1" t="s">
        <v>4966</v>
      </c>
      <c r="P532" s="1" t="s">
        <v>4960</v>
      </c>
      <c r="Q532" s="1" t="s">
        <v>4961</v>
      </c>
      <c r="R532" s="1" t="s">
        <v>4962</v>
      </c>
      <c r="S532" s="1" t="s">
        <v>4967</v>
      </c>
      <c r="T532" s="1" t="s">
        <v>4958</v>
      </c>
      <c r="U532" s="1" t="s">
        <v>4959</v>
      </c>
      <c r="V532" s="13">
        <f>COUNTIF(L532:$M$1659,L532)</f>
        <v>1</v>
      </c>
      <c r="W532" s="1" t="s">
        <v>4963</v>
      </c>
      <c r="X532">
        <v>131863.31</v>
      </c>
      <c r="Y532">
        <v>101745.73</v>
      </c>
      <c r="Z532">
        <v>16.274787</v>
      </c>
      <c r="AA532">
        <v>107.860466</v>
      </c>
      <c r="AB532">
        <v>30117.58</v>
      </c>
      <c r="AC532">
        <v>16.242723999999999</v>
      </c>
      <c r="AD532">
        <v>108.077691</v>
      </c>
      <c r="AE532" s="5">
        <f t="shared" si="41"/>
        <v>152.618595</v>
      </c>
      <c r="AF532" s="5">
        <f t="shared" si="42"/>
        <v>45.176370000000006</v>
      </c>
      <c r="AG532" s="1" t="str">
        <f>TRIM(LEFT(L532,FIND("-",L532)-1))</f>
        <v>Ring 1 Chân Mây_Lăng Cô</v>
      </c>
      <c r="AH532" s="1" t="str">
        <f>TRIM(RIGHT(L532, LEN(L532) - FIND("-", L532)))</f>
        <v>Phú Lộc</v>
      </c>
      <c r="AJ532">
        <f t="shared" si="43"/>
        <v>101.74572999999999</v>
      </c>
      <c r="AK532">
        <f t="shared" si="44"/>
        <v>30.11758</v>
      </c>
      <c r="AL532" t="e">
        <f>VLOOKUP(L532,'[1]Tuyến cáp H04'!$B:$E,3,0)/1000</f>
        <v>#N/A</v>
      </c>
      <c r="AM532" t="e">
        <f>VLOOKUP(L532,'[1]Tuyến cáp H04'!$B:$E,4,0)</f>
        <v>#N/A</v>
      </c>
    </row>
    <row r="533" spans="1:39" x14ac:dyDescent="0.25">
      <c r="A533" s="1" t="s">
        <v>4968</v>
      </c>
      <c r="B533" s="1" t="s">
        <v>4738</v>
      </c>
      <c r="C533" s="1" t="s">
        <v>4739</v>
      </c>
      <c r="D533" s="1" t="s">
        <v>4554</v>
      </c>
      <c r="E533" s="1" t="s">
        <v>4555</v>
      </c>
      <c r="F533" s="1" t="s">
        <v>4969</v>
      </c>
      <c r="G533" s="1" t="s">
        <v>14281</v>
      </c>
      <c r="H533" s="1" t="s">
        <v>14282</v>
      </c>
      <c r="I533" s="1" t="s">
        <v>14653</v>
      </c>
      <c r="J533" s="1" t="s">
        <v>23</v>
      </c>
      <c r="K533" s="1"/>
      <c r="L533" s="12" t="s">
        <v>283</v>
      </c>
      <c r="M533" s="1" t="s">
        <v>5136</v>
      </c>
      <c r="N533" s="12" t="b">
        <f t="shared" si="40"/>
        <v>0</v>
      </c>
      <c r="O533" s="1" t="s">
        <v>4970</v>
      </c>
      <c r="P533" s="1" t="s">
        <v>4745</v>
      </c>
      <c r="Q533" s="1" t="s">
        <v>4681</v>
      </c>
      <c r="R533" s="1" t="s">
        <v>4682</v>
      </c>
      <c r="S533" s="1" t="s">
        <v>4927</v>
      </c>
      <c r="T533" s="1" t="s">
        <v>289</v>
      </c>
      <c r="U533" s="1" t="s">
        <v>290</v>
      </c>
      <c r="V533" s="13">
        <f>COUNTIF(L533:$M$1659,L533)</f>
        <v>1</v>
      </c>
      <c r="W533" s="1" t="s">
        <v>291</v>
      </c>
      <c r="X533">
        <v>155325.76000000001</v>
      </c>
      <c r="Y533">
        <v>155249.48000000001</v>
      </c>
      <c r="Z533">
        <v>14.659758</v>
      </c>
      <c r="AA533">
        <v>107.83978500000001</v>
      </c>
      <c r="AB533">
        <v>76.28</v>
      </c>
      <c r="AC533">
        <v>14.352316999999999</v>
      </c>
      <c r="AD533">
        <v>108.007831</v>
      </c>
      <c r="AE533" s="5">
        <f t="shared" si="41"/>
        <v>232.87422000000004</v>
      </c>
      <c r="AF533" s="5">
        <f t="shared" si="42"/>
        <v>0.11442000000000001</v>
      </c>
      <c r="AG533" s="1" t="str">
        <f>TRIM(LEFT(L533,FIND("-",L533)-1))</f>
        <v>Đăk Tô</v>
      </c>
      <c r="AH533" s="1" t="str">
        <f>TRIM(RIGHT(L533, LEN(L533) - FIND("-", L533)))</f>
        <v>TT2 Kon Tum</v>
      </c>
      <c r="AJ533">
        <f t="shared" si="43"/>
        <v>155.24948000000001</v>
      </c>
      <c r="AK533">
        <f t="shared" si="44"/>
        <v>7.6280000000000001E-2</v>
      </c>
      <c r="AL533">
        <f>VLOOKUP(L533,'[1]Tuyến cáp H04'!$B:$E,3,0)/1000</f>
        <v>43.9602</v>
      </c>
      <c r="AM533" t="str">
        <f>VLOOKUP(L533,'[1]Tuyến cáp H04'!$B:$E,4,0)</f>
        <v>Mạng cấp 3</v>
      </c>
    </row>
    <row r="534" spans="1:39" x14ac:dyDescent="0.25">
      <c r="A534" s="1" t="s">
        <v>4971</v>
      </c>
      <c r="B534" s="1" t="s">
        <v>4972</v>
      </c>
      <c r="C534" s="1" t="s">
        <v>4973</v>
      </c>
      <c r="D534" s="1" t="s">
        <v>4807</v>
      </c>
      <c r="E534" s="1" t="s">
        <v>4808</v>
      </c>
      <c r="F534" s="1" t="s">
        <v>4974</v>
      </c>
      <c r="G534" s="1" t="s">
        <v>14281</v>
      </c>
      <c r="H534" s="1" t="s">
        <v>14282</v>
      </c>
      <c r="I534" s="1" t="s">
        <v>14654</v>
      </c>
      <c r="J534" s="1" t="s">
        <v>23</v>
      </c>
      <c r="K534" s="1"/>
      <c r="L534" s="12" t="s">
        <v>4838</v>
      </c>
      <c r="M534" s="1" t="s">
        <v>4838</v>
      </c>
      <c r="N534" s="12" t="b">
        <f t="shared" si="40"/>
        <v>1</v>
      </c>
      <c r="O534" s="1" t="s">
        <v>4975</v>
      </c>
      <c r="P534" s="1" t="s">
        <v>4976</v>
      </c>
      <c r="Q534" s="1" t="s">
        <v>4977</v>
      </c>
      <c r="R534" s="1" t="s">
        <v>4978</v>
      </c>
      <c r="S534" s="1" t="s">
        <v>4979</v>
      </c>
      <c r="T534" s="1" t="s">
        <v>4980</v>
      </c>
      <c r="U534" s="1" t="s">
        <v>4981</v>
      </c>
      <c r="V534" s="13">
        <f>COUNTIF(L534:$M$1659,L534)</f>
        <v>2</v>
      </c>
      <c r="W534" s="1" t="s">
        <v>4846</v>
      </c>
      <c r="X534">
        <v>1449.39</v>
      </c>
      <c r="Y534">
        <v>231.4</v>
      </c>
      <c r="Z534">
        <v>14.377012000000001</v>
      </c>
      <c r="AA534">
        <v>107.9584</v>
      </c>
      <c r="AB534">
        <v>1217.98</v>
      </c>
      <c r="AC534">
        <v>14.359938</v>
      </c>
      <c r="AD534">
        <v>107.990465</v>
      </c>
      <c r="AE534" s="5">
        <f t="shared" si="41"/>
        <v>0.34710000000000002</v>
      </c>
      <c r="AF534" s="5">
        <f t="shared" si="42"/>
        <v>1.82697</v>
      </c>
      <c r="AG534" s="1" t="str">
        <f>TRIM(LEFT(L534,FIND("-",L534)-1))</f>
        <v>Sa Thầy</v>
      </c>
      <c r="AH534" s="1" t="str">
        <f>TRIM(RIGHT(L534, LEN(L534) - FIND("-", L534)))</f>
        <v>TT2 Kon Tum</v>
      </c>
      <c r="AJ534">
        <f t="shared" si="43"/>
        <v>0.23139999999999999</v>
      </c>
      <c r="AK534">
        <f t="shared" si="44"/>
        <v>1.2179800000000001</v>
      </c>
      <c r="AL534" t="e">
        <f>VLOOKUP(L534,'[1]Tuyến cáp H04'!$B:$E,3,0)/1000</f>
        <v>#N/A</v>
      </c>
      <c r="AM534" t="e">
        <f>VLOOKUP(L534,'[1]Tuyến cáp H04'!$B:$E,4,0)</f>
        <v>#N/A</v>
      </c>
    </row>
    <row r="535" spans="1:39" x14ac:dyDescent="0.25">
      <c r="A535" s="1" t="s">
        <v>4982</v>
      </c>
      <c r="B535" s="1" t="s">
        <v>4920</v>
      </c>
      <c r="C535" s="1" t="s">
        <v>4921</v>
      </c>
      <c r="D535" s="1" t="s">
        <v>4983</v>
      </c>
      <c r="E535" s="1" t="s">
        <v>4984</v>
      </c>
      <c r="F535" s="1" t="s">
        <v>4985</v>
      </c>
      <c r="G535" s="1" t="s">
        <v>14281</v>
      </c>
      <c r="H535" s="1" t="s">
        <v>14282</v>
      </c>
      <c r="I535" s="1" t="s">
        <v>14655</v>
      </c>
      <c r="J535" s="1" t="s">
        <v>23</v>
      </c>
      <c r="K535" s="1"/>
      <c r="L535" s="12" t="s">
        <v>4930</v>
      </c>
      <c r="M535" s="1" t="s">
        <v>4930</v>
      </c>
      <c r="N535" s="12" t="b">
        <f t="shared" si="40"/>
        <v>1</v>
      </c>
      <c r="O535" s="1" t="s">
        <v>4986</v>
      </c>
      <c r="P535" s="1" t="s">
        <v>4987</v>
      </c>
      <c r="Q535" s="1" t="s">
        <v>4988</v>
      </c>
      <c r="R535" s="1" t="s">
        <v>4989</v>
      </c>
      <c r="S535" s="1" t="s">
        <v>4990</v>
      </c>
      <c r="T535" s="1" t="s">
        <v>4991</v>
      </c>
      <c r="U535" s="1" t="s">
        <v>4992</v>
      </c>
      <c r="V535" s="13">
        <f>COUNTIF(L535:$M$1659,L535)</f>
        <v>2</v>
      </c>
      <c r="W535" s="1" t="s">
        <v>4938</v>
      </c>
      <c r="X535">
        <v>111.73</v>
      </c>
      <c r="Y535">
        <v>103.97</v>
      </c>
      <c r="Z535">
        <v>14.354255999999999</v>
      </c>
      <c r="AA535">
        <v>108.002816</v>
      </c>
      <c r="AB535">
        <v>7.76</v>
      </c>
      <c r="AC535">
        <v>14.349694</v>
      </c>
      <c r="AD535">
        <v>108.00743199999999</v>
      </c>
      <c r="AE535" s="5">
        <f t="shared" si="41"/>
        <v>0.15595499999999998</v>
      </c>
      <c r="AF535" s="5">
        <f t="shared" si="42"/>
        <v>1.1640000000000001E-2</v>
      </c>
      <c r="AG535" s="1" t="e">
        <f>TRIM(LEFT(L535,FIND("-",L535)-1))</f>
        <v>#VALUE!</v>
      </c>
      <c r="AH535" s="1" t="e">
        <f>TRIM(RIGHT(L535, LEN(L535) - FIND("-", L535)))</f>
        <v>#VALUE!</v>
      </c>
      <c r="AJ535">
        <f t="shared" si="43"/>
        <v>0.10396999999999999</v>
      </c>
      <c r="AK535">
        <f t="shared" si="44"/>
        <v>7.7599999999999995E-3</v>
      </c>
      <c r="AL535" t="e">
        <f>VLOOKUP(L535,'[1]Tuyến cáp H04'!$B:$E,3,0)/1000</f>
        <v>#N/A</v>
      </c>
      <c r="AM535" t="e">
        <f>VLOOKUP(L535,'[1]Tuyến cáp H04'!$B:$E,4,0)</f>
        <v>#N/A</v>
      </c>
    </row>
    <row r="536" spans="1:39" x14ac:dyDescent="0.25">
      <c r="A536" s="1" t="s">
        <v>4993</v>
      </c>
      <c r="B536" s="1" t="s">
        <v>4994</v>
      </c>
      <c r="C536" s="1" t="s">
        <v>4995</v>
      </c>
      <c r="D536" s="1" t="s">
        <v>4554</v>
      </c>
      <c r="E536" s="1" t="s">
        <v>4555</v>
      </c>
      <c r="F536" s="1" t="s">
        <v>4996</v>
      </c>
      <c r="G536" s="1" t="s">
        <v>14281</v>
      </c>
      <c r="H536" s="1" t="s">
        <v>14282</v>
      </c>
      <c r="I536" s="1" t="s">
        <v>14656</v>
      </c>
      <c r="J536" s="1" t="s">
        <v>23</v>
      </c>
      <c r="K536" s="1"/>
      <c r="L536" s="12" t="s">
        <v>4997</v>
      </c>
      <c r="M536" s="1" t="s">
        <v>4997</v>
      </c>
      <c r="N536" s="12" t="b">
        <f t="shared" si="40"/>
        <v>1</v>
      </c>
      <c r="O536" s="1" t="s">
        <v>4998</v>
      </c>
      <c r="P536" s="1" t="s">
        <v>4999</v>
      </c>
      <c r="Q536" s="1" t="s">
        <v>5000</v>
      </c>
      <c r="R536" s="1" t="s">
        <v>5001</v>
      </c>
      <c r="S536" s="1" t="s">
        <v>5002</v>
      </c>
      <c r="T536" s="1" t="s">
        <v>5003</v>
      </c>
      <c r="U536" s="1" t="s">
        <v>5004</v>
      </c>
      <c r="V536" s="13">
        <f>COUNTIF(L536:$M$1659,L536)</f>
        <v>4</v>
      </c>
      <c r="W536" s="1" t="s">
        <v>5005</v>
      </c>
      <c r="X536">
        <v>420.8</v>
      </c>
      <c r="Y536">
        <v>353.62</v>
      </c>
      <c r="Z536">
        <v>14.352606</v>
      </c>
      <c r="AA536">
        <v>108.02003499999999</v>
      </c>
      <c r="AB536">
        <v>67.180000000000007</v>
      </c>
      <c r="AC536">
        <v>14.352398000000001</v>
      </c>
      <c r="AD536">
        <v>108.007853</v>
      </c>
      <c r="AE536" s="5">
        <f t="shared" si="41"/>
        <v>0.53043000000000007</v>
      </c>
      <c r="AF536" s="5">
        <f t="shared" si="42"/>
        <v>0.10077000000000001</v>
      </c>
      <c r="AG536" s="1" t="str">
        <f>TRIM(LEFT(L536,FIND("-",L536)-1))</f>
        <v>Đăk Rơ Wa</v>
      </c>
      <c r="AH536" s="1" t="str">
        <f>TRIM(RIGHT(L536, LEN(L536) - FIND("-", L536)))</f>
        <v>Kon Tum</v>
      </c>
      <c r="AJ536">
        <f t="shared" si="43"/>
        <v>0.35361999999999999</v>
      </c>
      <c r="AK536">
        <f t="shared" si="44"/>
        <v>6.7180000000000004E-2</v>
      </c>
      <c r="AL536">
        <f>VLOOKUP(L536,'[1]Tuyến cáp H04'!$B:$E,3,0)/1000</f>
        <v>5.4089999999999998</v>
      </c>
      <c r="AM536" t="str">
        <f>VLOOKUP(L536,'[1]Tuyến cáp H04'!$B:$E,4,0)</f>
        <v>Mạng cấp 4</v>
      </c>
    </row>
    <row r="537" spans="1:39" x14ac:dyDescent="0.25">
      <c r="A537" s="1" t="s">
        <v>5006</v>
      </c>
      <c r="B537" s="1" t="s">
        <v>5007</v>
      </c>
      <c r="C537" s="1" t="s">
        <v>5008</v>
      </c>
      <c r="D537" s="1" t="s">
        <v>4850</v>
      </c>
      <c r="E537" s="1" t="s">
        <v>4851</v>
      </c>
      <c r="F537" s="1" t="s">
        <v>5009</v>
      </c>
      <c r="G537" s="1" t="s">
        <v>14281</v>
      </c>
      <c r="H537" s="1" t="s">
        <v>14282</v>
      </c>
      <c r="I537" s="1" t="s">
        <v>14657</v>
      </c>
      <c r="J537" s="1" t="s">
        <v>23</v>
      </c>
      <c r="K537" s="1"/>
      <c r="L537" s="12" t="s">
        <v>4710</v>
      </c>
      <c r="M537" s="1" t="s">
        <v>4710</v>
      </c>
      <c r="N537" s="12" t="b">
        <f t="shared" si="40"/>
        <v>1</v>
      </c>
      <c r="O537" s="1" t="s">
        <v>5010</v>
      </c>
      <c r="P537" s="1" t="s">
        <v>3476</v>
      </c>
      <c r="Q537" s="1" t="s">
        <v>5011</v>
      </c>
      <c r="R537" s="1" t="s">
        <v>5012</v>
      </c>
      <c r="S537" s="1" t="s">
        <v>5013</v>
      </c>
      <c r="T537" s="1" t="s">
        <v>5014</v>
      </c>
      <c r="U537" s="1" t="s">
        <v>5015</v>
      </c>
      <c r="V537" s="13">
        <f>COUNTIF(L537:$M$1659,L537)</f>
        <v>8</v>
      </c>
      <c r="W537" s="1" t="s">
        <v>4718</v>
      </c>
      <c r="X537">
        <v>1588.27</v>
      </c>
      <c r="Y537">
        <v>65.27</v>
      </c>
      <c r="Z537">
        <v>14.334607999999999</v>
      </c>
      <c r="AA537">
        <v>107.996469</v>
      </c>
      <c r="AB537">
        <v>1523</v>
      </c>
      <c r="AC537">
        <v>14.343185999999999</v>
      </c>
      <c r="AD537">
        <v>108.000281</v>
      </c>
      <c r="AE537" s="5">
        <f t="shared" si="41"/>
        <v>9.7905000000000006E-2</v>
      </c>
      <c r="AF537" s="5">
        <f t="shared" si="42"/>
        <v>2.2845</v>
      </c>
      <c r="AG537" s="1" t="str">
        <f>TRIM(LEFT(L537,FIND("-",L537)-1))</f>
        <v>CAT Kon TUm</v>
      </c>
      <c r="AH537" s="1" t="str">
        <f>TRIM(RIGHT(L537, LEN(L537) - FIND("-", L537)))</f>
        <v>Đăk Bla</v>
      </c>
      <c r="AJ537">
        <f t="shared" si="43"/>
        <v>6.5269999999999995E-2</v>
      </c>
      <c r="AK537">
        <f t="shared" si="44"/>
        <v>1.5229999999999999</v>
      </c>
      <c r="AL537">
        <f>VLOOKUP(L537,'[1]Tuyến cáp H04'!$B:$E,3,0)/1000</f>
        <v>9.5890000000000004</v>
      </c>
      <c r="AM537" t="str">
        <f>VLOOKUP(L537,'[1]Tuyến cáp H04'!$B:$E,4,0)</f>
        <v>Mạng cấp 4</v>
      </c>
    </row>
    <row r="538" spans="1:39" x14ac:dyDescent="0.25">
      <c r="A538" s="1" t="s">
        <v>5016</v>
      </c>
      <c r="B538" s="1" t="s">
        <v>4850</v>
      </c>
      <c r="C538" s="1" t="s">
        <v>4851</v>
      </c>
      <c r="D538" s="1" t="s">
        <v>4554</v>
      </c>
      <c r="E538" s="1" t="s">
        <v>4555</v>
      </c>
      <c r="F538" s="1" t="s">
        <v>5017</v>
      </c>
      <c r="G538" s="1" t="s">
        <v>14281</v>
      </c>
      <c r="H538" s="1" t="s">
        <v>14282</v>
      </c>
      <c r="I538" s="1" t="s">
        <v>14658</v>
      </c>
      <c r="J538" s="1" t="s">
        <v>23</v>
      </c>
      <c r="K538" s="1"/>
      <c r="L538" s="12" t="s">
        <v>4997</v>
      </c>
      <c r="M538" s="1" t="s">
        <v>4997</v>
      </c>
      <c r="N538" s="12" t="b">
        <f t="shared" si="40"/>
        <v>1</v>
      </c>
      <c r="O538" s="1" t="s">
        <v>5018</v>
      </c>
      <c r="P538" s="1" t="s">
        <v>5019</v>
      </c>
      <c r="Q538" s="1" t="s">
        <v>5020</v>
      </c>
      <c r="R538" s="1" t="s">
        <v>5021</v>
      </c>
      <c r="S538" s="1" t="s">
        <v>5002</v>
      </c>
      <c r="T538" s="1" t="s">
        <v>5003</v>
      </c>
      <c r="U538" s="1" t="s">
        <v>5004</v>
      </c>
      <c r="V538" s="13">
        <f>COUNTIF(L538:$M$1659,L538)</f>
        <v>2</v>
      </c>
      <c r="W538" s="1" t="s">
        <v>5005</v>
      </c>
      <c r="X538">
        <v>142.76</v>
      </c>
      <c r="Y538">
        <v>75.58</v>
      </c>
      <c r="Z538">
        <v>14.352361999999999</v>
      </c>
      <c r="AA538">
        <v>108.010153</v>
      </c>
      <c r="AB538">
        <v>67.180000000000007</v>
      </c>
      <c r="AC538">
        <v>14.352398000000001</v>
      </c>
      <c r="AD538">
        <v>108.007853</v>
      </c>
      <c r="AE538" s="5">
        <f t="shared" si="41"/>
        <v>0.11337</v>
      </c>
      <c r="AF538" s="5">
        <f t="shared" si="42"/>
        <v>0.10077000000000001</v>
      </c>
      <c r="AG538" s="1" t="str">
        <f>TRIM(LEFT(L538,FIND("-",L538)-1))</f>
        <v>Đăk Rơ Wa</v>
      </c>
      <c r="AH538" s="1" t="str">
        <f>TRIM(RIGHT(L538, LEN(L538) - FIND("-", L538)))</f>
        <v>Kon Tum</v>
      </c>
      <c r="AJ538">
        <f t="shared" si="43"/>
        <v>7.5579999999999994E-2</v>
      </c>
      <c r="AK538">
        <f t="shared" si="44"/>
        <v>6.7180000000000004E-2</v>
      </c>
      <c r="AL538">
        <f>VLOOKUP(L538,'[1]Tuyến cáp H04'!$B:$E,3,0)/1000</f>
        <v>5.4089999999999998</v>
      </c>
      <c r="AM538" t="str">
        <f>VLOOKUP(L538,'[1]Tuyến cáp H04'!$B:$E,4,0)</f>
        <v>Mạng cấp 4</v>
      </c>
    </row>
    <row r="539" spans="1:39" x14ac:dyDescent="0.25">
      <c r="A539" s="1" t="s">
        <v>5022</v>
      </c>
      <c r="B539" s="1" t="s">
        <v>5023</v>
      </c>
      <c r="C539" s="1" t="s">
        <v>5024</v>
      </c>
      <c r="D539" s="1" t="s">
        <v>4872</v>
      </c>
      <c r="E539" s="1" t="s">
        <v>4873</v>
      </c>
      <c r="F539" s="1" t="s">
        <v>5025</v>
      </c>
      <c r="G539" s="1" t="s">
        <v>14281</v>
      </c>
      <c r="H539" s="1" t="s">
        <v>14282</v>
      </c>
      <c r="I539" s="1" t="s">
        <v>14659</v>
      </c>
      <c r="J539" s="1" t="s">
        <v>23</v>
      </c>
      <c r="K539" s="1"/>
      <c r="L539" s="12" t="s">
        <v>4752</v>
      </c>
      <c r="M539" s="1" t="s">
        <v>4752</v>
      </c>
      <c r="N539" s="12" t="b">
        <f t="shared" si="40"/>
        <v>1</v>
      </c>
      <c r="O539" s="1" t="s">
        <v>5026</v>
      </c>
      <c r="P539" s="1" t="s">
        <v>5027</v>
      </c>
      <c r="Q539" s="1" t="s">
        <v>5028</v>
      </c>
      <c r="R539" s="1" t="s">
        <v>5029</v>
      </c>
      <c r="S539" s="1" t="s">
        <v>5030</v>
      </c>
      <c r="T539" s="1" t="s">
        <v>5031</v>
      </c>
      <c r="U539" s="1" t="s">
        <v>5032</v>
      </c>
      <c r="V539" s="13">
        <f>COUNTIF(L539:$M$1659,L539)</f>
        <v>2</v>
      </c>
      <c r="W539" s="1" t="s">
        <v>4760</v>
      </c>
      <c r="X539">
        <v>663.49</v>
      </c>
      <c r="Y539">
        <v>582.83000000000004</v>
      </c>
      <c r="Z539">
        <v>14.342359999999999</v>
      </c>
      <c r="AA539">
        <v>107.982474</v>
      </c>
      <c r="AB539">
        <v>80.650000000000006</v>
      </c>
      <c r="AC539">
        <v>14.313442999999999</v>
      </c>
      <c r="AD539">
        <v>107.925479</v>
      </c>
      <c r="AE539" s="5">
        <f t="shared" si="41"/>
        <v>0.87424500000000016</v>
      </c>
      <c r="AF539" s="5">
        <f t="shared" si="42"/>
        <v>0.12097500000000001</v>
      </c>
      <c r="AG539" s="1" t="str">
        <f>TRIM(LEFT(L539,FIND("-",L539)-1))</f>
        <v>Ia chim</v>
      </c>
      <c r="AH539" s="1" t="str">
        <f>TRIM(RIGHT(L539, LEN(L539) - FIND("-", L539)))</f>
        <v>Đăk Rơ Wa</v>
      </c>
      <c r="AJ539">
        <f t="shared" si="43"/>
        <v>0.58283000000000007</v>
      </c>
      <c r="AK539">
        <f t="shared" si="44"/>
        <v>8.0649999999999999E-2</v>
      </c>
      <c r="AL539">
        <f>VLOOKUP(L539,'[1]Tuyến cáp H04'!$B:$E,3,0)/1000</f>
        <v>17.221</v>
      </c>
      <c r="AM539" t="str">
        <f>VLOOKUP(L539,'[1]Tuyến cáp H04'!$B:$E,4,0)</f>
        <v>Mạng cấp 4</v>
      </c>
    </row>
    <row r="540" spans="1:39" x14ac:dyDescent="0.25">
      <c r="A540" s="1" t="s">
        <v>5033</v>
      </c>
      <c r="B540" s="1" t="s">
        <v>4872</v>
      </c>
      <c r="C540" s="1" t="s">
        <v>4873</v>
      </c>
      <c r="D540" s="1" t="s">
        <v>4707</v>
      </c>
      <c r="E540" s="1" t="s">
        <v>4708</v>
      </c>
      <c r="F540" s="1" t="s">
        <v>5034</v>
      </c>
      <c r="G540" s="1" t="s">
        <v>14281</v>
      </c>
      <c r="H540" s="1" t="s">
        <v>14282</v>
      </c>
      <c r="I540" s="1" t="s">
        <v>14660</v>
      </c>
      <c r="J540" s="1" t="s">
        <v>23</v>
      </c>
      <c r="K540" s="1"/>
      <c r="L540" s="12" t="s">
        <v>4875</v>
      </c>
      <c r="M540" s="1" t="s">
        <v>4875</v>
      </c>
      <c r="N540" s="12" t="b">
        <f t="shared" si="40"/>
        <v>1</v>
      </c>
      <c r="O540" s="1" t="s">
        <v>5035</v>
      </c>
      <c r="P540" s="1" t="s">
        <v>4880</v>
      </c>
      <c r="Q540" s="1" t="s">
        <v>4881</v>
      </c>
      <c r="R540" s="1" t="s">
        <v>4882</v>
      </c>
      <c r="S540" s="1" t="s">
        <v>5036</v>
      </c>
      <c r="T540" s="1" t="s">
        <v>5037</v>
      </c>
      <c r="U540" s="1" t="s">
        <v>5038</v>
      </c>
      <c r="V540" s="13">
        <f>COUNTIF(L540:$M$1659,L540)</f>
        <v>4</v>
      </c>
      <c r="W540" s="1" t="s">
        <v>4883</v>
      </c>
      <c r="X540">
        <v>2670.38</v>
      </c>
      <c r="Y540">
        <v>622.86</v>
      </c>
      <c r="Z540">
        <v>14.30968</v>
      </c>
      <c r="AA540">
        <v>107.92868</v>
      </c>
      <c r="AB540">
        <v>2047.52</v>
      </c>
      <c r="AC540">
        <v>14.296118</v>
      </c>
      <c r="AD540">
        <v>107.975981</v>
      </c>
      <c r="AE540" s="5">
        <f t="shared" si="41"/>
        <v>0.93428999999999995</v>
      </c>
      <c r="AF540" s="5">
        <f t="shared" si="42"/>
        <v>3.0712799999999998</v>
      </c>
      <c r="AG540" s="1" t="str">
        <f>TRIM(LEFT(L540,FIND("-",L540)-1))</f>
        <v>Đăk Bla</v>
      </c>
      <c r="AH540" s="1" t="str">
        <f>TRIM(RIGHT(L540, LEN(L540) - FIND("-", L540)))</f>
        <v>Ia Chim</v>
      </c>
      <c r="AJ540">
        <f t="shared" si="43"/>
        <v>0.62285999999999997</v>
      </c>
      <c r="AK540">
        <f t="shared" si="44"/>
        <v>2.04752</v>
      </c>
      <c r="AL540">
        <f>VLOOKUP(L540,'[1]Tuyến cáp H04'!$B:$E,3,0)/1000</f>
        <v>20.282</v>
      </c>
      <c r="AM540" t="str">
        <f>VLOOKUP(L540,'[1]Tuyến cáp H04'!$B:$E,4,0)</f>
        <v>Mạng cấp 4</v>
      </c>
    </row>
    <row r="541" spans="1:39" x14ac:dyDescent="0.25">
      <c r="A541" s="1" t="s">
        <v>5039</v>
      </c>
      <c r="B541" s="1" t="s">
        <v>5040</v>
      </c>
      <c r="C541" s="1" t="s">
        <v>5041</v>
      </c>
      <c r="D541" s="1" t="s">
        <v>4554</v>
      </c>
      <c r="E541" s="1" t="s">
        <v>4555</v>
      </c>
      <c r="F541" s="1" t="s">
        <v>5042</v>
      </c>
      <c r="G541" s="1" t="s">
        <v>14281</v>
      </c>
      <c r="H541" s="1" t="s">
        <v>14282</v>
      </c>
      <c r="I541" s="1" t="s">
        <v>14661</v>
      </c>
      <c r="J541" s="1" t="s">
        <v>23</v>
      </c>
      <c r="K541" s="1"/>
      <c r="L541" s="12" t="s">
        <v>5043</v>
      </c>
      <c r="M541" s="1" t="s">
        <v>5043</v>
      </c>
      <c r="N541" s="12" t="b">
        <f t="shared" si="40"/>
        <v>1</v>
      </c>
      <c r="O541" s="1" t="s">
        <v>5044</v>
      </c>
      <c r="P541" s="1" t="s">
        <v>5045</v>
      </c>
      <c r="Q541" s="1" t="s">
        <v>5046</v>
      </c>
      <c r="R541" s="1" t="s">
        <v>5047</v>
      </c>
      <c r="S541" s="1" t="s">
        <v>5048</v>
      </c>
      <c r="T541" s="1" t="s">
        <v>5049</v>
      </c>
      <c r="U541" s="1" t="s">
        <v>5050</v>
      </c>
      <c r="V541" s="13">
        <f>COUNTIF(L541:$M$1659,L541)</f>
        <v>4</v>
      </c>
      <c r="W541" s="1" t="s">
        <v>5051</v>
      </c>
      <c r="X541">
        <v>2136.34</v>
      </c>
      <c r="Y541">
        <v>2061.1799999999998</v>
      </c>
      <c r="Z541">
        <v>14.356558</v>
      </c>
      <c r="AA541">
        <v>108.023526</v>
      </c>
      <c r="AB541">
        <v>75.150000000000006</v>
      </c>
      <c r="AC541">
        <v>14.352325</v>
      </c>
      <c r="AD541">
        <v>108.007865</v>
      </c>
      <c r="AE541" s="5">
        <f t="shared" si="41"/>
        <v>3.0917699999999995</v>
      </c>
      <c r="AF541" s="5">
        <f t="shared" si="42"/>
        <v>0.11272500000000001</v>
      </c>
      <c r="AG541" s="1" t="str">
        <f>TRIM(LEFT(L541,FIND("-",L541)-1))</f>
        <v>TT2 Kon Tum</v>
      </c>
      <c r="AH541" s="1" t="str">
        <f>TRIM(RIGHT(L541, LEN(L541) - FIND("-", L541)))</f>
        <v>Kon Rẫy</v>
      </c>
      <c r="AJ541">
        <f t="shared" si="43"/>
        <v>2.0611799999999998</v>
      </c>
      <c r="AK541">
        <f t="shared" si="44"/>
        <v>7.5150000000000008E-2</v>
      </c>
      <c r="AL541">
        <f>VLOOKUP(L541,'[1]Tuyến cáp H04'!$B:$E,3,0)/1000</f>
        <v>29.132300000000001</v>
      </c>
      <c r="AM541" t="str">
        <f>VLOOKUP(L541,'[1]Tuyến cáp H04'!$B:$E,4,0)</f>
        <v>Mạng cấp 3</v>
      </c>
    </row>
    <row r="542" spans="1:39" x14ac:dyDescent="0.25">
      <c r="A542" s="1" t="s">
        <v>5052</v>
      </c>
      <c r="B542" s="1" t="s">
        <v>5053</v>
      </c>
      <c r="C542" s="1" t="s">
        <v>5054</v>
      </c>
      <c r="D542" s="1" t="s">
        <v>4554</v>
      </c>
      <c r="E542" s="1" t="s">
        <v>4555</v>
      </c>
      <c r="F542" s="1" t="s">
        <v>5055</v>
      </c>
      <c r="G542" s="1" t="s">
        <v>14281</v>
      </c>
      <c r="H542" s="1" t="s">
        <v>14282</v>
      </c>
      <c r="I542" s="1" t="s">
        <v>14662</v>
      </c>
      <c r="J542" s="1" t="s">
        <v>23</v>
      </c>
      <c r="K542" s="1"/>
      <c r="L542" s="12" t="s">
        <v>4710</v>
      </c>
      <c r="M542" s="1" t="s">
        <v>4710</v>
      </c>
      <c r="N542" s="12" t="b">
        <f t="shared" si="40"/>
        <v>1</v>
      </c>
      <c r="O542" s="1" t="s">
        <v>5056</v>
      </c>
      <c r="P542" s="1" t="s">
        <v>5057</v>
      </c>
      <c r="Q542" s="1" t="s">
        <v>5058</v>
      </c>
      <c r="R542" s="1" t="s">
        <v>5059</v>
      </c>
      <c r="S542" s="1" t="s">
        <v>5060</v>
      </c>
      <c r="T542" s="1" t="s">
        <v>5014</v>
      </c>
      <c r="U542" s="1" t="s">
        <v>5015</v>
      </c>
      <c r="V542" s="13">
        <f>COUNTIF(L542:$M$1659,L542)</f>
        <v>6</v>
      </c>
      <c r="W542" s="1" t="s">
        <v>4718</v>
      </c>
      <c r="X542">
        <v>1576.93</v>
      </c>
      <c r="Y542">
        <v>211.43</v>
      </c>
      <c r="Z542">
        <v>14.329800000000001</v>
      </c>
      <c r="AA542">
        <v>107.992604</v>
      </c>
      <c r="AB542">
        <v>1365.5</v>
      </c>
      <c r="AC542">
        <v>14.343185999999999</v>
      </c>
      <c r="AD542">
        <v>108.000281</v>
      </c>
      <c r="AE542" s="5">
        <f t="shared" si="41"/>
        <v>0.31714499999999995</v>
      </c>
      <c r="AF542" s="5">
        <f t="shared" si="42"/>
        <v>2.0482499999999999</v>
      </c>
      <c r="AG542" s="1" t="str">
        <f>TRIM(LEFT(L542,FIND("-",L542)-1))</f>
        <v>CAT Kon TUm</v>
      </c>
      <c r="AH542" s="1" t="str">
        <f>TRIM(RIGHT(L542, LEN(L542) - FIND("-", L542)))</f>
        <v>Đăk Bla</v>
      </c>
      <c r="AJ542">
        <f t="shared" si="43"/>
        <v>0.21143000000000001</v>
      </c>
      <c r="AK542">
        <f t="shared" si="44"/>
        <v>1.3654999999999999</v>
      </c>
      <c r="AL542">
        <f>VLOOKUP(L542,'[1]Tuyến cáp H04'!$B:$E,3,0)/1000</f>
        <v>9.5890000000000004</v>
      </c>
      <c r="AM542" t="str">
        <f>VLOOKUP(L542,'[1]Tuyến cáp H04'!$B:$E,4,0)</f>
        <v>Mạng cấp 4</v>
      </c>
    </row>
    <row r="543" spans="1:39" x14ac:dyDescent="0.25">
      <c r="A543" s="1" t="s">
        <v>5061</v>
      </c>
      <c r="B543" s="1" t="s">
        <v>5062</v>
      </c>
      <c r="C543" s="1" t="s">
        <v>5063</v>
      </c>
      <c r="D543" s="1" t="s">
        <v>4571</v>
      </c>
      <c r="E543" s="1" t="s">
        <v>4572</v>
      </c>
      <c r="F543" s="1" t="s">
        <v>5064</v>
      </c>
      <c r="G543" s="1" t="s">
        <v>14281</v>
      </c>
      <c r="H543" s="1" t="s">
        <v>14282</v>
      </c>
      <c r="I543" s="1" t="s">
        <v>14663</v>
      </c>
      <c r="J543" s="1" t="s">
        <v>23</v>
      </c>
      <c r="K543" s="1"/>
      <c r="L543" s="12" t="s">
        <v>4600</v>
      </c>
      <c r="M543" s="1" t="s">
        <v>4600</v>
      </c>
      <c r="N543" s="12" t="b">
        <f t="shared" si="40"/>
        <v>1</v>
      </c>
      <c r="O543" s="1" t="s">
        <v>5065</v>
      </c>
      <c r="P543" s="1" t="s">
        <v>5066</v>
      </c>
      <c r="Q543" s="1" t="s">
        <v>5067</v>
      </c>
      <c r="R543" s="1" t="s">
        <v>5068</v>
      </c>
      <c r="S543" s="1" t="s">
        <v>5069</v>
      </c>
      <c r="T543" s="1" t="s">
        <v>5070</v>
      </c>
      <c r="U543" s="1" t="s">
        <v>5071</v>
      </c>
      <c r="V543" s="13">
        <f>COUNTIF(L543:$M$1659,L543)</f>
        <v>2</v>
      </c>
      <c r="W543" s="1" t="s">
        <v>5072</v>
      </c>
      <c r="X543">
        <v>256.69</v>
      </c>
      <c r="Y543">
        <v>177.82</v>
      </c>
      <c r="Z543">
        <v>14.561059</v>
      </c>
      <c r="AA543">
        <v>107.920536</v>
      </c>
      <c r="AB543">
        <v>78.87</v>
      </c>
      <c r="AC543">
        <v>14.545738999999999</v>
      </c>
      <c r="AD543">
        <v>107.920722</v>
      </c>
      <c r="AE543" s="5">
        <f t="shared" si="41"/>
        <v>0.26673000000000002</v>
      </c>
      <c r="AF543" s="5">
        <f t="shared" si="42"/>
        <v>0.11830500000000001</v>
      </c>
      <c r="AG543" s="1" t="str">
        <f>TRIM(LEFT(L543,FIND("-",L543)-1))</f>
        <v>Đăk Pxi</v>
      </c>
      <c r="AH543" s="1" t="str">
        <f>TRIM(RIGHT(L543, LEN(L543) - FIND("-", L543)))</f>
        <v>CAT Kon Tum</v>
      </c>
      <c r="AJ543">
        <f t="shared" si="43"/>
        <v>0.17782000000000001</v>
      </c>
      <c r="AK543">
        <f t="shared" si="44"/>
        <v>7.887000000000001E-2</v>
      </c>
      <c r="AL543">
        <f>VLOOKUP(L543,'[1]Tuyến cáp H04'!$B:$E,3,0)/1000</f>
        <v>37.417999999999999</v>
      </c>
      <c r="AM543" t="str">
        <f>VLOOKUP(L543,'[1]Tuyến cáp H04'!$B:$E,4,0)</f>
        <v>Mạng cấp 4</v>
      </c>
    </row>
    <row r="544" spans="1:39" x14ac:dyDescent="0.25">
      <c r="A544" s="1" t="s">
        <v>5073</v>
      </c>
      <c r="B544" s="1" t="s">
        <v>5074</v>
      </c>
      <c r="C544" s="1" t="s">
        <v>5075</v>
      </c>
      <c r="D544" s="1" t="s">
        <v>4571</v>
      </c>
      <c r="E544" s="1" t="s">
        <v>4572</v>
      </c>
      <c r="F544" s="1" t="s">
        <v>5076</v>
      </c>
      <c r="G544" s="1" t="s">
        <v>14281</v>
      </c>
      <c r="H544" s="1" t="s">
        <v>14282</v>
      </c>
      <c r="I544" s="1" t="s">
        <v>14664</v>
      </c>
      <c r="J544" s="1" t="s">
        <v>23</v>
      </c>
      <c r="K544" s="1"/>
      <c r="L544" s="12" t="s">
        <v>4574</v>
      </c>
      <c r="M544" s="1" t="s">
        <v>4574</v>
      </c>
      <c r="N544" s="12" t="b">
        <f t="shared" si="40"/>
        <v>1</v>
      </c>
      <c r="O544" s="1" t="s">
        <v>5077</v>
      </c>
      <c r="P544" s="1" t="s">
        <v>5078</v>
      </c>
      <c r="Q544" s="1" t="s">
        <v>5079</v>
      </c>
      <c r="R544" s="1" t="s">
        <v>5080</v>
      </c>
      <c r="S544" s="1" t="s">
        <v>5081</v>
      </c>
      <c r="T544" s="1" t="s">
        <v>5082</v>
      </c>
      <c r="U544" s="1" t="s">
        <v>5083</v>
      </c>
      <c r="V544" s="13">
        <f>COUNTIF(L544:$M$1659,L544)</f>
        <v>4</v>
      </c>
      <c r="W544" s="1" t="s">
        <v>5084</v>
      </c>
      <c r="X544">
        <v>3270.38</v>
      </c>
      <c r="Y544">
        <v>3268.72</v>
      </c>
      <c r="Z544">
        <v>14.545508</v>
      </c>
      <c r="AA544">
        <v>107.920002</v>
      </c>
      <c r="AB544">
        <v>1.66</v>
      </c>
      <c r="AC544">
        <v>14.545607</v>
      </c>
      <c r="AD544">
        <v>107.920008</v>
      </c>
      <c r="AE544" s="5">
        <f t="shared" si="41"/>
        <v>4.9030800000000001</v>
      </c>
      <c r="AF544" s="5">
        <f t="shared" si="42"/>
        <v>2.4899999999999996E-3</v>
      </c>
      <c r="AG544" s="1" t="str">
        <f>TRIM(LEFT(L544,FIND("-",L544)-1))</f>
        <v>Đăk Ui</v>
      </c>
      <c r="AH544" s="1" t="str">
        <f>TRIM(RIGHT(L544, LEN(L544) - FIND("-", L544)))</f>
        <v>Đăk Mar</v>
      </c>
      <c r="AJ544">
        <f t="shared" si="43"/>
        <v>3.2687199999999996</v>
      </c>
      <c r="AK544">
        <f t="shared" si="44"/>
        <v>1.66E-3</v>
      </c>
      <c r="AL544">
        <f>VLOOKUP(L544,'[1]Tuyến cáp H04'!$B:$E,3,0)/1000</f>
        <v>4.383</v>
      </c>
      <c r="AM544" t="str">
        <f>VLOOKUP(L544,'[1]Tuyến cáp H04'!$B:$E,4,0)</f>
        <v>Mạng cấp 4</v>
      </c>
    </row>
    <row r="545" spans="1:39" x14ac:dyDescent="0.25">
      <c r="A545" s="1" t="s">
        <v>5085</v>
      </c>
      <c r="B545" s="1" t="s">
        <v>5086</v>
      </c>
      <c r="C545" s="1" t="s">
        <v>5087</v>
      </c>
      <c r="D545" s="1" t="s">
        <v>4569</v>
      </c>
      <c r="E545" s="1" t="s">
        <v>4570</v>
      </c>
      <c r="F545" s="1" t="s">
        <v>5088</v>
      </c>
      <c r="G545" s="1" t="s">
        <v>14281</v>
      </c>
      <c r="H545" s="1" t="s">
        <v>14282</v>
      </c>
      <c r="I545" s="1" t="s">
        <v>14665</v>
      </c>
      <c r="J545" s="1" t="s">
        <v>23</v>
      </c>
      <c r="K545" s="1"/>
      <c r="L545" s="12" t="s">
        <v>4574</v>
      </c>
      <c r="M545" s="1" t="s">
        <v>4574</v>
      </c>
      <c r="N545" s="12" t="b">
        <f t="shared" si="40"/>
        <v>1</v>
      </c>
      <c r="O545" s="1" t="s">
        <v>5089</v>
      </c>
      <c r="P545" s="1" t="s">
        <v>5090</v>
      </c>
      <c r="Q545" s="1" t="s">
        <v>5091</v>
      </c>
      <c r="R545" s="1" t="s">
        <v>5092</v>
      </c>
      <c r="S545" s="1" t="s">
        <v>4576</v>
      </c>
      <c r="T545" s="1" t="s">
        <v>4577</v>
      </c>
      <c r="U545" s="1" t="s">
        <v>4578</v>
      </c>
      <c r="V545" s="13">
        <f>COUNTIF(L545:$M$1659,L545)</f>
        <v>2</v>
      </c>
      <c r="W545" s="1" t="s">
        <v>4582</v>
      </c>
      <c r="X545">
        <v>4607.21</v>
      </c>
      <c r="Y545">
        <v>4557.05</v>
      </c>
      <c r="Z545">
        <v>14.533442000000001</v>
      </c>
      <c r="AA545">
        <v>107.940314</v>
      </c>
      <c r="AB545">
        <v>50.16</v>
      </c>
      <c r="AC545">
        <v>14.53088</v>
      </c>
      <c r="AD545">
        <v>107.94065399999999</v>
      </c>
      <c r="AE545" s="5">
        <f t="shared" si="41"/>
        <v>6.8355750000000004</v>
      </c>
      <c r="AF545" s="5">
        <f t="shared" si="42"/>
        <v>7.5240000000000001E-2</v>
      </c>
      <c r="AG545" s="1" t="str">
        <f>TRIM(LEFT(L545,FIND("-",L545)-1))</f>
        <v>Đăk Ui</v>
      </c>
      <c r="AH545" s="1" t="str">
        <f>TRIM(RIGHT(L545, LEN(L545) - FIND("-", L545)))</f>
        <v>Đăk Mar</v>
      </c>
      <c r="AJ545">
        <f t="shared" si="43"/>
        <v>4.5570500000000003</v>
      </c>
      <c r="AK545">
        <f t="shared" si="44"/>
        <v>5.0159999999999996E-2</v>
      </c>
      <c r="AL545">
        <f>VLOOKUP(L545,'[1]Tuyến cáp H04'!$B:$E,3,0)/1000</f>
        <v>4.383</v>
      </c>
      <c r="AM545" t="str">
        <f>VLOOKUP(L545,'[1]Tuyến cáp H04'!$B:$E,4,0)</f>
        <v>Mạng cấp 4</v>
      </c>
    </row>
    <row r="546" spans="1:39" x14ac:dyDescent="0.25">
      <c r="A546" s="1" t="s">
        <v>5093</v>
      </c>
      <c r="B546" s="1" t="s">
        <v>5094</v>
      </c>
      <c r="C546" s="1" t="s">
        <v>5095</v>
      </c>
      <c r="D546" s="1" t="s">
        <v>4872</v>
      </c>
      <c r="E546" s="1" t="s">
        <v>4873</v>
      </c>
      <c r="F546" s="1" t="s">
        <v>5096</v>
      </c>
      <c r="G546" s="1" t="s">
        <v>14281</v>
      </c>
      <c r="H546" s="1" t="s">
        <v>14282</v>
      </c>
      <c r="I546" s="1" t="s">
        <v>14666</v>
      </c>
      <c r="J546" s="1" t="s">
        <v>23</v>
      </c>
      <c r="K546" s="1"/>
      <c r="L546" s="12" t="s">
        <v>4875</v>
      </c>
      <c r="M546" s="1" t="s">
        <v>4875</v>
      </c>
      <c r="N546" s="12" t="b">
        <f t="shared" si="40"/>
        <v>1</v>
      </c>
      <c r="O546" s="1" t="s">
        <v>5097</v>
      </c>
      <c r="P546" s="1" t="s">
        <v>5098</v>
      </c>
      <c r="Q546" s="1" t="s">
        <v>5099</v>
      </c>
      <c r="R546" s="1" t="s">
        <v>5100</v>
      </c>
      <c r="S546" s="1" t="s">
        <v>5101</v>
      </c>
      <c r="T546" s="1" t="s">
        <v>5102</v>
      </c>
      <c r="U546" s="1" t="s">
        <v>5103</v>
      </c>
      <c r="V546" s="13">
        <f>COUNTIF(L546:$M$1659,L546)</f>
        <v>2</v>
      </c>
      <c r="W546" s="1" t="s">
        <v>5104</v>
      </c>
      <c r="X546">
        <v>1000.26</v>
      </c>
      <c r="Y546">
        <v>918.95</v>
      </c>
      <c r="Z546">
        <v>14.3094</v>
      </c>
      <c r="AA546">
        <v>107.91629399999999</v>
      </c>
      <c r="AB546">
        <v>81.31</v>
      </c>
      <c r="AC546">
        <v>14.313440999999999</v>
      </c>
      <c r="AD546">
        <v>107.925487</v>
      </c>
      <c r="AE546" s="5">
        <f t="shared" si="41"/>
        <v>1.3784250000000002</v>
      </c>
      <c r="AF546" s="5">
        <f t="shared" si="42"/>
        <v>0.121965</v>
      </c>
      <c r="AG546" s="1" t="str">
        <f>TRIM(LEFT(L546,FIND("-",L546)-1))</f>
        <v>Đăk Bla</v>
      </c>
      <c r="AH546" s="1" t="str">
        <f>TRIM(RIGHT(L546, LEN(L546) - FIND("-", L546)))</f>
        <v>Ia Chim</v>
      </c>
      <c r="AJ546">
        <f t="shared" si="43"/>
        <v>0.91895000000000004</v>
      </c>
      <c r="AK546">
        <f t="shared" si="44"/>
        <v>8.1310000000000007E-2</v>
      </c>
      <c r="AL546">
        <f>VLOOKUP(L546,'[1]Tuyến cáp H04'!$B:$E,3,0)/1000</f>
        <v>20.282</v>
      </c>
      <c r="AM546" t="str">
        <f>VLOOKUP(L546,'[1]Tuyến cáp H04'!$B:$E,4,0)</f>
        <v>Mạng cấp 4</v>
      </c>
    </row>
    <row r="547" spans="1:39" x14ac:dyDescent="0.25">
      <c r="A547" s="1" t="s">
        <v>5105</v>
      </c>
      <c r="B547" s="1" t="s">
        <v>5106</v>
      </c>
      <c r="C547" s="1" t="s">
        <v>5107</v>
      </c>
      <c r="D547" s="1" t="s">
        <v>4554</v>
      </c>
      <c r="E547" s="1" t="s">
        <v>4555</v>
      </c>
      <c r="F547" s="1" t="s">
        <v>5108</v>
      </c>
      <c r="G547" s="1" t="s">
        <v>14281</v>
      </c>
      <c r="H547" s="1" t="s">
        <v>14282</v>
      </c>
      <c r="I547" s="1" t="s">
        <v>14667</v>
      </c>
      <c r="J547" s="1" t="s">
        <v>23</v>
      </c>
      <c r="K547" s="1"/>
      <c r="L547" s="12" t="s">
        <v>5043</v>
      </c>
      <c r="M547" s="1" t="s">
        <v>5043</v>
      </c>
      <c r="N547" s="12" t="b">
        <f t="shared" si="40"/>
        <v>1</v>
      </c>
      <c r="O547" s="1" t="s">
        <v>5109</v>
      </c>
      <c r="P547" s="1" t="s">
        <v>5110</v>
      </c>
      <c r="Q547" s="1" t="s">
        <v>5111</v>
      </c>
      <c r="R547" s="1" t="s">
        <v>5112</v>
      </c>
      <c r="S547" s="1" t="s">
        <v>5048</v>
      </c>
      <c r="T547" s="1" t="s">
        <v>5049</v>
      </c>
      <c r="U547" s="1" t="s">
        <v>5050</v>
      </c>
      <c r="V547" s="13">
        <f>COUNTIF(L547:$M$1659,L547)</f>
        <v>2</v>
      </c>
      <c r="W547" s="1" t="s">
        <v>5051</v>
      </c>
      <c r="X547">
        <v>392.2</v>
      </c>
      <c r="Y547">
        <v>317.04000000000002</v>
      </c>
      <c r="Z547">
        <v>14.364977</v>
      </c>
      <c r="AA547">
        <v>108.026622</v>
      </c>
      <c r="AB547">
        <v>75.150000000000006</v>
      </c>
      <c r="AC547">
        <v>14.352325</v>
      </c>
      <c r="AD547">
        <v>108.007865</v>
      </c>
      <c r="AE547" s="5">
        <f t="shared" si="41"/>
        <v>0.47556000000000004</v>
      </c>
      <c r="AF547" s="5">
        <f t="shared" si="42"/>
        <v>0.11272500000000001</v>
      </c>
      <c r="AG547" s="1" t="str">
        <f>TRIM(LEFT(L547,FIND("-",L547)-1))</f>
        <v>TT2 Kon Tum</v>
      </c>
      <c r="AH547" s="1" t="str">
        <f>TRIM(RIGHT(L547, LEN(L547) - FIND("-", L547)))</f>
        <v>Kon Rẫy</v>
      </c>
      <c r="AJ547">
        <f t="shared" si="43"/>
        <v>0.31704000000000004</v>
      </c>
      <c r="AK547">
        <f t="shared" si="44"/>
        <v>7.5150000000000008E-2</v>
      </c>
      <c r="AL547">
        <f>VLOOKUP(L547,'[1]Tuyến cáp H04'!$B:$E,3,0)/1000</f>
        <v>29.132300000000001</v>
      </c>
      <c r="AM547" t="str">
        <f>VLOOKUP(L547,'[1]Tuyến cáp H04'!$B:$E,4,0)</f>
        <v>Mạng cấp 3</v>
      </c>
    </row>
    <row r="548" spans="1:39" x14ac:dyDescent="0.25">
      <c r="A548" s="1" t="s">
        <v>5113</v>
      </c>
      <c r="B548" s="1" t="s">
        <v>5114</v>
      </c>
      <c r="C548" s="1" t="s">
        <v>5115</v>
      </c>
      <c r="D548" s="1" t="s">
        <v>4983</v>
      </c>
      <c r="E548" s="1" t="s">
        <v>4984</v>
      </c>
      <c r="F548" s="1" t="s">
        <v>5116</v>
      </c>
      <c r="G548" s="1" t="s">
        <v>14281</v>
      </c>
      <c r="H548" s="1" t="s">
        <v>14282</v>
      </c>
      <c r="I548" s="1" t="s">
        <v>14668</v>
      </c>
      <c r="J548" s="1" t="s">
        <v>23</v>
      </c>
      <c r="K548" s="1"/>
      <c r="L548" s="12" t="s">
        <v>4710</v>
      </c>
      <c r="M548" s="1" t="s">
        <v>4710</v>
      </c>
      <c r="N548" s="12" t="b">
        <f t="shared" si="40"/>
        <v>1</v>
      </c>
      <c r="O548" s="1" t="s">
        <v>5117</v>
      </c>
      <c r="P548" s="1" t="s">
        <v>5118</v>
      </c>
      <c r="Q548" s="1" t="s">
        <v>5119</v>
      </c>
      <c r="R548" s="1" t="s">
        <v>5120</v>
      </c>
      <c r="S548" s="1" t="s">
        <v>5121</v>
      </c>
      <c r="T548" s="1" t="s">
        <v>5122</v>
      </c>
      <c r="U548" s="1" t="s">
        <v>5123</v>
      </c>
      <c r="V548" s="13">
        <f>COUNTIF(L548:$M$1659,L548)</f>
        <v>4</v>
      </c>
      <c r="W548" s="1" t="s">
        <v>4860</v>
      </c>
      <c r="X548">
        <v>65.040000000000006</v>
      </c>
      <c r="Y548">
        <v>27.95</v>
      </c>
      <c r="Z548">
        <v>14.345952</v>
      </c>
      <c r="AA548">
        <v>108.00247400000001</v>
      </c>
      <c r="AB548">
        <v>37.090000000000003</v>
      </c>
      <c r="AC548">
        <v>14.349981</v>
      </c>
      <c r="AD548">
        <v>108.007375</v>
      </c>
      <c r="AE548" s="5">
        <f t="shared" si="41"/>
        <v>4.1924999999999997E-2</v>
      </c>
      <c r="AF548" s="5">
        <f t="shared" si="42"/>
        <v>5.5635000000000004E-2</v>
      </c>
      <c r="AG548" s="1" t="str">
        <f>TRIM(LEFT(L548,FIND("-",L548)-1))</f>
        <v>CAT Kon TUm</v>
      </c>
      <c r="AH548" s="1" t="str">
        <f>TRIM(RIGHT(L548, LEN(L548) - FIND("-", L548)))</f>
        <v>Đăk Bla</v>
      </c>
      <c r="AJ548">
        <f t="shared" si="43"/>
        <v>2.7949999999999999E-2</v>
      </c>
      <c r="AK548">
        <f t="shared" si="44"/>
        <v>3.7090000000000005E-2</v>
      </c>
      <c r="AL548">
        <f>VLOOKUP(L548,'[1]Tuyến cáp H04'!$B:$E,3,0)/1000</f>
        <v>9.5890000000000004</v>
      </c>
      <c r="AM548" t="str">
        <f>VLOOKUP(L548,'[1]Tuyến cáp H04'!$B:$E,4,0)</f>
        <v>Mạng cấp 4</v>
      </c>
    </row>
    <row r="549" spans="1:39" x14ac:dyDescent="0.25">
      <c r="A549" s="1" t="s">
        <v>5124</v>
      </c>
      <c r="B549" s="1" t="s">
        <v>5125</v>
      </c>
      <c r="C549" s="1" t="s">
        <v>5126</v>
      </c>
      <c r="D549" s="1" t="s">
        <v>4850</v>
      </c>
      <c r="E549" s="1" t="s">
        <v>4851</v>
      </c>
      <c r="F549" s="1" t="s">
        <v>5127</v>
      </c>
      <c r="G549" s="1" t="s">
        <v>14281</v>
      </c>
      <c r="H549" s="1" t="s">
        <v>14282</v>
      </c>
      <c r="I549" s="1" t="s">
        <v>14669</v>
      </c>
      <c r="J549" s="1" t="s">
        <v>23</v>
      </c>
      <c r="K549" s="1"/>
      <c r="L549" s="12" t="s">
        <v>4710</v>
      </c>
      <c r="M549" s="1" t="s">
        <v>4710</v>
      </c>
      <c r="N549" s="12" t="b">
        <f t="shared" si="40"/>
        <v>1</v>
      </c>
      <c r="O549" s="1" t="s">
        <v>5128</v>
      </c>
      <c r="P549" s="1" t="s">
        <v>5129</v>
      </c>
      <c r="Q549" s="1" t="s">
        <v>5130</v>
      </c>
      <c r="R549" s="1" t="s">
        <v>5131</v>
      </c>
      <c r="S549" s="1" t="s">
        <v>4857</v>
      </c>
      <c r="T549" s="1" t="s">
        <v>4858</v>
      </c>
      <c r="U549" s="1" t="s">
        <v>4859</v>
      </c>
      <c r="V549" s="13">
        <f>COUNTIF(L549:$M$1659,L549)</f>
        <v>2</v>
      </c>
      <c r="W549" s="1" t="s">
        <v>4860</v>
      </c>
      <c r="X549">
        <v>596.6</v>
      </c>
      <c r="Y549">
        <v>342.2</v>
      </c>
      <c r="Z549">
        <v>14.345356000000001</v>
      </c>
      <c r="AA549">
        <v>108.009923</v>
      </c>
      <c r="AB549">
        <v>254.4</v>
      </c>
      <c r="AC549">
        <v>14.352304</v>
      </c>
      <c r="AD549">
        <v>108.007864</v>
      </c>
      <c r="AE549" s="5">
        <f t="shared" si="41"/>
        <v>0.51329999999999998</v>
      </c>
      <c r="AF549" s="5">
        <f t="shared" si="42"/>
        <v>0.38160000000000005</v>
      </c>
      <c r="AG549" s="1" t="str">
        <f>TRIM(LEFT(L549,FIND("-",L549)-1))</f>
        <v>CAT Kon TUm</v>
      </c>
      <c r="AH549" s="1" t="str">
        <f>TRIM(RIGHT(L549, LEN(L549) - FIND("-", L549)))</f>
        <v>Đăk Bla</v>
      </c>
      <c r="AJ549">
        <f t="shared" si="43"/>
        <v>0.3422</v>
      </c>
      <c r="AK549">
        <f t="shared" si="44"/>
        <v>0.25440000000000002</v>
      </c>
      <c r="AL549">
        <f>VLOOKUP(L549,'[1]Tuyến cáp H04'!$B:$E,3,0)/1000</f>
        <v>9.5890000000000004</v>
      </c>
      <c r="AM549" t="str">
        <f>VLOOKUP(L549,'[1]Tuyến cáp H04'!$B:$E,4,0)</f>
        <v>Mạng cấp 4</v>
      </c>
    </row>
    <row r="550" spans="1:39" x14ac:dyDescent="0.25">
      <c r="A550" s="1" t="s">
        <v>5132</v>
      </c>
      <c r="B550" s="1" t="s">
        <v>5133</v>
      </c>
      <c r="C550" s="1" t="s">
        <v>5134</v>
      </c>
      <c r="D550" s="1" t="s">
        <v>4554</v>
      </c>
      <c r="E550" s="1" t="s">
        <v>4555</v>
      </c>
      <c r="F550" s="1" t="s">
        <v>5135</v>
      </c>
      <c r="G550" s="1" t="s">
        <v>14281</v>
      </c>
      <c r="H550" s="1" t="s">
        <v>14282</v>
      </c>
      <c r="I550" s="1" t="s">
        <v>14670</v>
      </c>
      <c r="J550" s="1" t="s">
        <v>23</v>
      </c>
      <c r="K550" s="1"/>
      <c r="L550" s="12" t="s">
        <v>5136</v>
      </c>
      <c r="M550" s="1" t="s">
        <v>5136</v>
      </c>
      <c r="N550" s="12" t="b">
        <f t="shared" si="40"/>
        <v>1</v>
      </c>
      <c r="O550" s="1" t="s">
        <v>5137</v>
      </c>
      <c r="P550" s="1" t="s">
        <v>5138</v>
      </c>
      <c r="Q550" s="1" t="s">
        <v>5139</v>
      </c>
      <c r="R550" s="1" t="s">
        <v>5140</v>
      </c>
      <c r="S550" s="1" t="s">
        <v>5141</v>
      </c>
      <c r="T550" s="1" t="s">
        <v>5142</v>
      </c>
      <c r="U550" s="1" t="s">
        <v>5143</v>
      </c>
      <c r="V550" s="13">
        <f>COUNTIF(L550:$M$1659,L550)</f>
        <v>2</v>
      </c>
      <c r="W550" s="1" t="s">
        <v>5144</v>
      </c>
      <c r="X550">
        <v>228.58</v>
      </c>
      <c r="Y550">
        <v>152.5</v>
      </c>
      <c r="Z550">
        <v>14.356747</v>
      </c>
      <c r="AA550">
        <v>108.012901</v>
      </c>
      <c r="AB550">
        <v>76.08</v>
      </c>
      <c r="AC550">
        <v>14.352316</v>
      </c>
      <c r="AD550">
        <v>108.007886</v>
      </c>
      <c r="AE550" s="5">
        <f t="shared" si="41"/>
        <v>0.22875000000000001</v>
      </c>
      <c r="AF550" s="5">
        <f t="shared" si="42"/>
        <v>0.11412</v>
      </c>
      <c r="AG550" s="1" t="str">
        <f>TRIM(LEFT(L550,FIND("-",L550)-1))</f>
        <v>CAT Kon Tum</v>
      </c>
      <c r="AH550" s="1" t="str">
        <f>TRIM(RIGHT(L550, LEN(L550) - FIND("-", L550)))</f>
        <v>Đăk Cấm</v>
      </c>
      <c r="AJ550">
        <f t="shared" si="43"/>
        <v>0.1525</v>
      </c>
      <c r="AK550">
        <f t="shared" si="44"/>
        <v>7.6079999999999995E-2</v>
      </c>
      <c r="AL550">
        <f>VLOOKUP(L550,'[1]Tuyến cáp H04'!$B:$E,3,0)/1000</f>
        <v>3.4119999999999999</v>
      </c>
      <c r="AM550" t="str">
        <f>VLOOKUP(L550,'[1]Tuyến cáp H04'!$B:$E,4,0)</f>
        <v>Mạng cấp 4</v>
      </c>
    </row>
    <row r="551" spans="1:39" x14ac:dyDescent="0.25">
      <c r="A551" s="1" t="s">
        <v>5145</v>
      </c>
      <c r="B551" s="1" t="s">
        <v>5146</v>
      </c>
      <c r="C551" s="1" t="s">
        <v>5147</v>
      </c>
      <c r="D551" s="1" t="s">
        <v>4500</v>
      </c>
      <c r="E551" s="1" t="s">
        <v>4501</v>
      </c>
      <c r="F551" s="1" t="s">
        <v>5148</v>
      </c>
      <c r="G551" s="1" t="s">
        <v>14281</v>
      </c>
      <c r="H551" s="1" t="s">
        <v>14282</v>
      </c>
      <c r="I551" s="1" t="s">
        <v>14671</v>
      </c>
      <c r="J551" s="1" t="s">
        <v>23</v>
      </c>
      <c r="K551" s="1"/>
      <c r="L551" s="12" t="s">
        <v>4665</v>
      </c>
      <c r="M551" s="1" t="s">
        <v>4665</v>
      </c>
      <c r="N551" s="12" t="b">
        <f t="shared" si="40"/>
        <v>1</v>
      </c>
      <c r="O551" s="1" t="s">
        <v>5149</v>
      </c>
      <c r="P551" s="1" t="s">
        <v>5150</v>
      </c>
      <c r="Q551" s="1" t="s">
        <v>5151</v>
      </c>
      <c r="R551" s="1" t="s">
        <v>5152</v>
      </c>
      <c r="S551" s="1" t="s">
        <v>4670</v>
      </c>
      <c r="T551" s="1" t="s">
        <v>4671</v>
      </c>
      <c r="U551" s="1" t="s">
        <v>4672</v>
      </c>
      <c r="V551" s="13">
        <f>COUNTIF(L551:$M$1659,L551)</f>
        <v>2</v>
      </c>
      <c r="W551" s="1" t="s">
        <v>4673</v>
      </c>
      <c r="X551">
        <v>126.73</v>
      </c>
      <c r="Y551">
        <v>111.23</v>
      </c>
      <c r="Z551">
        <v>14.714510000000001</v>
      </c>
      <c r="AA551">
        <v>107.68991800000001</v>
      </c>
      <c r="AB551">
        <v>15.5</v>
      </c>
      <c r="AC551">
        <v>14.724413999999999</v>
      </c>
      <c r="AD551">
        <v>107.68788000000001</v>
      </c>
      <c r="AE551" s="5">
        <f t="shared" si="41"/>
        <v>0.16684499999999999</v>
      </c>
      <c r="AF551" s="5">
        <f t="shared" si="42"/>
        <v>2.325E-2</v>
      </c>
      <c r="AG551" s="1" t="str">
        <f>TRIM(LEFT(L551,FIND("-",L551)-1))</f>
        <v>Pô Kô</v>
      </c>
      <c r="AH551" s="1" t="str">
        <f>TRIM(RIGHT(L551, LEN(L551) - FIND("-", L551)))</f>
        <v>TTCMKV Ngọc Hồi</v>
      </c>
      <c r="AJ551">
        <f t="shared" si="43"/>
        <v>0.11123000000000001</v>
      </c>
      <c r="AK551">
        <f t="shared" si="44"/>
        <v>1.55E-2</v>
      </c>
      <c r="AL551">
        <f>VLOOKUP(L551,'[1]Tuyến cáp H04'!$B:$E,3,0)/1000</f>
        <v>30.841999999999999</v>
      </c>
      <c r="AM551" t="str">
        <f>VLOOKUP(L551,'[1]Tuyến cáp H04'!$B:$E,4,0)</f>
        <v>Mạng cấp 4</v>
      </c>
    </row>
    <row r="552" spans="1:39" x14ac:dyDescent="0.25">
      <c r="A552" s="1" t="s">
        <v>5153</v>
      </c>
      <c r="B552" s="1" t="s">
        <v>5154</v>
      </c>
      <c r="C552" s="1" t="s">
        <v>5155</v>
      </c>
      <c r="D552" s="1" t="s">
        <v>4835</v>
      </c>
      <c r="E552" s="1" t="s">
        <v>4836</v>
      </c>
      <c r="F552" s="1" t="s">
        <v>5156</v>
      </c>
      <c r="G552" s="1" t="s">
        <v>14281</v>
      </c>
      <c r="H552" s="1" t="s">
        <v>14282</v>
      </c>
      <c r="I552" s="1" t="s">
        <v>14672</v>
      </c>
      <c r="J552" s="1" t="s">
        <v>23</v>
      </c>
      <c r="K552" s="1"/>
      <c r="L552" s="12" t="s">
        <v>5157</v>
      </c>
      <c r="M552" s="1" t="s">
        <v>5157</v>
      </c>
      <c r="N552" s="12" t="b">
        <f t="shared" si="40"/>
        <v>1</v>
      </c>
      <c r="O552" s="1" t="s">
        <v>5158</v>
      </c>
      <c r="P552" s="1" t="s">
        <v>5159</v>
      </c>
      <c r="Q552" s="1" t="s">
        <v>5160</v>
      </c>
      <c r="R552" s="1" t="s">
        <v>5161</v>
      </c>
      <c r="S552" s="1" t="s">
        <v>5162</v>
      </c>
      <c r="T552" s="1" t="s">
        <v>5160</v>
      </c>
      <c r="U552" s="1" t="s">
        <v>5161</v>
      </c>
      <c r="V552" s="13">
        <f>COUNTIF(L552:$M$1659,L552)</f>
        <v>2</v>
      </c>
      <c r="W552" s="1" t="s">
        <v>5163</v>
      </c>
      <c r="X552">
        <v>445.22</v>
      </c>
      <c r="Y552">
        <v>445.06</v>
      </c>
      <c r="Z552">
        <v>14.380141</v>
      </c>
      <c r="AA552">
        <v>107.986801</v>
      </c>
      <c r="AB552">
        <v>0.16</v>
      </c>
      <c r="AC552">
        <v>14.380141</v>
      </c>
      <c r="AD552">
        <v>107.986801</v>
      </c>
      <c r="AE552" s="5">
        <f t="shared" si="41"/>
        <v>0.66759000000000002</v>
      </c>
      <c r="AF552" s="5">
        <f t="shared" si="42"/>
        <v>2.3999999999999998E-4</v>
      </c>
      <c r="AG552" s="1" t="str">
        <f>TRIM(LEFT(L552,FIND("-",L552)-1))</f>
        <v>Khối CS (PC01, PC02, PC03, PC04)</v>
      </c>
      <c r="AH552" s="1" t="str">
        <f>TRIM(RIGHT(L552, LEN(L552) - FIND("-", L552)))</f>
        <v>PC08</v>
      </c>
      <c r="AJ552">
        <f t="shared" si="43"/>
        <v>0.44506000000000001</v>
      </c>
      <c r="AK552">
        <f t="shared" si="44"/>
        <v>1.6000000000000001E-4</v>
      </c>
      <c r="AL552">
        <f>VLOOKUP(L552,'[1]Tuyến cáp H04'!$B:$E,3,0)/1000</f>
        <v>8.3019999999999996</v>
      </c>
      <c r="AM552" t="str">
        <f>VLOOKUP(L552,'[1]Tuyến cáp H04'!$B:$E,4,0)</f>
        <v>Mạng cấp 3</v>
      </c>
    </row>
    <row r="553" spans="1:39" x14ac:dyDescent="0.25">
      <c r="A553" s="1" t="s">
        <v>5164</v>
      </c>
      <c r="B553" s="1" t="e">
        <v>#N/A</v>
      </c>
      <c r="C553" s="1" t="e">
        <v>#N/A</v>
      </c>
      <c r="D553" s="1" t="s">
        <v>4850</v>
      </c>
      <c r="E553" s="1" t="s">
        <v>4851</v>
      </c>
      <c r="F553" s="1" t="s">
        <v>5165</v>
      </c>
      <c r="G553" s="1" t="s">
        <v>14281</v>
      </c>
      <c r="H553" s="1" t="s">
        <v>14282</v>
      </c>
      <c r="I553" s="1" t="s">
        <v>14673</v>
      </c>
      <c r="J553" s="1" t="s">
        <v>5166</v>
      </c>
      <c r="K553" s="1" t="s">
        <v>5167</v>
      </c>
      <c r="L553" s="12"/>
      <c r="M553" s="1"/>
      <c r="N553" s="12" t="b">
        <f t="shared" si="40"/>
        <v>1</v>
      </c>
      <c r="O553" s="1"/>
      <c r="P553" s="1"/>
      <c r="Q553" s="1"/>
      <c r="R553" s="1"/>
      <c r="S553" s="1"/>
      <c r="T553" s="1"/>
      <c r="U553" s="1"/>
      <c r="V553" s="13">
        <f>COUNTIF(L553:$M$1659,L553)</f>
        <v>0</v>
      </c>
      <c r="W553" s="1"/>
      <c r="AE553" s="5"/>
      <c r="AF553" s="5"/>
      <c r="AG553" s="1"/>
      <c r="AH553" s="1"/>
      <c r="AL553" t="e">
        <f>VLOOKUP(L553,'[1]Tuyến cáp H04'!$B:$E,3,0)/1000</f>
        <v>#N/A</v>
      </c>
      <c r="AM553" t="e">
        <f>VLOOKUP(L553,'[1]Tuyến cáp H04'!$B:$E,4,0)</f>
        <v>#N/A</v>
      </c>
    </row>
    <row r="554" spans="1:39" x14ac:dyDescent="0.25">
      <c r="A554" s="1" t="s">
        <v>5168</v>
      </c>
      <c r="B554" s="1" t="s">
        <v>5169</v>
      </c>
      <c r="C554" s="1" t="s">
        <v>5170</v>
      </c>
      <c r="D554" s="1" t="s">
        <v>4610</v>
      </c>
      <c r="E554" s="1" t="s">
        <v>4611</v>
      </c>
      <c r="F554" s="1" t="s">
        <v>5171</v>
      </c>
      <c r="G554" s="1" t="s">
        <v>14281</v>
      </c>
      <c r="H554" s="1" t="s">
        <v>14282</v>
      </c>
      <c r="I554" s="1" t="s">
        <v>14674</v>
      </c>
      <c r="J554" s="1" t="s">
        <v>23</v>
      </c>
      <c r="K554" s="1"/>
      <c r="L554" s="12" t="s">
        <v>4613</v>
      </c>
      <c r="M554" s="1" t="s">
        <v>4613</v>
      </c>
      <c r="N554" s="12" t="b">
        <f t="shared" si="40"/>
        <v>1</v>
      </c>
      <c r="O554" s="1" t="s">
        <v>5172</v>
      </c>
      <c r="P554" s="1" t="s">
        <v>5173</v>
      </c>
      <c r="Q554" s="1" t="s">
        <v>4616</v>
      </c>
      <c r="R554" s="1" t="s">
        <v>4617</v>
      </c>
      <c r="S554" s="1" t="s">
        <v>4618</v>
      </c>
      <c r="T554" s="1" t="s">
        <v>4619</v>
      </c>
      <c r="U554" s="1" t="s">
        <v>4620</v>
      </c>
      <c r="V554" s="13">
        <f>COUNTIF(L554:$M$1659,L554)</f>
        <v>6</v>
      </c>
      <c r="W554" s="1" t="s">
        <v>4621</v>
      </c>
      <c r="X554">
        <v>99407.86</v>
      </c>
      <c r="Y554">
        <v>95430.33</v>
      </c>
      <c r="Z554">
        <v>15.340258</v>
      </c>
      <c r="AA554">
        <v>108.213703</v>
      </c>
      <c r="AB554">
        <v>3977.54</v>
      </c>
      <c r="AC554">
        <v>15.550722</v>
      </c>
      <c r="AD554">
        <v>108.413776</v>
      </c>
      <c r="AE554" s="5">
        <f t="shared" si="41"/>
        <v>143.14549499999998</v>
      </c>
      <c r="AF554" s="5">
        <f t="shared" si="42"/>
        <v>5.9663099999999991</v>
      </c>
      <c r="AG554" s="1" t="str">
        <f>TRIM(LEFT(L554,FIND("-",L554)-1))</f>
        <v>Bắc Trà My</v>
      </c>
      <c r="AH554" s="1" t="str">
        <f>TRIM(RIGHT(L554, LEN(L554) - FIND("-", L554)))</f>
        <v>Phú Ninh</v>
      </c>
      <c r="AJ554">
        <f t="shared" si="43"/>
        <v>95.430329999999998</v>
      </c>
      <c r="AK554">
        <f t="shared" si="44"/>
        <v>3.9775399999999999</v>
      </c>
      <c r="AL554">
        <f>VLOOKUP(L554,'[1]Tuyến cáp H04'!$B:$E,3,0)/1000</f>
        <v>44.34</v>
      </c>
      <c r="AM554" t="str">
        <f>VLOOKUP(L554,'[1]Tuyến cáp H04'!$B:$E,4,0)</f>
        <v>Mạng cấp 3</v>
      </c>
    </row>
    <row r="555" spans="1:39" x14ac:dyDescent="0.25">
      <c r="A555" s="1" t="s">
        <v>5174</v>
      </c>
      <c r="B555" s="1" t="s">
        <v>5175</v>
      </c>
      <c r="C555" s="1" t="s">
        <v>5176</v>
      </c>
      <c r="D555" s="1" t="s">
        <v>4514</v>
      </c>
      <c r="E555" s="1" t="s">
        <v>4515</v>
      </c>
      <c r="F555" s="1" t="s">
        <v>5177</v>
      </c>
      <c r="G555" s="1" t="s">
        <v>14281</v>
      </c>
      <c r="H555" s="1" t="s">
        <v>14282</v>
      </c>
      <c r="I555" s="1" t="s">
        <v>14675</v>
      </c>
      <c r="J555" s="1" t="s">
        <v>23</v>
      </c>
      <c r="K555" s="1"/>
      <c r="L555" s="12" t="s">
        <v>4519</v>
      </c>
      <c r="M555" s="1" t="s">
        <v>4519</v>
      </c>
      <c r="N555" s="12" t="b">
        <f t="shared" si="40"/>
        <v>1</v>
      </c>
      <c r="O555" s="1" t="s">
        <v>5178</v>
      </c>
      <c r="P555" s="1" t="s">
        <v>5179</v>
      </c>
      <c r="Q555" s="1" t="s">
        <v>5180</v>
      </c>
      <c r="R555" s="1" t="s">
        <v>5181</v>
      </c>
      <c r="S555" s="1" t="s">
        <v>4521</v>
      </c>
      <c r="T555" s="1" t="s">
        <v>4522</v>
      </c>
      <c r="U555" s="1" t="s">
        <v>4523</v>
      </c>
      <c r="V555" s="13">
        <f>COUNTIF(L555:$M$1659,L555)</f>
        <v>2</v>
      </c>
      <c r="W555" s="1" t="s">
        <v>4527</v>
      </c>
      <c r="X555">
        <v>100.11</v>
      </c>
      <c r="Y555">
        <v>47.35</v>
      </c>
      <c r="Z555">
        <v>14.721538000000001</v>
      </c>
      <c r="AA555">
        <v>107.80973400000001</v>
      </c>
      <c r="AB555">
        <v>52.76</v>
      </c>
      <c r="AC555">
        <v>14.698688000000001</v>
      </c>
      <c r="AD555">
        <v>107.83670499999999</v>
      </c>
      <c r="AE555" s="5">
        <f t="shared" si="41"/>
        <v>7.1025000000000005E-2</v>
      </c>
      <c r="AF555" s="5">
        <f t="shared" si="42"/>
        <v>7.9140000000000002E-2</v>
      </c>
      <c r="AG555" s="1" t="str">
        <f>TRIM(LEFT(L555,FIND("-",L555)-1))</f>
        <v>Đăk Mar</v>
      </c>
      <c r="AH555" s="1" t="str">
        <f>TRIM(RIGHT(L555, LEN(L555) - FIND("-", L555)))</f>
        <v>Ngọk Tụ</v>
      </c>
      <c r="AJ555">
        <f t="shared" si="43"/>
        <v>4.7350000000000003E-2</v>
      </c>
      <c r="AK555">
        <f t="shared" si="44"/>
        <v>5.2760000000000001E-2</v>
      </c>
      <c r="AL555">
        <f>VLOOKUP(L555,'[1]Tuyến cáp H04'!$B:$E,3,0)/1000</f>
        <v>30.866</v>
      </c>
      <c r="AM555" t="str">
        <f>VLOOKUP(L555,'[1]Tuyến cáp H04'!$B:$E,4,0)</f>
        <v>Mạng cấp 4</v>
      </c>
    </row>
    <row r="556" spans="1:39" x14ac:dyDescent="0.25">
      <c r="A556" s="1" t="s">
        <v>5182</v>
      </c>
      <c r="B556" s="1" t="s">
        <v>4554</v>
      </c>
      <c r="C556" s="1" t="s">
        <v>4555</v>
      </c>
      <c r="D556" s="1" t="s">
        <v>4983</v>
      </c>
      <c r="E556" s="1" t="s">
        <v>4984</v>
      </c>
      <c r="F556" s="1" t="s">
        <v>5183</v>
      </c>
      <c r="G556" s="1" t="s">
        <v>14281</v>
      </c>
      <c r="H556" s="1" t="s">
        <v>14282</v>
      </c>
      <c r="I556" s="1" t="s">
        <v>14676</v>
      </c>
      <c r="J556" s="1" t="s">
        <v>23</v>
      </c>
      <c r="K556" s="1"/>
      <c r="L556" s="12" t="s">
        <v>4810</v>
      </c>
      <c r="M556" s="1" t="s">
        <v>4810</v>
      </c>
      <c r="N556" s="12" t="b">
        <f t="shared" si="40"/>
        <v>1</v>
      </c>
      <c r="O556" s="1" t="s">
        <v>5184</v>
      </c>
      <c r="P556" s="1" t="s">
        <v>5185</v>
      </c>
      <c r="Q556" s="1" t="s">
        <v>5186</v>
      </c>
      <c r="R556" s="1" t="s">
        <v>5187</v>
      </c>
      <c r="S556" s="1" t="s">
        <v>5188</v>
      </c>
      <c r="T556" s="1" t="s">
        <v>5189</v>
      </c>
      <c r="U556" s="1" t="s">
        <v>5190</v>
      </c>
      <c r="V556" s="13">
        <f>COUNTIF(L556:$M$1659,L556)</f>
        <v>2</v>
      </c>
      <c r="W556" s="1" t="s">
        <v>4818</v>
      </c>
      <c r="X556">
        <v>42.47</v>
      </c>
      <c r="Y556">
        <v>4.76</v>
      </c>
      <c r="Z556">
        <v>14.352999000000001</v>
      </c>
      <c r="AA556">
        <v>108.007856</v>
      </c>
      <c r="AB556">
        <v>37.700000000000003</v>
      </c>
      <c r="AC556">
        <v>14.349993</v>
      </c>
      <c r="AD556">
        <v>108.00739299999999</v>
      </c>
      <c r="AE556" s="5">
        <f t="shared" si="41"/>
        <v>7.1399999999999996E-3</v>
      </c>
      <c r="AF556" s="5">
        <f t="shared" si="42"/>
        <v>5.6550000000000003E-2</v>
      </c>
      <c r="AG556" s="1" t="str">
        <f>TRIM(LEFT(L556,FIND("-",L556)-1))</f>
        <v>CAT Kon Tum</v>
      </c>
      <c r="AH556" s="1" t="str">
        <f>TRIM(RIGHT(L556, LEN(L556) - FIND("-", L556)))</f>
        <v>Ngọk Bay</v>
      </c>
      <c r="AJ556">
        <f t="shared" si="43"/>
        <v>4.7599999999999995E-3</v>
      </c>
      <c r="AK556">
        <f t="shared" si="44"/>
        <v>3.7700000000000004E-2</v>
      </c>
      <c r="AL556">
        <f>VLOOKUP(L556,'[1]Tuyến cáp H04'!$B:$E,3,0)/1000</f>
        <v>4.367</v>
      </c>
      <c r="AM556" t="str">
        <f>VLOOKUP(L556,'[1]Tuyến cáp H04'!$B:$E,4,0)</f>
        <v>Mạng cấp 4</v>
      </c>
    </row>
    <row r="557" spans="1:39" x14ac:dyDescent="0.25">
      <c r="A557" s="1" t="s">
        <v>5191</v>
      </c>
      <c r="B557" s="1" t="s">
        <v>5192</v>
      </c>
      <c r="C557" s="1" t="s">
        <v>5193</v>
      </c>
      <c r="D557" s="1" t="s">
        <v>5194</v>
      </c>
      <c r="E557" s="1" t="s">
        <v>5195</v>
      </c>
      <c r="F557" s="1" t="s">
        <v>5196</v>
      </c>
      <c r="G557" s="1" t="s">
        <v>14129</v>
      </c>
      <c r="H557" s="1" t="s">
        <v>14133</v>
      </c>
      <c r="I557" s="1" t="s">
        <v>14677</v>
      </c>
      <c r="J557" s="1" t="s">
        <v>23</v>
      </c>
      <c r="K557" s="1"/>
      <c r="L557" s="1" t="s">
        <v>5197</v>
      </c>
      <c r="M557" s="1" t="s">
        <v>5197</v>
      </c>
      <c r="N557" s="12" t="b">
        <f t="shared" si="40"/>
        <v>1</v>
      </c>
      <c r="O557" s="1" t="s">
        <v>5198</v>
      </c>
      <c r="P557" s="1" t="s">
        <v>5199</v>
      </c>
      <c r="Q557" s="1" t="s">
        <v>5200</v>
      </c>
      <c r="R557" s="1" t="s">
        <v>5201</v>
      </c>
      <c r="S557" s="1" t="s">
        <v>5202</v>
      </c>
      <c r="T557" s="1" t="s">
        <v>5203</v>
      </c>
      <c r="U557" s="1" t="s">
        <v>5204</v>
      </c>
      <c r="V557" s="13">
        <f>COUNTIF(L557:$M$1659,L557)</f>
        <v>16</v>
      </c>
      <c r="W557" s="1" t="s">
        <v>5205</v>
      </c>
      <c r="X557">
        <v>1060.3499999999999</v>
      </c>
      <c r="Y557">
        <v>860.1</v>
      </c>
      <c r="Z557">
        <v>15.113571</v>
      </c>
      <c r="AA557">
        <v>108.78981899999999</v>
      </c>
      <c r="AB557">
        <v>200.25</v>
      </c>
      <c r="AC557">
        <v>15.044577</v>
      </c>
      <c r="AD557">
        <v>108.774884</v>
      </c>
      <c r="AE557" s="5">
        <f t="shared" si="41"/>
        <v>1.2901500000000001</v>
      </c>
      <c r="AF557" s="5">
        <f t="shared" si="42"/>
        <v>0.300375</v>
      </c>
      <c r="AG557" s="1" t="str">
        <f>TRIM(LEFT(L557,FIND("-",L557)-1))</f>
        <v>TT1 Quảng Ngãi</v>
      </c>
      <c r="AH557" s="1" t="str">
        <f>TRIM(RIGHT(L557, LEN(L557) - FIND("-", L557)))</f>
        <v>Minh Long</v>
      </c>
      <c r="AJ557">
        <f t="shared" si="43"/>
        <v>0.86009999999999998</v>
      </c>
      <c r="AK557">
        <f t="shared" si="44"/>
        <v>0.20025000000000001</v>
      </c>
      <c r="AL557">
        <f>VLOOKUP(L557,'[1]Tuyến cáp H04'!$B:$E,3,0)/1000</f>
        <v>45.045000000000002</v>
      </c>
      <c r="AM557" t="str">
        <f>VLOOKUP(L557,'[1]Tuyến cáp H04'!$B:$E,4,0)</f>
        <v>Mạng cấp 3</v>
      </c>
    </row>
    <row r="558" spans="1:39" x14ac:dyDescent="0.25">
      <c r="A558" s="1" t="s">
        <v>5206</v>
      </c>
      <c r="B558" s="1" t="s">
        <v>5192</v>
      </c>
      <c r="C558" s="1" t="s">
        <v>5193</v>
      </c>
      <c r="D558" s="1" t="s">
        <v>5207</v>
      </c>
      <c r="E558" s="1" t="s">
        <v>5208</v>
      </c>
      <c r="F558" s="1" t="s">
        <v>5209</v>
      </c>
      <c r="G558" s="1" t="s">
        <v>14129</v>
      </c>
      <c r="H558" s="1" t="s">
        <v>14133</v>
      </c>
      <c r="I558" s="1" t="s">
        <v>14678</v>
      </c>
      <c r="J558" s="1" t="s">
        <v>23</v>
      </c>
      <c r="K558" s="1"/>
      <c r="L558" s="1" t="s">
        <v>5210</v>
      </c>
      <c r="M558" s="1" t="s">
        <v>5210</v>
      </c>
      <c r="N558" s="12" t="b">
        <f t="shared" si="40"/>
        <v>1</v>
      </c>
      <c r="O558" s="1" t="s">
        <v>5211</v>
      </c>
      <c r="P558" s="1" t="s">
        <v>5212</v>
      </c>
      <c r="Q558" s="1" t="s">
        <v>5213</v>
      </c>
      <c r="R558" s="1" t="s">
        <v>5214</v>
      </c>
      <c r="S558" s="1" t="s">
        <v>5215</v>
      </c>
      <c r="T558" s="1" t="s">
        <v>5216</v>
      </c>
      <c r="U558" s="1" t="s">
        <v>5217</v>
      </c>
      <c r="V558" s="13">
        <f>COUNTIF(L558:$M$1659,L558)</f>
        <v>6</v>
      </c>
      <c r="W558" s="1" t="s">
        <v>5218</v>
      </c>
      <c r="X558">
        <v>2329.7199999999998</v>
      </c>
      <c r="Y558">
        <v>2213.11</v>
      </c>
      <c r="Z558">
        <v>15.139443999999999</v>
      </c>
      <c r="AA558">
        <v>108.784302</v>
      </c>
      <c r="AB558">
        <v>116.62</v>
      </c>
      <c r="AC558">
        <v>15.155536</v>
      </c>
      <c r="AD558">
        <v>108.736003</v>
      </c>
      <c r="AE558" s="5">
        <f t="shared" si="41"/>
        <v>3.3196650000000001</v>
      </c>
      <c r="AF558" s="5">
        <f t="shared" si="42"/>
        <v>0.17493</v>
      </c>
      <c r="AG558" s="1" t="str">
        <f>TRIM(LEFT(L558,FIND("-",L558)-1))</f>
        <v>PC07</v>
      </c>
      <c r="AH558" s="1" t="str">
        <f>TRIM(RIGHT(L558, LEN(L558) - FIND("-", L558)))</f>
        <v>Sơn Tịnh</v>
      </c>
      <c r="AJ558">
        <f t="shared" si="43"/>
        <v>2.2131099999999999</v>
      </c>
      <c r="AK558">
        <f t="shared" si="44"/>
        <v>0.11662</v>
      </c>
      <c r="AL558">
        <f>VLOOKUP(L558,'[1]Tuyến cáp H04'!$B:$E,3,0)/1000</f>
        <v>9.1340000000000003</v>
      </c>
      <c r="AM558" t="str">
        <f>VLOOKUP(L558,'[1]Tuyến cáp H04'!$B:$E,4,0)</f>
        <v>Mạng cấp 3</v>
      </c>
    </row>
    <row r="559" spans="1:39" x14ac:dyDescent="0.25">
      <c r="A559" s="1" t="s">
        <v>5219</v>
      </c>
      <c r="B559" s="1" t="s">
        <v>5192</v>
      </c>
      <c r="C559" s="1" t="s">
        <v>5193</v>
      </c>
      <c r="D559" s="1" t="s">
        <v>5220</v>
      </c>
      <c r="E559" s="1" t="s">
        <v>5221</v>
      </c>
      <c r="F559" s="1" t="s">
        <v>5222</v>
      </c>
      <c r="G559" s="1" t="s">
        <v>14129</v>
      </c>
      <c r="H559" s="1" t="s">
        <v>14679</v>
      </c>
      <c r="I559" s="1" t="s">
        <v>14680</v>
      </c>
      <c r="J559" s="1" t="s">
        <v>23</v>
      </c>
      <c r="K559" s="1"/>
      <c r="L559" s="1" t="s">
        <v>5223</v>
      </c>
      <c r="M559" s="1" t="s">
        <v>5223</v>
      </c>
      <c r="N559" s="12" t="b">
        <f t="shared" si="40"/>
        <v>1</v>
      </c>
      <c r="O559" s="1" t="s">
        <v>5224</v>
      </c>
      <c r="P559" s="1" t="s">
        <v>5225</v>
      </c>
      <c r="Q559" s="1" t="s">
        <v>5226</v>
      </c>
      <c r="R559" s="1" t="s">
        <v>5227</v>
      </c>
      <c r="S559" s="1" t="s">
        <v>5228</v>
      </c>
      <c r="T559" s="1" t="s">
        <v>5229</v>
      </c>
      <c r="U559" s="1" t="s">
        <v>5230</v>
      </c>
      <c r="V559" s="13">
        <f>COUNTIF(L559:$M$1659,L559)</f>
        <v>10</v>
      </c>
      <c r="W559" s="1" t="s">
        <v>5231</v>
      </c>
      <c r="X559">
        <v>2119.48</v>
      </c>
      <c r="Y559">
        <v>38.96</v>
      </c>
      <c r="Z559">
        <v>15.120827</v>
      </c>
      <c r="AA559">
        <v>108.79173400000001</v>
      </c>
      <c r="AB559">
        <v>2080.52</v>
      </c>
      <c r="AC559">
        <v>15.129204</v>
      </c>
      <c r="AD559">
        <v>108.73198499999999</v>
      </c>
      <c r="AE559" s="5">
        <f t="shared" si="41"/>
        <v>5.8439999999999999E-2</v>
      </c>
      <c r="AF559" s="5">
        <f t="shared" si="42"/>
        <v>3.1207799999999999</v>
      </c>
      <c r="AG559" s="1" t="str">
        <f>TRIM(LEFT(L559,FIND("-",L559)-1))</f>
        <v>Sơn Tịnh</v>
      </c>
      <c r="AH559" s="1" t="str">
        <f>TRIM(RIGHT(L559, LEN(L559) - FIND("-", L559)))</f>
        <v>TT1 QUẢNG NGÃI</v>
      </c>
      <c r="AJ559">
        <f t="shared" si="43"/>
        <v>3.8960000000000002E-2</v>
      </c>
      <c r="AK559">
        <f t="shared" si="44"/>
        <v>2.0805199999999999</v>
      </c>
      <c r="AL559">
        <f>VLOOKUP(L559,'[1]Tuyến cáp H04'!$B:$E,3,0)/1000</f>
        <v>12.047000000000001</v>
      </c>
      <c r="AM559" t="str">
        <f>VLOOKUP(L559,'[1]Tuyến cáp H04'!$B:$E,4,0)</f>
        <v>Mạng cấp 4</v>
      </c>
    </row>
    <row r="560" spans="1:39" x14ac:dyDescent="0.25">
      <c r="A560" s="1" t="s">
        <v>5232</v>
      </c>
      <c r="B560" s="1" t="s">
        <v>5192</v>
      </c>
      <c r="C560" s="1" t="s">
        <v>5193</v>
      </c>
      <c r="D560" s="1" t="s">
        <v>5233</v>
      </c>
      <c r="E560" s="1" t="s">
        <v>5234</v>
      </c>
      <c r="F560" s="1" t="s">
        <v>5235</v>
      </c>
      <c r="G560" s="1" t="s">
        <v>14129</v>
      </c>
      <c r="H560" s="1" t="s">
        <v>14133</v>
      </c>
      <c r="I560" s="1" t="s">
        <v>14681</v>
      </c>
      <c r="J560" s="1" t="s">
        <v>23</v>
      </c>
      <c r="K560" s="1"/>
      <c r="L560" s="1" t="s">
        <v>5236</v>
      </c>
      <c r="M560" s="1" t="s">
        <v>5236</v>
      </c>
      <c r="N560" s="12" t="b">
        <f t="shared" si="40"/>
        <v>1</v>
      </c>
      <c r="O560" s="1" t="s">
        <v>5237</v>
      </c>
      <c r="P560" s="1" t="s">
        <v>5238</v>
      </c>
      <c r="Q560" s="1" t="s">
        <v>5239</v>
      </c>
      <c r="R560" s="1" t="s">
        <v>5240</v>
      </c>
      <c r="S560" s="1" t="s">
        <v>5241</v>
      </c>
      <c r="T560" s="1" t="s">
        <v>5242</v>
      </c>
      <c r="U560" s="1" t="s">
        <v>5243</v>
      </c>
      <c r="V560" s="13">
        <f>COUNTIF(L560:$M$1659,L560)</f>
        <v>8</v>
      </c>
      <c r="W560" s="1" t="s">
        <v>5244</v>
      </c>
      <c r="X560">
        <v>2461.2399999999998</v>
      </c>
      <c r="Y560">
        <v>2350.67</v>
      </c>
      <c r="Z560">
        <v>15.140404</v>
      </c>
      <c r="AA560">
        <v>108.800742</v>
      </c>
      <c r="AB560">
        <v>110.57</v>
      </c>
      <c r="AC560">
        <v>15.201007000000001</v>
      </c>
      <c r="AD560">
        <v>108.78958</v>
      </c>
      <c r="AE560" s="5">
        <f t="shared" si="41"/>
        <v>3.5260050000000001</v>
      </c>
      <c r="AF560" s="5">
        <f t="shared" si="42"/>
        <v>0.165855</v>
      </c>
      <c r="AG560" s="1" t="e">
        <f>TRIM(LEFT(L560,FIND("-",L560)-1))</f>
        <v>#VALUE!</v>
      </c>
      <c r="AH560" s="1" t="e">
        <f>TRIM(RIGHT(L560, LEN(L560) - FIND("-", L560)))</f>
        <v>#VALUE!</v>
      </c>
      <c r="AJ560">
        <f t="shared" si="43"/>
        <v>2.35067</v>
      </c>
      <c r="AK560">
        <f t="shared" si="44"/>
        <v>0.11056999999999999</v>
      </c>
      <c r="AL560" t="e">
        <f>VLOOKUP(L560,'[1]Tuyến cáp H04'!$B:$E,3,0)/1000</f>
        <v>#N/A</v>
      </c>
      <c r="AM560" t="e">
        <f>VLOOKUP(L560,'[1]Tuyến cáp H04'!$B:$E,4,0)</f>
        <v>#N/A</v>
      </c>
    </row>
    <row r="561" spans="1:39" x14ac:dyDescent="0.25">
      <c r="A561" s="1" t="s">
        <v>5232</v>
      </c>
      <c r="B561" s="1" t="s">
        <v>5192</v>
      </c>
      <c r="C561" s="1" t="s">
        <v>5193</v>
      </c>
      <c r="D561" s="1" t="s">
        <v>5233</v>
      </c>
      <c r="E561" s="1" t="s">
        <v>5234</v>
      </c>
      <c r="F561" s="1" t="s">
        <v>5235</v>
      </c>
      <c r="G561" s="1" t="s">
        <v>14129</v>
      </c>
      <c r="H561" s="1" t="s">
        <v>14133</v>
      </c>
      <c r="I561" s="1" t="s">
        <v>14681</v>
      </c>
      <c r="J561" s="1" t="s">
        <v>23</v>
      </c>
      <c r="K561" s="1"/>
      <c r="L561" s="1" t="s">
        <v>5236</v>
      </c>
      <c r="M561" s="1" t="s">
        <v>5236</v>
      </c>
      <c r="N561" s="12" t="b">
        <f t="shared" si="40"/>
        <v>1</v>
      </c>
      <c r="O561" s="1" t="s">
        <v>5237</v>
      </c>
      <c r="P561" s="1" t="s">
        <v>5238</v>
      </c>
      <c r="Q561" s="1" t="s">
        <v>5239</v>
      </c>
      <c r="R561" s="1" t="s">
        <v>5240</v>
      </c>
      <c r="S561" s="1" t="s">
        <v>5241</v>
      </c>
      <c r="T561" s="1" t="s">
        <v>5242</v>
      </c>
      <c r="U561" s="1" t="s">
        <v>5243</v>
      </c>
      <c r="V561" s="13">
        <f>COUNTIF(L561:$M$1659,L561)</f>
        <v>6</v>
      </c>
      <c r="W561" s="1" t="s">
        <v>5244</v>
      </c>
      <c r="X561">
        <v>2461.2399999999998</v>
      </c>
      <c r="Y561">
        <v>2350.67</v>
      </c>
      <c r="Z561">
        <v>15.140404</v>
      </c>
      <c r="AA561">
        <v>108.800742</v>
      </c>
      <c r="AB561">
        <v>110.57</v>
      </c>
      <c r="AC561">
        <v>15.201007000000001</v>
      </c>
      <c r="AD561">
        <v>108.78958</v>
      </c>
      <c r="AE561" s="5">
        <f t="shared" si="41"/>
        <v>3.5260050000000001</v>
      </c>
      <c r="AF561" s="5">
        <f t="shared" si="42"/>
        <v>0.165855</v>
      </c>
      <c r="AG561" s="1" t="e">
        <f>TRIM(LEFT(L561,FIND("-",L561)-1))</f>
        <v>#VALUE!</v>
      </c>
      <c r="AH561" s="1" t="e">
        <f>TRIM(RIGHT(L561, LEN(L561) - FIND("-", L561)))</f>
        <v>#VALUE!</v>
      </c>
      <c r="AJ561">
        <f t="shared" si="43"/>
        <v>2.35067</v>
      </c>
      <c r="AK561">
        <f t="shared" si="44"/>
        <v>0.11056999999999999</v>
      </c>
      <c r="AL561" t="e">
        <f>VLOOKUP(L561,'[1]Tuyến cáp H04'!$B:$E,3,0)/1000</f>
        <v>#N/A</v>
      </c>
      <c r="AM561" t="e">
        <f>VLOOKUP(L561,'[1]Tuyến cáp H04'!$B:$E,4,0)</f>
        <v>#N/A</v>
      </c>
    </row>
    <row r="562" spans="1:39" x14ac:dyDescent="0.25">
      <c r="A562" s="1" t="s">
        <v>5245</v>
      </c>
      <c r="B562" s="1" t="s">
        <v>5192</v>
      </c>
      <c r="C562" s="1" t="s">
        <v>5193</v>
      </c>
      <c r="D562" s="1" t="s">
        <v>5246</v>
      </c>
      <c r="E562" s="1" t="s">
        <v>5247</v>
      </c>
      <c r="F562" s="1" t="s">
        <v>5248</v>
      </c>
      <c r="G562" s="1" t="s">
        <v>14129</v>
      </c>
      <c r="H562" s="1" t="s">
        <v>14133</v>
      </c>
      <c r="I562" s="1" t="s">
        <v>14682</v>
      </c>
      <c r="J562" s="1" t="s">
        <v>23</v>
      </c>
      <c r="K562" s="1"/>
      <c r="L562" s="1" t="s">
        <v>5249</v>
      </c>
      <c r="M562" s="1" t="s">
        <v>5249</v>
      </c>
      <c r="N562" s="12" t="b">
        <f t="shared" si="40"/>
        <v>1</v>
      </c>
      <c r="O562" s="1" t="s">
        <v>5250</v>
      </c>
      <c r="P562" s="1" t="s">
        <v>5251</v>
      </c>
      <c r="Q562" s="1" t="s">
        <v>5252</v>
      </c>
      <c r="R562" s="1" t="s">
        <v>5253</v>
      </c>
      <c r="S562" s="1" t="s">
        <v>5254</v>
      </c>
      <c r="T562" s="1" t="s">
        <v>5255</v>
      </c>
      <c r="U562" s="1" t="s">
        <v>5256</v>
      </c>
      <c r="V562" s="13">
        <f>COUNTIF(L562:$M$1659,L562)</f>
        <v>12</v>
      </c>
      <c r="W562" s="1" t="s">
        <v>5257</v>
      </c>
      <c r="X562">
        <v>2312.3200000000002</v>
      </c>
      <c r="Y562">
        <v>56.31</v>
      </c>
      <c r="Z562">
        <v>15.121472000000001</v>
      </c>
      <c r="AA562">
        <v>108.791859</v>
      </c>
      <c r="AB562">
        <v>2256.0100000000002</v>
      </c>
      <c r="AC562">
        <v>15.126612</v>
      </c>
      <c r="AD562">
        <v>108.77953100000001</v>
      </c>
      <c r="AE562" s="5">
        <f t="shared" si="41"/>
        <v>8.4464999999999998E-2</v>
      </c>
      <c r="AF562" s="5">
        <f t="shared" si="42"/>
        <v>3.3840150000000002</v>
      </c>
      <c r="AG562" s="1" t="str">
        <f>TRIM(LEFT(L562,FIND("-",L562)-1))</f>
        <v>Ba Gia</v>
      </c>
      <c r="AH562" s="1" t="str">
        <f>TRIM(RIGHT(L562, LEN(L562) - FIND("-", L562)))</f>
        <v>TT1 QUẢNG NGÃI</v>
      </c>
      <c r="AJ562">
        <f t="shared" si="43"/>
        <v>5.6309999999999999E-2</v>
      </c>
      <c r="AK562">
        <f t="shared" si="44"/>
        <v>2.2560100000000003</v>
      </c>
      <c r="AL562">
        <f>VLOOKUP(L562,'[1]Tuyến cáp H04'!$B:$E,3,0)/1000</f>
        <v>20.206</v>
      </c>
      <c r="AM562" t="str">
        <f>VLOOKUP(L562,'[1]Tuyến cáp H04'!$B:$E,4,0)</f>
        <v>Mạng cấp 4</v>
      </c>
    </row>
    <row r="563" spans="1:39" x14ac:dyDescent="0.25">
      <c r="A563" s="1" t="s">
        <v>5258</v>
      </c>
      <c r="B563" s="1" t="s">
        <v>5192</v>
      </c>
      <c r="C563" s="1" t="s">
        <v>5193</v>
      </c>
      <c r="D563" s="1" t="s">
        <v>5259</v>
      </c>
      <c r="E563" s="1" t="s">
        <v>5260</v>
      </c>
      <c r="F563" s="1" t="s">
        <v>5261</v>
      </c>
      <c r="G563" s="1" t="s">
        <v>14129</v>
      </c>
      <c r="H563" s="1" t="s">
        <v>14133</v>
      </c>
      <c r="I563" s="1" t="s">
        <v>14683</v>
      </c>
      <c r="J563" s="1" t="s">
        <v>23</v>
      </c>
      <c r="K563" s="1"/>
      <c r="L563" s="1" t="s">
        <v>5249</v>
      </c>
      <c r="M563" s="1" t="s">
        <v>5249</v>
      </c>
      <c r="N563" s="12" t="b">
        <f t="shared" si="40"/>
        <v>1</v>
      </c>
      <c r="O563" s="1" t="s">
        <v>5262</v>
      </c>
      <c r="P563" s="1" t="s">
        <v>5251</v>
      </c>
      <c r="Q563" s="1" t="s">
        <v>5252</v>
      </c>
      <c r="R563" s="1" t="s">
        <v>5253</v>
      </c>
      <c r="S563" s="1" t="s">
        <v>5263</v>
      </c>
      <c r="T563" s="1" t="s">
        <v>5264</v>
      </c>
      <c r="U563" s="1" t="s">
        <v>5265</v>
      </c>
      <c r="V563" s="13">
        <f>COUNTIF(L563:$M$1659,L563)</f>
        <v>10</v>
      </c>
      <c r="W563" s="1" t="s">
        <v>5257</v>
      </c>
      <c r="X563">
        <v>1301.1199999999999</v>
      </c>
      <c r="Y563">
        <v>56.31</v>
      </c>
      <c r="Z563">
        <v>15.121472000000001</v>
      </c>
      <c r="AA563">
        <v>108.791859</v>
      </c>
      <c r="AB563">
        <v>1244.81</v>
      </c>
      <c r="AC563">
        <v>15.127291</v>
      </c>
      <c r="AD563">
        <v>108.78287899999999</v>
      </c>
      <c r="AE563" s="5">
        <f t="shared" si="41"/>
        <v>8.4464999999999998E-2</v>
      </c>
      <c r="AF563" s="5">
        <f t="shared" si="42"/>
        <v>1.8672149999999998</v>
      </c>
      <c r="AG563" s="1" t="str">
        <f>TRIM(LEFT(L563,FIND("-",L563)-1))</f>
        <v>Ba Gia</v>
      </c>
      <c r="AH563" s="1" t="str">
        <f>TRIM(RIGHT(L563, LEN(L563) - FIND("-", L563)))</f>
        <v>TT1 QUẢNG NGÃI</v>
      </c>
      <c r="AJ563">
        <f t="shared" si="43"/>
        <v>5.6309999999999999E-2</v>
      </c>
      <c r="AK563">
        <f t="shared" si="44"/>
        <v>1.24481</v>
      </c>
      <c r="AL563">
        <f>VLOOKUP(L563,'[1]Tuyến cáp H04'!$B:$E,3,0)/1000</f>
        <v>20.206</v>
      </c>
      <c r="AM563" t="str">
        <f>VLOOKUP(L563,'[1]Tuyến cáp H04'!$B:$E,4,0)</f>
        <v>Mạng cấp 4</v>
      </c>
    </row>
    <row r="564" spans="1:39" x14ac:dyDescent="0.25">
      <c r="A564" s="1" t="s">
        <v>5266</v>
      </c>
      <c r="B564" s="1" t="s">
        <v>5192</v>
      </c>
      <c r="C564" s="1" t="s">
        <v>5193</v>
      </c>
      <c r="D564" s="1" t="s">
        <v>5267</v>
      </c>
      <c r="E564" s="1" t="s">
        <v>5268</v>
      </c>
      <c r="F564" s="1" t="s">
        <v>5269</v>
      </c>
      <c r="G564" s="1" t="s">
        <v>14129</v>
      </c>
      <c r="H564" s="1" t="s">
        <v>14133</v>
      </c>
      <c r="I564" s="1" t="s">
        <v>14684</v>
      </c>
      <c r="J564" s="1" t="s">
        <v>23</v>
      </c>
      <c r="K564" s="1"/>
      <c r="L564" s="1" t="s">
        <v>5223</v>
      </c>
      <c r="M564" s="1" t="s">
        <v>5223</v>
      </c>
      <c r="N564" s="12" t="b">
        <f t="shared" si="40"/>
        <v>1</v>
      </c>
      <c r="O564" s="1" t="s">
        <v>5270</v>
      </c>
      <c r="P564" s="1" t="s">
        <v>5225</v>
      </c>
      <c r="Q564" s="1" t="s">
        <v>5226</v>
      </c>
      <c r="R564" s="1" t="s">
        <v>5227</v>
      </c>
      <c r="S564" s="1" t="s">
        <v>5271</v>
      </c>
      <c r="T564" s="1" t="s">
        <v>5272</v>
      </c>
      <c r="U564" s="1" t="s">
        <v>5273</v>
      </c>
      <c r="V564" s="13">
        <f>COUNTIF(L564:$M$1659,L564)</f>
        <v>8</v>
      </c>
      <c r="W564" s="1" t="s">
        <v>5231</v>
      </c>
      <c r="X564">
        <v>3827.45</v>
      </c>
      <c r="Y564">
        <v>38.96</v>
      </c>
      <c r="Z564">
        <v>15.120827</v>
      </c>
      <c r="AA564">
        <v>108.79173400000001</v>
      </c>
      <c r="AB564">
        <v>3788.49</v>
      </c>
      <c r="AC564">
        <v>15.132574</v>
      </c>
      <c r="AD564">
        <v>108.732478</v>
      </c>
      <c r="AE564" s="5">
        <f t="shared" si="41"/>
        <v>5.8439999999999999E-2</v>
      </c>
      <c r="AF564" s="5">
        <f t="shared" si="42"/>
        <v>5.6827350000000001</v>
      </c>
      <c r="AG564" s="1" t="str">
        <f>TRIM(LEFT(L564,FIND("-",L564)-1))</f>
        <v>Sơn Tịnh</v>
      </c>
      <c r="AH564" s="1" t="str">
        <f>TRIM(RIGHT(L564, LEN(L564) - FIND("-", L564)))</f>
        <v>TT1 QUẢNG NGÃI</v>
      </c>
      <c r="AJ564">
        <f t="shared" si="43"/>
        <v>3.8960000000000002E-2</v>
      </c>
      <c r="AK564">
        <f t="shared" si="44"/>
        <v>3.7884899999999999</v>
      </c>
      <c r="AL564">
        <f>VLOOKUP(L564,'[1]Tuyến cáp H04'!$B:$E,3,0)/1000</f>
        <v>12.047000000000001</v>
      </c>
      <c r="AM564" t="str">
        <f>VLOOKUP(L564,'[1]Tuyến cáp H04'!$B:$E,4,0)</f>
        <v>Mạng cấp 4</v>
      </c>
    </row>
    <row r="565" spans="1:39" x14ac:dyDescent="0.25">
      <c r="A565" s="1" t="s">
        <v>5274</v>
      </c>
      <c r="B565" s="1" t="s">
        <v>5192</v>
      </c>
      <c r="C565" s="1" t="s">
        <v>5193</v>
      </c>
      <c r="D565" s="1" t="s">
        <v>5275</v>
      </c>
      <c r="E565" s="1" t="s">
        <v>5276</v>
      </c>
      <c r="F565" s="1" t="s">
        <v>5277</v>
      </c>
      <c r="G565" s="1" t="s">
        <v>14129</v>
      </c>
      <c r="H565" s="1" t="s">
        <v>14133</v>
      </c>
      <c r="I565" s="1" t="s">
        <v>14685</v>
      </c>
      <c r="J565" s="1" t="s">
        <v>23</v>
      </c>
      <c r="K565" s="1"/>
      <c r="L565" s="1" t="s">
        <v>5249</v>
      </c>
      <c r="M565" s="1" t="s">
        <v>5249</v>
      </c>
      <c r="N565" s="12" t="b">
        <f t="shared" si="40"/>
        <v>1</v>
      </c>
      <c r="O565" s="1" t="s">
        <v>5278</v>
      </c>
      <c r="P565" s="1" t="s">
        <v>5251</v>
      </c>
      <c r="Q565" s="1" t="s">
        <v>5252</v>
      </c>
      <c r="R565" s="1" t="s">
        <v>5253</v>
      </c>
      <c r="S565" s="1" t="s">
        <v>5279</v>
      </c>
      <c r="T565" s="1" t="s">
        <v>5280</v>
      </c>
      <c r="U565" s="1" t="s">
        <v>5281</v>
      </c>
      <c r="V565" s="13">
        <f>COUNTIF(L565:$M$1659,L565)</f>
        <v>8</v>
      </c>
      <c r="W565" s="1" t="s">
        <v>5257</v>
      </c>
      <c r="X565">
        <v>324.62</v>
      </c>
      <c r="Y565">
        <v>56.31</v>
      </c>
      <c r="Z565">
        <v>15.121472000000001</v>
      </c>
      <c r="AA565">
        <v>108.791859</v>
      </c>
      <c r="AB565">
        <v>268.31</v>
      </c>
      <c r="AC565">
        <v>15.126120999999999</v>
      </c>
      <c r="AD565">
        <v>108.779673</v>
      </c>
      <c r="AE565" s="5">
        <f t="shared" si="41"/>
        <v>8.4464999999999998E-2</v>
      </c>
      <c r="AF565" s="5">
        <f t="shared" si="42"/>
        <v>0.40246500000000002</v>
      </c>
      <c r="AG565" s="1" t="str">
        <f>TRIM(LEFT(L565,FIND("-",L565)-1))</f>
        <v>Ba Gia</v>
      </c>
      <c r="AH565" s="1" t="str">
        <f>TRIM(RIGHT(L565, LEN(L565) - FIND("-", L565)))</f>
        <v>TT1 QUẢNG NGÃI</v>
      </c>
      <c r="AJ565">
        <f t="shared" si="43"/>
        <v>5.6309999999999999E-2</v>
      </c>
      <c r="AK565">
        <f t="shared" si="44"/>
        <v>0.26830999999999999</v>
      </c>
      <c r="AL565">
        <f>VLOOKUP(L565,'[1]Tuyến cáp H04'!$B:$E,3,0)/1000</f>
        <v>20.206</v>
      </c>
      <c r="AM565" t="str">
        <f>VLOOKUP(L565,'[1]Tuyến cáp H04'!$B:$E,4,0)</f>
        <v>Mạng cấp 4</v>
      </c>
    </row>
    <row r="566" spans="1:39" x14ac:dyDescent="0.25">
      <c r="A566" s="1" t="s">
        <v>5282</v>
      </c>
      <c r="B566" s="1" t="s">
        <v>5192</v>
      </c>
      <c r="C566" s="1" t="s">
        <v>5193</v>
      </c>
      <c r="D566" s="1" t="s">
        <v>5283</v>
      </c>
      <c r="E566" s="1" t="s">
        <v>5284</v>
      </c>
      <c r="F566" s="1" t="s">
        <v>5285</v>
      </c>
      <c r="G566" s="1" t="s">
        <v>14129</v>
      </c>
      <c r="H566" s="1" t="s">
        <v>14133</v>
      </c>
      <c r="I566" s="1" t="s">
        <v>14686</v>
      </c>
      <c r="J566" s="1" t="s">
        <v>23</v>
      </c>
      <c r="K566" s="1"/>
      <c r="L566" s="1" t="s">
        <v>5223</v>
      </c>
      <c r="M566" s="1" t="s">
        <v>5223</v>
      </c>
      <c r="N566" s="12" t="b">
        <f t="shared" si="40"/>
        <v>1</v>
      </c>
      <c r="O566" s="1" t="s">
        <v>5286</v>
      </c>
      <c r="P566" s="1" t="s">
        <v>5225</v>
      </c>
      <c r="Q566" s="1" t="s">
        <v>5226</v>
      </c>
      <c r="R566" s="1" t="s">
        <v>5227</v>
      </c>
      <c r="S566" s="1" t="s">
        <v>5287</v>
      </c>
      <c r="T566" s="1" t="s">
        <v>5288</v>
      </c>
      <c r="U566" s="1" t="s">
        <v>5289</v>
      </c>
      <c r="V566" s="13">
        <f>COUNTIF(L566:$M$1659,L566)</f>
        <v>6</v>
      </c>
      <c r="W566" s="1" t="s">
        <v>5231</v>
      </c>
      <c r="X566">
        <v>154.49</v>
      </c>
      <c r="Y566">
        <v>38.96</v>
      </c>
      <c r="Z566">
        <v>15.120827</v>
      </c>
      <c r="AA566">
        <v>108.79173400000001</v>
      </c>
      <c r="AB566">
        <v>115.53</v>
      </c>
      <c r="AC566">
        <v>15.114606</v>
      </c>
      <c r="AD566">
        <v>108.77101500000001</v>
      </c>
      <c r="AE566" s="5">
        <f t="shared" si="41"/>
        <v>5.8439999999999999E-2</v>
      </c>
      <c r="AF566" s="5">
        <f t="shared" si="42"/>
        <v>0.173295</v>
      </c>
      <c r="AG566" s="1" t="str">
        <f>TRIM(LEFT(L566,FIND("-",L566)-1))</f>
        <v>Sơn Tịnh</v>
      </c>
      <c r="AH566" s="1" t="str">
        <f>TRIM(RIGHT(L566, LEN(L566) - FIND("-", L566)))</f>
        <v>TT1 QUẢNG NGÃI</v>
      </c>
      <c r="AJ566">
        <f t="shared" si="43"/>
        <v>3.8960000000000002E-2</v>
      </c>
      <c r="AK566">
        <f t="shared" si="44"/>
        <v>0.11553000000000001</v>
      </c>
      <c r="AL566">
        <f>VLOOKUP(L566,'[1]Tuyến cáp H04'!$B:$E,3,0)/1000</f>
        <v>12.047000000000001</v>
      </c>
      <c r="AM566" t="str">
        <f>VLOOKUP(L566,'[1]Tuyến cáp H04'!$B:$E,4,0)</f>
        <v>Mạng cấp 4</v>
      </c>
    </row>
    <row r="567" spans="1:39" x14ac:dyDescent="0.25">
      <c r="A567" s="1" t="s">
        <v>5290</v>
      </c>
      <c r="B567" s="1" t="s">
        <v>5192</v>
      </c>
      <c r="C567" s="1" t="s">
        <v>5193</v>
      </c>
      <c r="D567" s="1" t="s">
        <v>5291</v>
      </c>
      <c r="E567" s="1" t="s">
        <v>5292</v>
      </c>
      <c r="F567" s="1" t="s">
        <v>5293</v>
      </c>
      <c r="G567" s="1" t="s">
        <v>14129</v>
      </c>
      <c r="H567" s="1" t="s">
        <v>14133</v>
      </c>
      <c r="I567" s="1" t="s">
        <v>14687</v>
      </c>
      <c r="J567" s="1" t="s">
        <v>23</v>
      </c>
      <c r="K567" s="1"/>
      <c r="L567" s="1" t="s">
        <v>5249</v>
      </c>
      <c r="M567" s="1" t="s">
        <v>5249</v>
      </c>
      <c r="N567" s="12" t="b">
        <f t="shared" si="40"/>
        <v>1</v>
      </c>
      <c r="O567" s="1" t="s">
        <v>5294</v>
      </c>
      <c r="P567" s="1" t="s">
        <v>5251</v>
      </c>
      <c r="Q567" s="1" t="s">
        <v>5252</v>
      </c>
      <c r="R567" s="1" t="s">
        <v>5253</v>
      </c>
      <c r="S567" s="1" t="s">
        <v>5295</v>
      </c>
      <c r="T567" s="1" t="s">
        <v>5255</v>
      </c>
      <c r="U567" s="1" t="s">
        <v>5256</v>
      </c>
      <c r="V567" s="13">
        <f>COUNTIF(L567:$M$1659,L567)</f>
        <v>6</v>
      </c>
      <c r="W567" s="1" t="s">
        <v>5257</v>
      </c>
      <c r="X567">
        <v>1001.53</v>
      </c>
      <c r="Y567">
        <v>56.31</v>
      </c>
      <c r="Z567">
        <v>15.121472000000001</v>
      </c>
      <c r="AA567">
        <v>108.791859</v>
      </c>
      <c r="AB567">
        <v>945.21</v>
      </c>
      <c r="AC567">
        <v>15.126612</v>
      </c>
      <c r="AD567">
        <v>108.77953100000001</v>
      </c>
      <c r="AE567" s="5">
        <f t="shared" si="41"/>
        <v>8.4464999999999998E-2</v>
      </c>
      <c r="AF567" s="5">
        <f t="shared" si="42"/>
        <v>1.417815</v>
      </c>
      <c r="AG567" s="1" t="str">
        <f>TRIM(LEFT(L567,FIND("-",L567)-1))</f>
        <v>Ba Gia</v>
      </c>
      <c r="AH567" s="1" t="str">
        <f>TRIM(RIGHT(L567, LEN(L567) - FIND("-", L567)))</f>
        <v>TT1 QUẢNG NGÃI</v>
      </c>
      <c r="AJ567">
        <f t="shared" si="43"/>
        <v>5.6309999999999999E-2</v>
      </c>
      <c r="AK567">
        <f t="shared" si="44"/>
        <v>0.94520999999999999</v>
      </c>
      <c r="AL567">
        <f>VLOOKUP(L567,'[1]Tuyến cáp H04'!$B:$E,3,0)/1000</f>
        <v>20.206</v>
      </c>
      <c r="AM567" t="str">
        <f>VLOOKUP(L567,'[1]Tuyến cáp H04'!$B:$E,4,0)</f>
        <v>Mạng cấp 4</v>
      </c>
    </row>
    <row r="568" spans="1:39" x14ac:dyDescent="0.25">
      <c r="A568" s="1" t="s">
        <v>5296</v>
      </c>
      <c r="B568" s="1" t="s">
        <v>5192</v>
      </c>
      <c r="C568" s="1" t="s">
        <v>5193</v>
      </c>
      <c r="D568" s="1" t="s">
        <v>5297</v>
      </c>
      <c r="E568" s="1" t="s">
        <v>5298</v>
      </c>
      <c r="F568" s="1" t="s">
        <v>5299</v>
      </c>
      <c r="G568" s="1" t="s">
        <v>14129</v>
      </c>
      <c r="H568" s="1" t="s">
        <v>14679</v>
      </c>
      <c r="I568" s="1" t="s">
        <v>14688</v>
      </c>
      <c r="J568" s="1" t="s">
        <v>23</v>
      </c>
      <c r="K568" s="1"/>
      <c r="L568" s="1" t="s">
        <v>5197</v>
      </c>
      <c r="M568" s="1" t="s">
        <v>5197</v>
      </c>
      <c r="N568" s="12" t="b">
        <f t="shared" si="40"/>
        <v>1</v>
      </c>
      <c r="O568" s="1" t="s">
        <v>5300</v>
      </c>
      <c r="P568" s="1" t="s">
        <v>5199</v>
      </c>
      <c r="Q568" s="1" t="s">
        <v>5200</v>
      </c>
      <c r="R568" s="1" t="s">
        <v>5201</v>
      </c>
      <c r="S568" s="1" t="s">
        <v>5301</v>
      </c>
      <c r="T568" s="1" t="s">
        <v>5302</v>
      </c>
      <c r="U568" s="1" t="s">
        <v>5303</v>
      </c>
      <c r="V568" s="13">
        <f>COUNTIF(L568:$M$1659,L568)</f>
        <v>14</v>
      </c>
      <c r="W568" s="1" t="s">
        <v>5205</v>
      </c>
      <c r="X568">
        <v>994.3</v>
      </c>
      <c r="Y568">
        <v>860.1</v>
      </c>
      <c r="Z568">
        <v>15.113571</v>
      </c>
      <c r="AA568">
        <v>108.78981899999999</v>
      </c>
      <c r="AB568">
        <v>134.19999999999999</v>
      </c>
      <c r="AC568">
        <v>15.10492</v>
      </c>
      <c r="AD568">
        <v>108.766801</v>
      </c>
      <c r="AE568" s="5">
        <f t="shared" si="41"/>
        <v>1.2901500000000001</v>
      </c>
      <c r="AF568" s="5">
        <f t="shared" si="42"/>
        <v>0.20129999999999998</v>
      </c>
      <c r="AG568" s="1" t="str">
        <f>TRIM(LEFT(L568,FIND("-",L568)-1))</f>
        <v>TT1 Quảng Ngãi</v>
      </c>
      <c r="AH568" s="1" t="str">
        <f>TRIM(RIGHT(L568, LEN(L568) - FIND("-", L568)))</f>
        <v>Minh Long</v>
      </c>
      <c r="AJ568">
        <f t="shared" si="43"/>
        <v>0.86009999999999998</v>
      </c>
      <c r="AK568">
        <f t="shared" si="44"/>
        <v>0.13419999999999999</v>
      </c>
      <c r="AL568">
        <f>VLOOKUP(L568,'[1]Tuyến cáp H04'!$B:$E,3,0)/1000</f>
        <v>45.045000000000002</v>
      </c>
      <c r="AM568" t="str">
        <f>VLOOKUP(L568,'[1]Tuyến cáp H04'!$B:$E,4,0)</f>
        <v>Mạng cấp 3</v>
      </c>
    </row>
    <row r="569" spans="1:39" x14ac:dyDescent="0.25">
      <c r="A569" s="1" t="s">
        <v>5304</v>
      </c>
      <c r="B569" s="1" t="s">
        <v>5192</v>
      </c>
      <c r="C569" s="1" t="s">
        <v>5193</v>
      </c>
      <c r="D569" s="1" t="s">
        <v>5305</v>
      </c>
      <c r="E569" s="1" t="s">
        <v>5306</v>
      </c>
      <c r="F569" s="1" t="s">
        <v>5307</v>
      </c>
      <c r="G569" s="1" t="s">
        <v>14129</v>
      </c>
      <c r="H569" s="1" t="s">
        <v>14679</v>
      </c>
      <c r="I569" s="1" t="s">
        <v>14689</v>
      </c>
      <c r="J569" s="1" t="s">
        <v>23</v>
      </c>
      <c r="K569" s="1"/>
      <c r="L569" s="1" t="s">
        <v>5223</v>
      </c>
      <c r="M569" s="1" t="s">
        <v>5223</v>
      </c>
      <c r="N569" s="12" t="b">
        <f t="shared" si="40"/>
        <v>1</v>
      </c>
      <c r="O569" s="1" t="s">
        <v>5308</v>
      </c>
      <c r="P569" s="1" t="s">
        <v>5225</v>
      </c>
      <c r="Q569" s="1" t="s">
        <v>5226</v>
      </c>
      <c r="R569" s="1" t="s">
        <v>5227</v>
      </c>
      <c r="S569" s="1" t="s">
        <v>5309</v>
      </c>
      <c r="T569" s="1" t="s">
        <v>5310</v>
      </c>
      <c r="U569" s="1" t="s">
        <v>5311</v>
      </c>
      <c r="V569" s="13">
        <f>COUNTIF(L569:$M$1659,L569)</f>
        <v>4</v>
      </c>
      <c r="W569" s="1" t="s">
        <v>5231</v>
      </c>
      <c r="X569">
        <v>171.71</v>
      </c>
      <c r="Y569">
        <v>38.96</v>
      </c>
      <c r="Z569">
        <v>15.120827</v>
      </c>
      <c r="AA569">
        <v>108.79173400000001</v>
      </c>
      <c r="AB569">
        <v>132.75</v>
      </c>
      <c r="AC569">
        <v>15.118463999999999</v>
      </c>
      <c r="AD569">
        <v>108.75459600000001</v>
      </c>
      <c r="AE569" s="5">
        <f t="shared" si="41"/>
        <v>5.8439999999999999E-2</v>
      </c>
      <c r="AF569" s="5">
        <f t="shared" si="42"/>
        <v>0.199125</v>
      </c>
      <c r="AG569" s="1" t="str">
        <f>TRIM(LEFT(L569,FIND("-",L569)-1))</f>
        <v>Sơn Tịnh</v>
      </c>
      <c r="AH569" s="1" t="str">
        <f>TRIM(RIGHT(L569, LEN(L569) - FIND("-", L569)))</f>
        <v>TT1 QUẢNG NGÃI</v>
      </c>
      <c r="AJ569">
        <f t="shared" si="43"/>
        <v>3.8960000000000002E-2</v>
      </c>
      <c r="AK569">
        <f t="shared" si="44"/>
        <v>0.13275000000000001</v>
      </c>
      <c r="AL569">
        <f>VLOOKUP(L569,'[1]Tuyến cáp H04'!$B:$E,3,0)/1000</f>
        <v>12.047000000000001</v>
      </c>
      <c r="AM569" t="str">
        <f>VLOOKUP(L569,'[1]Tuyến cáp H04'!$B:$E,4,0)</f>
        <v>Mạng cấp 4</v>
      </c>
    </row>
    <row r="570" spans="1:39" x14ac:dyDescent="0.25">
      <c r="A570" s="1" t="s">
        <v>5312</v>
      </c>
      <c r="B570" s="1" t="s">
        <v>5313</v>
      </c>
      <c r="C570" s="1" t="s">
        <v>5314</v>
      </c>
      <c r="D570" s="1" t="s">
        <v>5192</v>
      </c>
      <c r="E570" s="1" t="s">
        <v>5193</v>
      </c>
      <c r="F570" s="1" t="s">
        <v>5315</v>
      </c>
      <c r="G570" s="1" t="s">
        <v>14129</v>
      </c>
      <c r="H570" s="1" t="s">
        <v>14679</v>
      </c>
      <c r="I570" s="1" t="s">
        <v>14690</v>
      </c>
      <c r="J570" s="1" t="s">
        <v>23</v>
      </c>
      <c r="K570" s="1"/>
      <c r="L570" s="1" t="s">
        <v>5223</v>
      </c>
      <c r="M570" s="1" t="s">
        <v>5223</v>
      </c>
      <c r="N570" s="12" t="b">
        <f t="shared" si="40"/>
        <v>1</v>
      </c>
      <c r="O570" s="1" t="s">
        <v>5316</v>
      </c>
      <c r="P570" s="1" t="s">
        <v>5317</v>
      </c>
      <c r="Q570" s="1" t="s">
        <v>5318</v>
      </c>
      <c r="R570" s="1" t="s">
        <v>5319</v>
      </c>
      <c r="S570" s="1" t="s">
        <v>5225</v>
      </c>
      <c r="T570" s="1" t="s">
        <v>5226</v>
      </c>
      <c r="U570" s="1" t="s">
        <v>5227</v>
      </c>
      <c r="V570" s="13">
        <f>COUNTIF(L570:$M$1659,L570)</f>
        <v>2</v>
      </c>
      <c r="W570" s="1" t="s">
        <v>5231</v>
      </c>
      <c r="X570">
        <v>628.66999999999996</v>
      </c>
      <c r="Y570">
        <v>589.72</v>
      </c>
      <c r="Z570">
        <v>15.113611000000001</v>
      </c>
      <c r="AA570">
        <v>108.77909699999999</v>
      </c>
      <c r="AB570">
        <v>38.96</v>
      </c>
      <c r="AC570">
        <v>15.120827</v>
      </c>
      <c r="AD570">
        <v>108.79173400000001</v>
      </c>
      <c r="AE570" s="5">
        <f t="shared" si="41"/>
        <v>0.88458000000000003</v>
      </c>
      <c r="AF570" s="5">
        <f t="shared" si="42"/>
        <v>5.8439999999999999E-2</v>
      </c>
      <c r="AG570" s="1" t="str">
        <f>TRIM(LEFT(L570,FIND("-",L570)-1))</f>
        <v>Sơn Tịnh</v>
      </c>
      <c r="AH570" s="1" t="str">
        <f>TRIM(RIGHT(L570, LEN(L570) - FIND("-", L570)))</f>
        <v>TT1 QUẢNG NGÃI</v>
      </c>
      <c r="AJ570">
        <f t="shared" si="43"/>
        <v>0.58972000000000002</v>
      </c>
      <c r="AK570">
        <f t="shared" si="44"/>
        <v>3.8960000000000002E-2</v>
      </c>
      <c r="AL570">
        <f>VLOOKUP(L570,'[1]Tuyến cáp H04'!$B:$E,3,0)/1000</f>
        <v>12.047000000000001</v>
      </c>
      <c r="AM570" t="str">
        <f>VLOOKUP(L570,'[1]Tuyến cáp H04'!$B:$E,4,0)</f>
        <v>Mạng cấp 4</v>
      </c>
    </row>
    <row r="571" spans="1:39" x14ac:dyDescent="0.25">
      <c r="A571" s="1" t="s">
        <v>5320</v>
      </c>
      <c r="B571" s="1" t="s">
        <v>5321</v>
      </c>
      <c r="C571" s="1" t="s">
        <v>5322</v>
      </c>
      <c r="D571" s="1" t="s">
        <v>5192</v>
      </c>
      <c r="E571" s="1" t="s">
        <v>5193</v>
      </c>
      <c r="F571" s="1" t="s">
        <v>5323</v>
      </c>
      <c r="G571" s="1" t="s">
        <v>14281</v>
      </c>
      <c r="H571" s="1" t="s">
        <v>14282</v>
      </c>
      <c r="I571" s="1" t="s">
        <v>14691</v>
      </c>
      <c r="J571" s="1" t="s">
        <v>23</v>
      </c>
      <c r="K571" s="1"/>
      <c r="L571" s="1" t="s">
        <v>5324</v>
      </c>
      <c r="M571" s="1" t="s">
        <v>5324</v>
      </c>
      <c r="N571" s="12" t="b">
        <f t="shared" si="40"/>
        <v>1</v>
      </c>
      <c r="O571" s="1" t="s">
        <v>5325</v>
      </c>
      <c r="P571" s="1" t="s">
        <v>5326</v>
      </c>
      <c r="Q571" s="1" t="s">
        <v>5327</v>
      </c>
      <c r="R571" s="1" t="s">
        <v>5328</v>
      </c>
      <c r="S571" s="1" t="s">
        <v>5329</v>
      </c>
      <c r="T571" s="1" t="s">
        <v>5330</v>
      </c>
      <c r="U571" s="1" t="s">
        <v>5331</v>
      </c>
      <c r="V571" s="13">
        <f>COUNTIF(L571:$M$1659,L571)</f>
        <v>4</v>
      </c>
      <c r="W571" s="1" t="s">
        <v>5332</v>
      </c>
      <c r="X571">
        <v>606.29</v>
      </c>
      <c r="Y571">
        <v>556.46</v>
      </c>
      <c r="Z571">
        <v>15.127977</v>
      </c>
      <c r="AA571">
        <v>108.795976</v>
      </c>
      <c r="AB571">
        <v>49.84</v>
      </c>
      <c r="AC571">
        <v>15.121444</v>
      </c>
      <c r="AD571">
        <v>108.792112</v>
      </c>
      <c r="AE571" s="5">
        <f t="shared" si="41"/>
        <v>0.83469000000000004</v>
      </c>
      <c r="AF571" s="5">
        <f t="shared" si="42"/>
        <v>7.4760000000000007E-2</v>
      </c>
      <c r="AG571" s="1" t="str">
        <f>TRIM(LEFT(L571,FIND("-",L571)-1))</f>
        <v>Khối Cảnh sát</v>
      </c>
      <c r="AH571" s="1" t="str">
        <f>TRIM(RIGHT(L571, LEN(L571) - FIND("-", L571)))</f>
        <v>Khối Phòng CAT KV P.Nghĩa Lộ</v>
      </c>
      <c r="AJ571">
        <f t="shared" si="43"/>
        <v>0.55646000000000007</v>
      </c>
      <c r="AK571">
        <f t="shared" si="44"/>
        <v>4.9840000000000002E-2</v>
      </c>
      <c r="AL571" t="e">
        <f>VLOOKUP(L571,'[1]Tuyến cáp H04'!$B:$E,3,0)/1000</f>
        <v>#N/A</v>
      </c>
      <c r="AM571" t="e">
        <f>VLOOKUP(L571,'[1]Tuyến cáp H04'!$B:$E,4,0)</f>
        <v>#N/A</v>
      </c>
    </row>
    <row r="572" spans="1:39" x14ac:dyDescent="0.25">
      <c r="A572" s="1" t="s">
        <v>5333</v>
      </c>
      <c r="B572" s="1" t="s">
        <v>5192</v>
      </c>
      <c r="C572" s="1" t="s">
        <v>5193</v>
      </c>
      <c r="D572" s="1" t="s">
        <v>5321</v>
      </c>
      <c r="E572" s="1" t="s">
        <v>5322</v>
      </c>
      <c r="F572" s="1" t="s">
        <v>5334</v>
      </c>
      <c r="G572" s="1" t="s">
        <v>14281</v>
      </c>
      <c r="H572" s="1" t="s">
        <v>14282</v>
      </c>
      <c r="I572" s="1" t="s">
        <v>14692</v>
      </c>
      <c r="J572" s="1" t="s">
        <v>23</v>
      </c>
      <c r="K572" s="1"/>
      <c r="L572" s="1" t="s">
        <v>5324</v>
      </c>
      <c r="M572" s="1" t="s">
        <v>5324</v>
      </c>
      <c r="N572" s="12" t="b">
        <f t="shared" si="40"/>
        <v>1</v>
      </c>
      <c r="O572" s="1" t="s">
        <v>5325</v>
      </c>
      <c r="P572" s="1" t="s">
        <v>5329</v>
      </c>
      <c r="Q572" s="1" t="s">
        <v>5330</v>
      </c>
      <c r="R572" s="1" t="s">
        <v>5331</v>
      </c>
      <c r="S572" s="1" t="s">
        <v>5326</v>
      </c>
      <c r="T572" s="1" t="s">
        <v>5327</v>
      </c>
      <c r="U572" s="1" t="s">
        <v>5328</v>
      </c>
      <c r="V572" s="13">
        <f>COUNTIF(L572:$M$1659,L572)</f>
        <v>2</v>
      </c>
      <c r="W572" s="1" t="s">
        <v>5332</v>
      </c>
      <c r="X572">
        <v>606.29</v>
      </c>
      <c r="Y572">
        <v>49.84</v>
      </c>
      <c r="Z572">
        <v>15.121444</v>
      </c>
      <c r="AA572">
        <v>108.792112</v>
      </c>
      <c r="AB572">
        <v>556.46</v>
      </c>
      <c r="AC572">
        <v>15.127977</v>
      </c>
      <c r="AD572">
        <v>108.795976</v>
      </c>
      <c r="AE572" s="5">
        <f t="shared" si="41"/>
        <v>7.4760000000000007E-2</v>
      </c>
      <c r="AF572" s="5">
        <f t="shared" si="42"/>
        <v>0.83469000000000004</v>
      </c>
      <c r="AG572" s="1" t="str">
        <f>TRIM(LEFT(L572,FIND("-",L572)-1))</f>
        <v>Khối Cảnh sát</v>
      </c>
      <c r="AH572" s="1" t="str">
        <f>TRIM(RIGHT(L572, LEN(L572) - FIND("-", L572)))</f>
        <v>Khối Phòng CAT KV P.Nghĩa Lộ</v>
      </c>
      <c r="AJ572">
        <f t="shared" si="43"/>
        <v>4.9840000000000002E-2</v>
      </c>
      <c r="AK572">
        <f t="shared" si="44"/>
        <v>0.55646000000000007</v>
      </c>
      <c r="AL572" t="e">
        <f>VLOOKUP(L572,'[1]Tuyến cáp H04'!$B:$E,3,0)/1000</f>
        <v>#N/A</v>
      </c>
      <c r="AM572" t="e">
        <f>VLOOKUP(L572,'[1]Tuyến cáp H04'!$B:$E,4,0)</f>
        <v>#N/A</v>
      </c>
    </row>
    <row r="573" spans="1:39" x14ac:dyDescent="0.25">
      <c r="A573" s="1" t="s">
        <v>5191</v>
      </c>
      <c r="B573" s="1" t="s">
        <v>5192</v>
      </c>
      <c r="C573" s="1" t="s">
        <v>5193</v>
      </c>
      <c r="D573" s="1" t="s">
        <v>5194</v>
      </c>
      <c r="E573" s="1" t="s">
        <v>5195</v>
      </c>
      <c r="F573" s="1" t="s">
        <v>5335</v>
      </c>
      <c r="G573" s="1" t="s">
        <v>14281</v>
      </c>
      <c r="H573" s="1" t="s">
        <v>14282</v>
      </c>
      <c r="I573" s="1" t="s">
        <v>14677</v>
      </c>
      <c r="J573" s="1" t="s">
        <v>23</v>
      </c>
      <c r="K573" s="1"/>
      <c r="L573" s="1" t="s">
        <v>5197</v>
      </c>
      <c r="M573" s="1" t="s">
        <v>5197</v>
      </c>
      <c r="N573" s="12" t="b">
        <f t="shared" si="40"/>
        <v>1</v>
      </c>
      <c r="O573" s="1" t="s">
        <v>5198</v>
      </c>
      <c r="P573" s="1" t="s">
        <v>5199</v>
      </c>
      <c r="Q573" s="1" t="s">
        <v>5200</v>
      </c>
      <c r="R573" s="1" t="s">
        <v>5201</v>
      </c>
      <c r="S573" s="1" t="s">
        <v>5202</v>
      </c>
      <c r="T573" s="1" t="s">
        <v>5203</v>
      </c>
      <c r="U573" s="1" t="s">
        <v>5204</v>
      </c>
      <c r="V573" s="13">
        <f>COUNTIF(L573:$M$1659,L573)</f>
        <v>12</v>
      </c>
      <c r="W573" s="1" t="s">
        <v>5205</v>
      </c>
      <c r="X573">
        <v>1060.3499999999999</v>
      </c>
      <c r="Y573">
        <v>860.1</v>
      </c>
      <c r="Z573">
        <v>15.113571</v>
      </c>
      <c r="AA573">
        <v>108.78981899999999</v>
      </c>
      <c r="AB573">
        <v>200.25</v>
      </c>
      <c r="AC573">
        <v>15.044577</v>
      </c>
      <c r="AD573">
        <v>108.774884</v>
      </c>
      <c r="AE573" s="5">
        <f t="shared" si="41"/>
        <v>1.2901500000000001</v>
      </c>
      <c r="AF573" s="5">
        <f t="shared" si="42"/>
        <v>0.300375</v>
      </c>
      <c r="AG573" s="1" t="str">
        <f>TRIM(LEFT(L573,FIND("-",L573)-1))</f>
        <v>TT1 Quảng Ngãi</v>
      </c>
      <c r="AH573" s="1" t="str">
        <f>TRIM(RIGHT(L573, LEN(L573) - FIND("-", L573)))</f>
        <v>Minh Long</v>
      </c>
      <c r="AJ573">
        <f t="shared" si="43"/>
        <v>0.86009999999999998</v>
      </c>
      <c r="AK573">
        <f t="shared" si="44"/>
        <v>0.20025000000000001</v>
      </c>
      <c r="AL573">
        <f>VLOOKUP(L573,'[1]Tuyến cáp H04'!$B:$E,3,0)/1000</f>
        <v>45.045000000000002</v>
      </c>
      <c r="AM573" t="str">
        <f>VLOOKUP(L573,'[1]Tuyến cáp H04'!$B:$E,4,0)</f>
        <v>Mạng cấp 3</v>
      </c>
    </row>
    <row r="574" spans="1:39" x14ac:dyDescent="0.25">
      <c r="A574" s="1" t="s">
        <v>5336</v>
      </c>
      <c r="B574" s="1" t="s">
        <v>5192</v>
      </c>
      <c r="C574" s="1" t="s">
        <v>5193</v>
      </c>
      <c r="D574" s="1" t="s">
        <v>5337</v>
      </c>
      <c r="E574" s="1" t="s">
        <v>5338</v>
      </c>
      <c r="F574" s="1" t="s">
        <v>5339</v>
      </c>
      <c r="G574" s="1" t="s">
        <v>14281</v>
      </c>
      <c r="H574" s="1" t="s">
        <v>14282</v>
      </c>
      <c r="I574" s="1" t="s">
        <v>14693</v>
      </c>
      <c r="J574" s="1" t="s">
        <v>23</v>
      </c>
      <c r="K574" s="1"/>
      <c r="L574" s="1" t="s">
        <v>5340</v>
      </c>
      <c r="M574" s="1" t="s">
        <v>5340</v>
      </c>
      <c r="N574" s="12" t="b">
        <f t="shared" si="40"/>
        <v>1</v>
      </c>
      <c r="O574" s="1" t="s">
        <v>5341</v>
      </c>
      <c r="P574" s="1" t="s">
        <v>5342</v>
      </c>
      <c r="Q574" s="1" t="s">
        <v>5343</v>
      </c>
      <c r="R574" s="1" t="s">
        <v>5344</v>
      </c>
      <c r="S574" s="1" t="s">
        <v>5345</v>
      </c>
      <c r="T574" s="1" t="s">
        <v>5346</v>
      </c>
      <c r="U574" s="1" t="s">
        <v>5347</v>
      </c>
      <c r="V574" s="13">
        <f>COUNTIF(L574:$M$1659,L574)</f>
        <v>10</v>
      </c>
      <c r="W574" s="1" t="s">
        <v>5348</v>
      </c>
      <c r="X574">
        <v>49.18</v>
      </c>
      <c r="Y574">
        <v>37.5</v>
      </c>
      <c r="Z574">
        <v>15.120825999999999</v>
      </c>
      <c r="AA574">
        <v>108.791751</v>
      </c>
      <c r="AB574">
        <v>11.68</v>
      </c>
      <c r="AC574">
        <v>15.113891000000001</v>
      </c>
      <c r="AD574">
        <v>108.79631999999999</v>
      </c>
      <c r="AE574" s="5">
        <f t="shared" si="41"/>
        <v>5.6250000000000001E-2</v>
      </c>
      <c r="AF574" s="5">
        <f t="shared" si="42"/>
        <v>1.7520000000000001E-2</v>
      </c>
      <c r="AG574" s="1" t="str">
        <f>TRIM(LEFT(L574,FIND("-",L574)-1))</f>
        <v>Khối Phòng PA08_PA05</v>
      </c>
      <c r="AH574" s="1" t="str">
        <f>TRIM(RIGHT(L574, LEN(L574) - FIND("-", L574)))</f>
        <v>TT1 Quảng Ngãi</v>
      </c>
      <c r="AJ574">
        <f t="shared" si="43"/>
        <v>3.7499999999999999E-2</v>
      </c>
      <c r="AK574">
        <f t="shared" si="44"/>
        <v>1.1679999999999999E-2</v>
      </c>
      <c r="AL574" t="e">
        <f>VLOOKUP(L574,'[1]Tuyến cáp H04'!$B:$E,3,0)/1000</f>
        <v>#N/A</v>
      </c>
      <c r="AM574" t="e">
        <f>VLOOKUP(L574,'[1]Tuyến cáp H04'!$B:$E,4,0)</f>
        <v>#N/A</v>
      </c>
    </row>
    <row r="575" spans="1:39" x14ac:dyDescent="0.25">
      <c r="A575" s="1" t="s">
        <v>5349</v>
      </c>
      <c r="B575" s="1" t="s">
        <v>5350</v>
      </c>
      <c r="C575" s="1" t="s">
        <v>5351</v>
      </c>
      <c r="D575" s="1" t="s">
        <v>5352</v>
      </c>
      <c r="E575" s="1" t="s">
        <v>5353</v>
      </c>
      <c r="F575" s="1" t="s">
        <v>5354</v>
      </c>
      <c r="G575" s="1" t="s">
        <v>14129</v>
      </c>
      <c r="H575" s="1" t="s">
        <v>14133</v>
      </c>
      <c r="I575" s="1" t="s">
        <v>14694</v>
      </c>
      <c r="J575" s="1" t="s">
        <v>23</v>
      </c>
      <c r="K575" s="1"/>
      <c r="L575" s="1" t="s">
        <v>5355</v>
      </c>
      <c r="M575" s="1" t="s">
        <v>5355</v>
      </c>
      <c r="N575" s="12" t="b">
        <f t="shared" si="40"/>
        <v>1</v>
      </c>
      <c r="O575" s="1" t="s">
        <v>5356</v>
      </c>
      <c r="P575" s="1" t="s">
        <v>5357</v>
      </c>
      <c r="Q575" s="1" t="s">
        <v>5358</v>
      </c>
      <c r="R575" s="1" t="s">
        <v>5359</v>
      </c>
      <c r="S575" s="1" t="s">
        <v>5360</v>
      </c>
      <c r="T575" s="1" t="s">
        <v>5361</v>
      </c>
      <c r="U575" s="1" t="s">
        <v>5362</v>
      </c>
      <c r="V575" s="13">
        <f>COUNTIF(L575:$M$1659,L575)</f>
        <v>12</v>
      </c>
      <c r="W575" s="1" t="s">
        <v>5363</v>
      </c>
      <c r="X575">
        <v>3196.39</v>
      </c>
      <c r="Y575">
        <v>757.26</v>
      </c>
      <c r="Z575">
        <v>14.941793000000001</v>
      </c>
      <c r="AA575">
        <v>108.884749</v>
      </c>
      <c r="AB575">
        <v>2439.13</v>
      </c>
      <c r="AC575">
        <v>15.038804000000001</v>
      </c>
      <c r="AD575">
        <v>108.852233</v>
      </c>
      <c r="AE575" s="5">
        <f t="shared" si="41"/>
        <v>1.1358899999999998</v>
      </c>
      <c r="AF575" s="5">
        <f t="shared" si="42"/>
        <v>3.6586950000000003</v>
      </c>
      <c r="AG575" s="1" t="str">
        <f>TRIM(LEFT(L575,FIND("-",L575)-1))</f>
        <v>Đức Phổ</v>
      </c>
      <c r="AH575" s="1" t="str">
        <f>TRIM(RIGHT(L575, LEN(L575) - FIND("-", L575)))</f>
        <v>TT1 Quảng Ngãi mới</v>
      </c>
      <c r="AJ575">
        <f t="shared" si="43"/>
        <v>0.75726000000000004</v>
      </c>
      <c r="AK575">
        <f t="shared" si="44"/>
        <v>2.43913</v>
      </c>
      <c r="AL575" t="e">
        <f>VLOOKUP(L575,'[1]Tuyến cáp H04'!$B:$E,3,0)/1000</f>
        <v>#N/A</v>
      </c>
      <c r="AM575" t="e">
        <f>VLOOKUP(L575,'[1]Tuyến cáp H04'!$B:$E,4,0)</f>
        <v>#N/A</v>
      </c>
    </row>
    <row r="576" spans="1:39" x14ac:dyDescent="0.25">
      <c r="A576" s="1" t="s">
        <v>5364</v>
      </c>
      <c r="B576" s="1" t="s">
        <v>5350</v>
      </c>
      <c r="C576" s="1" t="s">
        <v>5351</v>
      </c>
      <c r="D576" s="1" t="s">
        <v>5365</v>
      </c>
      <c r="E576" s="1" t="s">
        <v>5366</v>
      </c>
      <c r="F576" s="1" t="s">
        <v>5367</v>
      </c>
      <c r="G576" s="1" t="s">
        <v>14129</v>
      </c>
      <c r="H576" s="1" t="s">
        <v>14133</v>
      </c>
      <c r="I576" s="1" t="s">
        <v>14695</v>
      </c>
      <c r="J576" s="1" t="s">
        <v>23</v>
      </c>
      <c r="K576" s="1"/>
      <c r="L576" s="1" t="s">
        <v>5368</v>
      </c>
      <c r="M576" s="1" t="s">
        <v>5368</v>
      </c>
      <c r="N576" s="12" t="b">
        <f t="shared" si="40"/>
        <v>1</v>
      </c>
      <c r="O576" s="1" t="s">
        <v>5369</v>
      </c>
      <c r="P576" s="1" t="s">
        <v>5370</v>
      </c>
      <c r="Q576" s="1" t="s">
        <v>5371</v>
      </c>
      <c r="R576" s="1" t="s">
        <v>5372</v>
      </c>
      <c r="S576" s="1" t="s">
        <v>5373</v>
      </c>
      <c r="T576" s="1" t="s">
        <v>5374</v>
      </c>
      <c r="U576" s="1" t="s">
        <v>5375</v>
      </c>
      <c r="V576" s="13">
        <f>COUNTIF(L576:$M$1659,L576)</f>
        <v>12</v>
      </c>
      <c r="W576" s="1" t="s">
        <v>5376</v>
      </c>
      <c r="X576">
        <v>653.54</v>
      </c>
      <c r="Y576">
        <v>321.69</v>
      </c>
      <c r="Z576">
        <v>14.94886</v>
      </c>
      <c r="AA576">
        <v>108.885069</v>
      </c>
      <c r="AB576">
        <v>331.85</v>
      </c>
      <c r="AC576">
        <v>14.9232</v>
      </c>
      <c r="AD576">
        <v>108.90261099999999</v>
      </c>
      <c r="AE576" s="5">
        <f t="shared" si="41"/>
        <v>0.48253499999999999</v>
      </c>
      <c r="AF576" s="5">
        <f t="shared" si="42"/>
        <v>0.49777500000000002</v>
      </c>
      <c r="AG576" s="1" t="str">
        <f>TRIM(LEFT(L576,FIND("-",L576)-1))</f>
        <v>Trà Câu</v>
      </c>
      <c r="AH576" s="1" t="str">
        <f>TRIM(RIGHT(L576, LEN(L576) - FIND("-", L576)))</f>
        <v>Mộ Đức</v>
      </c>
      <c r="AJ576">
        <f t="shared" si="43"/>
        <v>0.32168999999999998</v>
      </c>
      <c r="AK576">
        <f t="shared" si="44"/>
        <v>0.33185000000000003</v>
      </c>
      <c r="AL576">
        <f>VLOOKUP(L576,'[1]Tuyến cáp H04'!$B:$E,3,0)/1000</f>
        <v>12.47</v>
      </c>
      <c r="AM576" t="str">
        <f>VLOOKUP(L576,'[1]Tuyến cáp H04'!$B:$E,4,0)</f>
        <v>Mạng cấp 4</v>
      </c>
    </row>
    <row r="577" spans="1:39" x14ac:dyDescent="0.25">
      <c r="A577" s="1" t="s">
        <v>5377</v>
      </c>
      <c r="B577" s="1" t="s">
        <v>5350</v>
      </c>
      <c r="C577" s="1" t="s">
        <v>5351</v>
      </c>
      <c r="D577" s="1" t="s">
        <v>5378</v>
      </c>
      <c r="E577" s="1" t="s">
        <v>5379</v>
      </c>
      <c r="F577" s="1" t="s">
        <v>5380</v>
      </c>
      <c r="G577" s="1" t="s">
        <v>14129</v>
      </c>
      <c r="H577" s="1" t="s">
        <v>14133</v>
      </c>
      <c r="I577" s="1" t="s">
        <v>14696</v>
      </c>
      <c r="J577" s="1" t="s">
        <v>23</v>
      </c>
      <c r="K577" s="1"/>
      <c r="L577" s="1" t="s">
        <v>5381</v>
      </c>
      <c r="M577" s="1" t="s">
        <v>5381</v>
      </c>
      <c r="N577" s="12" t="b">
        <f t="shared" si="40"/>
        <v>1</v>
      </c>
      <c r="O577" s="1" t="s">
        <v>5382</v>
      </c>
      <c r="P577" s="1" t="s">
        <v>5383</v>
      </c>
      <c r="Q577" s="1" t="s">
        <v>5384</v>
      </c>
      <c r="R577" s="1" t="s">
        <v>5385</v>
      </c>
      <c r="S577" s="1" t="s">
        <v>5386</v>
      </c>
      <c r="T577" s="1" t="s">
        <v>5387</v>
      </c>
      <c r="U577" s="1" t="s">
        <v>5388</v>
      </c>
      <c r="V577" s="13">
        <f>COUNTIF(L577:$M$1659,L577)</f>
        <v>10</v>
      </c>
      <c r="W577" s="1" t="s">
        <v>5389</v>
      </c>
      <c r="X577">
        <v>2747.46</v>
      </c>
      <c r="Y577">
        <v>683.74</v>
      </c>
      <c r="Z577">
        <v>14.953834000000001</v>
      </c>
      <c r="AA577">
        <v>108.88625999999999</v>
      </c>
      <c r="AB577">
        <v>2063.7199999999998</v>
      </c>
      <c r="AC577">
        <v>14.996029999999999</v>
      </c>
      <c r="AD577">
        <v>108.85276500000001</v>
      </c>
      <c r="AE577" s="5">
        <f t="shared" si="41"/>
        <v>1.0256100000000001</v>
      </c>
      <c r="AF577" s="5">
        <f t="shared" si="42"/>
        <v>3.09558</v>
      </c>
      <c r="AG577" s="1" t="str">
        <f>TRIM(LEFT(L577,FIND("-",L577)-1))</f>
        <v>Mộ Đức</v>
      </c>
      <c r="AH577" s="1" t="str">
        <f>TRIM(RIGHT(L577, LEN(L577) - FIND("-", L577)))</f>
        <v>Vệ Giang</v>
      </c>
      <c r="AJ577">
        <f t="shared" si="43"/>
        <v>0.68374000000000001</v>
      </c>
      <c r="AK577">
        <f t="shared" si="44"/>
        <v>2.06372</v>
      </c>
      <c r="AL577">
        <f>VLOOKUP(L577,'[1]Tuyến cáp H04'!$B:$E,3,0)/1000</f>
        <v>17.908000000000001</v>
      </c>
      <c r="AM577" t="str">
        <f>VLOOKUP(L577,'[1]Tuyến cáp H04'!$B:$E,4,0)</f>
        <v>Mạng cấp 4</v>
      </c>
    </row>
    <row r="578" spans="1:39" x14ac:dyDescent="0.25">
      <c r="A578" s="1" t="s">
        <v>5390</v>
      </c>
      <c r="B578" s="1" t="s">
        <v>5350</v>
      </c>
      <c r="C578" s="1" t="s">
        <v>5351</v>
      </c>
      <c r="D578" s="1" t="s">
        <v>5391</v>
      </c>
      <c r="E578" s="1" t="s">
        <v>5392</v>
      </c>
      <c r="F578" s="1" t="s">
        <v>5393</v>
      </c>
      <c r="G578" s="1" t="s">
        <v>14129</v>
      </c>
      <c r="H578" s="1" t="s">
        <v>14133</v>
      </c>
      <c r="I578" s="1" t="s">
        <v>14697</v>
      </c>
      <c r="J578" s="1" t="s">
        <v>23</v>
      </c>
      <c r="K578" s="1"/>
      <c r="L578" s="1" t="s">
        <v>5355</v>
      </c>
      <c r="M578" s="1" t="s">
        <v>5355</v>
      </c>
      <c r="N578" s="12" t="b">
        <f t="shared" si="40"/>
        <v>1</v>
      </c>
      <c r="O578" s="1" t="s">
        <v>5394</v>
      </c>
      <c r="P578" s="1" t="s">
        <v>5357</v>
      </c>
      <c r="Q578" s="1" t="s">
        <v>5358</v>
      </c>
      <c r="R578" s="1" t="s">
        <v>5359</v>
      </c>
      <c r="S578" s="1" t="s">
        <v>5395</v>
      </c>
      <c r="T578" s="1" t="s">
        <v>5396</v>
      </c>
      <c r="U578" s="1" t="s">
        <v>5397</v>
      </c>
      <c r="V578" s="13">
        <f>COUNTIF(L578:$M$1659,L578)</f>
        <v>10</v>
      </c>
      <c r="W578" s="1" t="s">
        <v>5363</v>
      </c>
      <c r="X578">
        <v>951.83</v>
      </c>
      <c r="Y578">
        <v>757.26</v>
      </c>
      <c r="Z578">
        <v>14.941793000000001</v>
      </c>
      <c r="AA578">
        <v>108.884749</v>
      </c>
      <c r="AB578">
        <v>194.57</v>
      </c>
      <c r="AC578">
        <v>15.011333</v>
      </c>
      <c r="AD578">
        <v>108.869854</v>
      </c>
      <c r="AE578" s="5">
        <f t="shared" si="41"/>
        <v>1.1358899999999998</v>
      </c>
      <c r="AF578" s="5">
        <f t="shared" si="42"/>
        <v>0.29185500000000003</v>
      </c>
      <c r="AG578" s="1" t="str">
        <f>TRIM(LEFT(L578,FIND("-",L578)-1))</f>
        <v>Đức Phổ</v>
      </c>
      <c r="AH578" s="1" t="str">
        <f>TRIM(RIGHT(L578, LEN(L578) - FIND("-", L578)))</f>
        <v>TT1 Quảng Ngãi mới</v>
      </c>
      <c r="AJ578">
        <f t="shared" si="43"/>
        <v>0.75726000000000004</v>
      </c>
      <c r="AK578">
        <f t="shared" si="44"/>
        <v>0.19456999999999999</v>
      </c>
      <c r="AL578" t="e">
        <f>VLOOKUP(L578,'[1]Tuyến cáp H04'!$B:$E,3,0)/1000</f>
        <v>#N/A</v>
      </c>
      <c r="AM578" t="e">
        <f>VLOOKUP(L578,'[1]Tuyến cáp H04'!$B:$E,4,0)</f>
        <v>#N/A</v>
      </c>
    </row>
    <row r="579" spans="1:39" x14ac:dyDescent="0.25">
      <c r="A579" s="1" t="s">
        <v>5398</v>
      </c>
      <c r="B579" s="1" t="s">
        <v>5350</v>
      </c>
      <c r="C579" s="1" t="s">
        <v>5351</v>
      </c>
      <c r="D579" s="1" t="s">
        <v>5399</v>
      </c>
      <c r="E579" s="1" t="s">
        <v>5400</v>
      </c>
      <c r="F579" s="1" t="s">
        <v>5401</v>
      </c>
      <c r="G579" s="1" t="s">
        <v>14129</v>
      </c>
      <c r="H579" s="1" t="s">
        <v>14133</v>
      </c>
      <c r="I579" s="1" t="s">
        <v>14698</v>
      </c>
      <c r="J579" s="1" t="s">
        <v>23</v>
      </c>
      <c r="K579" s="1"/>
      <c r="L579" s="1" t="s">
        <v>5368</v>
      </c>
      <c r="M579" s="1" t="s">
        <v>5368</v>
      </c>
      <c r="N579" s="12" t="b">
        <f t="shared" ref="N579:N642" si="45">L579=M579</f>
        <v>1</v>
      </c>
      <c r="O579" s="1" t="s">
        <v>5402</v>
      </c>
      <c r="P579" s="1" t="s">
        <v>5370</v>
      </c>
      <c r="Q579" s="1" t="s">
        <v>5371</v>
      </c>
      <c r="R579" s="1" t="s">
        <v>5372</v>
      </c>
      <c r="S579" s="1" t="s">
        <v>5403</v>
      </c>
      <c r="T579" s="1" t="s">
        <v>5404</v>
      </c>
      <c r="U579" s="1" t="s">
        <v>5405</v>
      </c>
      <c r="V579" s="13">
        <f>COUNTIF(L579:$M$1659,L579)</f>
        <v>10</v>
      </c>
      <c r="W579" s="1" t="s">
        <v>5376</v>
      </c>
      <c r="X579">
        <v>1972.89</v>
      </c>
      <c r="Y579">
        <v>321.69</v>
      </c>
      <c r="Z579">
        <v>14.94886</v>
      </c>
      <c r="AA579">
        <v>108.885069</v>
      </c>
      <c r="AB579">
        <v>1651.2</v>
      </c>
      <c r="AC579">
        <v>14.920210000000001</v>
      </c>
      <c r="AD579">
        <v>108.904616</v>
      </c>
      <c r="AE579" s="5">
        <f t="shared" ref="AE579:AE642" si="46">Y579*1.5/1000</f>
        <v>0.48253499999999999</v>
      </c>
      <c r="AF579" s="5">
        <f t="shared" ref="AF579:AF642" si="47">AB579*1.5/1000</f>
        <v>2.4768000000000003</v>
      </c>
      <c r="AG579" s="1" t="str">
        <f>TRIM(LEFT(L579,FIND("-",L579)-1))</f>
        <v>Trà Câu</v>
      </c>
      <c r="AH579" s="1" t="str">
        <f>TRIM(RIGHT(L579, LEN(L579) - FIND("-", L579)))</f>
        <v>Mộ Đức</v>
      </c>
      <c r="AJ579">
        <f t="shared" ref="AJ579:AJ642" si="48">Y579/1000</f>
        <v>0.32168999999999998</v>
      </c>
      <c r="AK579">
        <f t="shared" ref="AK579:AK642" si="49">AB579/1000</f>
        <v>1.6512</v>
      </c>
      <c r="AL579">
        <f>VLOOKUP(L579,'[1]Tuyến cáp H04'!$B:$E,3,0)/1000</f>
        <v>12.47</v>
      </c>
      <c r="AM579" t="str">
        <f>VLOOKUP(L579,'[1]Tuyến cáp H04'!$B:$E,4,0)</f>
        <v>Mạng cấp 4</v>
      </c>
    </row>
    <row r="580" spans="1:39" x14ac:dyDescent="0.25">
      <c r="A580" s="1" t="s">
        <v>5406</v>
      </c>
      <c r="B580" s="1" t="s">
        <v>5350</v>
      </c>
      <c r="C580" s="1" t="s">
        <v>5351</v>
      </c>
      <c r="D580" s="1" t="s">
        <v>5407</v>
      </c>
      <c r="E580" s="1" t="s">
        <v>5408</v>
      </c>
      <c r="F580" s="1" t="s">
        <v>5409</v>
      </c>
      <c r="G580" s="1" t="s">
        <v>14129</v>
      </c>
      <c r="H580" s="1" t="s">
        <v>14133</v>
      </c>
      <c r="I580" s="1" t="s">
        <v>14699</v>
      </c>
      <c r="J580" s="1" t="s">
        <v>23</v>
      </c>
      <c r="K580" s="1"/>
      <c r="L580" s="1" t="s">
        <v>5381</v>
      </c>
      <c r="M580" s="1" t="s">
        <v>5381</v>
      </c>
      <c r="N580" s="12" t="b">
        <f t="shared" si="45"/>
        <v>1</v>
      </c>
      <c r="O580" s="1" t="s">
        <v>5410</v>
      </c>
      <c r="P580" s="1" t="s">
        <v>5411</v>
      </c>
      <c r="Q580" s="1" t="s">
        <v>5412</v>
      </c>
      <c r="R580" s="1" t="s">
        <v>5413</v>
      </c>
      <c r="S580" s="1" t="s">
        <v>5414</v>
      </c>
      <c r="T580" s="1" t="s">
        <v>5384</v>
      </c>
      <c r="U580" s="1" t="s">
        <v>5415</v>
      </c>
      <c r="V580" s="13">
        <f>COUNTIF(L580:$M$1659,L580)</f>
        <v>8</v>
      </c>
      <c r="W580" s="1" t="s">
        <v>5416</v>
      </c>
      <c r="X580">
        <v>636.9</v>
      </c>
      <c r="Y580">
        <v>228.52</v>
      </c>
      <c r="Z580">
        <v>14.949937</v>
      </c>
      <c r="AA580">
        <v>108.887698</v>
      </c>
      <c r="AB580">
        <v>408.38</v>
      </c>
      <c r="AC580">
        <v>14.953834000000001</v>
      </c>
      <c r="AD580">
        <v>108.886257</v>
      </c>
      <c r="AE580" s="5">
        <f t="shared" si="46"/>
        <v>0.34278000000000003</v>
      </c>
      <c r="AF580" s="5">
        <f t="shared" si="47"/>
        <v>0.61256999999999995</v>
      </c>
      <c r="AG580" s="1" t="str">
        <f>TRIM(LEFT(L580,FIND("-",L580)-1))</f>
        <v>Mộ Đức</v>
      </c>
      <c r="AH580" s="1" t="str">
        <f>TRIM(RIGHT(L580, LEN(L580) - FIND("-", L580)))</f>
        <v>Vệ Giang</v>
      </c>
      <c r="AJ580">
        <f t="shared" si="48"/>
        <v>0.22852</v>
      </c>
      <c r="AK580">
        <f t="shared" si="49"/>
        <v>0.40838000000000002</v>
      </c>
      <c r="AL580">
        <f>VLOOKUP(L580,'[1]Tuyến cáp H04'!$B:$E,3,0)/1000</f>
        <v>17.908000000000001</v>
      </c>
      <c r="AM580" t="str">
        <f>VLOOKUP(L580,'[1]Tuyến cáp H04'!$B:$E,4,0)</f>
        <v>Mạng cấp 4</v>
      </c>
    </row>
    <row r="581" spans="1:39" x14ac:dyDescent="0.25">
      <c r="A581" s="1" t="s">
        <v>5377</v>
      </c>
      <c r="B581" s="1" t="s">
        <v>5350</v>
      </c>
      <c r="C581" s="1" t="s">
        <v>5351</v>
      </c>
      <c r="D581" s="1" t="s">
        <v>5378</v>
      </c>
      <c r="E581" s="1" t="s">
        <v>5379</v>
      </c>
      <c r="F581" s="1" t="s">
        <v>5417</v>
      </c>
      <c r="G581" s="1" t="s">
        <v>14129</v>
      </c>
      <c r="H581" s="1" t="s">
        <v>14700</v>
      </c>
      <c r="I581" s="1" t="s">
        <v>14696</v>
      </c>
      <c r="J581" s="1" t="s">
        <v>23</v>
      </c>
      <c r="K581" s="1"/>
      <c r="L581" s="1" t="s">
        <v>5381</v>
      </c>
      <c r="M581" s="1" t="s">
        <v>5381</v>
      </c>
      <c r="N581" s="12" t="b">
        <f t="shared" si="45"/>
        <v>1</v>
      </c>
      <c r="O581" s="1" t="s">
        <v>5382</v>
      </c>
      <c r="P581" s="1" t="s">
        <v>5383</v>
      </c>
      <c r="Q581" s="1" t="s">
        <v>5384</v>
      </c>
      <c r="R581" s="1" t="s">
        <v>5385</v>
      </c>
      <c r="S581" s="1" t="s">
        <v>5386</v>
      </c>
      <c r="T581" s="1" t="s">
        <v>5387</v>
      </c>
      <c r="U581" s="1" t="s">
        <v>5388</v>
      </c>
      <c r="V581" s="13">
        <f>COUNTIF(L581:$M$1659,L581)</f>
        <v>6</v>
      </c>
      <c r="W581" s="1" t="s">
        <v>5389</v>
      </c>
      <c r="X581">
        <v>2747.46</v>
      </c>
      <c r="Y581">
        <v>683.74</v>
      </c>
      <c r="Z581">
        <v>14.953834000000001</v>
      </c>
      <c r="AA581">
        <v>108.88625999999999</v>
      </c>
      <c r="AB581">
        <v>2063.7199999999998</v>
      </c>
      <c r="AC581">
        <v>14.996029999999999</v>
      </c>
      <c r="AD581">
        <v>108.85276500000001</v>
      </c>
      <c r="AE581" s="5">
        <f t="shared" si="46"/>
        <v>1.0256100000000001</v>
      </c>
      <c r="AF581" s="5">
        <f t="shared" si="47"/>
        <v>3.09558</v>
      </c>
      <c r="AG581" s="1" t="str">
        <f>TRIM(LEFT(L581,FIND("-",L581)-1))</f>
        <v>Mộ Đức</v>
      </c>
      <c r="AH581" s="1" t="str">
        <f>TRIM(RIGHT(L581, LEN(L581) - FIND("-", L581)))</f>
        <v>Vệ Giang</v>
      </c>
      <c r="AJ581">
        <f t="shared" si="48"/>
        <v>0.68374000000000001</v>
      </c>
      <c r="AK581">
        <f t="shared" si="49"/>
        <v>2.06372</v>
      </c>
      <c r="AL581">
        <f>VLOOKUP(L581,'[1]Tuyến cáp H04'!$B:$E,3,0)/1000</f>
        <v>17.908000000000001</v>
      </c>
      <c r="AM581" t="str">
        <f>VLOOKUP(L581,'[1]Tuyến cáp H04'!$B:$E,4,0)</f>
        <v>Mạng cấp 4</v>
      </c>
    </row>
    <row r="582" spans="1:39" x14ac:dyDescent="0.25">
      <c r="A582" s="1" t="s">
        <v>5349</v>
      </c>
      <c r="B582" s="1" t="s">
        <v>5350</v>
      </c>
      <c r="C582" s="1" t="s">
        <v>5351</v>
      </c>
      <c r="D582" s="1" t="s">
        <v>5352</v>
      </c>
      <c r="E582" s="1" t="s">
        <v>5353</v>
      </c>
      <c r="F582" s="1" t="s">
        <v>5418</v>
      </c>
      <c r="G582" s="1" t="s">
        <v>14129</v>
      </c>
      <c r="H582" s="1" t="s">
        <v>14700</v>
      </c>
      <c r="I582" s="1" t="s">
        <v>14694</v>
      </c>
      <c r="J582" s="1" t="s">
        <v>23</v>
      </c>
      <c r="K582" s="1"/>
      <c r="L582" s="1" t="s">
        <v>5355</v>
      </c>
      <c r="M582" s="1" t="s">
        <v>5355</v>
      </c>
      <c r="N582" s="12" t="b">
        <f t="shared" si="45"/>
        <v>1</v>
      </c>
      <c r="O582" s="1" t="s">
        <v>5356</v>
      </c>
      <c r="P582" s="1" t="s">
        <v>5357</v>
      </c>
      <c r="Q582" s="1" t="s">
        <v>5358</v>
      </c>
      <c r="R582" s="1" t="s">
        <v>5359</v>
      </c>
      <c r="S582" s="1" t="s">
        <v>5360</v>
      </c>
      <c r="T582" s="1" t="s">
        <v>5361</v>
      </c>
      <c r="U582" s="1" t="s">
        <v>5362</v>
      </c>
      <c r="V582" s="13">
        <f>COUNTIF(L582:$M$1659,L582)</f>
        <v>8</v>
      </c>
      <c r="W582" s="1" t="s">
        <v>5363</v>
      </c>
      <c r="X582">
        <v>3196.39</v>
      </c>
      <c r="Y582">
        <v>757.26</v>
      </c>
      <c r="Z582">
        <v>14.941793000000001</v>
      </c>
      <c r="AA582">
        <v>108.884749</v>
      </c>
      <c r="AB582">
        <v>2439.13</v>
      </c>
      <c r="AC582">
        <v>15.038804000000001</v>
      </c>
      <c r="AD582">
        <v>108.852233</v>
      </c>
      <c r="AE582" s="5">
        <f t="shared" si="46"/>
        <v>1.1358899999999998</v>
      </c>
      <c r="AF582" s="5">
        <f t="shared" si="47"/>
        <v>3.6586950000000003</v>
      </c>
      <c r="AG582" s="1" t="str">
        <f>TRIM(LEFT(L582,FIND("-",L582)-1))</f>
        <v>Đức Phổ</v>
      </c>
      <c r="AH582" s="1" t="str">
        <f>TRIM(RIGHT(L582, LEN(L582) - FIND("-", L582)))</f>
        <v>TT1 Quảng Ngãi mới</v>
      </c>
      <c r="AJ582">
        <f t="shared" si="48"/>
        <v>0.75726000000000004</v>
      </c>
      <c r="AK582">
        <f t="shared" si="49"/>
        <v>2.43913</v>
      </c>
      <c r="AL582" t="e">
        <f>VLOOKUP(L582,'[1]Tuyến cáp H04'!$B:$E,3,0)/1000</f>
        <v>#N/A</v>
      </c>
      <c r="AM582" t="e">
        <f>VLOOKUP(L582,'[1]Tuyến cáp H04'!$B:$E,4,0)</f>
        <v>#N/A</v>
      </c>
    </row>
    <row r="583" spans="1:39" x14ac:dyDescent="0.25">
      <c r="A583" s="1" t="s">
        <v>5419</v>
      </c>
      <c r="B583" s="1" t="s">
        <v>5194</v>
      </c>
      <c r="C583" s="1" t="s">
        <v>5195</v>
      </c>
      <c r="D583" s="1" t="s">
        <v>5350</v>
      </c>
      <c r="E583" s="1" t="s">
        <v>5351</v>
      </c>
      <c r="F583" s="1" t="s">
        <v>5420</v>
      </c>
      <c r="G583" s="1" t="s">
        <v>14129</v>
      </c>
      <c r="H583" s="1" t="s">
        <v>14133</v>
      </c>
      <c r="I583" s="1" t="s">
        <v>14701</v>
      </c>
      <c r="J583" s="1" t="s">
        <v>23</v>
      </c>
      <c r="K583" s="1"/>
      <c r="L583" s="1" t="s">
        <v>5381</v>
      </c>
      <c r="M583" s="1" t="s">
        <v>5381</v>
      </c>
      <c r="N583" s="12" t="b">
        <f t="shared" si="45"/>
        <v>1</v>
      </c>
      <c r="O583" s="1" t="s">
        <v>5421</v>
      </c>
      <c r="P583" s="1" t="s">
        <v>5422</v>
      </c>
      <c r="Q583" s="1" t="s">
        <v>5423</v>
      </c>
      <c r="R583" s="1" t="s">
        <v>5424</v>
      </c>
      <c r="S583" s="1" t="s">
        <v>5383</v>
      </c>
      <c r="T583" s="1" t="s">
        <v>5384</v>
      </c>
      <c r="U583" s="1" t="s">
        <v>5385</v>
      </c>
      <c r="V583" s="13">
        <f>COUNTIF(L583:$M$1659,L583)</f>
        <v>4</v>
      </c>
      <c r="W583" s="1" t="s">
        <v>5389</v>
      </c>
      <c r="X583">
        <v>8758.42</v>
      </c>
      <c r="Y583">
        <v>8074.67</v>
      </c>
      <c r="Z583">
        <v>15.008497999999999</v>
      </c>
      <c r="AA583">
        <v>108.842247</v>
      </c>
      <c r="AB583">
        <v>683.74</v>
      </c>
      <c r="AC583">
        <v>14.953834000000001</v>
      </c>
      <c r="AD583">
        <v>108.88625999999999</v>
      </c>
      <c r="AE583" s="5">
        <f t="shared" si="46"/>
        <v>12.112005000000002</v>
      </c>
      <c r="AF583" s="5">
        <f t="shared" si="47"/>
        <v>1.0256100000000001</v>
      </c>
      <c r="AG583" s="1" t="str">
        <f>TRIM(LEFT(L583,FIND("-",L583)-1))</f>
        <v>Mộ Đức</v>
      </c>
      <c r="AH583" s="1" t="str">
        <f>TRIM(RIGHT(L583, LEN(L583) - FIND("-", L583)))</f>
        <v>Vệ Giang</v>
      </c>
      <c r="AJ583">
        <f t="shared" si="48"/>
        <v>8.0746699999999993</v>
      </c>
      <c r="AK583">
        <f t="shared" si="49"/>
        <v>0.68374000000000001</v>
      </c>
      <c r="AL583">
        <f>VLOOKUP(L583,'[1]Tuyến cáp H04'!$B:$E,3,0)/1000</f>
        <v>17.908000000000001</v>
      </c>
      <c r="AM583" t="str">
        <f>VLOOKUP(L583,'[1]Tuyến cáp H04'!$B:$E,4,0)</f>
        <v>Mạng cấp 4</v>
      </c>
    </row>
    <row r="584" spans="1:39" x14ac:dyDescent="0.25">
      <c r="A584" s="1" t="s">
        <v>5425</v>
      </c>
      <c r="B584" s="1" t="s">
        <v>5426</v>
      </c>
      <c r="C584" s="1" t="s">
        <v>5427</v>
      </c>
      <c r="D584" s="1" t="s">
        <v>5350</v>
      </c>
      <c r="E584" s="1" t="s">
        <v>5351</v>
      </c>
      <c r="F584" s="1" t="s">
        <v>5428</v>
      </c>
      <c r="G584" s="1" t="s">
        <v>14129</v>
      </c>
      <c r="H584" s="1" t="s">
        <v>14133</v>
      </c>
      <c r="I584" s="1" t="s">
        <v>14702</v>
      </c>
      <c r="J584" s="1" t="s">
        <v>23</v>
      </c>
      <c r="K584" s="1"/>
      <c r="L584" s="1" t="s">
        <v>5368</v>
      </c>
      <c r="M584" s="1" t="s">
        <v>5368</v>
      </c>
      <c r="N584" s="12" t="b">
        <f t="shared" si="45"/>
        <v>1</v>
      </c>
      <c r="O584" s="1" t="s">
        <v>5429</v>
      </c>
      <c r="P584" s="1" t="s">
        <v>5430</v>
      </c>
      <c r="Q584" s="1" t="s">
        <v>5431</v>
      </c>
      <c r="R584" s="1" t="s">
        <v>5432</v>
      </c>
      <c r="S584" s="1" t="s">
        <v>5433</v>
      </c>
      <c r="T584" s="1" t="s">
        <v>5434</v>
      </c>
      <c r="U584" s="1" t="s">
        <v>5435</v>
      </c>
      <c r="V584" s="13">
        <f>COUNTIF(L584:$M$1659,L584)</f>
        <v>8</v>
      </c>
      <c r="W584" s="1" t="s">
        <v>5436</v>
      </c>
      <c r="X584">
        <v>2814.66</v>
      </c>
      <c r="Y584">
        <v>2675.01</v>
      </c>
      <c r="Z584">
        <v>14.946975999999999</v>
      </c>
      <c r="AA584">
        <v>108.88515099999999</v>
      </c>
      <c r="AB584">
        <v>139.65</v>
      </c>
      <c r="AC584">
        <v>14.946636</v>
      </c>
      <c r="AD584">
        <v>108.887959</v>
      </c>
      <c r="AE584" s="5">
        <f t="shared" si="46"/>
        <v>4.0125150000000005</v>
      </c>
      <c r="AF584" s="5">
        <f t="shared" si="47"/>
        <v>0.20947500000000002</v>
      </c>
      <c r="AG584" s="1" t="str">
        <f>TRIM(LEFT(L584,FIND("-",L584)-1))</f>
        <v>Trà Câu</v>
      </c>
      <c r="AH584" s="1" t="str">
        <f>TRIM(RIGHT(L584, LEN(L584) - FIND("-", L584)))</f>
        <v>Mộ Đức</v>
      </c>
      <c r="AJ584">
        <f t="shared" si="48"/>
        <v>2.6750100000000003</v>
      </c>
      <c r="AK584">
        <f t="shared" si="49"/>
        <v>0.13965</v>
      </c>
      <c r="AL584">
        <f>VLOOKUP(L584,'[1]Tuyến cáp H04'!$B:$E,3,0)/1000</f>
        <v>12.47</v>
      </c>
      <c r="AM584" t="str">
        <f>VLOOKUP(L584,'[1]Tuyến cáp H04'!$B:$E,4,0)</f>
        <v>Mạng cấp 4</v>
      </c>
    </row>
    <row r="585" spans="1:39" x14ac:dyDescent="0.25">
      <c r="A585" s="1" t="s">
        <v>5437</v>
      </c>
      <c r="B585" s="1" t="s">
        <v>5438</v>
      </c>
      <c r="C585" s="1" t="s">
        <v>5439</v>
      </c>
      <c r="D585" s="1" t="s">
        <v>5350</v>
      </c>
      <c r="E585" s="1" t="s">
        <v>5351</v>
      </c>
      <c r="F585" s="1" t="s">
        <v>5440</v>
      </c>
      <c r="G585" s="1" t="s">
        <v>14129</v>
      </c>
      <c r="H585" s="1" t="s">
        <v>14133</v>
      </c>
      <c r="I585" s="1" t="s">
        <v>14703</v>
      </c>
      <c r="J585" s="1" t="s">
        <v>23</v>
      </c>
      <c r="K585" s="1"/>
      <c r="L585" s="1" t="s">
        <v>5368</v>
      </c>
      <c r="M585" s="1" t="s">
        <v>5368</v>
      </c>
      <c r="N585" s="12" t="b">
        <f t="shared" si="45"/>
        <v>1</v>
      </c>
      <c r="O585" s="1" t="s">
        <v>5441</v>
      </c>
      <c r="P585" s="1" t="s">
        <v>5442</v>
      </c>
      <c r="Q585" s="1" t="s">
        <v>5443</v>
      </c>
      <c r="R585" s="1" t="s">
        <v>5444</v>
      </c>
      <c r="S585" s="1" t="s">
        <v>5370</v>
      </c>
      <c r="T585" s="1" t="s">
        <v>5371</v>
      </c>
      <c r="U585" s="1" t="s">
        <v>5372</v>
      </c>
      <c r="V585" s="13">
        <f>COUNTIF(L585:$M$1659,L585)</f>
        <v>6</v>
      </c>
      <c r="W585" s="1" t="s">
        <v>5376</v>
      </c>
      <c r="X585">
        <v>498.47</v>
      </c>
      <c r="Y585">
        <v>176.78</v>
      </c>
      <c r="Z585">
        <v>14.904019999999999</v>
      </c>
      <c r="AA585">
        <v>108.911083</v>
      </c>
      <c r="AB585">
        <v>321.69</v>
      </c>
      <c r="AC585">
        <v>14.94886</v>
      </c>
      <c r="AD585">
        <v>108.885069</v>
      </c>
      <c r="AE585" s="5">
        <f t="shared" si="46"/>
        <v>0.26517000000000002</v>
      </c>
      <c r="AF585" s="5">
        <f t="shared" si="47"/>
        <v>0.48253499999999999</v>
      </c>
      <c r="AG585" s="1" t="str">
        <f>TRIM(LEFT(L585,FIND("-",L585)-1))</f>
        <v>Trà Câu</v>
      </c>
      <c r="AH585" s="1" t="str">
        <f>TRIM(RIGHT(L585, LEN(L585) - FIND("-", L585)))</f>
        <v>Mộ Đức</v>
      </c>
      <c r="AJ585">
        <f t="shared" si="48"/>
        <v>0.17677999999999999</v>
      </c>
      <c r="AK585">
        <f t="shared" si="49"/>
        <v>0.32168999999999998</v>
      </c>
      <c r="AL585">
        <f>VLOOKUP(L585,'[1]Tuyến cáp H04'!$B:$E,3,0)/1000</f>
        <v>12.47</v>
      </c>
      <c r="AM585" t="str">
        <f>VLOOKUP(L585,'[1]Tuyến cáp H04'!$B:$E,4,0)</f>
        <v>Mạng cấp 4</v>
      </c>
    </row>
    <row r="586" spans="1:39" x14ac:dyDescent="0.25">
      <c r="A586" s="1" t="s">
        <v>5445</v>
      </c>
      <c r="B586" s="1" t="s">
        <v>5446</v>
      </c>
      <c r="C586" s="1" t="s">
        <v>5447</v>
      </c>
      <c r="D586" s="1" t="s">
        <v>5350</v>
      </c>
      <c r="E586" s="1" t="s">
        <v>5351</v>
      </c>
      <c r="F586" s="1" t="s">
        <v>5448</v>
      </c>
      <c r="G586" s="1" t="s">
        <v>14129</v>
      </c>
      <c r="H586" s="1" t="s">
        <v>14133</v>
      </c>
      <c r="I586" s="1" t="s">
        <v>14704</v>
      </c>
      <c r="J586" s="1" t="s">
        <v>23</v>
      </c>
      <c r="K586" s="1"/>
      <c r="L586" s="1" t="s">
        <v>5368</v>
      </c>
      <c r="M586" s="1" t="s">
        <v>5368</v>
      </c>
      <c r="N586" s="12" t="b">
        <f t="shared" si="45"/>
        <v>1</v>
      </c>
      <c r="O586" s="1" t="s">
        <v>5449</v>
      </c>
      <c r="P586" s="1" t="s">
        <v>5450</v>
      </c>
      <c r="Q586" s="1" t="s">
        <v>5451</v>
      </c>
      <c r="R586" s="1" t="s">
        <v>5452</v>
      </c>
      <c r="S586" s="1" t="s">
        <v>5453</v>
      </c>
      <c r="T586" s="1" t="s">
        <v>5454</v>
      </c>
      <c r="U586" s="1" t="s">
        <v>5455</v>
      </c>
      <c r="V586" s="13">
        <f>COUNTIF(L586:$M$1659,L586)</f>
        <v>4</v>
      </c>
      <c r="W586" s="1" t="s">
        <v>5456</v>
      </c>
      <c r="X586">
        <v>915.7</v>
      </c>
      <c r="Y586">
        <v>913.32</v>
      </c>
      <c r="Z586">
        <v>14.947108999999999</v>
      </c>
      <c r="AA586">
        <v>108.887216</v>
      </c>
      <c r="AB586">
        <v>2.39</v>
      </c>
      <c r="AC586">
        <v>14.947894</v>
      </c>
      <c r="AD586">
        <v>108.887912</v>
      </c>
      <c r="AE586" s="5">
        <f t="shared" si="46"/>
        <v>1.36998</v>
      </c>
      <c r="AF586" s="5">
        <f t="shared" si="47"/>
        <v>3.5850000000000001E-3</v>
      </c>
      <c r="AG586" s="1" t="str">
        <f>TRIM(LEFT(L586,FIND("-",L586)-1))</f>
        <v>Trà Câu</v>
      </c>
      <c r="AH586" s="1" t="str">
        <f>TRIM(RIGHT(L586, LEN(L586) - FIND("-", L586)))</f>
        <v>Mộ Đức</v>
      </c>
      <c r="AJ586">
        <f t="shared" si="48"/>
        <v>0.91332000000000002</v>
      </c>
      <c r="AK586">
        <f t="shared" si="49"/>
        <v>2.3900000000000002E-3</v>
      </c>
      <c r="AL586">
        <f>VLOOKUP(L586,'[1]Tuyến cáp H04'!$B:$E,3,0)/1000</f>
        <v>12.47</v>
      </c>
      <c r="AM586" t="str">
        <f>VLOOKUP(L586,'[1]Tuyến cáp H04'!$B:$E,4,0)</f>
        <v>Mạng cấp 4</v>
      </c>
    </row>
    <row r="587" spans="1:39" x14ac:dyDescent="0.25">
      <c r="A587" s="1" t="s">
        <v>5457</v>
      </c>
      <c r="B587" s="1" t="s">
        <v>5458</v>
      </c>
      <c r="C587" s="1" t="s">
        <v>5459</v>
      </c>
      <c r="D587" s="1" t="s">
        <v>5350</v>
      </c>
      <c r="E587" s="1" t="s">
        <v>5351</v>
      </c>
      <c r="F587" s="1" t="s">
        <v>5460</v>
      </c>
      <c r="G587" s="1" t="s">
        <v>14129</v>
      </c>
      <c r="H587" s="1" t="s">
        <v>14133</v>
      </c>
      <c r="I587" s="1" t="s">
        <v>14705</v>
      </c>
      <c r="J587" s="1" t="s">
        <v>23</v>
      </c>
      <c r="K587" s="1"/>
      <c r="L587" s="1" t="s">
        <v>5368</v>
      </c>
      <c r="M587" s="1" t="s">
        <v>5368</v>
      </c>
      <c r="N587" s="12" t="b">
        <f t="shared" si="45"/>
        <v>1</v>
      </c>
      <c r="O587" s="1" t="s">
        <v>5461</v>
      </c>
      <c r="P587" s="1" t="s">
        <v>5462</v>
      </c>
      <c r="Q587" s="1" t="s">
        <v>5463</v>
      </c>
      <c r="R587" s="1" t="s">
        <v>5464</v>
      </c>
      <c r="S587" s="1" t="s">
        <v>5370</v>
      </c>
      <c r="T587" s="1" t="s">
        <v>5371</v>
      </c>
      <c r="U587" s="1" t="s">
        <v>5372</v>
      </c>
      <c r="V587" s="13">
        <f>COUNTIF(L587:$M$1659,L587)</f>
        <v>2</v>
      </c>
      <c r="W587" s="1" t="s">
        <v>5376</v>
      </c>
      <c r="X587">
        <v>2292.33</v>
      </c>
      <c r="Y587">
        <v>1970.64</v>
      </c>
      <c r="Z587">
        <v>14.934362</v>
      </c>
      <c r="AA587">
        <v>108.89045299999999</v>
      </c>
      <c r="AB587">
        <v>321.69</v>
      </c>
      <c r="AC587">
        <v>14.94886</v>
      </c>
      <c r="AD587">
        <v>108.885069</v>
      </c>
      <c r="AE587" s="5">
        <f t="shared" si="46"/>
        <v>2.9559600000000001</v>
      </c>
      <c r="AF587" s="5">
        <f t="shared" si="47"/>
        <v>0.48253499999999999</v>
      </c>
      <c r="AG587" s="1" t="str">
        <f>TRIM(LEFT(L587,FIND("-",L587)-1))</f>
        <v>Trà Câu</v>
      </c>
      <c r="AH587" s="1" t="str">
        <f>TRIM(RIGHT(L587, LEN(L587) - FIND("-", L587)))</f>
        <v>Mộ Đức</v>
      </c>
      <c r="AJ587">
        <f t="shared" si="48"/>
        <v>1.9706400000000002</v>
      </c>
      <c r="AK587">
        <f t="shared" si="49"/>
        <v>0.32168999999999998</v>
      </c>
      <c r="AL587">
        <f>VLOOKUP(L587,'[1]Tuyến cáp H04'!$B:$E,3,0)/1000</f>
        <v>12.47</v>
      </c>
      <c r="AM587" t="str">
        <f>VLOOKUP(L587,'[1]Tuyến cáp H04'!$B:$E,4,0)</f>
        <v>Mạng cấp 4</v>
      </c>
    </row>
    <row r="588" spans="1:39" x14ac:dyDescent="0.25">
      <c r="A588" s="1" t="s">
        <v>5465</v>
      </c>
      <c r="B588" s="1" t="s">
        <v>5194</v>
      </c>
      <c r="C588" s="1" t="s">
        <v>5195</v>
      </c>
      <c r="D588" s="1" t="s">
        <v>5466</v>
      </c>
      <c r="E588" s="1" t="s">
        <v>5467</v>
      </c>
      <c r="F588" s="1" t="s">
        <v>5468</v>
      </c>
      <c r="G588" s="1" t="s">
        <v>14129</v>
      </c>
      <c r="H588" s="1" t="s">
        <v>14133</v>
      </c>
      <c r="I588" s="1" t="s">
        <v>14706</v>
      </c>
      <c r="J588" s="1" t="s">
        <v>23</v>
      </c>
      <c r="K588" s="1"/>
      <c r="L588" s="1" t="s">
        <v>5469</v>
      </c>
      <c r="M588" s="1" t="s">
        <v>5469</v>
      </c>
      <c r="N588" s="12" t="b">
        <f t="shared" si="45"/>
        <v>1</v>
      </c>
      <c r="O588" s="1" t="s">
        <v>5470</v>
      </c>
      <c r="P588" s="1" t="s">
        <v>5471</v>
      </c>
      <c r="Q588" s="1" t="s">
        <v>5472</v>
      </c>
      <c r="R588" s="1" t="s">
        <v>5473</v>
      </c>
      <c r="S588" s="1" t="s">
        <v>5474</v>
      </c>
      <c r="T588" s="1" t="s">
        <v>5475</v>
      </c>
      <c r="U588" s="1" t="s">
        <v>5476</v>
      </c>
      <c r="V588" s="13">
        <f>COUNTIF(L588:$M$1659,L588)</f>
        <v>12</v>
      </c>
      <c r="W588" s="1" t="s">
        <v>5477</v>
      </c>
      <c r="X588">
        <v>3435.33</v>
      </c>
      <c r="Y588">
        <v>3098.74</v>
      </c>
      <c r="Z588">
        <v>15.047853999999999</v>
      </c>
      <c r="AA588">
        <v>108.748065</v>
      </c>
      <c r="AB588">
        <v>336.59</v>
      </c>
      <c r="AC588">
        <v>15.045444</v>
      </c>
      <c r="AD588">
        <v>108.745306</v>
      </c>
      <c r="AE588" s="5">
        <f t="shared" si="46"/>
        <v>4.64811</v>
      </c>
      <c r="AF588" s="5">
        <f t="shared" si="47"/>
        <v>0.50488500000000003</v>
      </c>
      <c r="AG588" s="1" t="str">
        <f>TRIM(LEFT(L588,FIND("-",L588)-1))</f>
        <v>Phước Giang</v>
      </c>
      <c r="AH588" s="1" t="str">
        <f>TRIM(RIGHT(L588, LEN(L588) - FIND("-", L588)))</f>
        <v>Trà Giang</v>
      </c>
      <c r="AJ588">
        <f t="shared" si="48"/>
        <v>3.0987399999999998</v>
      </c>
      <c r="AK588">
        <f t="shared" si="49"/>
        <v>0.33659</v>
      </c>
      <c r="AL588">
        <f>VLOOKUP(L588,'[1]Tuyến cáp H04'!$B:$E,3,0)/1000</f>
        <v>15.189</v>
      </c>
      <c r="AM588" t="str">
        <f>VLOOKUP(L588,'[1]Tuyến cáp H04'!$B:$E,4,0)</f>
        <v>Mạng cấp 4</v>
      </c>
    </row>
    <row r="589" spans="1:39" x14ac:dyDescent="0.25">
      <c r="A589" s="1" t="s">
        <v>5478</v>
      </c>
      <c r="B589" s="1" t="s">
        <v>5194</v>
      </c>
      <c r="C589" s="1" t="s">
        <v>5195</v>
      </c>
      <c r="D589" s="1" t="s">
        <v>5479</v>
      </c>
      <c r="E589" s="1" t="s">
        <v>5480</v>
      </c>
      <c r="F589" s="1" t="s">
        <v>5481</v>
      </c>
      <c r="G589" s="1" t="s">
        <v>14129</v>
      </c>
      <c r="H589" s="1" t="s">
        <v>14133</v>
      </c>
      <c r="I589" s="1" t="s">
        <v>14707</v>
      </c>
      <c r="J589" s="1" t="s">
        <v>23</v>
      </c>
      <c r="K589" s="1"/>
      <c r="L589" s="1" t="s">
        <v>5355</v>
      </c>
      <c r="M589" s="1" t="s">
        <v>5355</v>
      </c>
      <c r="N589" s="12" t="b">
        <f t="shared" si="45"/>
        <v>1</v>
      </c>
      <c r="O589" s="1" t="s">
        <v>5482</v>
      </c>
      <c r="P589" s="1" t="s">
        <v>5483</v>
      </c>
      <c r="Q589" s="1" t="s">
        <v>5361</v>
      </c>
      <c r="R589" s="1" t="s">
        <v>5362</v>
      </c>
      <c r="S589" s="1" t="s">
        <v>5484</v>
      </c>
      <c r="T589" s="1" t="s">
        <v>5485</v>
      </c>
      <c r="U589" s="1" t="s">
        <v>5486</v>
      </c>
      <c r="V589" s="13">
        <f>COUNTIF(L589:$M$1659,L589)</f>
        <v>6</v>
      </c>
      <c r="W589" s="1" t="s">
        <v>5363</v>
      </c>
      <c r="X589">
        <v>9066.16</v>
      </c>
      <c r="Y589">
        <v>8137.92</v>
      </c>
      <c r="Z589">
        <v>15.038804000000001</v>
      </c>
      <c r="AA589">
        <v>108.852233</v>
      </c>
      <c r="AB589">
        <v>928.24</v>
      </c>
      <c r="AC589">
        <v>14.889078</v>
      </c>
      <c r="AD589">
        <v>108.92642499999999</v>
      </c>
      <c r="AE589" s="5">
        <f t="shared" si="46"/>
        <v>12.206880000000002</v>
      </c>
      <c r="AF589" s="5">
        <f t="shared" si="47"/>
        <v>1.39236</v>
      </c>
      <c r="AG589" s="1" t="str">
        <f>TRIM(LEFT(L589,FIND("-",L589)-1))</f>
        <v>Đức Phổ</v>
      </c>
      <c r="AH589" s="1" t="str">
        <f>TRIM(RIGHT(L589, LEN(L589) - FIND("-", L589)))</f>
        <v>TT1 Quảng Ngãi mới</v>
      </c>
      <c r="AJ589">
        <f t="shared" si="48"/>
        <v>8.1379199999999994</v>
      </c>
      <c r="AK589">
        <f t="shared" si="49"/>
        <v>0.92823999999999995</v>
      </c>
      <c r="AL589" t="e">
        <f>VLOOKUP(L589,'[1]Tuyến cáp H04'!$B:$E,3,0)/1000</f>
        <v>#N/A</v>
      </c>
      <c r="AM589" t="e">
        <f>VLOOKUP(L589,'[1]Tuyến cáp H04'!$B:$E,4,0)</f>
        <v>#N/A</v>
      </c>
    </row>
    <row r="590" spans="1:39" x14ac:dyDescent="0.25">
      <c r="A590" s="1" t="s">
        <v>5487</v>
      </c>
      <c r="B590" s="1" t="s">
        <v>5194</v>
      </c>
      <c r="C590" s="1" t="s">
        <v>5195</v>
      </c>
      <c r="D590" s="1" t="s">
        <v>5488</v>
      </c>
      <c r="E590" s="1" t="s">
        <v>5489</v>
      </c>
      <c r="F590" s="1" t="s">
        <v>5490</v>
      </c>
      <c r="G590" s="1" t="s">
        <v>14129</v>
      </c>
      <c r="H590" s="1" t="s">
        <v>14133</v>
      </c>
      <c r="I590" s="1" t="s">
        <v>14708</v>
      </c>
      <c r="J590" s="1" t="s">
        <v>23</v>
      </c>
      <c r="K590" s="1"/>
      <c r="L590" s="1" t="s">
        <v>5491</v>
      </c>
      <c r="M590" s="1" t="s">
        <v>5491</v>
      </c>
      <c r="N590" s="12" t="b">
        <f t="shared" si="45"/>
        <v>1</v>
      </c>
      <c r="O590" s="1" t="s">
        <v>5492</v>
      </c>
      <c r="P590" s="1" t="s">
        <v>5493</v>
      </c>
      <c r="Q590" s="1" t="s">
        <v>5494</v>
      </c>
      <c r="R590" s="1" t="s">
        <v>5495</v>
      </c>
      <c r="S590" s="1" t="s">
        <v>5496</v>
      </c>
      <c r="T590" s="1" t="s">
        <v>5497</v>
      </c>
      <c r="U590" s="1" t="s">
        <v>5498</v>
      </c>
      <c r="V590" s="13">
        <f>COUNTIF(L590:$M$1659,L590)</f>
        <v>12</v>
      </c>
      <c r="W590" s="1" t="s">
        <v>5499</v>
      </c>
      <c r="X590">
        <v>445.83</v>
      </c>
      <c r="Y590">
        <v>224.35</v>
      </c>
      <c r="Z590">
        <v>15.043967</v>
      </c>
      <c r="AA590">
        <v>108.778729</v>
      </c>
      <c r="AB590">
        <v>221.48</v>
      </c>
      <c r="AC590">
        <v>15.04072</v>
      </c>
      <c r="AD590">
        <v>108.795241</v>
      </c>
      <c r="AE590" s="5">
        <f t="shared" si="46"/>
        <v>0.33652499999999996</v>
      </c>
      <c r="AF590" s="5">
        <f t="shared" si="47"/>
        <v>0.33221999999999996</v>
      </c>
      <c r="AG590" s="1" t="str">
        <f>TRIM(LEFT(L590,FIND("-",L590)-1))</f>
        <v>Đình Cương</v>
      </c>
      <c r="AH590" s="1" t="str">
        <f>TRIM(RIGHT(L590, LEN(L590) - FIND("-", L590)))</f>
        <v>Nghĩa Hành</v>
      </c>
      <c r="AJ590">
        <f t="shared" si="48"/>
        <v>0.22434999999999999</v>
      </c>
      <c r="AK590">
        <f t="shared" si="49"/>
        <v>0.22147999999999998</v>
      </c>
      <c r="AL590">
        <f>VLOOKUP(L590,'[1]Tuyến cáp H04'!$B:$E,3,0)/1000</f>
        <v>7.7450000000000001</v>
      </c>
      <c r="AM590" t="str">
        <f>VLOOKUP(L590,'[1]Tuyến cáp H04'!$B:$E,4,0)</f>
        <v>Mạng cấp 4</v>
      </c>
    </row>
    <row r="591" spans="1:39" x14ac:dyDescent="0.25">
      <c r="A591" s="1" t="s">
        <v>5500</v>
      </c>
      <c r="B591" s="1" t="s">
        <v>5501</v>
      </c>
      <c r="C591" s="1" t="s">
        <v>5502</v>
      </c>
      <c r="D591" s="1" t="s">
        <v>5194</v>
      </c>
      <c r="E591" s="1" t="s">
        <v>5195</v>
      </c>
      <c r="F591" s="1" t="s">
        <v>5503</v>
      </c>
      <c r="G591" s="1" t="s">
        <v>14129</v>
      </c>
      <c r="H591" s="1" t="s">
        <v>14679</v>
      </c>
      <c r="I591" s="1" t="s">
        <v>14709</v>
      </c>
      <c r="J591" s="1" t="s">
        <v>23</v>
      </c>
      <c r="K591" s="1"/>
      <c r="L591" s="1" t="s">
        <v>5504</v>
      </c>
      <c r="M591" s="1" t="s">
        <v>5504</v>
      </c>
      <c r="N591" s="12" t="b">
        <f t="shared" si="45"/>
        <v>1</v>
      </c>
      <c r="O591" s="1" t="s">
        <v>5505</v>
      </c>
      <c r="P591" s="1" t="s">
        <v>5506</v>
      </c>
      <c r="Q591" s="1" t="s">
        <v>5507</v>
      </c>
      <c r="R591" s="1" t="s">
        <v>5508</v>
      </c>
      <c r="S591" s="1" t="s">
        <v>5509</v>
      </c>
      <c r="T591" s="1" t="s">
        <v>5510</v>
      </c>
      <c r="U591" s="1" t="s">
        <v>5511</v>
      </c>
      <c r="V591" s="13">
        <f>COUNTIF(L591:$M$1659,L591)</f>
        <v>14</v>
      </c>
      <c r="W591" s="1" t="s">
        <v>5512</v>
      </c>
      <c r="X591">
        <v>447.13</v>
      </c>
      <c r="Y591">
        <v>425.67</v>
      </c>
      <c r="Z591">
        <v>15.079530999999999</v>
      </c>
      <c r="AA591">
        <v>108.783874</v>
      </c>
      <c r="AB591">
        <v>21.46</v>
      </c>
      <c r="AC591">
        <v>15.043846</v>
      </c>
      <c r="AD591">
        <v>108.776487</v>
      </c>
      <c r="AE591" s="5">
        <f t="shared" si="46"/>
        <v>0.63850499999999999</v>
      </c>
      <c r="AF591" s="5">
        <f t="shared" si="47"/>
        <v>3.2189999999999996E-2</v>
      </c>
      <c r="AG591" s="1" t="str">
        <f>TRIM(LEFT(L591,FIND("-",L591)-1))</f>
        <v>Nghĩa Hành</v>
      </c>
      <c r="AH591" s="1" t="str">
        <f>TRIM(RIGHT(L591, LEN(L591) - FIND("-", L591)))</f>
        <v>Nghĩa Lộ</v>
      </c>
      <c r="AJ591">
        <f t="shared" si="48"/>
        <v>0.42566999999999999</v>
      </c>
      <c r="AK591">
        <f t="shared" si="49"/>
        <v>2.146E-2</v>
      </c>
      <c r="AL591">
        <f>VLOOKUP(L591,'[1]Tuyến cáp H04'!$B:$E,3,0)/1000</f>
        <v>13.734</v>
      </c>
      <c r="AM591" t="str">
        <f>VLOOKUP(L591,'[1]Tuyến cáp H04'!$B:$E,4,0)</f>
        <v>Mạng cấp 4</v>
      </c>
    </row>
    <row r="592" spans="1:39" x14ac:dyDescent="0.25">
      <c r="A592" s="1" t="s">
        <v>5513</v>
      </c>
      <c r="B592" s="1" t="s">
        <v>5514</v>
      </c>
      <c r="C592" s="1" t="s">
        <v>5515</v>
      </c>
      <c r="D592" s="1" t="s">
        <v>5194</v>
      </c>
      <c r="E592" s="1" t="s">
        <v>5195</v>
      </c>
      <c r="F592" s="1" t="s">
        <v>5516</v>
      </c>
      <c r="G592" s="1" t="s">
        <v>14129</v>
      </c>
      <c r="H592" s="1" t="s">
        <v>14679</v>
      </c>
      <c r="I592" s="1" t="s">
        <v>14710</v>
      </c>
      <c r="J592" s="1" t="s">
        <v>23</v>
      </c>
      <c r="K592" s="1"/>
      <c r="L592" s="1" t="s">
        <v>5504</v>
      </c>
      <c r="M592" s="1" t="s">
        <v>5504</v>
      </c>
      <c r="N592" s="12" t="b">
        <f t="shared" si="45"/>
        <v>1</v>
      </c>
      <c r="O592" s="1" t="s">
        <v>5517</v>
      </c>
      <c r="P592" s="1" t="s">
        <v>5518</v>
      </c>
      <c r="Q592" s="1" t="s">
        <v>5519</v>
      </c>
      <c r="R592" s="1" t="s">
        <v>5520</v>
      </c>
      <c r="S592" s="1" t="s">
        <v>5509</v>
      </c>
      <c r="T592" s="1" t="s">
        <v>5510</v>
      </c>
      <c r="U592" s="1" t="s">
        <v>5511</v>
      </c>
      <c r="V592" s="13">
        <f>COUNTIF(L592:$M$1659,L592)</f>
        <v>12</v>
      </c>
      <c r="W592" s="1" t="s">
        <v>5512</v>
      </c>
      <c r="X592">
        <v>1836.28</v>
      </c>
      <c r="Y592">
        <v>1814.82</v>
      </c>
      <c r="Z592">
        <v>15.105012</v>
      </c>
      <c r="AA592">
        <v>108.76304399999999</v>
      </c>
      <c r="AB592">
        <v>21.46</v>
      </c>
      <c r="AC592">
        <v>15.043846</v>
      </c>
      <c r="AD592">
        <v>108.776487</v>
      </c>
      <c r="AE592" s="5">
        <f t="shared" si="46"/>
        <v>2.7222300000000001</v>
      </c>
      <c r="AF592" s="5">
        <f t="shared" si="47"/>
        <v>3.2189999999999996E-2</v>
      </c>
      <c r="AG592" s="1" t="str">
        <f>TRIM(LEFT(L592,FIND("-",L592)-1))</f>
        <v>Nghĩa Hành</v>
      </c>
      <c r="AH592" s="1" t="str">
        <f>TRIM(RIGHT(L592, LEN(L592) - FIND("-", L592)))</f>
        <v>Nghĩa Lộ</v>
      </c>
      <c r="AJ592">
        <f t="shared" si="48"/>
        <v>1.8148199999999999</v>
      </c>
      <c r="AK592">
        <f t="shared" si="49"/>
        <v>2.146E-2</v>
      </c>
      <c r="AL592">
        <f>VLOOKUP(L592,'[1]Tuyến cáp H04'!$B:$E,3,0)/1000</f>
        <v>13.734</v>
      </c>
      <c r="AM592" t="str">
        <f>VLOOKUP(L592,'[1]Tuyến cáp H04'!$B:$E,4,0)</f>
        <v>Mạng cấp 4</v>
      </c>
    </row>
    <row r="593" spans="1:39" x14ac:dyDescent="0.25">
      <c r="A593" s="1" t="s">
        <v>5521</v>
      </c>
      <c r="B593" s="1" t="s">
        <v>5522</v>
      </c>
      <c r="C593" s="1" t="s">
        <v>5523</v>
      </c>
      <c r="D593" s="1" t="s">
        <v>5194</v>
      </c>
      <c r="E593" s="1" t="s">
        <v>5195</v>
      </c>
      <c r="F593" s="1" t="s">
        <v>5524</v>
      </c>
      <c r="G593" s="1" t="s">
        <v>14129</v>
      </c>
      <c r="H593" s="1" t="s">
        <v>14679</v>
      </c>
      <c r="I593" s="1" t="s">
        <v>14711</v>
      </c>
      <c r="J593" s="1" t="s">
        <v>23</v>
      </c>
      <c r="K593" s="1"/>
      <c r="L593" s="1" t="s">
        <v>5504</v>
      </c>
      <c r="M593" s="1" t="s">
        <v>5504</v>
      </c>
      <c r="N593" s="12" t="b">
        <f t="shared" si="45"/>
        <v>1</v>
      </c>
      <c r="O593" s="1" t="s">
        <v>5525</v>
      </c>
      <c r="P593" s="1" t="s">
        <v>5526</v>
      </c>
      <c r="Q593" s="1" t="s">
        <v>5519</v>
      </c>
      <c r="R593" s="1" t="s">
        <v>5520</v>
      </c>
      <c r="S593" s="1" t="s">
        <v>5509</v>
      </c>
      <c r="T593" s="1" t="s">
        <v>5510</v>
      </c>
      <c r="U593" s="1" t="s">
        <v>5511</v>
      </c>
      <c r="V593" s="13">
        <f>COUNTIF(L593:$M$1659,L593)</f>
        <v>10</v>
      </c>
      <c r="W593" s="1" t="s">
        <v>5512</v>
      </c>
      <c r="X593">
        <v>4686.51</v>
      </c>
      <c r="Y593">
        <v>4665.05</v>
      </c>
      <c r="Z593">
        <v>15.105012</v>
      </c>
      <c r="AA593">
        <v>108.76304399999999</v>
      </c>
      <c r="AB593">
        <v>21.46</v>
      </c>
      <c r="AC593">
        <v>15.043846</v>
      </c>
      <c r="AD593">
        <v>108.776487</v>
      </c>
      <c r="AE593" s="5">
        <f t="shared" si="46"/>
        <v>6.9975750000000003</v>
      </c>
      <c r="AF593" s="5">
        <f t="shared" si="47"/>
        <v>3.2189999999999996E-2</v>
      </c>
      <c r="AG593" s="1" t="str">
        <f>TRIM(LEFT(L593,FIND("-",L593)-1))</f>
        <v>Nghĩa Hành</v>
      </c>
      <c r="AH593" s="1" t="str">
        <f>TRIM(RIGHT(L593, LEN(L593) - FIND("-", L593)))</f>
        <v>Nghĩa Lộ</v>
      </c>
      <c r="AJ593">
        <f t="shared" si="48"/>
        <v>4.6650499999999999</v>
      </c>
      <c r="AK593">
        <f t="shared" si="49"/>
        <v>2.146E-2</v>
      </c>
      <c r="AL593">
        <f>VLOOKUP(L593,'[1]Tuyến cáp H04'!$B:$E,3,0)/1000</f>
        <v>13.734</v>
      </c>
      <c r="AM593" t="str">
        <f>VLOOKUP(L593,'[1]Tuyến cáp H04'!$B:$E,4,0)</f>
        <v>Mạng cấp 4</v>
      </c>
    </row>
    <row r="594" spans="1:39" x14ac:dyDescent="0.25">
      <c r="A594" s="1" t="s">
        <v>5527</v>
      </c>
      <c r="B594" s="1" t="s">
        <v>5528</v>
      </c>
      <c r="C594" s="1" t="s">
        <v>5529</v>
      </c>
      <c r="D594" s="1" t="s">
        <v>5194</v>
      </c>
      <c r="E594" s="1" t="s">
        <v>5195</v>
      </c>
      <c r="F594" s="1" t="s">
        <v>5530</v>
      </c>
      <c r="G594" s="1" t="s">
        <v>14129</v>
      </c>
      <c r="H594" s="1" t="s">
        <v>14679</v>
      </c>
      <c r="I594" s="1" t="s">
        <v>14712</v>
      </c>
      <c r="J594" s="1" t="s">
        <v>23</v>
      </c>
      <c r="K594" s="1"/>
      <c r="L594" s="1" t="s">
        <v>5504</v>
      </c>
      <c r="M594" s="1" t="s">
        <v>5504</v>
      </c>
      <c r="N594" s="12" t="b">
        <f t="shared" si="45"/>
        <v>1</v>
      </c>
      <c r="O594" s="1" t="s">
        <v>5531</v>
      </c>
      <c r="P594" s="1" t="s">
        <v>5532</v>
      </c>
      <c r="Q594" s="1" t="s">
        <v>5533</v>
      </c>
      <c r="R594" s="1" t="s">
        <v>5534</v>
      </c>
      <c r="S594" s="1" t="s">
        <v>5509</v>
      </c>
      <c r="T594" s="1" t="s">
        <v>5510</v>
      </c>
      <c r="U594" s="1" t="s">
        <v>5511</v>
      </c>
      <c r="V594" s="13">
        <f>COUNTIF(L594:$M$1659,L594)</f>
        <v>8</v>
      </c>
      <c r="W594" s="1" t="s">
        <v>5512</v>
      </c>
      <c r="X594">
        <v>1608.16</v>
      </c>
      <c r="Y594">
        <v>1586.7</v>
      </c>
      <c r="Z594">
        <v>15.056607</v>
      </c>
      <c r="AA594">
        <v>108.77717</v>
      </c>
      <c r="AB594">
        <v>21.46</v>
      </c>
      <c r="AC594">
        <v>15.043846</v>
      </c>
      <c r="AD594">
        <v>108.776487</v>
      </c>
      <c r="AE594" s="5">
        <f t="shared" si="46"/>
        <v>2.3800500000000002</v>
      </c>
      <c r="AF594" s="5">
        <f t="shared" si="47"/>
        <v>3.2189999999999996E-2</v>
      </c>
      <c r="AG594" s="1" t="str">
        <f>TRIM(LEFT(L594,FIND("-",L594)-1))</f>
        <v>Nghĩa Hành</v>
      </c>
      <c r="AH594" s="1" t="str">
        <f>TRIM(RIGHT(L594, LEN(L594) - FIND("-", L594)))</f>
        <v>Nghĩa Lộ</v>
      </c>
      <c r="AJ594">
        <f t="shared" si="48"/>
        <v>1.5867</v>
      </c>
      <c r="AK594">
        <f t="shared" si="49"/>
        <v>2.146E-2</v>
      </c>
      <c r="AL594">
        <f>VLOOKUP(L594,'[1]Tuyến cáp H04'!$B:$E,3,0)/1000</f>
        <v>13.734</v>
      </c>
      <c r="AM594" t="str">
        <f>VLOOKUP(L594,'[1]Tuyến cáp H04'!$B:$E,4,0)</f>
        <v>Mạng cấp 4</v>
      </c>
    </row>
    <row r="595" spans="1:39" x14ac:dyDescent="0.25">
      <c r="A595" s="1" t="s">
        <v>5535</v>
      </c>
      <c r="B595" s="1" t="s">
        <v>5536</v>
      </c>
      <c r="C595" s="1" t="s">
        <v>5537</v>
      </c>
      <c r="D595" s="1" t="s">
        <v>5194</v>
      </c>
      <c r="E595" s="1" t="s">
        <v>5195</v>
      </c>
      <c r="F595" s="1" t="s">
        <v>5538</v>
      </c>
      <c r="G595" s="1" t="s">
        <v>14129</v>
      </c>
      <c r="H595" s="1" t="s">
        <v>14679</v>
      </c>
      <c r="I595" s="1" t="s">
        <v>14713</v>
      </c>
      <c r="J595" s="1" t="s">
        <v>23</v>
      </c>
      <c r="K595" s="1"/>
      <c r="L595" s="1" t="s">
        <v>5197</v>
      </c>
      <c r="M595" s="1" t="s">
        <v>5197</v>
      </c>
      <c r="N595" s="12" t="b">
        <f t="shared" si="45"/>
        <v>1</v>
      </c>
      <c r="O595" s="1" t="s">
        <v>5539</v>
      </c>
      <c r="P595" s="1" t="s">
        <v>5540</v>
      </c>
      <c r="Q595" s="1" t="s">
        <v>5541</v>
      </c>
      <c r="R595" s="1" t="s">
        <v>5542</v>
      </c>
      <c r="S595" s="1" t="s">
        <v>5202</v>
      </c>
      <c r="T595" s="1" t="s">
        <v>5203</v>
      </c>
      <c r="U595" s="1" t="s">
        <v>5204</v>
      </c>
      <c r="V595" s="13">
        <f>COUNTIF(L595:$M$1659,L595)</f>
        <v>10</v>
      </c>
      <c r="W595" s="1" t="s">
        <v>5205</v>
      </c>
      <c r="X595">
        <v>3430.77</v>
      </c>
      <c r="Y595">
        <v>3230.52</v>
      </c>
      <c r="Z595">
        <v>15.030417999999999</v>
      </c>
      <c r="AA595">
        <v>108.775809</v>
      </c>
      <c r="AB595">
        <v>200.25</v>
      </c>
      <c r="AC595">
        <v>15.044577</v>
      </c>
      <c r="AD595">
        <v>108.774884</v>
      </c>
      <c r="AE595" s="5">
        <f t="shared" si="46"/>
        <v>4.8457799999999995</v>
      </c>
      <c r="AF595" s="5">
        <f t="shared" si="47"/>
        <v>0.300375</v>
      </c>
      <c r="AG595" s="1" t="str">
        <f>TRIM(LEFT(L595,FIND("-",L595)-1))</f>
        <v>TT1 Quảng Ngãi</v>
      </c>
      <c r="AH595" s="1" t="str">
        <f>TRIM(RIGHT(L595, LEN(L595) - FIND("-", L595)))</f>
        <v>Minh Long</v>
      </c>
      <c r="AJ595">
        <f t="shared" si="48"/>
        <v>3.2305199999999998</v>
      </c>
      <c r="AK595">
        <f t="shared" si="49"/>
        <v>0.20025000000000001</v>
      </c>
      <c r="AL595">
        <f>VLOOKUP(L595,'[1]Tuyến cáp H04'!$B:$E,3,0)/1000</f>
        <v>45.045000000000002</v>
      </c>
      <c r="AM595" t="str">
        <f>VLOOKUP(L595,'[1]Tuyến cáp H04'!$B:$E,4,0)</f>
        <v>Mạng cấp 3</v>
      </c>
    </row>
    <row r="596" spans="1:39" x14ac:dyDescent="0.25">
      <c r="A596" s="1" t="s">
        <v>5543</v>
      </c>
      <c r="B596" s="1" t="s">
        <v>5194</v>
      </c>
      <c r="C596" s="1" t="s">
        <v>5195</v>
      </c>
      <c r="D596" s="1" t="s">
        <v>5352</v>
      </c>
      <c r="E596" s="1" t="s">
        <v>5353</v>
      </c>
      <c r="F596" s="1" t="s">
        <v>5544</v>
      </c>
      <c r="G596" s="1" t="s">
        <v>14281</v>
      </c>
      <c r="H596" s="1" t="s">
        <v>14282</v>
      </c>
      <c r="I596" s="1" t="s">
        <v>14714</v>
      </c>
      <c r="J596" s="1" t="s">
        <v>23</v>
      </c>
      <c r="K596" s="1"/>
      <c r="L596" s="1" t="s">
        <v>5197</v>
      </c>
      <c r="M596" s="1" t="s">
        <v>5197</v>
      </c>
      <c r="N596" s="12" t="b">
        <f t="shared" si="45"/>
        <v>1</v>
      </c>
      <c r="O596" s="1" t="s">
        <v>5545</v>
      </c>
      <c r="P596" s="1" t="s">
        <v>5202</v>
      </c>
      <c r="Q596" s="1" t="s">
        <v>5203</v>
      </c>
      <c r="R596" s="1" t="s">
        <v>5204</v>
      </c>
      <c r="S596" s="1" t="s">
        <v>5546</v>
      </c>
      <c r="T596" s="1" t="s">
        <v>5547</v>
      </c>
      <c r="U596" s="1" t="s">
        <v>5548</v>
      </c>
      <c r="V596" s="13">
        <f>COUNTIF(L596:$M$1659,L596)</f>
        <v>8</v>
      </c>
      <c r="W596" s="1" t="s">
        <v>5205</v>
      </c>
      <c r="X596">
        <v>5623.29</v>
      </c>
      <c r="Y596">
        <v>200.25</v>
      </c>
      <c r="Z596">
        <v>15.044577</v>
      </c>
      <c r="AA596">
        <v>108.774884</v>
      </c>
      <c r="AB596">
        <v>5423.04</v>
      </c>
      <c r="AC596">
        <v>15.023047999999999</v>
      </c>
      <c r="AD596">
        <v>108.809173</v>
      </c>
      <c r="AE596" s="5">
        <f t="shared" si="46"/>
        <v>0.300375</v>
      </c>
      <c r="AF596" s="5">
        <f t="shared" si="47"/>
        <v>8.1345599999999987</v>
      </c>
      <c r="AG596" s="1" t="str">
        <f>TRIM(LEFT(L596,FIND("-",L596)-1))</f>
        <v>TT1 Quảng Ngãi</v>
      </c>
      <c r="AH596" s="1" t="str">
        <f>TRIM(RIGHT(L596, LEN(L596) - FIND("-", L596)))</f>
        <v>Minh Long</v>
      </c>
      <c r="AJ596">
        <f t="shared" si="48"/>
        <v>0.20025000000000001</v>
      </c>
      <c r="AK596">
        <f t="shared" si="49"/>
        <v>5.4230400000000003</v>
      </c>
      <c r="AL596">
        <f>VLOOKUP(L596,'[1]Tuyến cáp H04'!$B:$E,3,0)/1000</f>
        <v>45.045000000000002</v>
      </c>
      <c r="AM596" t="str">
        <f>VLOOKUP(L596,'[1]Tuyến cáp H04'!$B:$E,4,0)</f>
        <v>Mạng cấp 3</v>
      </c>
    </row>
    <row r="597" spans="1:39" x14ac:dyDescent="0.25">
      <c r="A597" s="1" t="s">
        <v>5549</v>
      </c>
      <c r="B597" s="1" t="s">
        <v>5194</v>
      </c>
      <c r="C597" s="1" t="s">
        <v>5195</v>
      </c>
      <c r="D597" s="1" t="s">
        <v>5550</v>
      </c>
      <c r="E597" s="1" t="s">
        <v>5551</v>
      </c>
      <c r="F597" s="1" t="s">
        <v>5552</v>
      </c>
      <c r="G597" s="1" t="s">
        <v>14281</v>
      </c>
      <c r="H597" s="1" t="s">
        <v>14282</v>
      </c>
      <c r="I597" s="1" t="s">
        <v>14715</v>
      </c>
      <c r="J597" s="1" t="s">
        <v>23</v>
      </c>
      <c r="K597" s="1"/>
      <c r="L597" s="1" t="s">
        <v>5491</v>
      </c>
      <c r="M597" s="1" t="s">
        <v>5491</v>
      </c>
      <c r="N597" s="12" t="b">
        <f t="shared" si="45"/>
        <v>1</v>
      </c>
      <c r="O597" s="1" t="s">
        <v>5553</v>
      </c>
      <c r="P597" s="1" t="s">
        <v>5554</v>
      </c>
      <c r="Q597" s="1" t="s">
        <v>5555</v>
      </c>
      <c r="R597" s="1" t="s">
        <v>5556</v>
      </c>
      <c r="S597" s="1" t="s">
        <v>1987</v>
      </c>
      <c r="T597" s="1" t="s">
        <v>5557</v>
      </c>
      <c r="U597" s="1" t="s">
        <v>5558</v>
      </c>
      <c r="V597" s="13">
        <f>COUNTIF(L597:$M$1659,L597)</f>
        <v>10</v>
      </c>
      <c r="W597" s="1" t="s">
        <v>5559</v>
      </c>
      <c r="X597">
        <v>55.33</v>
      </c>
      <c r="Y597">
        <v>1.47</v>
      </c>
      <c r="Z597">
        <v>15.043957000000001</v>
      </c>
      <c r="AA597">
        <v>108.77663800000001</v>
      </c>
      <c r="AB597">
        <v>53.87</v>
      </c>
      <c r="AC597">
        <v>15.043850000000001</v>
      </c>
      <c r="AD597">
        <v>108.776494</v>
      </c>
      <c r="AE597" s="5">
        <f t="shared" si="46"/>
        <v>2.2049999999999999E-3</v>
      </c>
      <c r="AF597" s="5">
        <f t="shared" si="47"/>
        <v>8.0804999999999988E-2</v>
      </c>
      <c r="AG597" s="1" t="str">
        <f>TRIM(LEFT(L597,FIND("-",L597)-1))</f>
        <v>Đình Cương</v>
      </c>
      <c r="AH597" s="1" t="str">
        <f>TRIM(RIGHT(L597, LEN(L597) - FIND("-", L597)))</f>
        <v>Nghĩa Hành</v>
      </c>
      <c r="AJ597">
        <f t="shared" si="48"/>
        <v>1.47E-3</v>
      </c>
      <c r="AK597">
        <f t="shared" si="49"/>
        <v>5.3869999999999994E-2</v>
      </c>
      <c r="AL597">
        <f>VLOOKUP(L597,'[1]Tuyến cáp H04'!$B:$E,3,0)/1000</f>
        <v>7.7450000000000001</v>
      </c>
      <c r="AM597" t="str">
        <f>VLOOKUP(L597,'[1]Tuyến cáp H04'!$B:$E,4,0)</f>
        <v>Mạng cấp 4</v>
      </c>
    </row>
    <row r="598" spans="1:39" x14ac:dyDescent="0.25">
      <c r="A598" s="1" t="s">
        <v>5560</v>
      </c>
      <c r="B598" s="1" t="s">
        <v>5194</v>
      </c>
      <c r="C598" s="1" t="s">
        <v>5195</v>
      </c>
      <c r="D598" s="1" t="s">
        <v>5561</v>
      </c>
      <c r="E598" s="1" t="s">
        <v>5562</v>
      </c>
      <c r="F598" s="1" t="s">
        <v>5563</v>
      </c>
      <c r="G598" s="1" t="s">
        <v>14281</v>
      </c>
      <c r="H598" s="1" t="s">
        <v>14282</v>
      </c>
      <c r="I598" s="1" t="s">
        <v>14716</v>
      </c>
      <c r="J598" s="1" t="s">
        <v>23</v>
      </c>
      <c r="K598" s="1"/>
      <c r="L598" s="1" t="s">
        <v>5197</v>
      </c>
      <c r="M598" s="1" t="s">
        <v>5197</v>
      </c>
      <c r="N598" s="12" t="b">
        <f t="shared" si="45"/>
        <v>1</v>
      </c>
      <c r="O598" s="1" t="s">
        <v>5564</v>
      </c>
      <c r="P598" s="1" t="s">
        <v>5202</v>
      </c>
      <c r="Q598" s="1" t="s">
        <v>5203</v>
      </c>
      <c r="R598" s="1" t="s">
        <v>5204</v>
      </c>
      <c r="S598" s="1" t="s">
        <v>5565</v>
      </c>
      <c r="T598" s="1" t="s">
        <v>5566</v>
      </c>
      <c r="U598" s="1" t="s">
        <v>5567</v>
      </c>
      <c r="V598" s="13">
        <f>COUNTIF(L598:$M$1659,L598)</f>
        <v>6</v>
      </c>
      <c r="W598" s="1" t="s">
        <v>5205</v>
      </c>
      <c r="X598">
        <v>1302.25</v>
      </c>
      <c r="Y598">
        <v>200.25</v>
      </c>
      <c r="Z598">
        <v>15.044577</v>
      </c>
      <c r="AA598">
        <v>108.774884</v>
      </c>
      <c r="AB598">
        <v>1101.99</v>
      </c>
      <c r="AC598">
        <v>15.023507</v>
      </c>
      <c r="AD598">
        <v>108.77718400000001</v>
      </c>
      <c r="AE598" s="5">
        <f t="shared" si="46"/>
        <v>0.300375</v>
      </c>
      <c r="AF598" s="5">
        <f t="shared" si="47"/>
        <v>1.6529850000000001</v>
      </c>
      <c r="AG598" s="1" t="str">
        <f>TRIM(LEFT(L598,FIND("-",L598)-1))</f>
        <v>TT1 Quảng Ngãi</v>
      </c>
      <c r="AH598" s="1" t="str">
        <f>TRIM(RIGHT(L598, LEN(L598) - FIND("-", L598)))</f>
        <v>Minh Long</v>
      </c>
      <c r="AJ598">
        <f t="shared" si="48"/>
        <v>0.20025000000000001</v>
      </c>
      <c r="AK598">
        <f t="shared" si="49"/>
        <v>1.10199</v>
      </c>
      <c r="AL598">
        <f>VLOOKUP(L598,'[1]Tuyến cáp H04'!$B:$E,3,0)/1000</f>
        <v>45.045000000000002</v>
      </c>
      <c r="AM598" t="str">
        <f>VLOOKUP(L598,'[1]Tuyến cáp H04'!$B:$E,4,0)</f>
        <v>Mạng cấp 3</v>
      </c>
    </row>
    <row r="599" spans="1:39" x14ac:dyDescent="0.25">
      <c r="A599" s="1" t="s">
        <v>5568</v>
      </c>
      <c r="B599" s="1" t="s">
        <v>5194</v>
      </c>
      <c r="C599" s="1" t="s">
        <v>5195</v>
      </c>
      <c r="D599" s="1" t="s">
        <v>5569</v>
      </c>
      <c r="E599" s="1" t="s">
        <v>5570</v>
      </c>
      <c r="F599" s="1" t="s">
        <v>5571</v>
      </c>
      <c r="G599" s="1" t="s">
        <v>14281</v>
      </c>
      <c r="H599" s="1" t="s">
        <v>14282</v>
      </c>
      <c r="I599" s="1" t="s">
        <v>14717</v>
      </c>
      <c r="J599" s="1" t="s">
        <v>23</v>
      </c>
      <c r="K599" s="1"/>
      <c r="L599" s="1" t="s">
        <v>5504</v>
      </c>
      <c r="M599" s="1" t="s">
        <v>5504</v>
      </c>
      <c r="N599" s="12" t="b">
        <f t="shared" si="45"/>
        <v>1</v>
      </c>
      <c r="O599" s="1" t="s">
        <v>5572</v>
      </c>
      <c r="P599" s="1" t="s">
        <v>5509</v>
      </c>
      <c r="Q599" s="1" t="s">
        <v>5510</v>
      </c>
      <c r="R599" s="1" t="s">
        <v>5511</v>
      </c>
      <c r="S599" s="1" t="s">
        <v>5573</v>
      </c>
      <c r="T599" s="1" t="s">
        <v>5574</v>
      </c>
      <c r="U599" s="1" t="s">
        <v>5575</v>
      </c>
      <c r="V599" s="13">
        <f>COUNTIF(L599:$M$1659,L599)</f>
        <v>6</v>
      </c>
      <c r="W599" s="1" t="s">
        <v>5512</v>
      </c>
      <c r="X599">
        <v>239.17</v>
      </c>
      <c r="Y599">
        <v>21.46</v>
      </c>
      <c r="Z599">
        <v>15.043846</v>
      </c>
      <c r="AA599">
        <v>108.776487</v>
      </c>
      <c r="AB599">
        <v>217.71</v>
      </c>
      <c r="AC599">
        <v>15.057551999999999</v>
      </c>
      <c r="AD599">
        <v>108.777463</v>
      </c>
      <c r="AE599" s="5">
        <f t="shared" si="46"/>
        <v>3.2189999999999996E-2</v>
      </c>
      <c r="AF599" s="5">
        <f t="shared" si="47"/>
        <v>0.32656499999999999</v>
      </c>
      <c r="AG599" s="1" t="str">
        <f>TRIM(LEFT(L599,FIND("-",L599)-1))</f>
        <v>Nghĩa Hành</v>
      </c>
      <c r="AH599" s="1" t="str">
        <f>TRIM(RIGHT(L599, LEN(L599) - FIND("-", L599)))</f>
        <v>Nghĩa Lộ</v>
      </c>
      <c r="AJ599">
        <f t="shared" si="48"/>
        <v>2.146E-2</v>
      </c>
      <c r="AK599">
        <f t="shared" si="49"/>
        <v>0.21771000000000001</v>
      </c>
      <c r="AL599">
        <f>VLOOKUP(L599,'[1]Tuyến cáp H04'!$B:$E,3,0)/1000</f>
        <v>13.734</v>
      </c>
      <c r="AM599" t="str">
        <f>VLOOKUP(L599,'[1]Tuyến cáp H04'!$B:$E,4,0)</f>
        <v>Mạng cấp 4</v>
      </c>
    </row>
    <row r="600" spans="1:39" x14ac:dyDescent="0.25">
      <c r="A600" s="1" t="s">
        <v>5576</v>
      </c>
      <c r="B600" s="1" t="s">
        <v>5194</v>
      </c>
      <c r="C600" s="1" t="s">
        <v>5195</v>
      </c>
      <c r="D600" s="1" t="s">
        <v>5577</v>
      </c>
      <c r="E600" s="1" t="s">
        <v>5578</v>
      </c>
      <c r="F600" s="1" t="s">
        <v>5579</v>
      </c>
      <c r="G600" s="1" t="s">
        <v>14281</v>
      </c>
      <c r="H600" s="1" t="s">
        <v>14282</v>
      </c>
      <c r="I600" s="1" t="s">
        <v>14718</v>
      </c>
      <c r="J600" s="1" t="s">
        <v>23</v>
      </c>
      <c r="K600" s="1"/>
      <c r="L600" s="1" t="s">
        <v>5504</v>
      </c>
      <c r="M600" s="1" t="s">
        <v>5504</v>
      </c>
      <c r="N600" s="12" t="b">
        <f t="shared" si="45"/>
        <v>1</v>
      </c>
      <c r="O600" s="1" t="s">
        <v>5580</v>
      </c>
      <c r="P600" s="1" t="s">
        <v>5509</v>
      </c>
      <c r="Q600" s="1" t="s">
        <v>5510</v>
      </c>
      <c r="R600" s="1" t="s">
        <v>5511</v>
      </c>
      <c r="S600" s="1" t="s">
        <v>5581</v>
      </c>
      <c r="T600" s="1" t="s">
        <v>5582</v>
      </c>
      <c r="U600" s="1" t="s">
        <v>5583</v>
      </c>
      <c r="V600" s="13">
        <f>COUNTIF(L600:$M$1659,L600)</f>
        <v>4</v>
      </c>
      <c r="W600" s="1" t="s">
        <v>5512</v>
      </c>
      <c r="X600">
        <v>1301.5899999999999</v>
      </c>
      <c r="Y600">
        <v>21.46</v>
      </c>
      <c r="Z600">
        <v>15.043846</v>
      </c>
      <c r="AA600">
        <v>108.776487</v>
      </c>
      <c r="AB600">
        <v>1280.1300000000001</v>
      </c>
      <c r="AC600">
        <v>15.044572000000001</v>
      </c>
      <c r="AD600">
        <v>108.77494799999999</v>
      </c>
      <c r="AE600" s="5">
        <f t="shared" si="46"/>
        <v>3.2189999999999996E-2</v>
      </c>
      <c r="AF600" s="5">
        <f t="shared" si="47"/>
        <v>1.9201950000000001</v>
      </c>
      <c r="AG600" s="1" t="str">
        <f>TRIM(LEFT(L600,FIND("-",L600)-1))</f>
        <v>Nghĩa Hành</v>
      </c>
      <c r="AH600" s="1" t="str">
        <f>TRIM(RIGHT(L600, LEN(L600) - FIND("-", L600)))</f>
        <v>Nghĩa Lộ</v>
      </c>
      <c r="AJ600">
        <f t="shared" si="48"/>
        <v>2.146E-2</v>
      </c>
      <c r="AK600">
        <f t="shared" si="49"/>
        <v>1.2801300000000002</v>
      </c>
      <c r="AL600">
        <f>VLOOKUP(L600,'[1]Tuyến cáp H04'!$B:$E,3,0)/1000</f>
        <v>13.734</v>
      </c>
      <c r="AM600" t="str">
        <f>VLOOKUP(L600,'[1]Tuyến cáp H04'!$B:$E,4,0)</f>
        <v>Mạng cấp 4</v>
      </c>
    </row>
    <row r="601" spans="1:39" x14ac:dyDescent="0.25">
      <c r="A601" s="1" t="s">
        <v>5584</v>
      </c>
      <c r="B601" s="1" t="s">
        <v>5585</v>
      </c>
      <c r="C601" s="1" t="s">
        <v>5586</v>
      </c>
      <c r="D601" s="1" t="s">
        <v>5587</v>
      </c>
      <c r="E601" s="1" t="s">
        <v>5588</v>
      </c>
      <c r="F601" s="1" t="s">
        <v>5589</v>
      </c>
      <c r="G601" s="1" t="s">
        <v>14129</v>
      </c>
      <c r="H601" s="1" t="s">
        <v>14133</v>
      </c>
      <c r="I601" s="1" t="s">
        <v>14719</v>
      </c>
      <c r="J601" s="1" t="s">
        <v>23</v>
      </c>
      <c r="K601" s="1"/>
      <c r="L601" s="1" t="s">
        <v>5590</v>
      </c>
      <c r="M601" s="1" t="s">
        <v>5590</v>
      </c>
      <c r="N601" s="12" t="b">
        <f t="shared" si="45"/>
        <v>1</v>
      </c>
      <c r="O601" s="1" t="s">
        <v>5591</v>
      </c>
      <c r="P601" s="1" t="s">
        <v>5592</v>
      </c>
      <c r="Q601" s="1" t="s">
        <v>5593</v>
      </c>
      <c r="R601" s="1" t="s">
        <v>5594</v>
      </c>
      <c r="S601" s="1" t="s">
        <v>5595</v>
      </c>
      <c r="T601" s="1" t="s">
        <v>5596</v>
      </c>
      <c r="U601" s="1" t="s">
        <v>5597</v>
      </c>
      <c r="V601" s="13">
        <f>COUNTIF(L601:$M$1659,L601)</f>
        <v>10</v>
      </c>
      <c r="W601" s="1" t="s">
        <v>5598</v>
      </c>
      <c r="X601">
        <v>2839.2</v>
      </c>
      <c r="Y601">
        <v>47.26</v>
      </c>
      <c r="Z601">
        <v>15.297487</v>
      </c>
      <c r="AA601">
        <v>108.761878</v>
      </c>
      <c r="AB601">
        <v>2791.94</v>
      </c>
      <c r="AC601">
        <v>15.324786</v>
      </c>
      <c r="AD601">
        <v>108.813141</v>
      </c>
      <c r="AE601" s="5">
        <f t="shared" si="46"/>
        <v>7.0889999999999995E-2</v>
      </c>
      <c r="AF601" s="5">
        <f t="shared" si="47"/>
        <v>4.1879099999999996</v>
      </c>
      <c r="AG601" s="1" t="str">
        <f>TRIM(LEFT(L601,FIND("-",L601)-1))</f>
        <v>Quảng Ngãi</v>
      </c>
      <c r="AH601" s="1" t="str">
        <f>TRIM(RIGHT(L601, LEN(L601) - FIND("-", L601)))</f>
        <v>Ring 1_CAH Bình Sơn - Vạn Tường</v>
      </c>
      <c r="AJ601">
        <f t="shared" si="48"/>
        <v>4.7259999999999996E-2</v>
      </c>
      <c r="AK601">
        <f t="shared" si="49"/>
        <v>2.7919399999999999</v>
      </c>
      <c r="AL601" t="e">
        <f>VLOOKUP(L601,'[1]Tuyến cáp H04'!$B:$E,3,0)/1000</f>
        <v>#N/A</v>
      </c>
      <c r="AM601" t="e">
        <f>VLOOKUP(L601,'[1]Tuyến cáp H04'!$B:$E,4,0)</f>
        <v>#N/A</v>
      </c>
    </row>
    <row r="602" spans="1:39" x14ac:dyDescent="0.25">
      <c r="A602" s="1" t="s">
        <v>5599</v>
      </c>
      <c r="B602" s="1" t="s">
        <v>5585</v>
      </c>
      <c r="C602" s="1" t="s">
        <v>5586</v>
      </c>
      <c r="D602" s="1" t="s">
        <v>5600</v>
      </c>
      <c r="E602" s="1" t="s">
        <v>5601</v>
      </c>
      <c r="F602" s="1" t="s">
        <v>5602</v>
      </c>
      <c r="G602" s="1" t="s">
        <v>14129</v>
      </c>
      <c r="H602" s="1" t="s">
        <v>14133</v>
      </c>
      <c r="I602" s="1" t="s">
        <v>14720</v>
      </c>
      <c r="J602" s="1" t="s">
        <v>23</v>
      </c>
      <c r="K602" s="1"/>
      <c r="L602" s="1" t="s">
        <v>5590</v>
      </c>
      <c r="M602" s="1" t="s">
        <v>5590</v>
      </c>
      <c r="N602" s="12" t="b">
        <f t="shared" si="45"/>
        <v>1</v>
      </c>
      <c r="O602" s="1" t="s">
        <v>5603</v>
      </c>
      <c r="P602" s="1" t="s">
        <v>5592</v>
      </c>
      <c r="Q602" s="1" t="s">
        <v>5593</v>
      </c>
      <c r="R602" s="1" t="s">
        <v>5594</v>
      </c>
      <c r="S602" s="1" t="s">
        <v>5604</v>
      </c>
      <c r="T602" s="1" t="s">
        <v>5605</v>
      </c>
      <c r="U602" s="1" t="s">
        <v>5606</v>
      </c>
      <c r="V602" s="13">
        <f>COUNTIF(L602:$M$1659,L602)</f>
        <v>8</v>
      </c>
      <c r="W602" s="1" t="s">
        <v>5598</v>
      </c>
      <c r="X602">
        <v>2217.81</v>
      </c>
      <c r="Y602">
        <v>47.26</v>
      </c>
      <c r="Z602">
        <v>15.297487</v>
      </c>
      <c r="AA602">
        <v>108.761878</v>
      </c>
      <c r="AB602">
        <v>2170.5500000000002</v>
      </c>
      <c r="AC602">
        <v>15.306986</v>
      </c>
      <c r="AD602">
        <v>108.7803</v>
      </c>
      <c r="AE602" s="5">
        <f t="shared" si="46"/>
        <v>7.0889999999999995E-2</v>
      </c>
      <c r="AF602" s="5">
        <f t="shared" si="47"/>
        <v>3.2558250000000002</v>
      </c>
      <c r="AG602" s="1" t="str">
        <f>TRIM(LEFT(L602,FIND("-",L602)-1))</f>
        <v>Quảng Ngãi</v>
      </c>
      <c r="AH602" s="1" t="str">
        <f>TRIM(RIGHT(L602, LEN(L602) - FIND("-", L602)))</f>
        <v>Ring 1_CAH Bình Sơn - Vạn Tường</v>
      </c>
      <c r="AJ602">
        <f t="shared" si="48"/>
        <v>4.7259999999999996E-2</v>
      </c>
      <c r="AK602">
        <f t="shared" si="49"/>
        <v>2.17055</v>
      </c>
      <c r="AL602" t="e">
        <f>VLOOKUP(L602,'[1]Tuyến cáp H04'!$B:$E,3,0)/1000</f>
        <v>#N/A</v>
      </c>
      <c r="AM602" t="e">
        <f>VLOOKUP(L602,'[1]Tuyến cáp H04'!$B:$E,4,0)</f>
        <v>#N/A</v>
      </c>
    </row>
    <row r="603" spans="1:39" x14ac:dyDescent="0.25">
      <c r="A603" s="1" t="s">
        <v>5607</v>
      </c>
      <c r="B603" s="1" t="s">
        <v>5585</v>
      </c>
      <c r="C603" s="1" t="s">
        <v>5586</v>
      </c>
      <c r="D603" s="1" t="s">
        <v>5608</v>
      </c>
      <c r="E603" s="1" t="s">
        <v>5609</v>
      </c>
      <c r="F603" s="1" t="s">
        <v>5610</v>
      </c>
      <c r="G603" s="1" t="s">
        <v>14129</v>
      </c>
      <c r="H603" s="1" t="s">
        <v>14133</v>
      </c>
      <c r="I603" s="1" t="s">
        <v>14721</v>
      </c>
      <c r="J603" s="1" t="s">
        <v>23</v>
      </c>
      <c r="K603" s="1"/>
      <c r="L603" s="1" t="s">
        <v>5590</v>
      </c>
      <c r="M603" s="1" t="s">
        <v>5590</v>
      </c>
      <c r="N603" s="12" t="b">
        <f t="shared" si="45"/>
        <v>1</v>
      </c>
      <c r="O603" s="1" t="s">
        <v>5611</v>
      </c>
      <c r="P603" s="1" t="s">
        <v>5592</v>
      </c>
      <c r="Q603" s="1" t="s">
        <v>5593</v>
      </c>
      <c r="R603" s="1" t="s">
        <v>5594</v>
      </c>
      <c r="S603" s="1" t="s">
        <v>5612</v>
      </c>
      <c r="T603" s="1" t="s">
        <v>5613</v>
      </c>
      <c r="U603" s="1" t="s">
        <v>5614</v>
      </c>
      <c r="V603" s="13">
        <f>COUNTIF(L603:$M$1659,L603)</f>
        <v>6</v>
      </c>
      <c r="W603" s="1" t="s">
        <v>5598</v>
      </c>
      <c r="X603">
        <v>2344.83</v>
      </c>
      <c r="Y603">
        <v>47.26</v>
      </c>
      <c r="Z603">
        <v>15.297487</v>
      </c>
      <c r="AA603">
        <v>108.761878</v>
      </c>
      <c r="AB603">
        <v>2297.5700000000002</v>
      </c>
      <c r="AC603">
        <v>15.309248</v>
      </c>
      <c r="AD603">
        <v>108.785146</v>
      </c>
      <c r="AE603" s="5">
        <f t="shared" si="46"/>
        <v>7.0889999999999995E-2</v>
      </c>
      <c r="AF603" s="5">
        <f t="shared" si="47"/>
        <v>3.4463550000000005</v>
      </c>
      <c r="AG603" s="1" t="str">
        <f>TRIM(LEFT(L603,FIND("-",L603)-1))</f>
        <v>Quảng Ngãi</v>
      </c>
      <c r="AH603" s="1" t="str">
        <f>TRIM(RIGHT(L603, LEN(L603) - FIND("-", L603)))</f>
        <v>Ring 1_CAH Bình Sơn - Vạn Tường</v>
      </c>
      <c r="AJ603">
        <f t="shared" si="48"/>
        <v>4.7259999999999996E-2</v>
      </c>
      <c r="AK603">
        <f t="shared" si="49"/>
        <v>2.2975700000000003</v>
      </c>
      <c r="AL603" t="e">
        <f>VLOOKUP(L603,'[1]Tuyến cáp H04'!$B:$E,3,0)/1000</f>
        <v>#N/A</v>
      </c>
      <c r="AM603" t="e">
        <f>VLOOKUP(L603,'[1]Tuyến cáp H04'!$B:$E,4,0)</f>
        <v>#N/A</v>
      </c>
    </row>
    <row r="604" spans="1:39" x14ac:dyDescent="0.25">
      <c r="A604" s="1" t="s">
        <v>5615</v>
      </c>
      <c r="B604" s="1" t="s">
        <v>5585</v>
      </c>
      <c r="C604" s="1" t="s">
        <v>5586</v>
      </c>
      <c r="D604" s="1" t="s">
        <v>5616</v>
      </c>
      <c r="E604" s="1" t="s">
        <v>5617</v>
      </c>
      <c r="F604" s="1" t="s">
        <v>5618</v>
      </c>
      <c r="G604" s="1" t="s">
        <v>14129</v>
      </c>
      <c r="H604" s="1" t="s">
        <v>14133</v>
      </c>
      <c r="I604" s="1" t="s">
        <v>14722</v>
      </c>
      <c r="J604" s="1" t="s">
        <v>23</v>
      </c>
      <c r="K604" s="1"/>
      <c r="L604" s="1" t="s">
        <v>5619</v>
      </c>
      <c r="M604" s="1" t="s">
        <v>5619</v>
      </c>
      <c r="N604" s="12" t="b">
        <f t="shared" si="45"/>
        <v>1</v>
      </c>
      <c r="O604" s="1" t="s">
        <v>5620</v>
      </c>
      <c r="P604" s="1" t="s">
        <v>5621</v>
      </c>
      <c r="Q604" s="1" t="s">
        <v>5622</v>
      </c>
      <c r="R604" s="1" t="s">
        <v>5623</v>
      </c>
      <c r="S604" s="1" t="s">
        <v>5624</v>
      </c>
      <c r="T604" s="1" t="s">
        <v>5625</v>
      </c>
      <c r="U604" s="1" t="s">
        <v>5626</v>
      </c>
      <c r="V604" s="13">
        <f>COUNTIF(L604:$M$1659,L604)</f>
        <v>4</v>
      </c>
      <c r="W604" s="1" t="s">
        <v>5627</v>
      </c>
      <c r="X604">
        <v>1201.71</v>
      </c>
      <c r="Y604">
        <v>61.38</v>
      </c>
      <c r="Z604">
        <v>15.297667000000001</v>
      </c>
      <c r="AA604">
        <v>108.762175</v>
      </c>
      <c r="AB604">
        <v>1140.3399999999999</v>
      </c>
      <c r="AC604">
        <v>15.301570999999999</v>
      </c>
      <c r="AD604">
        <v>108.75758500000001</v>
      </c>
      <c r="AE604" s="5">
        <f t="shared" si="46"/>
        <v>9.2070000000000013E-2</v>
      </c>
      <c r="AF604" s="5">
        <f t="shared" si="47"/>
        <v>1.7105099999999998</v>
      </c>
      <c r="AG604" s="1" t="str">
        <f>TRIM(LEFT(L604,FIND("-",L604)-1))</f>
        <v>TTCMKV Bình Sơn</v>
      </c>
      <c r="AH604" s="1" t="str">
        <f>TRIM(RIGHT(L604, LEN(L604) - FIND("-", L604)))</f>
        <v>Bình Sơn</v>
      </c>
      <c r="AJ604">
        <f t="shared" si="48"/>
        <v>6.1380000000000004E-2</v>
      </c>
      <c r="AK604">
        <f t="shared" si="49"/>
        <v>1.1403399999999999</v>
      </c>
      <c r="AL604">
        <f>VLOOKUP(L604,'[1]Tuyến cáp H04'!$B:$E,3,0)/1000</f>
        <v>1.1910000000000001</v>
      </c>
      <c r="AM604" t="str">
        <f>VLOOKUP(L604,'[1]Tuyến cáp H04'!$B:$E,4,0)</f>
        <v>Mạng cấp 4</v>
      </c>
    </row>
    <row r="605" spans="1:39" x14ac:dyDescent="0.25">
      <c r="A605" s="1" t="s">
        <v>5628</v>
      </c>
      <c r="B605" s="1" t="s">
        <v>5585</v>
      </c>
      <c r="C605" s="1" t="s">
        <v>5586</v>
      </c>
      <c r="D605" s="1" t="s">
        <v>5629</v>
      </c>
      <c r="E605" s="1" t="s">
        <v>5630</v>
      </c>
      <c r="F605" s="1" t="s">
        <v>5631</v>
      </c>
      <c r="G605" s="1" t="s">
        <v>14129</v>
      </c>
      <c r="H605" s="1" t="s">
        <v>14133</v>
      </c>
      <c r="I605" s="1" t="s">
        <v>14723</v>
      </c>
      <c r="J605" s="1" t="s">
        <v>23</v>
      </c>
      <c r="K605" s="1"/>
      <c r="L605" s="1" t="s">
        <v>5619</v>
      </c>
      <c r="M605" s="1" t="s">
        <v>5619</v>
      </c>
      <c r="N605" s="12" t="b">
        <f t="shared" si="45"/>
        <v>1</v>
      </c>
      <c r="O605" s="1" t="s">
        <v>5632</v>
      </c>
      <c r="P605" s="1" t="s">
        <v>5621</v>
      </c>
      <c r="Q605" s="1" t="s">
        <v>5622</v>
      </c>
      <c r="R605" s="1" t="s">
        <v>5623</v>
      </c>
      <c r="S605" s="1" t="s">
        <v>5633</v>
      </c>
      <c r="T605" s="1" t="s">
        <v>5625</v>
      </c>
      <c r="U605" s="1" t="s">
        <v>5626</v>
      </c>
      <c r="V605" s="13">
        <f>COUNTIF(L605:$M$1659,L605)</f>
        <v>2</v>
      </c>
      <c r="W605" s="1" t="s">
        <v>5627</v>
      </c>
      <c r="X605">
        <v>657.54</v>
      </c>
      <c r="Y605">
        <v>61.38</v>
      </c>
      <c r="Z605">
        <v>15.297667000000001</v>
      </c>
      <c r="AA605">
        <v>108.762175</v>
      </c>
      <c r="AB605">
        <v>596.16</v>
      </c>
      <c r="AC605">
        <v>15.301570999999999</v>
      </c>
      <c r="AD605">
        <v>108.75758500000001</v>
      </c>
      <c r="AE605" s="5">
        <f t="shared" si="46"/>
        <v>9.2070000000000013E-2</v>
      </c>
      <c r="AF605" s="5">
        <f t="shared" si="47"/>
        <v>0.89424000000000003</v>
      </c>
      <c r="AG605" s="1" t="str">
        <f>TRIM(LEFT(L605,FIND("-",L605)-1))</f>
        <v>TTCMKV Bình Sơn</v>
      </c>
      <c r="AH605" s="1" t="str">
        <f>TRIM(RIGHT(L605, LEN(L605) - FIND("-", L605)))</f>
        <v>Bình Sơn</v>
      </c>
      <c r="AJ605">
        <f t="shared" si="48"/>
        <v>6.1380000000000004E-2</v>
      </c>
      <c r="AK605">
        <f t="shared" si="49"/>
        <v>0.59616000000000002</v>
      </c>
      <c r="AL605">
        <f>VLOOKUP(L605,'[1]Tuyến cáp H04'!$B:$E,3,0)/1000</f>
        <v>1.1910000000000001</v>
      </c>
      <c r="AM605" t="str">
        <f>VLOOKUP(L605,'[1]Tuyến cáp H04'!$B:$E,4,0)</f>
        <v>Mạng cấp 4</v>
      </c>
    </row>
    <row r="606" spans="1:39" x14ac:dyDescent="0.25">
      <c r="A606" s="1" t="s">
        <v>5634</v>
      </c>
      <c r="B606" s="1" t="s">
        <v>5585</v>
      </c>
      <c r="C606" s="1" t="s">
        <v>5586</v>
      </c>
      <c r="D606" s="1" t="s">
        <v>5635</v>
      </c>
      <c r="E606" s="1" t="s">
        <v>5636</v>
      </c>
      <c r="F606" s="1" t="s">
        <v>5637</v>
      </c>
      <c r="G606" s="1" t="s">
        <v>14129</v>
      </c>
      <c r="H606" s="1" t="s">
        <v>14133</v>
      </c>
      <c r="I606" s="1" t="s">
        <v>14724</v>
      </c>
      <c r="J606" s="1" t="s">
        <v>23</v>
      </c>
      <c r="K606" s="1"/>
      <c r="L606" s="1" t="s">
        <v>5590</v>
      </c>
      <c r="M606" s="1" t="s">
        <v>5590</v>
      </c>
      <c r="N606" s="12" t="b">
        <f t="shared" si="45"/>
        <v>1</v>
      </c>
      <c r="O606" s="1" t="s">
        <v>5638</v>
      </c>
      <c r="P606" s="1" t="s">
        <v>5592</v>
      </c>
      <c r="Q606" s="1" t="s">
        <v>5593</v>
      </c>
      <c r="R606" s="1" t="s">
        <v>5594</v>
      </c>
      <c r="S606" s="1" t="s">
        <v>3349</v>
      </c>
      <c r="T606" s="1" t="s">
        <v>5639</v>
      </c>
      <c r="U606" s="1" t="s">
        <v>5640</v>
      </c>
      <c r="V606" s="13">
        <f>COUNTIF(L606:$M$1659,L606)</f>
        <v>4</v>
      </c>
      <c r="W606" s="1" t="s">
        <v>5598</v>
      </c>
      <c r="X606">
        <v>62.36</v>
      </c>
      <c r="Y606">
        <v>47.26</v>
      </c>
      <c r="Z606">
        <v>15.297487</v>
      </c>
      <c r="AA606">
        <v>108.761878</v>
      </c>
      <c r="AB606">
        <v>15.1</v>
      </c>
      <c r="AC606">
        <v>15.3362</v>
      </c>
      <c r="AD606">
        <v>108.841576</v>
      </c>
      <c r="AE606" s="5">
        <f t="shared" si="46"/>
        <v>7.0889999999999995E-2</v>
      </c>
      <c r="AF606" s="5">
        <f t="shared" si="47"/>
        <v>2.265E-2</v>
      </c>
      <c r="AG606" s="1" t="str">
        <f>TRIM(LEFT(L606,FIND("-",L606)-1))</f>
        <v>Quảng Ngãi</v>
      </c>
      <c r="AH606" s="1" t="str">
        <f>TRIM(RIGHT(L606, LEN(L606) - FIND("-", L606)))</f>
        <v>Ring 1_CAH Bình Sơn - Vạn Tường</v>
      </c>
      <c r="AJ606">
        <f t="shared" si="48"/>
        <v>4.7259999999999996E-2</v>
      </c>
      <c r="AK606">
        <f t="shared" si="49"/>
        <v>1.5099999999999999E-2</v>
      </c>
      <c r="AL606" t="e">
        <f>VLOOKUP(L606,'[1]Tuyến cáp H04'!$B:$E,3,0)/1000</f>
        <v>#N/A</v>
      </c>
      <c r="AM606" t="e">
        <f>VLOOKUP(L606,'[1]Tuyến cáp H04'!$B:$E,4,0)</f>
        <v>#N/A</v>
      </c>
    </row>
    <row r="607" spans="1:39" x14ac:dyDescent="0.25">
      <c r="A607" s="1" t="s">
        <v>5584</v>
      </c>
      <c r="B607" s="1" t="s">
        <v>5585</v>
      </c>
      <c r="C607" s="1" t="s">
        <v>5586</v>
      </c>
      <c r="D607" s="1" t="s">
        <v>5587</v>
      </c>
      <c r="E607" s="1" t="s">
        <v>5588</v>
      </c>
      <c r="F607" s="1" t="s">
        <v>5641</v>
      </c>
      <c r="G607" s="1" t="s">
        <v>14129</v>
      </c>
      <c r="H607" s="1" t="s">
        <v>14700</v>
      </c>
      <c r="I607" s="1" t="s">
        <v>14719</v>
      </c>
      <c r="J607" s="1" t="s">
        <v>23</v>
      </c>
      <c r="K607" s="1"/>
      <c r="L607" s="1" t="s">
        <v>5590</v>
      </c>
      <c r="M607" s="1" t="s">
        <v>5590</v>
      </c>
      <c r="N607" s="12" t="b">
        <f t="shared" si="45"/>
        <v>1</v>
      </c>
      <c r="O607" s="1" t="s">
        <v>5591</v>
      </c>
      <c r="P607" s="1" t="s">
        <v>5592</v>
      </c>
      <c r="Q607" s="1" t="s">
        <v>5593</v>
      </c>
      <c r="R607" s="1" t="s">
        <v>5594</v>
      </c>
      <c r="S607" s="1" t="s">
        <v>5595</v>
      </c>
      <c r="T607" s="1" t="s">
        <v>5596</v>
      </c>
      <c r="U607" s="1" t="s">
        <v>5597</v>
      </c>
      <c r="V607" s="13">
        <f>COUNTIF(L607:$M$1659,L607)</f>
        <v>2</v>
      </c>
      <c r="W607" s="1" t="s">
        <v>5598</v>
      </c>
      <c r="X607">
        <v>2839.2</v>
      </c>
      <c r="Y607">
        <v>47.26</v>
      </c>
      <c r="Z607">
        <v>15.297487</v>
      </c>
      <c r="AA607">
        <v>108.761878</v>
      </c>
      <c r="AB607">
        <v>2791.94</v>
      </c>
      <c r="AC607">
        <v>15.324786</v>
      </c>
      <c r="AD607">
        <v>108.813141</v>
      </c>
      <c r="AE607" s="5">
        <f t="shared" si="46"/>
        <v>7.0889999999999995E-2</v>
      </c>
      <c r="AF607" s="5">
        <f t="shared" si="47"/>
        <v>4.1879099999999996</v>
      </c>
      <c r="AG607" s="1" t="str">
        <f>TRIM(LEFT(L607,FIND("-",L607)-1))</f>
        <v>Quảng Ngãi</v>
      </c>
      <c r="AH607" s="1" t="str">
        <f>TRIM(RIGHT(L607, LEN(L607) - FIND("-", L607)))</f>
        <v>Ring 1_CAH Bình Sơn - Vạn Tường</v>
      </c>
      <c r="AJ607">
        <f t="shared" si="48"/>
        <v>4.7259999999999996E-2</v>
      </c>
      <c r="AK607">
        <f t="shared" si="49"/>
        <v>2.7919399999999999</v>
      </c>
      <c r="AL607" t="e">
        <f>VLOOKUP(L607,'[1]Tuyến cáp H04'!$B:$E,3,0)/1000</f>
        <v>#N/A</v>
      </c>
      <c r="AM607" t="e">
        <f>VLOOKUP(L607,'[1]Tuyến cáp H04'!$B:$E,4,0)</f>
        <v>#N/A</v>
      </c>
    </row>
    <row r="608" spans="1:39" x14ac:dyDescent="0.25">
      <c r="A608" s="1" t="s">
        <v>5642</v>
      </c>
      <c r="B608" s="1" t="s">
        <v>5233</v>
      </c>
      <c r="C608" s="1" t="s">
        <v>5234</v>
      </c>
      <c r="D608" s="1" t="s">
        <v>5585</v>
      </c>
      <c r="E608" s="1" t="s">
        <v>5586</v>
      </c>
      <c r="F608" s="1" t="s">
        <v>5643</v>
      </c>
      <c r="G608" s="1" t="s">
        <v>14129</v>
      </c>
      <c r="H608" s="1" t="s">
        <v>14133</v>
      </c>
      <c r="I608" s="1" t="s">
        <v>14725</v>
      </c>
      <c r="J608" s="1" t="s">
        <v>23</v>
      </c>
      <c r="K608" s="1"/>
      <c r="L608" s="1" t="s">
        <v>5644</v>
      </c>
      <c r="M608" s="1" t="s">
        <v>5644</v>
      </c>
      <c r="N608" s="12" t="b">
        <f t="shared" si="45"/>
        <v>1</v>
      </c>
      <c r="O608" s="1" t="s">
        <v>5645</v>
      </c>
      <c r="P608" s="1" t="s">
        <v>5646</v>
      </c>
      <c r="Q608" s="1" t="s">
        <v>5647</v>
      </c>
      <c r="R608" s="1" t="s">
        <v>5648</v>
      </c>
      <c r="S608" s="1" t="s">
        <v>5649</v>
      </c>
      <c r="T608" s="1" t="s">
        <v>5650</v>
      </c>
      <c r="U608" s="1" t="s">
        <v>5651</v>
      </c>
      <c r="V608" s="13">
        <f>COUNTIF(L608:$M$1659,L608)</f>
        <v>6</v>
      </c>
      <c r="W608" s="1" t="s">
        <v>5652</v>
      </c>
      <c r="X608">
        <v>2455.37</v>
      </c>
      <c r="Y608">
        <v>2075.35</v>
      </c>
      <c r="Z608">
        <v>15.21908</v>
      </c>
      <c r="AA608">
        <v>108.787367</v>
      </c>
      <c r="AB608">
        <v>380.02</v>
      </c>
      <c r="AC608">
        <v>15.29429</v>
      </c>
      <c r="AD608">
        <v>108.76408600000001</v>
      </c>
      <c r="AE608" s="5">
        <f t="shared" si="46"/>
        <v>3.1130249999999995</v>
      </c>
      <c r="AF608" s="5">
        <f t="shared" si="47"/>
        <v>0.57002999999999993</v>
      </c>
      <c r="AG608" s="1" t="str">
        <f>TRIM(LEFT(L608,FIND("-",L608)-1))</f>
        <v>Bình Sơn</v>
      </c>
      <c r="AH608" s="1" t="str">
        <f>TRIM(RIGHT(L608, LEN(L608) - FIND("-", L608)))</f>
        <v>TT1 Quảng Ngãi</v>
      </c>
      <c r="AJ608">
        <f t="shared" si="48"/>
        <v>2.0753499999999998</v>
      </c>
      <c r="AK608">
        <f t="shared" si="49"/>
        <v>0.38001999999999997</v>
      </c>
      <c r="AL608">
        <f>VLOOKUP(L608,'[1]Tuyến cáp H04'!$B:$E,3,0)/1000</f>
        <v>25.260999999999999</v>
      </c>
      <c r="AM608" t="str">
        <f>VLOOKUP(L608,'[1]Tuyến cáp H04'!$B:$E,4,0)</f>
        <v>Mạng cấp 3</v>
      </c>
    </row>
    <row r="609" spans="1:39" x14ac:dyDescent="0.25">
      <c r="A609" s="1" t="s">
        <v>5653</v>
      </c>
      <c r="B609" s="1" t="s">
        <v>5654</v>
      </c>
      <c r="C609" s="1" t="s">
        <v>5655</v>
      </c>
      <c r="D609" s="1" t="s">
        <v>5585</v>
      </c>
      <c r="E609" s="1" t="s">
        <v>5586</v>
      </c>
      <c r="F609" s="1" t="s">
        <v>5656</v>
      </c>
      <c r="G609" s="1" t="s">
        <v>14129</v>
      </c>
      <c r="H609" s="1" t="s">
        <v>14133</v>
      </c>
      <c r="I609" s="1" t="s">
        <v>14726</v>
      </c>
      <c r="J609" s="1" t="s">
        <v>23</v>
      </c>
      <c r="K609" s="1"/>
      <c r="L609" s="1" t="s">
        <v>5657</v>
      </c>
      <c r="M609" s="1" t="s">
        <v>5657</v>
      </c>
      <c r="N609" s="12" t="b">
        <f t="shared" si="45"/>
        <v>1</v>
      </c>
      <c r="O609" s="1" t="s">
        <v>5658</v>
      </c>
      <c r="P609" s="1" t="s">
        <v>5659</v>
      </c>
      <c r="Q609" s="1" t="s">
        <v>5660</v>
      </c>
      <c r="R609" s="1" t="s">
        <v>5661</v>
      </c>
      <c r="S609" s="1" t="s">
        <v>5662</v>
      </c>
      <c r="T609" s="1" t="s">
        <v>5663</v>
      </c>
      <c r="U609" s="1" t="s">
        <v>5664</v>
      </c>
      <c r="V609" s="13">
        <f>COUNTIF(L609:$M$1659,L609)</f>
        <v>8</v>
      </c>
      <c r="W609" s="1" t="s">
        <v>5665</v>
      </c>
      <c r="X609">
        <v>259.83999999999997</v>
      </c>
      <c r="Y609">
        <v>216.3</v>
      </c>
      <c r="Z609">
        <v>15.274777</v>
      </c>
      <c r="AA609">
        <v>108.720617</v>
      </c>
      <c r="AB609">
        <v>43.54</v>
      </c>
      <c r="AC609">
        <v>15.297447999999999</v>
      </c>
      <c r="AD609">
        <v>108.76187899999999</v>
      </c>
      <c r="AE609" s="5">
        <f t="shared" si="46"/>
        <v>0.32445000000000007</v>
      </c>
      <c r="AF609" s="5">
        <f t="shared" si="47"/>
        <v>6.5310000000000007E-2</v>
      </c>
      <c r="AG609" s="1" t="str">
        <f>TRIM(LEFT(L609,FIND("-",L609)-1))</f>
        <v>Trà Bồng</v>
      </c>
      <c r="AH609" s="1" t="str">
        <f>TRIM(RIGHT(L609, LEN(L609) - FIND("-", L609)))</f>
        <v>Bình Sơn</v>
      </c>
      <c r="AJ609">
        <f t="shared" si="48"/>
        <v>0.21630000000000002</v>
      </c>
      <c r="AK609">
        <f t="shared" si="49"/>
        <v>4.3540000000000002E-2</v>
      </c>
      <c r="AL609">
        <f>VLOOKUP(L609,'[1]Tuyến cáp H04'!$B:$E,3,0)/1000</f>
        <v>30.911999999999999</v>
      </c>
      <c r="AM609" t="str">
        <f>VLOOKUP(L609,'[1]Tuyến cáp H04'!$B:$E,4,0)</f>
        <v>Mạng cấp 3</v>
      </c>
    </row>
    <row r="610" spans="1:39" x14ac:dyDescent="0.25">
      <c r="A610" s="1" t="s">
        <v>5666</v>
      </c>
      <c r="B610" s="1" t="s">
        <v>5667</v>
      </c>
      <c r="C610" s="1" t="s">
        <v>5668</v>
      </c>
      <c r="D610" s="1" t="s">
        <v>5585</v>
      </c>
      <c r="E610" s="1" t="s">
        <v>5586</v>
      </c>
      <c r="F610" s="1" t="s">
        <v>5669</v>
      </c>
      <c r="G610" s="1" t="s">
        <v>14129</v>
      </c>
      <c r="H610" s="1" t="s">
        <v>14133</v>
      </c>
      <c r="I610" s="1" t="s">
        <v>14727</v>
      </c>
      <c r="J610" s="1" t="s">
        <v>23</v>
      </c>
      <c r="K610" s="1"/>
      <c r="L610" s="1" t="s">
        <v>5657</v>
      </c>
      <c r="M610" s="1" t="s">
        <v>5657</v>
      </c>
      <c r="N610" s="12" t="b">
        <f t="shared" si="45"/>
        <v>1</v>
      </c>
      <c r="O610" s="1" t="s">
        <v>5670</v>
      </c>
      <c r="P610" s="1" t="s">
        <v>5671</v>
      </c>
      <c r="Q610" s="1" t="s">
        <v>5672</v>
      </c>
      <c r="R610" s="1" t="s">
        <v>5673</v>
      </c>
      <c r="S610" s="1" t="s">
        <v>5662</v>
      </c>
      <c r="T610" s="1" t="s">
        <v>5663</v>
      </c>
      <c r="U610" s="1" t="s">
        <v>5664</v>
      </c>
      <c r="V610" s="13">
        <f>COUNTIF(L610:$M$1659,L610)</f>
        <v>6</v>
      </c>
      <c r="W610" s="1" t="s">
        <v>5665</v>
      </c>
      <c r="X610">
        <v>419.88</v>
      </c>
      <c r="Y610">
        <v>376.34</v>
      </c>
      <c r="Z610">
        <v>15.281186</v>
      </c>
      <c r="AA610">
        <v>108.739684</v>
      </c>
      <c r="AB610">
        <v>43.54</v>
      </c>
      <c r="AC610">
        <v>15.297447999999999</v>
      </c>
      <c r="AD610">
        <v>108.76187899999999</v>
      </c>
      <c r="AE610" s="5">
        <f t="shared" si="46"/>
        <v>0.56450999999999996</v>
      </c>
      <c r="AF610" s="5">
        <f t="shared" si="47"/>
        <v>6.5310000000000007E-2</v>
      </c>
      <c r="AG610" s="1" t="str">
        <f>TRIM(LEFT(L610,FIND("-",L610)-1))</f>
        <v>Trà Bồng</v>
      </c>
      <c r="AH610" s="1" t="str">
        <f>TRIM(RIGHT(L610, LEN(L610) - FIND("-", L610)))</f>
        <v>Bình Sơn</v>
      </c>
      <c r="AJ610">
        <f t="shared" si="48"/>
        <v>0.37633999999999995</v>
      </c>
      <c r="AK610">
        <f t="shared" si="49"/>
        <v>4.3540000000000002E-2</v>
      </c>
      <c r="AL610">
        <f>VLOOKUP(L610,'[1]Tuyến cáp H04'!$B:$E,3,0)/1000</f>
        <v>30.911999999999999</v>
      </c>
      <c r="AM610" t="str">
        <f>VLOOKUP(L610,'[1]Tuyến cáp H04'!$B:$E,4,0)</f>
        <v>Mạng cấp 3</v>
      </c>
    </row>
    <row r="611" spans="1:39" x14ac:dyDescent="0.25">
      <c r="A611" s="1" t="s">
        <v>5674</v>
      </c>
      <c r="B611" s="1" t="s">
        <v>5675</v>
      </c>
      <c r="C611" s="1" t="s">
        <v>5676</v>
      </c>
      <c r="D611" s="1" t="s">
        <v>5585</v>
      </c>
      <c r="E611" s="1" t="s">
        <v>5586</v>
      </c>
      <c r="F611" s="1" t="s">
        <v>5677</v>
      </c>
      <c r="G611" s="1" t="s">
        <v>14129</v>
      </c>
      <c r="H611" s="1" t="s">
        <v>14133</v>
      </c>
      <c r="I611" s="1" t="s">
        <v>14728</v>
      </c>
      <c r="J611" s="1" t="s">
        <v>23</v>
      </c>
      <c r="K611" s="1"/>
      <c r="L611" s="1" t="s">
        <v>5678</v>
      </c>
      <c r="M611" s="1" t="s">
        <v>5678</v>
      </c>
      <c r="N611" s="12" t="b">
        <f t="shared" si="45"/>
        <v>1</v>
      </c>
      <c r="O611" s="1" t="s">
        <v>5679</v>
      </c>
      <c r="P611" s="1" t="s">
        <v>5680</v>
      </c>
      <c r="Q611" s="1" t="s">
        <v>5681</v>
      </c>
      <c r="R611" s="1" t="s">
        <v>5682</v>
      </c>
      <c r="S611" s="1" t="s">
        <v>5683</v>
      </c>
      <c r="T611" s="1" t="s">
        <v>5684</v>
      </c>
      <c r="U611" s="1" t="s">
        <v>5685</v>
      </c>
      <c r="V611" s="13">
        <f>COUNTIF(L611:$M$1659,L611)</f>
        <v>8</v>
      </c>
      <c r="W611" s="1" t="s">
        <v>5686</v>
      </c>
      <c r="X611">
        <v>676.53</v>
      </c>
      <c r="Y611">
        <v>337.48</v>
      </c>
      <c r="Z611">
        <v>15.275721000000001</v>
      </c>
      <c r="AA611">
        <v>108.773759</v>
      </c>
      <c r="AB611">
        <v>339.06</v>
      </c>
      <c r="AC611">
        <v>15.294822999999999</v>
      </c>
      <c r="AD611">
        <v>108.76002099999999</v>
      </c>
      <c r="AE611" s="5">
        <f t="shared" si="46"/>
        <v>0.50622</v>
      </c>
      <c r="AF611" s="5">
        <f t="shared" si="47"/>
        <v>0.50858999999999999</v>
      </c>
      <c r="AG611" s="1" t="str">
        <f>TRIM(LEFT(L611,FIND("-",L611)-1))</f>
        <v>Bình Sơn</v>
      </c>
      <c r="AH611" s="1" t="str">
        <f>TRIM(RIGHT(L611, LEN(L611) - FIND("-", L611)))</f>
        <v>Thọ Phong</v>
      </c>
      <c r="AJ611">
        <f t="shared" si="48"/>
        <v>0.33748</v>
      </c>
      <c r="AK611">
        <f t="shared" si="49"/>
        <v>0.33906000000000003</v>
      </c>
      <c r="AL611">
        <f>VLOOKUP(L611,'[1]Tuyến cáp H04'!$B:$E,3,0)/1000</f>
        <v>16.503</v>
      </c>
      <c r="AM611" t="str">
        <f>VLOOKUP(L611,'[1]Tuyến cáp H04'!$B:$E,4,0)</f>
        <v>Mạng cấp 4</v>
      </c>
    </row>
    <row r="612" spans="1:39" x14ac:dyDescent="0.25">
      <c r="A612" s="1" t="s">
        <v>5687</v>
      </c>
      <c r="B612" s="1" t="s">
        <v>5688</v>
      </c>
      <c r="C612" s="1" t="s">
        <v>5689</v>
      </c>
      <c r="D612" s="1" t="s">
        <v>5585</v>
      </c>
      <c r="E612" s="1" t="s">
        <v>5586</v>
      </c>
      <c r="F612" s="1" t="s">
        <v>5690</v>
      </c>
      <c r="G612" s="1" t="s">
        <v>14129</v>
      </c>
      <c r="H612" s="1" t="s">
        <v>14133</v>
      </c>
      <c r="I612" s="1" t="s">
        <v>14729</v>
      </c>
      <c r="J612" s="1" t="s">
        <v>23</v>
      </c>
      <c r="K612" s="1"/>
      <c r="L612" s="1" t="s">
        <v>5657</v>
      </c>
      <c r="M612" s="1" t="s">
        <v>5657</v>
      </c>
      <c r="N612" s="12" t="b">
        <f t="shared" si="45"/>
        <v>1</v>
      </c>
      <c r="O612" s="1" t="s">
        <v>5691</v>
      </c>
      <c r="P612" s="1" t="s">
        <v>5692</v>
      </c>
      <c r="Q612" s="1" t="s">
        <v>5693</v>
      </c>
      <c r="R612" s="1" t="s">
        <v>5694</v>
      </c>
      <c r="S612" s="1" t="s">
        <v>5662</v>
      </c>
      <c r="T612" s="1" t="s">
        <v>5663</v>
      </c>
      <c r="U612" s="1" t="s">
        <v>5664</v>
      </c>
      <c r="V612" s="13">
        <f>COUNTIF(L612:$M$1659,L612)</f>
        <v>4</v>
      </c>
      <c r="W612" s="1" t="s">
        <v>5665</v>
      </c>
      <c r="X612">
        <v>565.66</v>
      </c>
      <c r="Y612">
        <v>522.11</v>
      </c>
      <c r="Z612">
        <v>15.298811000000001</v>
      </c>
      <c r="AA612">
        <v>108.76312799999999</v>
      </c>
      <c r="AB612">
        <v>43.54</v>
      </c>
      <c r="AC612">
        <v>15.297447999999999</v>
      </c>
      <c r="AD612">
        <v>108.76187899999999</v>
      </c>
      <c r="AE612" s="5">
        <f t="shared" si="46"/>
        <v>0.783165</v>
      </c>
      <c r="AF612" s="5">
        <f t="shared" si="47"/>
        <v>6.5310000000000007E-2</v>
      </c>
      <c r="AG612" s="1" t="str">
        <f>TRIM(LEFT(L612,FIND("-",L612)-1))</f>
        <v>Trà Bồng</v>
      </c>
      <c r="AH612" s="1" t="str">
        <f>TRIM(RIGHT(L612, LEN(L612) - FIND("-", L612)))</f>
        <v>Bình Sơn</v>
      </c>
      <c r="AJ612">
        <f t="shared" si="48"/>
        <v>0.52210999999999996</v>
      </c>
      <c r="AK612">
        <f t="shared" si="49"/>
        <v>4.3540000000000002E-2</v>
      </c>
      <c r="AL612">
        <f>VLOOKUP(L612,'[1]Tuyến cáp H04'!$B:$E,3,0)/1000</f>
        <v>30.911999999999999</v>
      </c>
      <c r="AM612" t="str">
        <f>VLOOKUP(L612,'[1]Tuyến cáp H04'!$B:$E,4,0)</f>
        <v>Mạng cấp 3</v>
      </c>
    </row>
    <row r="613" spans="1:39" x14ac:dyDescent="0.25">
      <c r="A613" s="1" t="s">
        <v>5695</v>
      </c>
      <c r="B613" s="1" t="s">
        <v>5696</v>
      </c>
      <c r="C613" s="1" t="s">
        <v>5697</v>
      </c>
      <c r="D613" s="1" t="s">
        <v>5585</v>
      </c>
      <c r="E613" s="1" t="s">
        <v>5586</v>
      </c>
      <c r="F613" s="1" t="s">
        <v>5698</v>
      </c>
      <c r="G613" s="1" t="s">
        <v>14281</v>
      </c>
      <c r="H613" s="1" t="s">
        <v>14282</v>
      </c>
      <c r="I613" s="1" t="s">
        <v>14730</v>
      </c>
      <c r="J613" s="1" t="s">
        <v>23</v>
      </c>
      <c r="K613" s="1"/>
      <c r="L613" s="1" t="s">
        <v>5657</v>
      </c>
      <c r="M613" s="1" t="s">
        <v>5657</v>
      </c>
      <c r="N613" s="12" t="b">
        <f t="shared" si="45"/>
        <v>1</v>
      </c>
      <c r="O613" s="1" t="s">
        <v>5699</v>
      </c>
      <c r="P613" s="1" t="s">
        <v>5700</v>
      </c>
      <c r="Q613" s="1" t="s">
        <v>5701</v>
      </c>
      <c r="R613" s="1" t="s">
        <v>5702</v>
      </c>
      <c r="S613" s="1" t="s">
        <v>5662</v>
      </c>
      <c r="T613" s="1" t="s">
        <v>5663</v>
      </c>
      <c r="U613" s="1" t="s">
        <v>5664</v>
      </c>
      <c r="V613" s="13">
        <f>COUNTIF(L613:$M$1659,L613)</f>
        <v>2</v>
      </c>
      <c r="W613" s="1" t="s">
        <v>5665</v>
      </c>
      <c r="X613">
        <v>214.98</v>
      </c>
      <c r="Y613">
        <v>171.44</v>
      </c>
      <c r="Z613">
        <v>15.291643000000001</v>
      </c>
      <c r="AA613">
        <v>108.757813</v>
      </c>
      <c r="AB613">
        <v>43.54</v>
      </c>
      <c r="AC613">
        <v>15.297447999999999</v>
      </c>
      <c r="AD613">
        <v>108.76187899999999</v>
      </c>
      <c r="AE613" s="5">
        <f t="shared" si="46"/>
        <v>0.25715999999999994</v>
      </c>
      <c r="AF613" s="5">
        <f t="shared" si="47"/>
        <v>6.5310000000000007E-2</v>
      </c>
      <c r="AG613" s="1" t="str">
        <f>TRIM(LEFT(L613,FIND("-",L613)-1))</f>
        <v>Trà Bồng</v>
      </c>
      <c r="AH613" s="1" t="str">
        <f>TRIM(RIGHT(L613, LEN(L613) - FIND("-", L613)))</f>
        <v>Bình Sơn</v>
      </c>
      <c r="AJ613">
        <f t="shared" si="48"/>
        <v>0.17144000000000001</v>
      </c>
      <c r="AK613">
        <f t="shared" si="49"/>
        <v>4.3540000000000002E-2</v>
      </c>
      <c r="AL613">
        <f>VLOOKUP(L613,'[1]Tuyến cáp H04'!$B:$E,3,0)/1000</f>
        <v>30.911999999999999</v>
      </c>
      <c r="AM613" t="str">
        <f>VLOOKUP(L613,'[1]Tuyến cáp H04'!$B:$E,4,0)</f>
        <v>Mạng cấp 3</v>
      </c>
    </row>
    <row r="614" spans="1:39" x14ac:dyDescent="0.25">
      <c r="A614" s="1" t="s">
        <v>5703</v>
      </c>
      <c r="B614" s="1" t="s">
        <v>5704</v>
      </c>
      <c r="C614" s="1" t="s">
        <v>5705</v>
      </c>
      <c r="D614" s="1" t="s">
        <v>5706</v>
      </c>
      <c r="E614" s="1" t="s">
        <v>5707</v>
      </c>
      <c r="F614" s="1" t="s">
        <v>5708</v>
      </c>
      <c r="G614" s="1" t="s">
        <v>14129</v>
      </c>
      <c r="H614" s="1" t="s">
        <v>14679</v>
      </c>
      <c r="I614" s="1" t="s">
        <v>14731</v>
      </c>
      <c r="J614" s="1" t="s">
        <v>23</v>
      </c>
      <c r="K614" s="1"/>
      <c r="L614" s="1" t="s">
        <v>5355</v>
      </c>
      <c r="M614" s="1" t="s">
        <v>5355</v>
      </c>
      <c r="N614" s="12" t="b">
        <f t="shared" si="45"/>
        <v>1</v>
      </c>
      <c r="O614" s="1" t="s">
        <v>5709</v>
      </c>
      <c r="P614" s="1" t="s">
        <v>5710</v>
      </c>
      <c r="Q614" s="1" t="s">
        <v>5711</v>
      </c>
      <c r="R614" s="1" t="s">
        <v>5712</v>
      </c>
      <c r="S614" s="1" t="s">
        <v>5713</v>
      </c>
      <c r="T614" s="1" t="s">
        <v>5714</v>
      </c>
      <c r="U614" s="1" t="s">
        <v>5715</v>
      </c>
      <c r="V614" s="13">
        <f>COUNTIF(L614:$M$1659,L614)</f>
        <v>4</v>
      </c>
      <c r="W614" s="1" t="s">
        <v>5716</v>
      </c>
      <c r="X614">
        <v>2588.46</v>
      </c>
      <c r="Y614">
        <v>2242.4899999999998</v>
      </c>
      <c r="Z614">
        <v>15.117129</v>
      </c>
      <c r="AA614">
        <v>108.82477299999999</v>
      </c>
      <c r="AB614">
        <v>345.97</v>
      </c>
      <c r="AC614">
        <v>15.084956</v>
      </c>
      <c r="AD614">
        <v>108.829359</v>
      </c>
      <c r="AE614" s="5">
        <f t="shared" si="46"/>
        <v>3.3637349999999997</v>
      </c>
      <c r="AF614" s="5">
        <f t="shared" si="47"/>
        <v>0.51895500000000006</v>
      </c>
      <c r="AG614" s="1" t="str">
        <f>TRIM(LEFT(L614,FIND("-",L614)-1))</f>
        <v>Đức Phổ</v>
      </c>
      <c r="AH614" s="1" t="str">
        <f>TRIM(RIGHT(L614, LEN(L614) - FIND("-", L614)))</f>
        <v>TT1 Quảng Ngãi mới</v>
      </c>
      <c r="AJ614">
        <f t="shared" si="48"/>
        <v>2.2424899999999997</v>
      </c>
      <c r="AK614">
        <f t="shared" si="49"/>
        <v>0.34597</v>
      </c>
      <c r="AL614" t="e">
        <f>VLOOKUP(L614,'[1]Tuyến cáp H04'!$B:$E,3,0)/1000</f>
        <v>#N/A</v>
      </c>
      <c r="AM614" t="e">
        <f>VLOOKUP(L614,'[1]Tuyến cáp H04'!$B:$E,4,0)</f>
        <v>#N/A</v>
      </c>
    </row>
    <row r="615" spans="1:39" x14ac:dyDescent="0.25">
      <c r="A615" s="1" t="s">
        <v>5717</v>
      </c>
      <c r="B615" s="1" t="s">
        <v>5718</v>
      </c>
      <c r="C615" s="1" t="s">
        <v>5719</v>
      </c>
      <c r="D615" s="1" t="s">
        <v>5706</v>
      </c>
      <c r="E615" s="1" t="s">
        <v>5707</v>
      </c>
      <c r="F615" s="1" t="s">
        <v>5720</v>
      </c>
      <c r="G615" s="1" t="s">
        <v>14129</v>
      </c>
      <c r="H615" s="1" t="s">
        <v>14679</v>
      </c>
      <c r="I615" s="1" t="s">
        <v>14732</v>
      </c>
      <c r="J615" s="1" t="s">
        <v>23</v>
      </c>
      <c r="K615" s="1"/>
      <c r="L615" s="1" t="s">
        <v>5721</v>
      </c>
      <c r="M615" s="1" t="s">
        <v>5721</v>
      </c>
      <c r="N615" s="12" t="b">
        <f t="shared" si="45"/>
        <v>1</v>
      </c>
      <c r="O615" s="1" t="s">
        <v>5722</v>
      </c>
      <c r="P615" s="1" t="s">
        <v>5723</v>
      </c>
      <c r="Q615" s="1" t="s">
        <v>5724</v>
      </c>
      <c r="R615" s="1" t="s">
        <v>5725</v>
      </c>
      <c r="S615" s="1" t="s">
        <v>5726</v>
      </c>
      <c r="T615" s="1" t="s">
        <v>5727</v>
      </c>
      <c r="U615" s="1" t="s">
        <v>5728</v>
      </c>
      <c r="V615" s="13">
        <f>COUNTIF(L615:$M$1659,L615)</f>
        <v>6</v>
      </c>
      <c r="W615" s="1" t="s">
        <v>5729</v>
      </c>
      <c r="X615">
        <v>537.49</v>
      </c>
      <c r="Y615">
        <v>192.46</v>
      </c>
      <c r="Z615">
        <v>15.078923</v>
      </c>
      <c r="AA615">
        <v>108.83280999999999</v>
      </c>
      <c r="AB615">
        <v>345.03</v>
      </c>
      <c r="AC615">
        <v>15.085029</v>
      </c>
      <c r="AD615">
        <v>108.829308</v>
      </c>
      <c r="AE615" s="5">
        <f t="shared" si="46"/>
        <v>0.28869</v>
      </c>
      <c r="AF615" s="5">
        <f t="shared" si="47"/>
        <v>0.51754499999999992</v>
      </c>
      <c r="AG615" s="1" t="str">
        <f>TRIM(LEFT(L615,FIND("-",L615)-1))</f>
        <v>Vệ Giang</v>
      </c>
      <c r="AH615" s="1" t="str">
        <f>TRIM(RIGHT(L615, LEN(L615) - FIND("-", L615)))</f>
        <v>Cẩm Thành</v>
      </c>
      <c r="AJ615">
        <f t="shared" si="48"/>
        <v>0.19246000000000002</v>
      </c>
      <c r="AK615">
        <f t="shared" si="49"/>
        <v>0.34502999999999995</v>
      </c>
      <c r="AL615">
        <f>VLOOKUP(L615,'[1]Tuyến cáp H04'!$B:$E,3,0)/1000</f>
        <v>11.173</v>
      </c>
      <c r="AM615" t="str">
        <f>VLOOKUP(L615,'[1]Tuyến cáp H04'!$B:$E,4,0)</f>
        <v>Mạng cấp 4</v>
      </c>
    </row>
    <row r="616" spans="1:39" x14ac:dyDescent="0.25">
      <c r="A616" s="1" t="s">
        <v>5730</v>
      </c>
      <c r="B616" s="1" t="s">
        <v>5731</v>
      </c>
      <c r="C616" s="1" t="s">
        <v>5732</v>
      </c>
      <c r="D616" s="1" t="s">
        <v>5706</v>
      </c>
      <c r="E616" s="1" t="s">
        <v>5707</v>
      </c>
      <c r="F616" s="1" t="s">
        <v>5733</v>
      </c>
      <c r="G616" s="1" t="s">
        <v>14129</v>
      </c>
      <c r="H616" s="1" t="s">
        <v>14679</v>
      </c>
      <c r="I616" s="1" t="s">
        <v>14733</v>
      </c>
      <c r="J616" s="1" t="s">
        <v>23</v>
      </c>
      <c r="K616" s="1"/>
      <c r="L616" s="1" t="s">
        <v>5734</v>
      </c>
      <c r="M616" s="1" t="s">
        <v>5734</v>
      </c>
      <c r="N616" s="12" t="b">
        <f t="shared" si="45"/>
        <v>1</v>
      </c>
      <c r="O616" s="1" t="s">
        <v>5735</v>
      </c>
      <c r="P616" s="1" t="s">
        <v>5736</v>
      </c>
      <c r="Q616" s="1" t="s">
        <v>5737</v>
      </c>
      <c r="R616" s="1" t="s">
        <v>5738</v>
      </c>
      <c r="S616" s="1" t="s">
        <v>5739</v>
      </c>
      <c r="T616" s="1" t="s">
        <v>5740</v>
      </c>
      <c r="U616" s="1" t="s">
        <v>5741</v>
      </c>
      <c r="V616" s="13">
        <f>COUNTIF(L616:$M$1659,L616)</f>
        <v>6</v>
      </c>
      <c r="W616" s="1" t="s">
        <v>5742</v>
      </c>
      <c r="X616">
        <v>369.01</v>
      </c>
      <c r="Y616">
        <v>321.62</v>
      </c>
      <c r="Z616">
        <v>15.088100000000001</v>
      </c>
      <c r="AA616">
        <v>108.821113</v>
      </c>
      <c r="AB616">
        <v>47.39</v>
      </c>
      <c r="AC616">
        <v>15.08394</v>
      </c>
      <c r="AD616">
        <v>108.82642800000001</v>
      </c>
      <c r="AE616" s="5">
        <f t="shared" si="46"/>
        <v>0.48243000000000003</v>
      </c>
      <c r="AF616" s="5">
        <f t="shared" si="47"/>
        <v>7.1085000000000009E-2</v>
      </c>
      <c r="AG616" s="1" t="str">
        <f>TRIM(LEFT(L616,FIND("-",L616)-1))</f>
        <v>Cơ sở cai nghiện (X. Nghĩa Kỳ, H. Tư Nghĩa)</v>
      </c>
      <c r="AH616" s="1" t="str">
        <f>TRIM(RIGHT(L616, LEN(L616) - FIND("-", L616)))</f>
        <v>TTCMKV Tư Nghĩa</v>
      </c>
      <c r="AJ616">
        <f t="shared" si="48"/>
        <v>0.32162000000000002</v>
      </c>
      <c r="AK616">
        <f t="shared" si="49"/>
        <v>4.7390000000000002E-2</v>
      </c>
      <c r="AL616">
        <f>VLOOKUP(L616,'[1]Tuyến cáp H04'!$B:$E,3,0)/1000</f>
        <v>12.4</v>
      </c>
      <c r="AM616" t="str">
        <f>VLOOKUP(L616,'[1]Tuyến cáp H04'!$B:$E,4,0)</f>
        <v>Mạng cấp 3</v>
      </c>
    </row>
    <row r="617" spans="1:39" x14ac:dyDescent="0.25">
      <c r="A617" s="1" t="s">
        <v>5743</v>
      </c>
      <c r="B617" s="1" t="s">
        <v>5352</v>
      </c>
      <c r="C617" s="1" t="s">
        <v>5353</v>
      </c>
      <c r="D617" s="1" t="s">
        <v>5706</v>
      </c>
      <c r="E617" s="1" t="s">
        <v>5707</v>
      </c>
      <c r="F617" s="1" t="s">
        <v>5744</v>
      </c>
      <c r="G617" s="1" t="s">
        <v>14281</v>
      </c>
      <c r="H617" s="1" t="s">
        <v>14282</v>
      </c>
      <c r="I617" s="1" t="s">
        <v>14734</v>
      </c>
      <c r="J617" s="1" t="s">
        <v>23</v>
      </c>
      <c r="K617" s="1"/>
      <c r="L617" s="1" t="s">
        <v>5745</v>
      </c>
      <c r="M617" s="1" t="s">
        <v>5745</v>
      </c>
      <c r="N617" s="12" t="b">
        <f t="shared" si="45"/>
        <v>1</v>
      </c>
      <c r="O617" s="1" t="s">
        <v>5746</v>
      </c>
      <c r="P617" s="1" t="s">
        <v>5747</v>
      </c>
      <c r="Q617" s="1" t="s">
        <v>5748</v>
      </c>
      <c r="R617" s="1" t="s">
        <v>5749</v>
      </c>
      <c r="S617" s="1" t="s">
        <v>5750</v>
      </c>
      <c r="T617" s="1" t="s">
        <v>5751</v>
      </c>
      <c r="U617" s="1" t="s">
        <v>5752</v>
      </c>
      <c r="V617" s="13">
        <f>COUNTIF(L617:$M$1659,L617)</f>
        <v>10</v>
      </c>
      <c r="W617" s="1" t="s">
        <v>5753</v>
      </c>
      <c r="X617">
        <v>380.61</v>
      </c>
      <c r="Y617">
        <v>104.88</v>
      </c>
      <c r="Z617">
        <v>15.058427999999999</v>
      </c>
      <c r="AA617">
        <v>108.842528</v>
      </c>
      <c r="AB617">
        <v>275.73</v>
      </c>
      <c r="AC617">
        <v>15.081044</v>
      </c>
      <c r="AD617">
        <v>108.826357</v>
      </c>
      <c r="AE617" s="5">
        <f t="shared" si="46"/>
        <v>0.15731999999999999</v>
      </c>
      <c r="AF617" s="5">
        <f t="shared" si="47"/>
        <v>0.41359500000000005</v>
      </c>
      <c r="AG617" s="1" t="str">
        <f>TRIM(LEFT(L617,FIND("-",L617)-1))</f>
        <v>Long Phụng</v>
      </c>
      <c r="AH617" s="1" t="str">
        <f>TRIM(RIGHT(L617, LEN(L617) - FIND("-", L617)))</f>
        <v>Tư Nghĩa</v>
      </c>
      <c r="AJ617">
        <f t="shared" si="48"/>
        <v>0.10488</v>
      </c>
      <c r="AK617">
        <f t="shared" si="49"/>
        <v>0.27573000000000003</v>
      </c>
      <c r="AL617">
        <f>VLOOKUP(L617,'[1]Tuyến cáp H04'!$B:$E,3,0)/1000</f>
        <v>11.252000000000001</v>
      </c>
      <c r="AM617" t="str">
        <f>VLOOKUP(L617,'[1]Tuyến cáp H04'!$B:$E,4,0)</f>
        <v>Mạng cấp 4</v>
      </c>
    </row>
    <row r="618" spans="1:39" x14ac:dyDescent="0.25">
      <c r="A618" s="1" t="s">
        <v>5754</v>
      </c>
      <c r="B618" s="1" t="s">
        <v>5706</v>
      </c>
      <c r="C618" s="1" t="s">
        <v>5707</v>
      </c>
      <c r="D618" s="1" t="s">
        <v>5321</v>
      </c>
      <c r="E618" s="1" t="s">
        <v>5322</v>
      </c>
      <c r="F618" s="1" t="s">
        <v>5755</v>
      </c>
      <c r="G618" s="1" t="s">
        <v>14281</v>
      </c>
      <c r="H618" s="1" t="s">
        <v>14282</v>
      </c>
      <c r="I618" s="1" t="s">
        <v>14735</v>
      </c>
      <c r="J618" s="1" t="s">
        <v>23</v>
      </c>
      <c r="K618" s="1"/>
      <c r="L618" s="1" t="s">
        <v>5734</v>
      </c>
      <c r="M618" s="1" t="s">
        <v>5734</v>
      </c>
      <c r="N618" s="12" t="b">
        <f t="shared" si="45"/>
        <v>1</v>
      </c>
      <c r="O618" s="1" t="s">
        <v>5756</v>
      </c>
      <c r="P618" s="1" t="s">
        <v>5739</v>
      </c>
      <c r="Q618" s="1" t="s">
        <v>5740</v>
      </c>
      <c r="R618" s="1" t="s">
        <v>5741</v>
      </c>
      <c r="S618" s="1" t="s">
        <v>5757</v>
      </c>
      <c r="T618" s="1" t="s">
        <v>5758</v>
      </c>
      <c r="U618" s="1" t="s">
        <v>5759</v>
      </c>
      <c r="V618" s="13">
        <f>COUNTIF(L618:$M$1659,L618)</f>
        <v>4</v>
      </c>
      <c r="W618" s="1" t="s">
        <v>5742</v>
      </c>
      <c r="X618">
        <v>2770.12</v>
      </c>
      <c r="Y618">
        <v>47.39</v>
      </c>
      <c r="Z618">
        <v>15.08394</v>
      </c>
      <c r="AA618">
        <v>108.82642800000001</v>
      </c>
      <c r="AB618">
        <v>2722.73</v>
      </c>
      <c r="AC618">
        <v>15.109165000000001</v>
      </c>
      <c r="AD618">
        <v>108.78915000000001</v>
      </c>
      <c r="AE618" s="5">
        <f t="shared" si="46"/>
        <v>7.1085000000000009E-2</v>
      </c>
      <c r="AF618" s="5">
        <f t="shared" si="47"/>
        <v>4.0840950000000005</v>
      </c>
      <c r="AG618" s="1" t="str">
        <f>TRIM(LEFT(L618,FIND("-",L618)-1))</f>
        <v>Cơ sở cai nghiện (X. Nghĩa Kỳ, H. Tư Nghĩa)</v>
      </c>
      <c r="AH618" s="1" t="str">
        <f>TRIM(RIGHT(L618, LEN(L618) - FIND("-", L618)))</f>
        <v>TTCMKV Tư Nghĩa</v>
      </c>
      <c r="AJ618">
        <f t="shared" si="48"/>
        <v>4.7390000000000002E-2</v>
      </c>
      <c r="AK618">
        <f t="shared" si="49"/>
        <v>2.7227299999999999</v>
      </c>
      <c r="AL618">
        <f>VLOOKUP(L618,'[1]Tuyến cáp H04'!$B:$E,3,0)/1000</f>
        <v>12.4</v>
      </c>
      <c r="AM618" t="str">
        <f>VLOOKUP(L618,'[1]Tuyến cáp H04'!$B:$E,4,0)</f>
        <v>Mạng cấp 3</v>
      </c>
    </row>
    <row r="619" spans="1:39" x14ac:dyDescent="0.25">
      <c r="A619" s="1" t="s">
        <v>5760</v>
      </c>
      <c r="B619" s="1" t="s">
        <v>5635</v>
      </c>
      <c r="C619" s="1" t="s">
        <v>5636</v>
      </c>
      <c r="D619" s="1" t="s">
        <v>5761</v>
      </c>
      <c r="E619" s="1" t="s">
        <v>5762</v>
      </c>
      <c r="F619" s="1" t="s">
        <v>5763</v>
      </c>
      <c r="G619" s="1" t="s">
        <v>14129</v>
      </c>
      <c r="H619" s="1" t="s">
        <v>14133</v>
      </c>
      <c r="I619" s="1" t="s">
        <v>14736</v>
      </c>
      <c r="J619" s="1" t="s">
        <v>23</v>
      </c>
      <c r="K619" s="1"/>
      <c r="L619" s="1" t="s">
        <v>5764</v>
      </c>
      <c r="M619" s="1" t="s">
        <v>5764</v>
      </c>
      <c r="N619" s="12" t="b">
        <f t="shared" si="45"/>
        <v>1</v>
      </c>
      <c r="O619" s="1" t="s">
        <v>5765</v>
      </c>
      <c r="P619" s="1" t="s">
        <v>5766</v>
      </c>
      <c r="Q619" s="1" t="s">
        <v>5767</v>
      </c>
      <c r="R619" s="1" t="s">
        <v>5768</v>
      </c>
      <c r="S619" s="1" t="s">
        <v>5769</v>
      </c>
      <c r="T619" s="1" t="s">
        <v>5770</v>
      </c>
      <c r="U619" s="1" t="s">
        <v>5771</v>
      </c>
      <c r="V619" s="13">
        <f>COUNTIF(L619:$M$1659,L619)</f>
        <v>10</v>
      </c>
      <c r="W619" s="1" t="s">
        <v>5772</v>
      </c>
      <c r="X619">
        <v>312.98</v>
      </c>
      <c r="Y619">
        <v>78.48</v>
      </c>
      <c r="Z619">
        <v>15.336315000000001</v>
      </c>
      <c r="AA619">
        <v>108.84218</v>
      </c>
      <c r="AB619">
        <v>234.5</v>
      </c>
      <c r="AC619">
        <v>15.32572</v>
      </c>
      <c r="AD619">
        <v>108.859756</v>
      </c>
      <c r="AE619" s="5">
        <f t="shared" si="46"/>
        <v>0.11772000000000001</v>
      </c>
      <c r="AF619" s="5">
        <f t="shared" si="47"/>
        <v>0.35175000000000001</v>
      </c>
      <c r="AG619" s="1" t="str">
        <f>TRIM(LEFT(L619,FIND("-",L619)-1))</f>
        <v>Quảng Ngãi</v>
      </c>
      <c r="AH619" s="1" t="str">
        <f>TRIM(RIGHT(L619, LEN(L619) - FIND("-", L619)))</f>
        <v>Ring 1_Vạn Tường - Đông Sơn</v>
      </c>
      <c r="AJ619">
        <f t="shared" si="48"/>
        <v>7.8480000000000008E-2</v>
      </c>
      <c r="AK619">
        <f t="shared" si="49"/>
        <v>0.23449999999999999</v>
      </c>
      <c r="AL619" t="e">
        <f>VLOOKUP(L619,'[1]Tuyến cáp H04'!$B:$E,3,0)/1000</f>
        <v>#N/A</v>
      </c>
      <c r="AM619" t="e">
        <f>VLOOKUP(L619,'[1]Tuyến cáp H04'!$B:$E,4,0)</f>
        <v>#N/A</v>
      </c>
    </row>
    <row r="620" spans="1:39" x14ac:dyDescent="0.25">
      <c r="A620" s="1" t="s">
        <v>5773</v>
      </c>
      <c r="B620" s="1" t="s">
        <v>5774</v>
      </c>
      <c r="C620" s="1" t="s">
        <v>5775</v>
      </c>
      <c r="D620" s="1" t="s">
        <v>5635</v>
      </c>
      <c r="E620" s="1" t="s">
        <v>5636</v>
      </c>
      <c r="F620" s="1" t="s">
        <v>5776</v>
      </c>
      <c r="G620" s="1" t="s">
        <v>14129</v>
      </c>
      <c r="H620" s="1" t="s">
        <v>14133</v>
      </c>
      <c r="I620" s="1" t="s">
        <v>14737</v>
      </c>
      <c r="J620" s="1" t="s">
        <v>23</v>
      </c>
      <c r="K620" s="1"/>
      <c r="L620" s="1" t="s">
        <v>5777</v>
      </c>
      <c r="M620" s="1" t="s">
        <v>5777</v>
      </c>
      <c r="N620" s="12" t="b">
        <f t="shared" si="45"/>
        <v>1</v>
      </c>
      <c r="O620" s="1" t="s">
        <v>5778</v>
      </c>
      <c r="P620" s="1" t="s">
        <v>5779</v>
      </c>
      <c r="Q620" s="1" t="s">
        <v>5780</v>
      </c>
      <c r="R620" s="1" t="s">
        <v>5781</v>
      </c>
      <c r="S620" s="1" t="s">
        <v>5782</v>
      </c>
      <c r="T620" s="1" t="s">
        <v>5780</v>
      </c>
      <c r="U620" s="1" t="s">
        <v>5781</v>
      </c>
      <c r="V620" s="13">
        <f>COUNTIF(L620:$M$1659,L620)</f>
        <v>24</v>
      </c>
      <c r="W620" s="1" t="s">
        <v>5783</v>
      </c>
      <c r="X620">
        <v>66.650000000000006</v>
      </c>
      <c r="Y620">
        <v>41.49</v>
      </c>
      <c r="Z620">
        <v>15.336204</v>
      </c>
      <c r="AA620">
        <v>108.841223</v>
      </c>
      <c r="AB620">
        <v>25.16</v>
      </c>
      <c r="AC620">
        <v>15.336204</v>
      </c>
      <c r="AD620">
        <v>108.841223</v>
      </c>
      <c r="AE620" s="5">
        <f t="shared" si="46"/>
        <v>6.2234999999999999E-2</v>
      </c>
      <c r="AF620" s="5">
        <f t="shared" si="47"/>
        <v>3.7740000000000003E-2</v>
      </c>
      <c r="AG620" s="1" t="e">
        <f>TRIM(LEFT(L620,FIND("-",L620)-1))</f>
        <v>#VALUE!</v>
      </c>
      <c r="AH620" s="1" t="e">
        <f>TRIM(RIGHT(L620, LEN(L620) - FIND("-", L620)))</f>
        <v>#VALUE!</v>
      </c>
      <c r="AJ620">
        <f t="shared" si="48"/>
        <v>4.1489999999999999E-2</v>
      </c>
      <c r="AK620">
        <f t="shared" si="49"/>
        <v>2.5160000000000002E-2</v>
      </c>
      <c r="AL620" t="e">
        <f>VLOOKUP(L620,'[1]Tuyến cáp H04'!$B:$E,3,0)/1000</f>
        <v>#N/A</v>
      </c>
      <c r="AM620" t="e">
        <f>VLOOKUP(L620,'[1]Tuyến cáp H04'!$B:$E,4,0)</f>
        <v>#N/A</v>
      </c>
    </row>
    <row r="621" spans="1:39" x14ac:dyDescent="0.25">
      <c r="A621" s="1" t="s">
        <v>5784</v>
      </c>
      <c r="B621" s="1" t="s">
        <v>5785</v>
      </c>
      <c r="C621" s="1" t="s">
        <v>5786</v>
      </c>
      <c r="D621" s="1" t="s">
        <v>5635</v>
      </c>
      <c r="E621" s="1" t="s">
        <v>5636</v>
      </c>
      <c r="F621" s="1" t="s">
        <v>5787</v>
      </c>
      <c r="G621" s="1" t="s">
        <v>14129</v>
      </c>
      <c r="H621" s="1" t="s">
        <v>14133</v>
      </c>
      <c r="I621" s="1" t="s">
        <v>14738</v>
      </c>
      <c r="J621" s="1" t="s">
        <v>23</v>
      </c>
      <c r="K621" s="1"/>
      <c r="L621" s="1" t="s">
        <v>5777</v>
      </c>
      <c r="M621" s="1" t="s">
        <v>5777</v>
      </c>
      <c r="N621" s="12" t="b">
        <f t="shared" si="45"/>
        <v>1</v>
      </c>
      <c r="O621" s="1" t="s">
        <v>5788</v>
      </c>
      <c r="P621" s="1" t="s">
        <v>5789</v>
      </c>
      <c r="Q621" s="1" t="s">
        <v>5790</v>
      </c>
      <c r="R621" s="1" t="s">
        <v>5791</v>
      </c>
      <c r="S621" s="1" t="s">
        <v>5782</v>
      </c>
      <c r="T621" s="1" t="s">
        <v>5780</v>
      </c>
      <c r="U621" s="1" t="s">
        <v>5781</v>
      </c>
      <c r="V621" s="13">
        <f>COUNTIF(L621:$M$1659,L621)</f>
        <v>22</v>
      </c>
      <c r="W621" s="1" t="s">
        <v>5783</v>
      </c>
      <c r="X621">
        <v>950.54</v>
      </c>
      <c r="Y621">
        <v>925.38</v>
      </c>
      <c r="Z621">
        <v>15.336482</v>
      </c>
      <c r="AA621">
        <v>108.84339199999999</v>
      </c>
      <c r="AB621">
        <v>25.16</v>
      </c>
      <c r="AC621">
        <v>15.336204</v>
      </c>
      <c r="AD621">
        <v>108.841223</v>
      </c>
      <c r="AE621" s="5">
        <f t="shared" si="46"/>
        <v>1.3880699999999999</v>
      </c>
      <c r="AF621" s="5">
        <f t="shared" si="47"/>
        <v>3.7740000000000003E-2</v>
      </c>
      <c r="AG621" s="1" t="e">
        <f>TRIM(LEFT(L621,FIND("-",L621)-1))</f>
        <v>#VALUE!</v>
      </c>
      <c r="AH621" s="1" t="e">
        <f>TRIM(RIGHT(L621, LEN(L621) - FIND("-", L621)))</f>
        <v>#VALUE!</v>
      </c>
      <c r="AJ621">
        <f t="shared" si="48"/>
        <v>0.92537999999999998</v>
      </c>
      <c r="AK621">
        <f t="shared" si="49"/>
        <v>2.5160000000000002E-2</v>
      </c>
      <c r="AL621" t="e">
        <f>VLOOKUP(L621,'[1]Tuyến cáp H04'!$B:$E,3,0)/1000</f>
        <v>#N/A</v>
      </c>
      <c r="AM621" t="e">
        <f>VLOOKUP(L621,'[1]Tuyến cáp H04'!$B:$E,4,0)</f>
        <v>#N/A</v>
      </c>
    </row>
    <row r="622" spans="1:39" x14ac:dyDescent="0.25">
      <c r="A622" s="1" t="s">
        <v>5792</v>
      </c>
      <c r="B622" s="1" t="s">
        <v>5793</v>
      </c>
      <c r="C622" s="1" t="s">
        <v>5794</v>
      </c>
      <c r="D622" s="1" t="s">
        <v>5635</v>
      </c>
      <c r="E622" s="1" t="s">
        <v>5636</v>
      </c>
      <c r="F622" s="1" t="s">
        <v>5795</v>
      </c>
      <c r="G622" s="1" t="s">
        <v>14129</v>
      </c>
      <c r="H622" s="1" t="s">
        <v>14133</v>
      </c>
      <c r="I622" s="1" t="s">
        <v>14739</v>
      </c>
      <c r="J622" s="1" t="s">
        <v>23</v>
      </c>
      <c r="K622" s="1"/>
      <c r="L622" s="1" t="s">
        <v>5764</v>
      </c>
      <c r="M622" s="1" t="s">
        <v>5764</v>
      </c>
      <c r="N622" s="12" t="b">
        <f t="shared" si="45"/>
        <v>1</v>
      </c>
      <c r="O622" s="1" t="s">
        <v>5796</v>
      </c>
      <c r="P622" s="1" t="s">
        <v>5797</v>
      </c>
      <c r="Q622" s="1" t="s">
        <v>5798</v>
      </c>
      <c r="R622" s="1" t="s">
        <v>5799</v>
      </c>
      <c r="S622" s="1" t="s">
        <v>5766</v>
      </c>
      <c r="T622" s="1" t="s">
        <v>5767</v>
      </c>
      <c r="U622" s="1" t="s">
        <v>5768</v>
      </c>
      <c r="V622" s="13">
        <f>COUNTIF(L622:$M$1659,L622)</f>
        <v>8</v>
      </c>
      <c r="W622" s="1" t="s">
        <v>5772</v>
      </c>
      <c r="X622">
        <v>747</v>
      </c>
      <c r="Y622">
        <v>668.52</v>
      </c>
      <c r="Z622">
        <v>15.334077000000001</v>
      </c>
      <c r="AA622">
        <v>108.862662</v>
      </c>
      <c r="AB622">
        <v>78.48</v>
      </c>
      <c r="AC622">
        <v>15.336315000000001</v>
      </c>
      <c r="AD622">
        <v>108.84218</v>
      </c>
      <c r="AE622" s="5">
        <f t="shared" si="46"/>
        <v>1.00278</v>
      </c>
      <c r="AF622" s="5">
        <f t="shared" si="47"/>
        <v>0.11772000000000001</v>
      </c>
      <c r="AG622" s="1" t="str">
        <f>TRIM(LEFT(L622,FIND("-",L622)-1))</f>
        <v>Quảng Ngãi</v>
      </c>
      <c r="AH622" s="1" t="str">
        <f>TRIM(RIGHT(L622, LEN(L622) - FIND("-", L622)))</f>
        <v>Ring 1_Vạn Tường - Đông Sơn</v>
      </c>
      <c r="AJ622">
        <f t="shared" si="48"/>
        <v>0.66852</v>
      </c>
      <c r="AK622">
        <f t="shared" si="49"/>
        <v>7.8480000000000008E-2</v>
      </c>
      <c r="AL622" t="e">
        <f>VLOOKUP(L622,'[1]Tuyến cáp H04'!$B:$E,3,0)/1000</f>
        <v>#N/A</v>
      </c>
      <c r="AM622" t="e">
        <f>VLOOKUP(L622,'[1]Tuyến cáp H04'!$B:$E,4,0)</f>
        <v>#N/A</v>
      </c>
    </row>
    <row r="623" spans="1:39" x14ac:dyDescent="0.25">
      <c r="A623" s="1" t="s">
        <v>5800</v>
      </c>
      <c r="B623" s="1" t="s">
        <v>5801</v>
      </c>
      <c r="C623" s="1" t="s">
        <v>5802</v>
      </c>
      <c r="D623" s="1" t="s">
        <v>5803</v>
      </c>
      <c r="E623" s="1" t="s">
        <v>5804</v>
      </c>
      <c r="F623" s="1" t="s">
        <v>5805</v>
      </c>
      <c r="G623" s="1" t="s">
        <v>14129</v>
      </c>
      <c r="H623" s="1" t="s">
        <v>14133</v>
      </c>
      <c r="I623" s="1" t="s">
        <v>14740</v>
      </c>
      <c r="J623" s="1" t="s">
        <v>23</v>
      </c>
      <c r="K623" s="1"/>
      <c r="L623" s="1" t="s">
        <v>5764</v>
      </c>
      <c r="M623" s="1" t="s">
        <v>5764</v>
      </c>
      <c r="N623" s="12" t="b">
        <f t="shared" si="45"/>
        <v>1</v>
      </c>
      <c r="O623" s="1" t="s">
        <v>5806</v>
      </c>
      <c r="P623" s="1" t="s">
        <v>5807</v>
      </c>
      <c r="Q623" s="1" t="s">
        <v>5808</v>
      </c>
      <c r="R623" s="1" t="s">
        <v>5809</v>
      </c>
      <c r="S623" s="1" t="s">
        <v>5810</v>
      </c>
      <c r="T623" s="1" t="s">
        <v>5811</v>
      </c>
      <c r="U623" s="1" t="s">
        <v>5812</v>
      </c>
      <c r="V623" s="13">
        <f>COUNTIF(L623:$M$1659,L623)</f>
        <v>6</v>
      </c>
      <c r="W623" s="1" t="s">
        <v>5772</v>
      </c>
      <c r="X623">
        <v>4050.85</v>
      </c>
      <c r="Y623">
        <v>127.84</v>
      </c>
      <c r="Z623">
        <v>15.228389999999999</v>
      </c>
      <c r="AA623">
        <v>108.84766</v>
      </c>
      <c r="AB623">
        <v>3923.01</v>
      </c>
      <c r="AC623">
        <v>15.243731</v>
      </c>
      <c r="AD623">
        <v>108.864482</v>
      </c>
      <c r="AE623" s="5">
        <f t="shared" si="46"/>
        <v>0.19175999999999999</v>
      </c>
      <c r="AF623" s="5">
        <f t="shared" si="47"/>
        <v>5.8845150000000004</v>
      </c>
      <c r="AG623" s="1" t="str">
        <f>TRIM(LEFT(L623,FIND("-",L623)-1))</f>
        <v>Quảng Ngãi</v>
      </c>
      <c r="AH623" s="1" t="str">
        <f>TRIM(RIGHT(L623, LEN(L623) - FIND("-", L623)))</f>
        <v>Ring 1_Vạn Tường - Đông Sơn</v>
      </c>
      <c r="AJ623">
        <f t="shared" si="48"/>
        <v>0.12784000000000001</v>
      </c>
      <c r="AK623">
        <f t="shared" si="49"/>
        <v>3.9230100000000001</v>
      </c>
      <c r="AL623" t="e">
        <f>VLOOKUP(L623,'[1]Tuyến cáp H04'!$B:$E,3,0)/1000</f>
        <v>#N/A</v>
      </c>
      <c r="AM623" t="e">
        <f>VLOOKUP(L623,'[1]Tuyến cáp H04'!$B:$E,4,0)</f>
        <v>#N/A</v>
      </c>
    </row>
    <row r="624" spans="1:39" x14ac:dyDescent="0.25">
      <c r="A624" s="1" t="s">
        <v>5813</v>
      </c>
      <c r="B624" s="1" t="s">
        <v>5233</v>
      </c>
      <c r="C624" s="1" t="s">
        <v>5234</v>
      </c>
      <c r="D624" s="1" t="s">
        <v>5801</v>
      </c>
      <c r="E624" s="1" t="s">
        <v>5802</v>
      </c>
      <c r="F624" s="1" t="s">
        <v>5814</v>
      </c>
      <c r="G624" s="1" t="s">
        <v>14129</v>
      </c>
      <c r="H624" s="1" t="s">
        <v>14133</v>
      </c>
      <c r="I624" s="1" t="s">
        <v>14741</v>
      </c>
      <c r="J624" s="1" t="s">
        <v>23</v>
      </c>
      <c r="K624" s="1"/>
      <c r="L624" s="1" t="s">
        <v>5815</v>
      </c>
      <c r="M624" s="1" t="s">
        <v>5815</v>
      </c>
      <c r="N624" s="12" t="b">
        <f t="shared" si="45"/>
        <v>1</v>
      </c>
      <c r="O624" s="1" t="s">
        <v>5816</v>
      </c>
      <c r="P624" s="1" t="s">
        <v>5817</v>
      </c>
      <c r="Q624" s="1" t="s">
        <v>5818</v>
      </c>
      <c r="R624" s="1" t="s">
        <v>5819</v>
      </c>
      <c r="S624" s="1" t="s">
        <v>5820</v>
      </c>
      <c r="T624" s="1" t="s">
        <v>5821</v>
      </c>
      <c r="U624" s="1" t="s">
        <v>5822</v>
      </c>
      <c r="V624" s="13">
        <f>COUNTIF(L624:$M$1659,L624)</f>
        <v>6</v>
      </c>
      <c r="W624" s="1" t="s">
        <v>5823</v>
      </c>
      <c r="X624">
        <v>4855.92</v>
      </c>
      <c r="Y624">
        <v>4770.16</v>
      </c>
      <c r="Z624">
        <v>15.197279999999999</v>
      </c>
      <c r="AA624">
        <v>108.83486499999999</v>
      </c>
      <c r="AB624">
        <v>85.76</v>
      </c>
      <c r="AC624">
        <v>15.227816000000001</v>
      </c>
      <c r="AD624">
        <v>108.846234</v>
      </c>
      <c r="AE624" s="5">
        <f t="shared" si="46"/>
        <v>7.15524</v>
      </c>
      <c r="AF624" s="5">
        <f t="shared" si="47"/>
        <v>0.12864</v>
      </c>
      <c r="AG624" s="1" t="str">
        <f>TRIM(LEFT(L624,FIND("-",L624)-1))</f>
        <v>Quảng Ngãi</v>
      </c>
      <c r="AH624" s="1" t="str">
        <f>TRIM(RIGHT(L624, LEN(L624) - FIND("-", L624)))</f>
        <v>Ring 1_Đông Sơn - Tịnh Khê</v>
      </c>
      <c r="AJ624">
        <f t="shared" si="48"/>
        <v>4.7701599999999997</v>
      </c>
      <c r="AK624">
        <f t="shared" si="49"/>
        <v>8.5760000000000003E-2</v>
      </c>
      <c r="AL624" t="e">
        <f>VLOOKUP(L624,'[1]Tuyến cáp H04'!$B:$E,3,0)/1000</f>
        <v>#N/A</v>
      </c>
      <c r="AM624" t="e">
        <f>VLOOKUP(L624,'[1]Tuyến cáp H04'!$B:$E,4,0)</f>
        <v>#N/A</v>
      </c>
    </row>
    <row r="625" spans="1:39" x14ac:dyDescent="0.25">
      <c r="A625" s="1" t="s">
        <v>5824</v>
      </c>
      <c r="B625" s="1" t="s">
        <v>5825</v>
      </c>
      <c r="C625" s="1" t="s">
        <v>5826</v>
      </c>
      <c r="D625" s="1" t="s">
        <v>5801</v>
      </c>
      <c r="E625" s="1" t="s">
        <v>5802</v>
      </c>
      <c r="F625" s="1" t="s">
        <v>5827</v>
      </c>
      <c r="G625" s="1" t="s">
        <v>14129</v>
      </c>
      <c r="H625" s="1" t="s">
        <v>14133</v>
      </c>
      <c r="I625" s="1" t="s">
        <v>14742</v>
      </c>
      <c r="J625" s="1" t="s">
        <v>23</v>
      </c>
      <c r="K625" s="1"/>
      <c r="L625" s="1" t="s">
        <v>5764</v>
      </c>
      <c r="M625" s="1" t="s">
        <v>5764</v>
      </c>
      <c r="N625" s="12" t="b">
        <f t="shared" si="45"/>
        <v>1</v>
      </c>
      <c r="O625" s="1" t="s">
        <v>5828</v>
      </c>
      <c r="P625" s="1" t="s">
        <v>5829</v>
      </c>
      <c r="Q625" s="1" t="s">
        <v>5830</v>
      </c>
      <c r="R625" s="1" t="s">
        <v>5831</v>
      </c>
      <c r="S625" s="1" t="s">
        <v>5807</v>
      </c>
      <c r="T625" s="1" t="s">
        <v>5808</v>
      </c>
      <c r="U625" s="1" t="s">
        <v>5809</v>
      </c>
      <c r="V625" s="13">
        <f>COUNTIF(L625:$M$1659,L625)</f>
        <v>4</v>
      </c>
      <c r="W625" s="1" t="s">
        <v>5772</v>
      </c>
      <c r="X625">
        <v>1218.79</v>
      </c>
      <c r="Y625">
        <v>1090.95</v>
      </c>
      <c r="Z625">
        <v>15.239502</v>
      </c>
      <c r="AA625">
        <v>108.85723900000001</v>
      </c>
      <c r="AB625">
        <v>127.84</v>
      </c>
      <c r="AC625">
        <v>15.228389999999999</v>
      </c>
      <c r="AD625">
        <v>108.84766</v>
      </c>
      <c r="AE625" s="5">
        <f t="shared" si="46"/>
        <v>1.6364250000000002</v>
      </c>
      <c r="AF625" s="5">
        <f t="shared" si="47"/>
        <v>0.19175999999999999</v>
      </c>
      <c r="AG625" s="1" t="str">
        <f>TRIM(LEFT(L625,FIND("-",L625)-1))</f>
        <v>Quảng Ngãi</v>
      </c>
      <c r="AH625" s="1" t="str">
        <f>TRIM(RIGHT(L625, LEN(L625) - FIND("-", L625)))</f>
        <v>Ring 1_Vạn Tường - Đông Sơn</v>
      </c>
      <c r="AJ625">
        <f t="shared" si="48"/>
        <v>1.0909500000000001</v>
      </c>
      <c r="AK625">
        <f t="shared" si="49"/>
        <v>0.12784000000000001</v>
      </c>
      <c r="AL625" t="e">
        <f>VLOOKUP(L625,'[1]Tuyến cáp H04'!$B:$E,3,0)/1000</f>
        <v>#N/A</v>
      </c>
      <c r="AM625" t="e">
        <f>VLOOKUP(L625,'[1]Tuyến cáp H04'!$B:$E,4,0)</f>
        <v>#N/A</v>
      </c>
    </row>
    <row r="626" spans="1:39" x14ac:dyDescent="0.25">
      <c r="A626" s="1" t="s">
        <v>5832</v>
      </c>
      <c r="B626" s="1" t="s">
        <v>5833</v>
      </c>
      <c r="C626" s="1" t="s">
        <v>5834</v>
      </c>
      <c r="D626" s="1" t="s">
        <v>5801</v>
      </c>
      <c r="E626" s="1" t="s">
        <v>5802</v>
      </c>
      <c r="F626" s="1" t="s">
        <v>5835</v>
      </c>
      <c r="G626" s="1" t="s">
        <v>14129</v>
      </c>
      <c r="H626" s="1" t="s">
        <v>14133</v>
      </c>
      <c r="I626" s="1" t="s">
        <v>14743</v>
      </c>
      <c r="J626" s="1" t="s">
        <v>23</v>
      </c>
      <c r="K626" s="1"/>
      <c r="L626" s="1" t="s">
        <v>5764</v>
      </c>
      <c r="M626" s="1" t="s">
        <v>5764</v>
      </c>
      <c r="N626" s="12" t="b">
        <f t="shared" si="45"/>
        <v>1</v>
      </c>
      <c r="O626" s="1" t="s">
        <v>5836</v>
      </c>
      <c r="P626" s="1" t="s">
        <v>5837</v>
      </c>
      <c r="Q626" s="1" t="s">
        <v>5838</v>
      </c>
      <c r="R626" s="1" t="s">
        <v>5839</v>
      </c>
      <c r="S626" s="1" t="s">
        <v>5807</v>
      </c>
      <c r="T626" s="1" t="s">
        <v>5808</v>
      </c>
      <c r="U626" s="1" t="s">
        <v>5809</v>
      </c>
      <c r="V626" s="13">
        <f>COUNTIF(L626:$M$1659,L626)</f>
        <v>2</v>
      </c>
      <c r="W626" s="1" t="s">
        <v>5772</v>
      </c>
      <c r="X626">
        <v>2025.51</v>
      </c>
      <c r="Y626">
        <v>1897.68</v>
      </c>
      <c r="Z626">
        <v>15.239879</v>
      </c>
      <c r="AA626">
        <v>108.858002</v>
      </c>
      <c r="AB626">
        <v>127.84</v>
      </c>
      <c r="AC626">
        <v>15.228389999999999</v>
      </c>
      <c r="AD626">
        <v>108.84766</v>
      </c>
      <c r="AE626" s="5">
        <f t="shared" si="46"/>
        <v>2.8465199999999999</v>
      </c>
      <c r="AF626" s="5">
        <f t="shared" si="47"/>
        <v>0.19175999999999999</v>
      </c>
      <c r="AG626" s="1" t="str">
        <f>TRIM(LEFT(L626,FIND("-",L626)-1))</f>
        <v>Quảng Ngãi</v>
      </c>
      <c r="AH626" s="1" t="str">
        <f>TRIM(RIGHT(L626, LEN(L626) - FIND("-", L626)))</f>
        <v>Ring 1_Vạn Tường - Đông Sơn</v>
      </c>
      <c r="AJ626">
        <f t="shared" si="48"/>
        <v>1.89768</v>
      </c>
      <c r="AK626">
        <f t="shared" si="49"/>
        <v>0.12784000000000001</v>
      </c>
      <c r="AL626" t="e">
        <f>VLOOKUP(L626,'[1]Tuyến cáp H04'!$B:$E,3,0)/1000</f>
        <v>#N/A</v>
      </c>
      <c r="AM626" t="e">
        <f>VLOOKUP(L626,'[1]Tuyến cáp H04'!$B:$E,4,0)</f>
        <v>#N/A</v>
      </c>
    </row>
    <row r="627" spans="1:39" x14ac:dyDescent="0.25">
      <c r="A627" s="1" t="s">
        <v>5840</v>
      </c>
      <c r="B627" s="1" t="s">
        <v>5841</v>
      </c>
      <c r="C627" s="1" t="s">
        <v>5842</v>
      </c>
      <c r="D627" s="1" t="s">
        <v>5843</v>
      </c>
      <c r="E627" s="1" t="s">
        <v>5844</v>
      </c>
      <c r="F627" s="1" t="s">
        <v>5845</v>
      </c>
      <c r="G627" s="1" t="s">
        <v>14129</v>
      </c>
      <c r="H627" s="1" t="s">
        <v>14133</v>
      </c>
      <c r="I627" s="1" t="s">
        <v>14744</v>
      </c>
      <c r="J627" s="1" t="s">
        <v>23</v>
      </c>
      <c r="K627" s="1"/>
      <c r="L627" s="1" t="s">
        <v>5777</v>
      </c>
      <c r="M627" s="1" t="s">
        <v>5777</v>
      </c>
      <c r="N627" s="12" t="b">
        <f t="shared" si="45"/>
        <v>1</v>
      </c>
      <c r="O627" s="1" t="s">
        <v>5846</v>
      </c>
      <c r="P627" s="1" t="s">
        <v>5847</v>
      </c>
      <c r="Q627" s="1" t="s">
        <v>5848</v>
      </c>
      <c r="R627" s="1" t="s">
        <v>5849</v>
      </c>
      <c r="S627" s="1" t="s">
        <v>5850</v>
      </c>
      <c r="T627" s="1" t="s">
        <v>5851</v>
      </c>
      <c r="U627" s="1" t="s">
        <v>5852</v>
      </c>
      <c r="V627" s="13">
        <f>COUNTIF(L627:$M$1659,L627)</f>
        <v>20</v>
      </c>
      <c r="W627" s="1" t="s">
        <v>5783</v>
      </c>
      <c r="X627">
        <v>104.25</v>
      </c>
      <c r="Y627">
        <v>91.23</v>
      </c>
      <c r="Z627">
        <v>15.259275000000001</v>
      </c>
      <c r="AA627">
        <v>108.87460799999999</v>
      </c>
      <c r="AB627">
        <v>13.03</v>
      </c>
      <c r="AC627">
        <v>15.220718</v>
      </c>
      <c r="AD627">
        <v>108.912846</v>
      </c>
      <c r="AE627" s="5">
        <f t="shared" si="46"/>
        <v>0.13684499999999999</v>
      </c>
      <c r="AF627" s="5">
        <f t="shared" si="47"/>
        <v>1.9545E-2</v>
      </c>
      <c r="AG627" s="1" t="e">
        <f>TRIM(LEFT(L627,FIND("-",L627)-1))</f>
        <v>#VALUE!</v>
      </c>
      <c r="AH627" s="1" t="e">
        <f>TRIM(RIGHT(L627, LEN(L627) - FIND("-", L627)))</f>
        <v>#VALUE!</v>
      </c>
      <c r="AJ627">
        <f t="shared" si="48"/>
        <v>9.1230000000000006E-2</v>
      </c>
      <c r="AK627">
        <f t="shared" si="49"/>
        <v>1.303E-2</v>
      </c>
      <c r="AL627" t="e">
        <f>VLOOKUP(L627,'[1]Tuyến cáp H04'!$B:$E,3,0)/1000</f>
        <v>#N/A</v>
      </c>
      <c r="AM627" t="e">
        <f>VLOOKUP(L627,'[1]Tuyến cáp H04'!$B:$E,4,0)</f>
        <v>#N/A</v>
      </c>
    </row>
    <row r="628" spans="1:39" x14ac:dyDescent="0.25">
      <c r="A628" s="1" t="s">
        <v>5853</v>
      </c>
      <c r="B628" s="1" t="s">
        <v>5843</v>
      </c>
      <c r="C628" s="1" t="s">
        <v>5844</v>
      </c>
      <c r="D628" s="1" t="s">
        <v>5854</v>
      </c>
      <c r="E628" s="1" t="s">
        <v>5855</v>
      </c>
      <c r="F628" s="1" t="s">
        <v>5856</v>
      </c>
      <c r="G628" s="1" t="s">
        <v>14129</v>
      </c>
      <c r="H628" s="1" t="s">
        <v>14133</v>
      </c>
      <c r="I628" s="1" t="s">
        <v>14745</v>
      </c>
      <c r="J628" s="1" t="s">
        <v>23</v>
      </c>
      <c r="K628" s="1"/>
      <c r="L628" s="1" t="s">
        <v>5857</v>
      </c>
      <c r="M628" s="1" t="s">
        <v>5857</v>
      </c>
      <c r="N628" s="12" t="b">
        <f t="shared" si="45"/>
        <v>1</v>
      </c>
      <c r="O628" s="1" t="s">
        <v>5858</v>
      </c>
      <c r="P628" s="1" t="s">
        <v>5859</v>
      </c>
      <c r="Q628" s="1" t="s">
        <v>5860</v>
      </c>
      <c r="R628" s="1" t="s">
        <v>5861</v>
      </c>
      <c r="S628" s="1" t="s">
        <v>5862</v>
      </c>
      <c r="T628" s="1" t="s">
        <v>5863</v>
      </c>
      <c r="U628" s="1" t="s">
        <v>5864</v>
      </c>
      <c r="V628" s="13">
        <f>COUNTIF(L628:$M$1659,L628)</f>
        <v>6</v>
      </c>
      <c r="W628" s="1" t="s">
        <v>5865</v>
      </c>
      <c r="X628">
        <v>1734.08</v>
      </c>
      <c r="Y628">
        <v>12.87</v>
      </c>
      <c r="Z628">
        <v>15.220719000000001</v>
      </c>
      <c r="AA628">
        <v>108.912841</v>
      </c>
      <c r="AB628">
        <v>1721.22</v>
      </c>
      <c r="AC628">
        <v>15.189964</v>
      </c>
      <c r="AD628">
        <v>108.869676</v>
      </c>
      <c r="AE628" s="5">
        <f t="shared" si="46"/>
        <v>1.9304999999999999E-2</v>
      </c>
      <c r="AF628" s="5">
        <f t="shared" si="47"/>
        <v>2.5818300000000001</v>
      </c>
      <c r="AG628" s="1" t="str">
        <f>TRIM(LEFT(L628,FIND("-",L628)-1))</f>
        <v>Đội CSGT Đường Thuỷ</v>
      </c>
      <c r="AH628" s="1" t="str">
        <f>TRIM(RIGHT(L628, LEN(L628) - FIND("-", L628)))</f>
        <v>PC08</v>
      </c>
      <c r="AJ628">
        <f t="shared" si="48"/>
        <v>1.2869999999999999E-2</v>
      </c>
      <c r="AK628">
        <f t="shared" si="49"/>
        <v>1.72122</v>
      </c>
      <c r="AL628" t="e">
        <f>VLOOKUP(L628,'[1]Tuyến cáp H04'!$B:$E,3,0)/1000</f>
        <v>#N/A</v>
      </c>
      <c r="AM628" t="e">
        <f>VLOOKUP(L628,'[1]Tuyến cáp H04'!$B:$E,4,0)</f>
        <v>#N/A</v>
      </c>
    </row>
    <row r="629" spans="1:39" x14ac:dyDescent="0.25">
      <c r="A629" s="1" t="s">
        <v>5866</v>
      </c>
      <c r="B629" s="1" t="s">
        <v>5867</v>
      </c>
      <c r="C629" s="1" t="s">
        <v>5868</v>
      </c>
      <c r="D629" s="1" t="s">
        <v>5843</v>
      </c>
      <c r="E629" s="1" t="s">
        <v>5844</v>
      </c>
      <c r="F629" s="1" t="s">
        <v>5869</v>
      </c>
      <c r="G629" s="1" t="s">
        <v>14129</v>
      </c>
      <c r="H629" s="1" t="s">
        <v>14133</v>
      </c>
      <c r="I629" s="1" t="s">
        <v>14746</v>
      </c>
      <c r="J629" s="1" t="s">
        <v>23</v>
      </c>
      <c r="K629" s="1"/>
      <c r="L629" s="1" t="s">
        <v>5777</v>
      </c>
      <c r="M629" s="1" t="s">
        <v>5777</v>
      </c>
      <c r="N629" s="12" t="b">
        <f t="shared" si="45"/>
        <v>1</v>
      </c>
      <c r="O629" s="1" t="s">
        <v>5870</v>
      </c>
      <c r="P629" s="1" t="s">
        <v>5871</v>
      </c>
      <c r="Q629" s="1" t="s">
        <v>5872</v>
      </c>
      <c r="R629" s="1" t="s">
        <v>5873</v>
      </c>
      <c r="S629" s="1" t="s">
        <v>5850</v>
      </c>
      <c r="T629" s="1" t="s">
        <v>5851</v>
      </c>
      <c r="U629" s="1" t="s">
        <v>5852</v>
      </c>
      <c r="V629" s="13">
        <f>COUNTIF(L629:$M$1659,L629)</f>
        <v>18</v>
      </c>
      <c r="W629" s="1" t="s">
        <v>5783</v>
      </c>
      <c r="X629">
        <v>333.34</v>
      </c>
      <c r="Y629">
        <v>320.32</v>
      </c>
      <c r="Z629">
        <v>15.241512</v>
      </c>
      <c r="AA629">
        <v>108.90012400000001</v>
      </c>
      <c r="AB629">
        <v>13.03</v>
      </c>
      <c r="AC629">
        <v>15.220718</v>
      </c>
      <c r="AD629">
        <v>108.912846</v>
      </c>
      <c r="AE629" s="5">
        <f t="shared" si="46"/>
        <v>0.48048000000000002</v>
      </c>
      <c r="AF629" s="5">
        <f t="shared" si="47"/>
        <v>1.9545E-2</v>
      </c>
      <c r="AG629" s="1" t="e">
        <f>TRIM(LEFT(L629,FIND("-",L629)-1))</f>
        <v>#VALUE!</v>
      </c>
      <c r="AH629" s="1" t="e">
        <f>TRIM(RIGHT(L629, LEN(L629) - FIND("-", L629)))</f>
        <v>#VALUE!</v>
      </c>
      <c r="AJ629">
        <f t="shared" si="48"/>
        <v>0.32031999999999999</v>
      </c>
      <c r="AK629">
        <f t="shared" si="49"/>
        <v>1.303E-2</v>
      </c>
      <c r="AL629" t="e">
        <f>VLOOKUP(L629,'[1]Tuyến cáp H04'!$B:$E,3,0)/1000</f>
        <v>#N/A</v>
      </c>
      <c r="AM629" t="e">
        <f>VLOOKUP(L629,'[1]Tuyến cáp H04'!$B:$E,4,0)</f>
        <v>#N/A</v>
      </c>
    </row>
    <row r="630" spans="1:39" x14ac:dyDescent="0.25">
      <c r="A630" s="1" t="s">
        <v>5874</v>
      </c>
      <c r="B630" s="1" t="s">
        <v>5875</v>
      </c>
      <c r="C630" s="1" t="s">
        <v>5876</v>
      </c>
      <c r="D630" s="1" t="s">
        <v>5843</v>
      </c>
      <c r="E630" s="1" t="s">
        <v>5844</v>
      </c>
      <c r="F630" s="1" t="s">
        <v>5877</v>
      </c>
      <c r="G630" s="1" t="s">
        <v>14129</v>
      </c>
      <c r="H630" s="1" t="s">
        <v>14133</v>
      </c>
      <c r="I630" s="1" t="s">
        <v>14747</v>
      </c>
      <c r="J630" s="1" t="s">
        <v>23</v>
      </c>
      <c r="K630" s="1"/>
      <c r="L630" s="1" t="s">
        <v>5857</v>
      </c>
      <c r="M630" s="1" t="s">
        <v>5857</v>
      </c>
      <c r="N630" s="12" t="b">
        <f t="shared" si="45"/>
        <v>1</v>
      </c>
      <c r="O630" s="1" t="s">
        <v>5878</v>
      </c>
      <c r="P630" s="1" t="s">
        <v>5879</v>
      </c>
      <c r="Q630" s="1" t="s">
        <v>5880</v>
      </c>
      <c r="R630" s="1" t="s">
        <v>5881</v>
      </c>
      <c r="S630" s="1" t="s">
        <v>5859</v>
      </c>
      <c r="T630" s="1" t="s">
        <v>5860</v>
      </c>
      <c r="U630" s="1" t="s">
        <v>5861</v>
      </c>
      <c r="V630" s="13">
        <f>COUNTIF(L630:$M$1659,L630)</f>
        <v>4</v>
      </c>
      <c r="W630" s="1" t="s">
        <v>5865</v>
      </c>
      <c r="X630">
        <v>70.31</v>
      </c>
      <c r="Y630">
        <v>57.44</v>
      </c>
      <c r="Z630">
        <v>15.219685</v>
      </c>
      <c r="AA630">
        <v>108.899153</v>
      </c>
      <c r="AB630">
        <v>12.87</v>
      </c>
      <c r="AC630">
        <v>15.220719000000001</v>
      </c>
      <c r="AD630">
        <v>108.912841</v>
      </c>
      <c r="AE630" s="5">
        <f t="shared" si="46"/>
        <v>8.616E-2</v>
      </c>
      <c r="AF630" s="5">
        <f t="shared" si="47"/>
        <v>1.9304999999999999E-2</v>
      </c>
      <c r="AG630" s="1" t="str">
        <f>TRIM(LEFT(L630,FIND("-",L630)-1))</f>
        <v>Đội CSGT Đường Thuỷ</v>
      </c>
      <c r="AH630" s="1" t="str">
        <f>TRIM(RIGHT(L630, LEN(L630) - FIND("-", L630)))</f>
        <v>PC08</v>
      </c>
      <c r="AJ630">
        <f t="shared" si="48"/>
        <v>5.7439999999999998E-2</v>
      </c>
      <c r="AK630">
        <f t="shared" si="49"/>
        <v>1.2869999999999999E-2</v>
      </c>
      <c r="AL630" t="e">
        <f>VLOOKUP(L630,'[1]Tuyến cáp H04'!$B:$E,3,0)/1000</f>
        <v>#N/A</v>
      </c>
      <c r="AM630" t="e">
        <f>VLOOKUP(L630,'[1]Tuyến cáp H04'!$B:$E,4,0)</f>
        <v>#N/A</v>
      </c>
    </row>
    <row r="631" spans="1:39" x14ac:dyDescent="0.25">
      <c r="A631" s="1" t="s">
        <v>5882</v>
      </c>
      <c r="B631" s="1" t="s">
        <v>5883</v>
      </c>
      <c r="C631" s="1" t="s">
        <v>5884</v>
      </c>
      <c r="D631" s="1" t="s">
        <v>5843</v>
      </c>
      <c r="E631" s="1" t="s">
        <v>5844</v>
      </c>
      <c r="F631" s="1" t="s">
        <v>5885</v>
      </c>
      <c r="G631" s="1" t="s">
        <v>14129</v>
      </c>
      <c r="H631" s="1" t="s">
        <v>14133</v>
      </c>
      <c r="I631" s="1" t="s">
        <v>14748</v>
      </c>
      <c r="J631" s="1" t="s">
        <v>23</v>
      </c>
      <c r="K631" s="1"/>
      <c r="L631" s="1" t="s">
        <v>5777</v>
      </c>
      <c r="M631" s="1" t="s">
        <v>5777</v>
      </c>
      <c r="N631" s="12" t="b">
        <f t="shared" si="45"/>
        <v>1</v>
      </c>
      <c r="O631" s="1" t="s">
        <v>5886</v>
      </c>
      <c r="P631" s="1" t="s">
        <v>5887</v>
      </c>
      <c r="Q631" s="1" t="s">
        <v>5888</v>
      </c>
      <c r="R631" s="1" t="s">
        <v>5889</v>
      </c>
      <c r="S631" s="1" t="s">
        <v>5850</v>
      </c>
      <c r="T631" s="1" t="s">
        <v>5851</v>
      </c>
      <c r="U631" s="1" t="s">
        <v>5852</v>
      </c>
      <c r="V631" s="13">
        <f>COUNTIF(L631:$M$1659,L631)</f>
        <v>16</v>
      </c>
      <c r="W631" s="1" t="s">
        <v>5783</v>
      </c>
      <c r="X631">
        <v>1132.93</v>
      </c>
      <c r="Y631">
        <v>1119.9100000000001</v>
      </c>
      <c r="Z631">
        <v>15.232543</v>
      </c>
      <c r="AA631">
        <v>108.92016599999999</v>
      </c>
      <c r="AB631">
        <v>13.03</v>
      </c>
      <c r="AC631">
        <v>15.220718</v>
      </c>
      <c r="AD631">
        <v>108.912846</v>
      </c>
      <c r="AE631" s="5">
        <f t="shared" si="46"/>
        <v>1.6798650000000002</v>
      </c>
      <c r="AF631" s="5">
        <f t="shared" si="47"/>
        <v>1.9545E-2</v>
      </c>
      <c r="AG631" s="1" t="e">
        <f>TRIM(LEFT(L631,FIND("-",L631)-1))</f>
        <v>#VALUE!</v>
      </c>
      <c r="AH631" s="1" t="e">
        <f>TRIM(RIGHT(L631, LEN(L631) - FIND("-", L631)))</f>
        <v>#VALUE!</v>
      </c>
      <c r="AJ631">
        <f t="shared" si="48"/>
        <v>1.1199100000000002</v>
      </c>
      <c r="AK631">
        <f t="shared" si="49"/>
        <v>1.303E-2</v>
      </c>
      <c r="AL631" t="e">
        <f>VLOOKUP(L631,'[1]Tuyến cáp H04'!$B:$E,3,0)/1000</f>
        <v>#N/A</v>
      </c>
      <c r="AM631" t="e">
        <f>VLOOKUP(L631,'[1]Tuyến cáp H04'!$B:$E,4,0)</f>
        <v>#N/A</v>
      </c>
    </row>
    <row r="632" spans="1:39" x14ac:dyDescent="0.25">
      <c r="A632" s="1" t="s">
        <v>5890</v>
      </c>
      <c r="B632" s="1" t="s">
        <v>5891</v>
      </c>
      <c r="C632" s="1" t="s">
        <v>5892</v>
      </c>
      <c r="D632" s="1" t="s">
        <v>5843</v>
      </c>
      <c r="E632" s="1" t="s">
        <v>5844</v>
      </c>
      <c r="F632" s="1" t="s">
        <v>5893</v>
      </c>
      <c r="G632" s="1" t="s">
        <v>14129</v>
      </c>
      <c r="H632" s="1" t="s">
        <v>14133</v>
      </c>
      <c r="I632" s="1" t="s">
        <v>14749</v>
      </c>
      <c r="J632" s="1" t="s">
        <v>23</v>
      </c>
      <c r="K632" s="1"/>
      <c r="L632" s="1" t="s">
        <v>5777</v>
      </c>
      <c r="M632" s="1" t="s">
        <v>5777</v>
      </c>
      <c r="N632" s="12" t="b">
        <f t="shared" si="45"/>
        <v>1</v>
      </c>
      <c r="O632" s="1" t="s">
        <v>5894</v>
      </c>
      <c r="P632" s="1" t="s">
        <v>5895</v>
      </c>
      <c r="Q632" s="1" t="s">
        <v>5896</v>
      </c>
      <c r="R632" s="1" t="s">
        <v>5897</v>
      </c>
      <c r="S632" s="1" t="s">
        <v>5850</v>
      </c>
      <c r="T632" s="1" t="s">
        <v>5851</v>
      </c>
      <c r="U632" s="1" t="s">
        <v>5852</v>
      </c>
      <c r="V632" s="13">
        <f>COUNTIF(L632:$M$1659,L632)</f>
        <v>14</v>
      </c>
      <c r="W632" s="1" t="s">
        <v>5783</v>
      </c>
      <c r="X632">
        <v>1028.31</v>
      </c>
      <c r="Y632">
        <v>1015.28</v>
      </c>
      <c r="Z632">
        <v>15.23096</v>
      </c>
      <c r="AA632">
        <v>108.924206</v>
      </c>
      <c r="AB632">
        <v>13.03</v>
      </c>
      <c r="AC632">
        <v>15.220718</v>
      </c>
      <c r="AD632">
        <v>108.912846</v>
      </c>
      <c r="AE632" s="5">
        <f t="shared" si="46"/>
        <v>1.5229200000000001</v>
      </c>
      <c r="AF632" s="5">
        <f t="shared" si="47"/>
        <v>1.9545E-2</v>
      </c>
      <c r="AG632" s="1" t="e">
        <f>TRIM(LEFT(L632,FIND("-",L632)-1))</f>
        <v>#VALUE!</v>
      </c>
      <c r="AH632" s="1" t="e">
        <f>TRIM(RIGHT(L632, LEN(L632) - FIND("-", L632)))</f>
        <v>#VALUE!</v>
      </c>
      <c r="AJ632">
        <f t="shared" si="48"/>
        <v>1.01528</v>
      </c>
      <c r="AK632">
        <f t="shared" si="49"/>
        <v>1.303E-2</v>
      </c>
      <c r="AL632" t="e">
        <f>VLOOKUP(L632,'[1]Tuyến cáp H04'!$B:$E,3,0)/1000</f>
        <v>#N/A</v>
      </c>
      <c r="AM632" t="e">
        <f>VLOOKUP(L632,'[1]Tuyến cáp H04'!$B:$E,4,0)</f>
        <v>#N/A</v>
      </c>
    </row>
    <row r="633" spans="1:39" x14ac:dyDescent="0.25">
      <c r="A633" s="1" t="s">
        <v>5898</v>
      </c>
      <c r="B633" s="1" t="s">
        <v>5843</v>
      </c>
      <c r="C633" s="1" t="s">
        <v>5844</v>
      </c>
      <c r="D633" s="1" t="s">
        <v>5899</v>
      </c>
      <c r="E633" s="1" t="s">
        <v>5900</v>
      </c>
      <c r="F633" s="1" t="s">
        <v>5901</v>
      </c>
      <c r="G633" s="1" t="s">
        <v>14281</v>
      </c>
      <c r="H633" s="1" t="s">
        <v>14282</v>
      </c>
      <c r="I633" s="1" t="s">
        <v>14750</v>
      </c>
      <c r="J633" s="1" t="s">
        <v>23</v>
      </c>
      <c r="K633" s="1"/>
      <c r="L633" s="1" t="s">
        <v>5777</v>
      </c>
      <c r="M633" s="1" t="s">
        <v>5777</v>
      </c>
      <c r="N633" s="12" t="b">
        <f t="shared" si="45"/>
        <v>1</v>
      </c>
      <c r="O633" s="1" t="s">
        <v>5902</v>
      </c>
      <c r="P633" s="1" t="s">
        <v>5850</v>
      </c>
      <c r="Q633" s="1" t="s">
        <v>5851</v>
      </c>
      <c r="R633" s="1" t="s">
        <v>5852</v>
      </c>
      <c r="S633" s="1" t="s">
        <v>5903</v>
      </c>
      <c r="T633" s="1" t="s">
        <v>5904</v>
      </c>
      <c r="U633" s="1" t="s">
        <v>5905</v>
      </c>
      <c r="V633" s="13">
        <f>COUNTIF(L633:$M$1659,L633)</f>
        <v>12</v>
      </c>
      <c r="W633" s="1" t="s">
        <v>5783</v>
      </c>
      <c r="X633">
        <v>235.23</v>
      </c>
      <c r="Y633">
        <v>13.03</v>
      </c>
      <c r="Z633">
        <v>15.220718</v>
      </c>
      <c r="AA633">
        <v>108.912846</v>
      </c>
      <c r="AB633">
        <v>222.2</v>
      </c>
      <c r="AC633">
        <v>15.219538</v>
      </c>
      <c r="AD633">
        <v>108.915858</v>
      </c>
      <c r="AE633" s="5">
        <f t="shared" si="46"/>
        <v>1.9545E-2</v>
      </c>
      <c r="AF633" s="5">
        <f t="shared" si="47"/>
        <v>0.33329999999999993</v>
      </c>
      <c r="AG633" s="1" t="e">
        <f>TRIM(LEFT(L633,FIND("-",L633)-1))</f>
        <v>#VALUE!</v>
      </c>
      <c r="AH633" s="1" t="e">
        <f>TRIM(RIGHT(L633, LEN(L633) - FIND("-", L633)))</f>
        <v>#VALUE!</v>
      </c>
      <c r="AJ633">
        <f t="shared" si="48"/>
        <v>1.303E-2</v>
      </c>
      <c r="AK633">
        <f t="shared" si="49"/>
        <v>0.22219999999999998</v>
      </c>
      <c r="AL633" t="e">
        <f>VLOOKUP(L633,'[1]Tuyến cáp H04'!$B:$E,3,0)/1000</f>
        <v>#N/A</v>
      </c>
      <c r="AM633" t="e">
        <f>VLOOKUP(L633,'[1]Tuyến cáp H04'!$B:$E,4,0)</f>
        <v>#N/A</v>
      </c>
    </row>
    <row r="634" spans="1:39" x14ac:dyDescent="0.25">
      <c r="A634" s="1" t="s">
        <v>5906</v>
      </c>
      <c r="B634" s="1" t="s">
        <v>5907</v>
      </c>
      <c r="C634" s="1" t="s">
        <v>5908</v>
      </c>
      <c r="D634" s="1" t="s">
        <v>5654</v>
      </c>
      <c r="E634" s="1" t="s">
        <v>5655</v>
      </c>
      <c r="F634" s="1" t="s">
        <v>5909</v>
      </c>
      <c r="G634" s="1" t="s">
        <v>14129</v>
      </c>
      <c r="H634" s="1" t="s">
        <v>14133</v>
      </c>
      <c r="I634" s="1" t="s">
        <v>14751</v>
      </c>
      <c r="J634" s="1" t="s">
        <v>23</v>
      </c>
      <c r="K634" s="1"/>
      <c r="L634" s="1" t="s">
        <v>5910</v>
      </c>
      <c r="M634" s="1" t="s">
        <v>5910</v>
      </c>
      <c r="N634" s="12" t="b">
        <f t="shared" si="45"/>
        <v>1</v>
      </c>
      <c r="O634" s="1" t="s">
        <v>5911</v>
      </c>
      <c r="P634" s="1" t="s">
        <v>5912</v>
      </c>
      <c r="Q634" s="1" t="s">
        <v>5913</v>
      </c>
      <c r="R634" s="1" t="s">
        <v>5914</v>
      </c>
      <c r="S634" s="1" t="s">
        <v>5915</v>
      </c>
      <c r="T634" s="1" t="s">
        <v>5916</v>
      </c>
      <c r="U634" s="1" t="s">
        <v>5917</v>
      </c>
      <c r="V634" s="13">
        <f>COUNTIF(L634:$M$1659,L634)</f>
        <v>2</v>
      </c>
      <c r="W634" s="1" t="s">
        <v>5918</v>
      </c>
      <c r="X634">
        <v>480.51</v>
      </c>
      <c r="Y634">
        <v>274.22000000000003</v>
      </c>
      <c r="Z634">
        <v>15.260039000000001</v>
      </c>
      <c r="AA634">
        <v>108.676447</v>
      </c>
      <c r="AB634">
        <v>206.29</v>
      </c>
      <c r="AC634">
        <v>15.274649999999999</v>
      </c>
      <c r="AD634">
        <v>108.720556</v>
      </c>
      <c r="AE634" s="5">
        <f t="shared" si="46"/>
        <v>0.41133000000000003</v>
      </c>
      <c r="AF634" s="5">
        <f t="shared" si="47"/>
        <v>0.30943500000000002</v>
      </c>
      <c r="AG634" s="1" t="str">
        <f>TRIM(LEFT(L634,FIND("-",L634)-1))</f>
        <v>TTCMKV Bình Sơn</v>
      </c>
      <c r="AH634" s="1" t="str">
        <f>TRIM(RIGHT(L634, LEN(L634) - FIND("-", L634)))</f>
        <v>Đông Trà Bồng</v>
      </c>
      <c r="AJ634">
        <f t="shared" si="48"/>
        <v>0.27422000000000002</v>
      </c>
      <c r="AK634">
        <f t="shared" si="49"/>
        <v>0.20629</v>
      </c>
      <c r="AL634">
        <f>VLOOKUP(L634,'[1]Tuyến cáp H04'!$B:$E,3,0)/1000</f>
        <v>23.524000000000001</v>
      </c>
      <c r="AM634" t="str">
        <f>VLOOKUP(L634,'[1]Tuyến cáp H04'!$B:$E,4,0)</f>
        <v>Mạng cấp 4</v>
      </c>
    </row>
    <row r="635" spans="1:39" x14ac:dyDescent="0.25">
      <c r="A635" s="1" t="s">
        <v>5919</v>
      </c>
      <c r="B635" s="1" t="s">
        <v>5920</v>
      </c>
      <c r="C635" s="1" t="s">
        <v>5921</v>
      </c>
      <c r="D635" s="1" t="s">
        <v>5654</v>
      </c>
      <c r="E635" s="1" t="s">
        <v>5655</v>
      </c>
      <c r="F635" s="1" t="s">
        <v>5922</v>
      </c>
      <c r="G635" s="1" t="s">
        <v>14129</v>
      </c>
      <c r="H635" s="1" t="s">
        <v>14133</v>
      </c>
      <c r="I635" s="1" t="s">
        <v>14752</v>
      </c>
      <c r="J635" s="1" t="s">
        <v>23</v>
      </c>
      <c r="K635" s="1"/>
      <c r="L635" s="1" t="s">
        <v>5923</v>
      </c>
      <c r="M635" s="1" t="s">
        <v>5923</v>
      </c>
      <c r="N635" s="12" t="b">
        <f t="shared" si="45"/>
        <v>1</v>
      </c>
      <c r="O635" s="1" t="s">
        <v>5924</v>
      </c>
      <c r="P635" s="1" t="s">
        <v>5925</v>
      </c>
      <c r="Q635" s="1" t="s">
        <v>5926</v>
      </c>
      <c r="R635" s="1" t="s">
        <v>5927</v>
      </c>
      <c r="S635" s="1" t="s">
        <v>5928</v>
      </c>
      <c r="T635" s="1" t="s">
        <v>5929</v>
      </c>
      <c r="U635" s="1" t="s">
        <v>5930</v>
      </c>
      <c r="V635" s="13">
        <f>COUNTIF(L635:$M$1659,L635)</f>
        <v>2</v>
      </c>
      <c r="W635" s="1" t="s">
        <v>5931</v>
      </c>
      <c r="X635">
        <v>264.32</v>
      </c>
      <c r="Y635">
        <v>256.81</v>
      </c>
      <c r="Z635">
        <v>15.273688</v>
      </c>
      <c r="AA635">
        <v>108.72424100000001</v>
      </c>
      <c r="AB635">
        <v>7.51</v>
      </c>
      <c r="AC635">
        <v>15.272957999999999</v>
      </c>
      <c r="AD635">
        <v>108.72147200000001</v>
      </c>
      <c r="AE635" s="5">
        <f t="shared" si="46"/>
        <v>0.38521500000000003</v>
      </c>
      <c r="AF635" s="5">
        <f t="shared" si="47"/>
        <v>1.1265000000000001E-2</v>
      </c>
      <c r="AG635" s="1" t="str">
        <f>TRIM(LEFT(L635,FIND("-",L635)-1))</f>
        <v>Bình Minh</v>
      </c>
      <c r="AH635" s="1" t="str">
        <f>TRIM(RIGHT(L635, LEN(L635) - FIND("-", L635)))</f>
        <v>Bình Chương</v>
      </c>
      <c r="AJ635">
        <f t="shared" si="48"/>
        <v>0.25680999999999998</v>
      </c>
      <c r="AK635">
        <f t="shared" si="49"/>
        <v>7.5100000000000002E-3</v>
      </c>
      <c r="AL635">
        <f>VLOOKUP(L635,'[1]Tuyến cáp H04'!$B:$E,3,0)/1000</f>
        <v>3.593</v>
      </c>
      <c r="AM635" t="str">
        <f>VLOOKUP(L635,'[1]Tuyến cáp H04'!$B:$E,4,0)</f>
        <v>Mạng cấp 4</v>
      </c>
    </row>
    <row r="636" spans="1:39" x14ac:dyDescent="0.25">
      <c r="A636" s="1" t="s">
        <v>5932</v>
      </c>
      <c r="B636" s="1" t="s">
        <v>5933</v>
      </c>
      <c r="C636" s="1" t="s">
        <v>5934</v>
      </c>
      <c r="D636" s="1" t="s">
        <v>5654</v>
      </c>
      <c r="E636" s="1" t="s">
        <v>5655</v>
      </c>
      <c r="F636" s="1" t="s">
        <v>5935</v>
      </c>
      <c r="G636" s="1" t="s">
        <v>14129</v>
      </c>
      <c r="H636" s="1" t="s">
        <v>14133</v>
      </c>
      <c r="I636" s="1" t="s">
        <v>14753</v>
      </c>
      <c r="J636" s="1" t="s">
        <v>23</v>
      </c>
      <c r="K636" s="1"/>
      <c r="L636" s="1" t="s">
        <v>5936</v>
      </c>
      <c r="M636" s="1" t="s">
        <v>5936</v>
      </c>
      <c r="N636" s="12" t="b">
        <f t="shared" si="45"/>
        <v>1</v>
      </c>
      <c r="O636" s="1" t="s">
        <v>5937</v>
      </c>
      <c r="P636" s="1" t="s">
        <v>5938</v>
      </c>
      <c r="Q636" s="1" t="s">
        <v>5939</v>
      </c>
      <c r="R636" s="1" t="s">
        <v>5940</v>
      </c>
      <c r="S636" s="1" t="s">
        <v>5941</v>
      </c>
      <c r="T636" s="1" t="s">
        <v>5942</v>
      </c>
      <c r="U636" s="1" t="s">
        <v>5943</v>
      </c>
      <c r="V636" s="13">
        <f>COUNTIF(L636:$M$1659,L636)</f>
        <v>4</v>
      </c>
      <c r="W636" s="1" t="s">
        <v>5944</v>
      </c>
      <c r="X636">
        <v>406.43</v>
      </c>
      <c r="Y636">
        <v>373.56</v>
      </c>
      <c r="Z636">
        <v>15.254826</v>
      </c>
      <c r="AA636">
        <v>108.700857</v>
      </c>
      <c r="AB636">
        <v>32.869999999999997</v>
      </c>
      <c r="AC636">
        <v>15.27328</v>
      </c>
      <c r="AD636">
        <v>108.72145999999999</v>
      </c>
      <c r="AE636" s="5">
        <f t="shared" si="46"/>
        <v>0.56034000000000006</v>
      </c>
      <c r="AF636" s="5">
        <f t="shared" si="47"/>
        <v>4.9304999999999995E-2</v>
      </c>
      <c r="AG636" s="1" t="str">
        <f>TRIM(LEFT(L636,FIND("-",L636)-1))</f>
        <v>Bình Chương</v>
      </c>
      <c r="AH636" s="1" t="str">
        <f>TRIM(RIGHT(L636, LEN(L636) - FIND("-", L636)))</f>
        <v>Sơn Tịnh</v>
      </c>
      <c r="AJ636">
        <f t="shared" si="48"/>
        <v>0.37356</v>
      </c>
      <c r="AK636">
        <f t="shared" si="49"/>
        <v>3.2869999999999996E-2</v>
      </c>
      <c r="AL636">
        <f>VLOOKUP(L636,'[1]Tuyến cáp H04'!$B:$E,3,0)/1000</f>
        <v>16.984000000000002</v>
      </c>
      <c r="AM636" t="str">
        <f>VLOOKUP(L636,'[1]Tuyến cáp H04'!$B:$E,4,0)</f>
        <v>Mạng cấp 4</v>
      </c>
    </row>
    <row r="637" spans="1:39" x14ac:dyDescent="0.25">
      <c r="A637" s="1" t="s">
        <v>5945</v>
      </c>
      <c r="B637" s="1" t="s">
        <v>5946</v>
      </c>
      <c r="C637" s="1" t="s">
        <v>5947</v>
      </c>
      <c r="D637" s="1" t="s">
        <v>5948</v>
      </c>
      <c r="E637" s="1" t="s">
        <v>5949</v>
      </c>
      <c r="F637" s="1" t="s">
        <v>5950</v>
      </c>
      <c r="G637" s="1" t="s">
        <v>14129</v>
      </c>
      <c r="H637" s="1" t="s">
        <v>14133</v>
      </c>
      <c r="I637" s="1" t="s">
        <v>14754</v>
      </c>
      <c r="J637" s="1" t="s">
        <v>23</v>
      </c>
      <c r="K637" s="1"/>
      <c r="L637" s="1" t="s">
        <v>5951</v>
      </c>
      <c r="M637" s="1" t="s">
        <v>5951</v>
      </c>
      <c r="N637" s="12" t="b">
        <f t="shared" si="45"/>
        <v>1</v>
      </c>
      <c r="O637" s="1" t="s">
        <v>5952</v>
      </c>
      <c r="P637" s="1" t="s">
        <v>5953</v>
      </c>
      <c r="Q637" s="1" t="s">
        <v>5954</v>
      </c>
      <c r="R637" s="1" t="s">
        <v>5955</v>
      </c>
      <c r="S637" s="1" t="s">
        <v>5956</v>
      </c>
      <c r="T637" s="1" t="s">
        <v>5957</v>
      </c>
      <c r="U637" s="1" t="s">
        <v>5958</v>
      </c>
      <c r="V637" s="13">
        <f>COUNTIF(L637:$M$1659,L637)</f>
        <v>2</v>
      </c>
      <c r="W637" s="1" t="s">
        <v>5959</v>
      </c>
      <c r="X637">
        <v>390.45</v>
      </c>
      <c r="Y637">
        <v>368.97</v>
      </c>
      <c r="Z637">
        <v>14.815465</v>
      </c>
      <c r="AA637">
        <v>108.95955600000001</v>
      </c>
      <c r="AB637">
        <v>21.47</v>
      </c>
      <c r="AC637">
        <v>14.808831</v>
      </c>
      <c r="AD637">
        <v>108.95704600000001</v>
      </c>
      <c r="AE637" s="5">
        <f t="shared" si="46"/>
        <v>0.55345500000000003</v>
      </c>
      <c r="AF637" s="5">
        <f t="shared" si="47"/>
        <v>3.2204999999999998E-2</v>
      </c>
      <c r="AG637" s="1" t="str">
        <f>TRIM(LEFT(L637,FIND("-",L637)-1))</f>
        <v>Đức Phổ</v>
      </c>
      <c r="AH637" s="1" t="str">
        <f>TRIM(RIGHT(L637, LEN(L637) - FIND("-", L637)))</f>
        <v>Trà Câu</v>
      </c>
      <c r="AJ637">
        <f t="shared" si="48"/>
        <v>0.36897000000000002</v>
      </c>
      <c r="AK637">
        <f t="shared" si="49"/>
        <v>2.147E-2</v>
      </c>
      <c r="AL637">
        <f>VLOOKUP(L637,'[1]Tuyến cáp H04'!$B:$E,3,0)/1000</f>
        <v>9.2119999999999997</v>
      </c>
      <c r="AM637" t="str">
        <f>VLOOKUP(L637,'[1]Tuyến cáp H04'!$B:$E,4,0)</f>
        <v>Mạng cấp 4</v>
      </c>
    </row>
    <row r="638" spans="1:39" x14ac:dyDescent="0.25">
      <c r="A638" s="1" t="s">
        <v>5960</v>
      </c>
      <c r="B638" s="1" t="s">
        <v>5961</v>
      </c>
      <c r="C638" s="1" t="s">
        <v>5962</v>
      </c>
      <c r="D638" s="1" t="s">
        <v>5948</v>
      </c>
      <c r="E638" s="1" t="s">
        <v>5949</v>
      </c>
      <c r="F638" s="1" t="s">
        <v>5963</v>
      </c>
      <c r="G638" s="1" t="s">
        <v>14129</v>
      </c>
      <c r="H638" s="1" t="s">
        <v>14133</v>
      </c>
      <c r="I638" s="1" t="s">
        <v>14755</v>
      </c>
      <c r="J638" s="1" t="s">
        <v>23</v>
      </c>
      <c r="K638" s="1"/>
      <c r="L638" s="1" t="s">
        <v>5964</v>
      </c>
      <c r="M638" s="1" t="s">
        <v>5964</v>
      </c>
      <c r="N638" s="12" t="b">
        <f t="shared" si="45"/>
        <v>1</v>
      </c>
      <c r="O638" s="1" t="s">
        <v>5965</v>
      </c>
      <c r="P638" s="1" t="s">
        <v>5966</v>
      </c>
      <c r="Q638" s="1" t="s">
        <v>5967</v>
      </c>
      <c r="R638" s="1" t="s">
        <v>5968</v>
      </c>
      <c r="S638" s="1" t="s">
        <v>3417</v>
      </c>
      <c r="T638" s="1" t="s">
        <v>5969</v>
      </c>
      <c r="U638" s="1" t="s">
        <v>5970</v>
      </c>
      <c r="V638" s="13">
        <f>COUNTIF(L638:$M$1659,L638)</f>
        <v>2</v>
      </c>
      <c r="W638" s="1" t="s">
        <v>5971</v>
      </c>
      <c r="X638">
        <v>482.6</v>
      </c>
      <c r="Y638">
        <v>136.83000000000001</v>
      </c>
      <c r="Z638">
        <v>14.789778999999999</v>
      </c>
      <c r="AA638">
        <v>108.967879</v>
      </c>
      <c r="AB638">
        <v>345.78</v>
      </c>
      <c r="AC638">
        <v>14.808942</v>
      </c>
      <c r="AD638">
        <v>108.960066</v>
      </c>
      <c r="AE638" s="5">
        <f t="shared" si="46"/>
        <v>0.20524500000000001</v>
      </c>
      <c r="AF638" s="5">
        <f t="shared" si="47"/>
        <v>0.51866999999999996</v>
      </c>
      <c r="AG638" s="1" t="str">
        <f>TRIM(LEFT(L638,FIND("-",L638)-1))</f>
        <v>Trạm csgt Đức Phổ, PC08</v>
      </c>
      <c r="AH638" s="1" t="str">
        <f>TRIM(RIGHT(L638, LEN(L638) - FIND("-", L638)))</f>
        <v>TTCMKV TX Đức Phổ</v>
      </c>
      <c r="AJ638">
        <f t="shared" si="48"/>
        <v>0.13683000000000001</v>
      </c>
      <c r="AK638">
        <f t="shared" si="49"/>
        <v>0.34577999999999998</v>
      </c>
      <c r="AL638">
        <f>VLOOKUP(L638,'[1]Tuyến cáp H04'!$B:$E,3,0)/1000</f>
        <v>6.5369999999999999</v>
      </c>
      <c r="AM638" t="str">
        <f>VLOOKUP(L638,'[1]Tuyến cáp H04'!$B:$E,4,0)</f>
        <v>Mạng cấp 4</v>
      </c>
    </row>
    <row r="639" spans="1:39" x14ac:dyDescent="0.25">
      <c r="A639" s="1" t="s">
        <v>5972</v>
      </c>
      <c r="B639" s="1" t="s">
        <v>5948</v>
      </c>
      <c r="C639" s="1" t="s">
        <v>5949</v>
      </c>
      <c r="D639" s="1" t="s">
        <v>5973</v>
      </c>
      <c r="E639" s="1" t="s">
        <v>5974</v>
      </c>
      <c r="F639" s="1" t="s">
        <v>5975</v>
      </c>
      <c r="G639" s="1" t="s">
        <v>14129</v>
      </c>
      <c r="H639" s="1" t="s">
        <v>14133</v>
      </c>
      <c r="I639" s="1" t="s">
        <v>14756</v>
      </c>
      <c r="J639" s="1" t="s">
        <v>23</v>
      </c>
      <c r="K639" s="1"/>
      <c r="L639" s="1" t="s">
        <v>5355</v>
      </c>
      <c r="M639" s="1" t="s">
        <v>5355</v>
      </c>
      <c r="N639" s="12" t="b">
        <f t="shared" si="45"/>
        <v>1</v>
      </c>
      <c r="O639" s="1" t="s">
        <v>5976</v>
      </c>
      <c r="P639" s="1" t="s">
        <v>5977</v>
      </c>
      <c r="Q639" s="1" t="s">
        <v>5978</v>
      </c>
      <c r="R639" s="1" t="s">
        <v>5979</v>
      </c>
      <c r="S639" s="1" t="s">
        <v>5659</v>
      </c>
      <c r="T639" s="1" t="s">
        <v>5980</v>
      </c>
      <c r="U639" s="1" t="s">
        <v>5981</v>
      </c>
      <c r="V639" s="13">
        <f>COUNTIF(L639:$M$1659,L639)</f>
        <v>2</v>
      </c>
      <c r="W639" s="1" t="s">
        <v>5363</v>
      </c>
      <c r="X639">
        <v>603.61</v>
      </c>
      <c r="Y639">
        <v>387.32</v>
      </c>
      <c r="Z639">
        <v>14.811940999999999</v>
      </c>
      <c r="AA639">
        <v>108.95855</v>
      </c>
      <c r="AB639">
        <v>216.3</v>
      </c>
      <c r="AC639">
        <v>14.824783999999999</v>
      </c>
      <c r="AD639">
        <v>108.95034800000001</v>
      </c>
      <c r="AE639" s="5">
        <f t="shared" si="46"/>
        <v>0.58098000000000005</v>
      </c>
      <c r="AF639" s="5">
        <f t="shared" si="47"/>
        <v>0.32445000000000007</v>
      </c>
      <c r="AG639" s="1" t="str">
        <f>TRIM(LEFT(L639,FIND("-",L639)-1))</f>
        <v>Đức Phổ</v>
      </c>
      <c r="AH639" s="1" t="str">
        <f>TRIM(RIGHT(L639, LEN(L639) - FIND("-", L639)))</f>
        <v>TT1 Quảng Ngãi mới</v>
      </c>
      <c r="AJ639">
        <f t="shared" si="48"/>
        <v>0.38732</v>
      </c>
      <c r="AK639">
        <f t="shared" si="49"/>
        <v>0.21630000000000002</v>
      </c>
      <c r="AL639" t="e">
        <f>VLOOKUP(L639,'[1]Tuyến cáp H04'!$B:$E,3,0)/1000</f>
        <v>#N/A</v>
      </c>
      <c r="AM639" t="e">
        <f>VLOOKUP(L639,'[1]Tuyến cáp H04'!$B:$E,4,0)</f>
        <v>#N/A</v>
      </c>
    </row>
    <row r="640" spans="1:39" x14ac:dyDescent="0.25">
      <c r="A640" s="1" t="s">
        <v>5982</v>
      </c>
      <c r="B640" s="1" t="s">
        <v>5983</v>
      </c>
      <c r="C640" s="1" t="s">
        <v>5984</v>
      </c>
      <c r="D640" s="1" t="s">
        <v>5948</v>
      </c>
      <c r="E640" s="1" t="s">
        <v>5949</v>
      </c>
      <c r="F640" s="1" t="s">
        <v>5985</v>
      </c>
      <c r="G640" s="1" t="s">
        <v>14129</v>
      </c>
      <c r="H640" s="1" t="s">
        <v>14133</v>
      </c>
      <c r="I640" s="1" t="s">
        <v>14757</v>
      </c>
      <c r="J640" s="1" t="s">
        <v>23</v>
      </c>
      <c r="K640" s="1"/>
      <c r="L640" s="1" t="s">
        <v>5986</v>
      </c>
      <c r="M640" s="1" t="s">
        <v>5986</v>
      </c>
      <c r="N640" s="12" t="b">
        <f t="shared" si="45"/>
        <v>1</v>
      </c>
      <c r="O640" s="1" t="s">
        <v>5987</v>
      </c>
      <c r="P640" s="1" t="s">
        <v>5988</v>
      </c>
      <c r="Q640" s="1" t="s">
        <v>5989</v>
      </c>
      <c r="R640" s="1" t="s">
        <v>5990</v>
      </c>
      <c r="S640" s="1" t="s">
        <v>5991</v>
      </c>
      <c r="T640" s="1" t="s">
        <v>5992</v>
      </c>
      <c r="U640" s="1" t="s">
        <v>5993</v>
      </c>
      <c r="V640" s="13">
        <f>COUNTIF(L640:$M$1659,L640)</f>
        <v>2</v>
      </c>
      <c r="W640" s="1" t="s">
        <v>5994</v>
      </c>
      <c r="X640">
        <v>349.87</v>
      </c>
      <c r="Y640">
        <v>244.04</v>
      </c>
      <c r="Z640">
        <v>14.808242</v>
      </c>
      <c r="AA640">
        <v>108.960386</v>
      </c>
      <c r="AB640">
        <v>105.84</v>
      </c>
      <c r="AC640">
        <v>14.808667</v>
      </c>
      <c r="AD640">
        <v>108.957812</v>
      </c>
      <c r="AE640" s="5">
        <f t="shared" si="46"/>
        <v>0.36606</v>
      </c>
      <c r="AF640" s="5">
        <f t="shared" si="47"/>
        <v>0.15875999999999998</v>
      </c>
      <c r="AG640" s="1" t="str">
        <f>TRIM(LEFT(L640,FIND("-",L640)-1))</f>
        <v>TTCMKV TX Đức Phổ</v>
      </c>
      <c r="AH640" s="1" t="str">
        <f>TRIM(RIGHT(L640, LEN(L640) - FIND("-", L640)))</f>
        <v>Đức Phổ</v>
      </c>
      <c r="AJ640">
        <f t="shared" si="48"/>
        <v>0.24403999999999998</v>
      </c>
      <c r="AK640">
        <f t="shared" si="49"/>
        <v>0.10584</v>
      </c>
      <c r="AL640">
        <f>VLOOKUP(L640,'[1]Tuyến cáp H04'!$B:$E,3,0)/1000</f>
        <v>0.91900000000000004</v>
      </c>
      <c r="AM640" t="str">
        <f>VLOOKUP(L640,'[1]Tuyến cáp H04'!$B:$E,4,0)</f>
        <v>Mạng cấp 4</v>
      </c>
    </row>
    <row r="641" spans="1:39" x14ac:dyDescent="0.25">
      <c r="A641" s="1" t="s">
        <v>5995</v>
      </c>
      <c r="B641" s="1" t="s">
        <v>5948</v>
      </c>
      <c r="C641" s="1" t="s">
        <v>5949</v>
      </c>
      <c r="D641" s="1" t="s">
        <v>5996</v>
      </c>
      <c r="E641" s="1" t="s">
        <v>5997</v>
      </c>
      <c r="F641" s="1" t="s">
        <v>5998</v>
      </c>
      <c r="G641" s="1" t="s">
        <v>14129</v>
      </c>
      <c r="H641" s="1" t="s">
        <v>14700</v>
      </c>
      <c r="I641" s="1" t="s">
        <v>14758</v>
      </c>
      <c r="J641" s="1" t="s">
        <v>23</v>
      </c>
      <c r="K641" s="1"/>
      <c r="L641" s="1" t="s">
        <v>5999</v>
      </c>
      <c r="M641" s="1" t="s">
        <v>5999</v>
      </c>
      <c r="N641" s="12" t="b">
        <f t="shared" si="45"/>
        <v>1</v>
      </c>
      <c r="O641" s="1" t="s">
        <v>6000</v>
      </c>
      <c r="P641" s="1" t="s">
        <v>6001</v>
      </c>
      <c r="Q641" s="1" t="s">
        <v>6002</v>
      </c>
      <c r="R641" s="1" t="s">
        <v>6003</v>
      </c>
      <c r="S641" s="1" t="s">
        <v>6004</v>
      </c>
      <c r="T641" s="1" t="s">
        <v>6005</v>
      </c>
      <c r="U641" s="1" t="s">
        <v>6006</v>
      </c>
      <c r="V641" s="13">
        <f>COUNTIF(L641:$M$1659,L641)</f>
        <v>2</v>
      </c>
      <c r="W641" s="1" t="s">
        <v>6007</v>
      </c>
      <c r="X641">
        <v>891.13</v>
      </c>
      <c r="Y641">
        <v>787.13</v>
      </c>
      <c r="Z641">
        <v>14.815448</v>
      </c>
      <c r="AA641">
        <v>108.95955499999999</v>
      </c>
      <c r="AB641">
        <v>104</v>
      </c>
      <c r="AC641">
        <v>14.822528</v>
      </c>
      <c r="AD641">
        <v>108.962878</v>
      </c>
      <c r="AE641" s="5">
        <f t="shared" si="46"/>
        <v>1.1806949999999998</v>
      </c>
      <c r="AF641" s="5">
        <f t="shared" si="47"/>
        <v>0.156</v>
      </c>
      <c r="AG641" s="1" t="str">
        <f>TRIM(LEFT(L641,FIND("-",L641)-1))</f>
        <v>TTCMKV TX Đức Phổ</v>
      </c>
      <c r="AH641" s="1" t="str">
        <f>TRIM(RIGHT(L641, LEN(L641) - FIND("-", L641)))</f>
        <v>Lân Phong</v>
      </c>
      <c r="AJ641">
        <f t="shared" si="48"/>
        <v>0.78713</v>
      </c>
      <c r="AK641">
        <f t="shared" si="49"/>
        <v>0.104</v>
      </c>
      <c r="AL641">
        <f>VLOOKUP(L641,'[1]Tuyến cáp H04'!$B:$E,3,0)/1000</f>
        <v>20.709</v>
      </c>
      <c r="AM641" t="str">
        <f>VLOOKUP(L641,'[1]Tuyến cáp H04'!$B:$E,4,0)</f>
        <v>Mạng cấp 4</v>
      </c>
    </row>
    <row r="642" spans="1:39" x14ac:dyDescent="0.25">
      <c r="A642" s="1" t="s">
        <v>6008</v>
      </c>
      <c r="B642" s="1" t="s">
        <v>6009</v>
      </c>
      <c r="C642" s="1" t="s">
        <v>6010</v>
      </c>
      <c r="D642" s="1" t="s">
        <v>5948</v>
      </c>
      <c r="E642" s="1" t="s">
        <v>5949</v>
      </c>
      <c r="F642" s="1" t="s">
        <v>6011</v>
      </c>
      <c r="G642" s="1" t="s">
        <v>14281</v>
      </c>
      <c r="H642" s="1" t="s">
        <v>14282</v>
      </c>
      <c r="I642" s="1" t="s">
        <v>14759</v>
      </c>
      <c r="J642" s="1" t="s">
        <v>23</v>
      </c>
      <c r="K642" s="1"/>
      <c r="L642" s="1" t="s">
        <v>6012</v>
      </c>
      <c r="M642" s="1" t="s">
        <v>6012</v>
      </c>
      <c r="N642" s="12" t="b">
        <f t="shared" si="45"/>
        <v>1</v>
      </c>
      <c r="O642" s="1" t="s">
        <v>6013</v>
      </c>
      <c r="P642" s="1" t="s">
        <v>6014</v>
      </c>
      <c r="Q642" s="1" t="s">
        <v>6015</v>
      </c>
      <c r="R642" s="1" t="s">
        <v>6016</v>
      </c>
      <c r="S642" s="1" t="s">
        <v>6017</v>
      </c>
      <c r="T642" s="1" t="s">
        <v>6018</v>
      </c>
      <c r="U642" s="1" t="s">
        <v>6019</v>
      </c>
      <c r="V642" s="13">
        <f>COUNTIF(L642:$M$1659,L642)</f>
        <v>2</v>
      </c>
      <c r="W642" s="1" t="s">
        <v>6020</v>
      </c>
      <c r="X642">
        <v>651.57000000000005</v>
      </c>
      <c r="Y642">
        <v>333.13</v>
      </c>
      <c r="Z642">
        <v>14.811826</v>
      </c>
      <c r="AA642">
        <v>108.943702</v>
      </c>
      <c r="AB642">
        <v>318.45</v>
      </c>
      <c r="AC642">
        <v>14.811582</v>
      </c>
      <c r="AD642">
        <v>108.955898</v>
      </c>
      <c r="AE642" s="5">
        <f t="shared" si="46"/>
        <v>0.499695</v>
      </c>
      <c r="AF642" s="5">
        <f t="shared" si="47"/>
        <v>0.47767499999999996</v>
      </c>
      <c r="AG642" s="1" t="str">
        <f>TRIM(LEFT(L642,FIND("-",L642)-1))</f>
        <v>Ba Tơ</v>
      </c>
      <c r="AH642" s="1" t="str">
        <f>TRIM(RIGHT(L642, LEN(L642) - FIND("-", L642)))</f>
        <v>Đức Phổ</v>
      </c>
      <c r="AJ642">
        <f t="shared" si="48"/>
        <v>0.33312999999999998</v>
      </c>
      <c r="AK642">
        <f t="shared" si="49"/>
        <v>0.31845000000000001</v>
      </c>
      <c r="AL642">
        <f>VLOOKUP(L642,'[1]Tuyến cáp H04'!$B:$E,3,0)/1000</f>
        <v>37.997999999999998</v>
      </c>
      <c r="AM642" t="str">
        <f>VLOOKUP(L642,'[1]Tuyến cáp H04'!$B:$E,4,0)</f>
        <v>Mạng cấp 3</v>
      </c>
    </row>
    <row r="643" spans="1:39" x14ac:dyDescent="0.25">
      <c r="A643" s="1" t="s">
        <v>6021</v>
      </c>
      <c r="B643" s="1" t="s">
        <v>5399</v>
      </c>
      <c r="C643" s="1" t="s">
        <v>5400</v>
      </c>
      <c r="D643" s="1" t="s">
        <v>6022</v>
      </c>
      <c r="E643" s="1" t="s">
        <v>6023</v>
      </c>
      <c r="F643" s="1" t="s">
        <v>6024</v>
      </c>
      <c r="G643" s="1" t="s">
        <v>14129</v>
      </c>
      <c r="H643" s="1" t="s">
        <v>14133</v>
      </c>
      <c r="I643" s="1" t="s">
        <v>14760</v>
      </c>
      <c r="J643" s="1" t="s">
        <v>23</v>
      </c>
      <c r="K643" s="1"/>
      <c r="L643" s="1" t="s">
        <v>6021</v>
      </c>
      <c r="M643" s="1" t="s">
        <v>6021</v>
      </c>
      <c r="N643" s="12" t="b">
        <f t="shared" ref="N643:N706" si="50">L643=M643</f>
        <v>1</v>
      </c>
      <c r="O643" s="1" t="s">
        <v>6025</v>
      </c>
      <c r="P643" s="1" t="s">
        <v>6026</v>
      </c>
      <c r="Q643" s="1" t="s">
        <v>6027</v>
      </c>
      <c r="R643" s="1" t="s">
        <v>6028</v>
      </c>
      <c r="S643" s="1" t="s">
        <v>6029</v>
      </c>
      <c r="T643" s="1" t="s">
        <v>6030</v>
      </c>
      <c r="U643" s="1" t="s">
        <v>6031</v>
      </c>
      <c r="V643" s="13">
        <f>COUNTIF(L643:$M$1659,L643)</f>
        <v>4</v>
      </c>
      <c r="W643" s="1" t="s">
        <v>6032</v>
      </c>
      <c r="X643">
        <v>3599.6</v>
      </c>
      <c r="Y643">
        <v>3594.73</v>
      </c>
      <c r="Z643">
        <v>14.959303</v>
      </c>
      <c r="AA643">
        <v>108.924539</v>
      </c>
      <c r="AB643">
        <v>4.87</v>
      </c>
      <c r="AC643">
        <v>14.98549</v>
      </c>
      <c r="AD643">
        <v>108.91275400000001</v>
      </c>
      <c r="AE643" s="5">
        <f t="shared" ref="AE643:AE706" si="51">Y643*1.5/1000</f>
        <v>5.3920950000000003</v>
      </c>
      <c r="AF643" s="5">
        <f t="shared" ref="AF643:AF706" si="52">AB643*1.5/1000</f>
        <v>7.3049999999999999E-3</v>
      </c>
      <c r="AG643" s="1" t="str">
        <f>TRIM(LEFT(L643,FIND("-",L643)-1))</f>
        <v>Lân Phong</v>
      </c>
      <c r="AH643" s="1" t="str">
        <f>TRIM(RIGHT(L643, LEN(L643) - FIND("-", L643)))</f>
        <v>Mỏ Cày</v>
      </c>
      <c r="AJ643">
        <f t="shared" ref="AJ643:AJ706" si="53">Y643/1000</f>
        <v>3.5947300000000002</v>
      </c>
      <c r="AK643">
        <f t="shared" ref="AK643:AK706" si="54">AB643/1000</f>
        <v>4.8700000000000002E-3</v>
      </c>
      <c r="AL643" t="e">
        <f>VLOOKUP(L643,'[1]Tuyến cáp H04'!$B:$E,3,0)/1000</f>
        <v>#N/A</v>
      </c>
      <c r="AM643" t="e">
        <f>VLOOKUP(L643,'[1]Tuyến cáp H04'!$B:$E,4,0)</f>
        <v>#N/A</v>
      </c>
    </row>
    <row r="644" spans="1:39" x14ac:dyDescent="0.25">
      <c r="A644" s="1" t="s">
        <v>6033</v>
      </c>
      <c r="B644" s="1" t="s">
        <v>6022</v>
      </c>
      <c r="C644" s="1" t="s">
        <v>6023</v>
      </c>
      <c r="D644" s="1" t="s">
        <v>6034</v>
      </c>
      <c r="E644" s="1" t="s">
        <v>6035</v>
      </c>
      <c r="F644" s="1" t="s">
        <v>6036</v>
      </c>
      <c r="G644" s="1" t="s">
        <v>14129</v>
      </c>
      <c r="H644" s="1" t="s">
        <v>14133</v>
      </c>
      <c r="I644" s="1" t="s">
        <v>14761</v>
      </c>
      <c r="J644" s="1" t="s">
        <v>23</v>
      </c>
      <c r="K644" s="1"/>
      <c r="L644" s="1" t="s">
        <v>6037</v>
      </c>
      <c r="M644" s="1" t="s">
        <v>6037</v>
      </c>
      <c r="N644" s="12" t="b">
        <f t="shared" si="50"/>
        <v>1</v>
      </c>
      <c r="O644" s="1" t="s">
        <v>6038</v>
      </c>
      <c r="P644" s="1" t="s">
        <v>6039</v>
      </c>
      <c r="Q644" s="1" t="s">
        <v>6040</v>
      </c>
      <c r="R644" s="1" t="s">
        <v>6031</v>
      </c>
      <c r="S644" s="1" t="s">
        <v>6041</v>
      </c>
      <c r="T644" s="1" t="s">
        <v>6042</v>
      </c>
      <c r="U644" s="1" t="s">
        <v>6043</v>
      </c>
      <c r="V644" s="13">
        <f>COUNTIF(L644:$M$1659,L644)</f>
        <v>8</v>
      </c>
      <c r="W644" s="1" t="s">
        <v>6044</v>
      </c>
      <c r="X644">
        <v>2417.92</v>
      </c>
      <c r="Y644">
        <v>4.8600000000000003</v>
      </c>
      <c r="Z644">
        <v>14.985491</v>
      </c>
      <c r="AA644">
        <v>108.91275400000001</v>
      </c>
      <c r="AB644">
        <v>2413.06</v>
      </c>
      <c r="AC644">
        <v>15.001199</v>
      </c>
      <c r="AD644">
        <v>108.90942099999999</v>
      </c>
      <c r="AE644" s="5">
        <f t="shared" si="51"/>
        <v>7.2900000000000013E-3</v>
      </c>
      <c r="AF644" s="5">
        <f t="shared" si="52"/>
        <v>3.6195900000000001</v>
      </c>
      <c r="AG644" s="1" t="str">
        <f>TRIM(LEFT(L644,FIND("-",L644)-1))</f>
        <v>Mỏ Cày</v>
      </c>
      <c r="AH644" s="1" t="str">
        <f>TRIM(RIGHT(L644, LEN(L644) - FIND("-", L644)))</f>
        <v>Long Phụng</v>
      </c>
      <c r="AJ644">
        <f t="shared" si="53"/>
        <v>4.8600000000000006E-3</v>
      </c>
      <c r="AK644">
        <f t="shared" si="54"/>
        <v>2.4130599999999998</v>
      </c>
      <c r="AL644">
        <f>VLOOKUP(L644,'[1]Tuyến cáp H04'!$B:$E,3,0)/1000</f>
        <v>11.798</v>
      </c>
      <c r="AM644" t="str">
        <f>VLOOKUP(L644,'[1]Tuyến cáp H04'!$B:$E,4,0)</f>
        <v>Mạng cấp 4</v>
      </c>
    </row>
    <row r="645" spans="1:39" x14ac:dyDescent="0.25">
      <c r="A645" s="1" t="s">
        <v>6045</v>
      </c>
      <c r="B645" s="1" t="s">
        <v>6046</v>
      </c>
      <c r="C645" s="1" t="s">
        <v>6047</v>
      </c>
      <c r="D645" s="1" t="s">
        <v>6022</v>
      </c>
      <c r="E645" s="1" t="s">
        <v>6023</v>
      </c>
      <c r="F645" s="1" t="s">
        <v>6048</v>
      </c>
      <c r="G645" s="1" t="s">
        <v>14129</v>
      </c>
      <c r="H645" s="1" t="s">
        <v>14133</v>
      </c>
      <c r="I645" s="1" t="s">
        <v>14762</v>
      </c>
      <c r="J645" s="1" t="s">
        <v>23</v>
      </c>
      <c r="K645" s="1"/>
      <c r="L645" s="1" t="s">
        <v>6037</v>
      </c>
      <c r="M645" s="1" t="s">
        <v>6037</v>
      </c>
      <c r="N645" s="12" t="b">
        <f t="shared" si="50"/>
        <v>1</v>
      </c>
      <c r="O645" s="1" t="s">
        <v>6049</v>
      </c>
      <c r="P645" s="1" t="s">
        <v>6050</v>
      </c>
      <c r="Q645" s="1" t="s">
        <v>6051</v>
      </c>
      <c r="R645" s="1" t="s">
        <v>6052</v>
      </c>
      <c r="S645" s="1" t="s">
        <v>6039</v>
      </c>
      <c r="T645" s="1" t="s">
        <v>6040</v>
      </c>
      <c r="U645" s="1" t="s">
        <v>6031</v>
      </c>
      <c r="V645" s="13">
        <f>COUNTIF(L645:$M$1659,L645)</f>
        <v>6</v>
      </c>
      <c r="W645" s="1" t="s">
        <v>6044</v>
      </c>
      <c r="X645">
        <v>1920.32</v>
      </c>
      <c r="Y645">
        <v>1915.46</v>
      </c>
      <c r="Z645">
        <v>14.989229999999999</v>
      </c>
      <c r="AA645">
        <v>108.911379</v>
      </c>
      <c r="AB645">
        <v>4.8600000000000003</v>
      </c>
      <c r="AC645">
        <v>14.985491</v>
      </c>
      <c r="AD645">
        <v>108.91275400000001</v>
      </c>
      <c r="AE645" s="5">
        <f t="shared" si="51"/>
        <v>2.8731900000000001</v>
      </c>
      <c r="AF645" s="5">
        <f t="shared" si="52"/>
        <v>7.2900000000000013E-3</v>
      </c>
      <c r="AG645" s="1" t="str">
        <f>TRIM(LEFT(L645,FIND("-",L645)-1))</f>
        <v>Mỏ Cày</v>
      </c>
      <c r="AH645" s="1" t="str">
        <f>TRIM(RIGHT(L645, LEN(L645) - FIND("-", L645)))</f>
        <v>Long Phụng</v>
      </c>
      <c r="AJ645">
        <f t="shared" si="53"/>
        <v>1.9154599999999999</v>
      </c>
      <c r="AK645">
        <f t="shared" si="54"/>
        <v>4.8600000000000006E-3</v>
      </c>
      <c r="AL645">
        <f>VLOOKUP(L645,'[1]Tuyến cáp H04'!$B:$E,3,0)/1000</f>
        <v>11.798</v>
      </c>
      <c r="AM645" t="str">
        <f>VLOOKUP(L645,'[1]Tuyến cáp H04'!$B:$E,4,0)</f>
        <v>Mạng cấp 4</v>
      </c>
    </row>
    <row r="646" spans="1:39" x14ac:dyDescent="0.25">
      <c r="A646" s="1" t="s">
        <v>6053</v>
      </c>
      <c r="B646" s="1" t="s">
        <v>6054</v>
      </c>
      <c r="C646" s="1" t="s">
        <v>6055</v>
      </c>
      <c r="D646" s="1" t="s">
        <v>6022</v>
      </c>
      <c r="E646" s="1" t="s">
        <v>6023</v>
      </c>
      <c r="F646" s="1" t="s">
        <v>6056</v>
      </c>
      <c r="G646" s="1" t="s">
        <v>14129</v>
      </c>
      <c r="H646" s="1" t="s">
        <v>14133</v>
      </c>
      <c r="I646" s="1" t="s">
        <v>14763</v>
      </c>
      <c r="J646" s="1" t="s">
        <v>23</v>
      </c>
      <c r="K646" s="1"/>
      <c r="L646" s="1" t="s">
        <v>6021</v>
      </c>
      <c r="M646" s="1" t="s">
        <v>6021</v>
      </c>
      <c r="N646" s="12" t="b">
        <f t="shared" si="50"/>
        <v>1</v>
      </c>
      <c r="O646" s="1" t="s">
        <v>6057</v>
      </c>
      <c r="P646" s="1" t="s">
        <v>6058</v>
      </c>
      <c r="Q646" s="1" t="s">
        <v>6059</v>
      </c>
      <c r="R646" s="1" t="s">
        <v>6060</v>
      </c>
      <c r="S646" s="1" t="s">
        <v>6029</v>
      </c>
      <c r="T646" s="1" t="s">
        <v>6030</v>
      </c>
      <c r="U646" s="1" t="s">
        <v>6031</v>
      </c>
      <c r="V646" s="13">
        <f>COUNTIF(L646:$M$1659,L646)</f>
        <v>2</v>
      </c>
      <c r="W646" s="1" t="s">
        <v>6032</v>
      </c>
      <c r="X646">
        <v>1540.45</v>
      </c>
      <c r="Y646">
        <v>1535.58</v>
      </c>
      <c r="Z646">
        <v>14.973222</v>
      </c>
      <c r="AA646">
        <v>108.91775199999999</v>
      </c>
      <c r="AB646">
        <v>4.87</v>
      </c>
      <c r="AC646">
        <v>14.98549</v>
      </c>
      <c r="AD646">
        <v>108.91275400000001</v>
      </c>
      <c r="AE646" s="5">
        <f t="shared" si="51"/>
        <v>2.3033699999999997</v>
      </c>
      <c r="AF646" s="5">
        <f t="shared" si="52"/>
        <v>7.3049999999999999E-3</v>
      </c>
      <c r="AG646" s="1" t="str">
        <f>TRIM(LEFT(L646,FIND("-",L646)-1))</f>
        <v>Lân Phong</v>
      </c>
      <c r="AH646" s="1" t="str">
        <f>TRIM(RIGHT(L646, LEN(L646) - FIND("-", L646)))</f>
        <v>Mỏ Cày</v>
      </c>
      <c r="AJ646">
        <f t="shared" si="53"/>
        <v>1.5355799999999999</v>
      </c>
      <c r="AK646">
        <f t="shared" si="54"/>
        <v>4.8700000000000002E-3</v>
      </c>
      <c r="AL646" t="e">
        <f>VLOOKUP(L646,'[1]Tuyến cáp H04'!$B:$E,3,0)/1000</f>
        <v>#N/A</v>
      </c>
      <c r="AM646" t="e">
        <f>VLOOKUP(L646,'[1]Tuyến cáp H04'!$B:$E,4,0)</f>
        <v>#N/A</v>
      </c>
    </row>
    <row r="647" spans="1:39" x14ac:dyDescent="0.25">
      <c r="A647" s="1" t="s">
        <v>6061</v>
      </c>
      <c r="B647" s="1" t="s">
        <v>6034</v>
      </c>
      <c r="C647" s="1" t="s">
        <v>6035</v>
      </c>
      <c r="D647" s="1" t="s">
        <v>6062</v>
      </c>
      <c r="E647" s="1" t="s">
        <v>6063</v>
      </c>
      <c r="F647" s="1" t="s">
        <v>6064</v>
      </c>
      <c r="G647" s="1" t="s">
        <v>14129</v>
      </c>
      <c r="H647" s="1" t="s">
        <v>14133</v>
      </c>
      <c r="I647" s="1" t="s">
        <v>14764</v>
      </c>
      <c r="J647" s="1" t="s">
        <v>23</v>
      </c>
      <c r="K647" s="1"/>
      <c r="L647" s="1" t="s">
        <v>6037</v>
      </c>
      <c r="M647" s="1" t="s">
        <v>6037</v>
      </c>
      <c r="N647" s="12" t="b">
        <f t="shared" si="50"/>
        <v>1</v>
      </c>
      <c r="O647" s="1" t="s">
        <v>6065</v>
      </c>
      <c r="P647" s="1" t="s">
        <v>6066</v>
      </c>
      <c r="Q647" s="1" t="s">
        <v>6067</v>
      </c>
      <c r="R647" s="1" t="s">
        <v>6068</v>
      </c>
      <c r="S647" s="1" t="s">
        <v>6069</v>
      </c>
      <c r="T647" s="1" t="s">
        <v>6070</v>
      </c>
      <c r="U647" s="1" t="s">
        <v>6071</v>
      </c>
      <c r="V647" s="13">
        <f>COUNTIF(L647:$M$1659,L647)</f>
        <v>4</v>
      </c>
      <c r="W647" s="1" t="s">
        <v>6072</v>
      </c>
      <c r="X647">
        <v>351.61</v>
      </c>
      <c r="Y647">
        <v>75.63</v>
      </c>
      <c r="Z647">
        <v>15.021850000000001</v>
      </c>
      <c r="AA647">
        <v>108.90312400000001</v>
      </c>
      <c r="AB647">
        <v>275.98</v>
      </c>
      <c r="AC647">
        <v>15.040077999999999</v>
      </c>
      <c r="AD647">
        <v>108.86617200000001</v>
      </c>
      <c r="AE647" s="5">
        <f t="shared" si="51"/>
        <v>0.11344499999999999</v>
      </c>
      <c r="AF647" s="5">
        <f t="shared" si="52"/>
        <v>0.41397</v>
      </c>
      <c r="AG647" s="1" t="str">
        <f>TRIM(LEFT(L647,FIND("-",L647)-1))</f>
        <v>Mỏ Cày</v>
      </c>
      <c r="AH647" s="1" t="str">
        <f>TRIM(RIGHT(L647, LEN(L647) - FIND("-", L647)))</f>
        <v>Long Phụng</v>
      </c>
      <c r="AJ647">
        <f t="shared" si="53"/>
        <v>7.5629999999999989E-2</v>
      </c>
      <c r="AK647">
        <f t="shared" si="54"/>
        <v>0.27598</v>
      </c>
      <c r="AL647">
        <f>VLOOKUP(L647,'[1]Tuyến cáp H04'!$B:$E,3,0)/1000</f>
        <v>11.798</v>
      </c>
      <c r="AM647" t="str">
        <f>VLOOKUP(L647,'[1]Tuyến cáp H04'!$B:$E,4,0)</f>
        <v>Mạng cấp 4</v>
      </c>
    </row>
    <row r="648" spans="1:39" x14ac:dyDescent="0.25">
      <c r="A648" s="1" t="s">
        <v>6073</v>
      </c>
      <c r="B648" s="1" t="s">
        <v>6062</v>
      </c>
      <c r="C648" s="1" t="s">
        <v>6063</v>
      </c>
      <c r="D648" s="1" t="s">
        <v>5352</v>
      </c>
      <c r="E648" s="1" t="s">
        <v>5353</v>
      </c>
      <c r="F648" s="1" t="s">
        <v>6074</v>
      </c>
      <c r="G648" s="1" t="s">
        <v>14129</v>
      </c>
      <c r="H648" s="1" t="s">
        <v>14133</v>
      </c>
      <c r="I648" s="1" t="s">
        <v>14765</v>
      </c>
      <c r="J648" s="1" t="s">
        <v>23</v>
      </c>
      <c r="K648" s="1"/>
      <c r="L648" s="1" t="s">
        <v>5745</v>
      </c>
      <c r="M648" s="1" t="s">
        <v>5745</v>
      </c>
      <c r="N648" s="12" t="b">
        <f t="shared" si="50"/>
        <v>1</v>
      </c>
      <c r="O648" s="1" t="s">
        <v>6075</v>
      </c>
      <c r="P648" s="1" t="s">
        <v>6076</v>
      </c>
      <c r="Q648" s="1" t="s">
        <v>6077</v>
      </c>
      <c r="R648" s="1" t="s">
        <v>6078</v>
      </c>
      <c r="S648" s="1" t="s">
        <v>5747</v>
      </c>
      <c r="T648" s="1" t="s">
        <v>5748</v>
      </c>
      <c r="U648" s="1" t="s">
        <v>5749</v>
      </c>
      <c r="V648" s="13">
        <f>COUNTIF(L648:$M$1659,L648)</f>
        <v>8</v>
      </c>
      <c r="W648" s="1" t="s">
        <v>5753</v>
      </c>
      <c r="X648">
        <v>1673.65</v>
      </c>
      <c r="Y648">
        <v>1568.77</v>
      </c>
      <c r="Z648">
        <v>15.043934</v>
      </c>
      <c r="AA648">
        <v>108.84978</v>
      </c>
      <c r="AB648">
        <v>104.88</v>
      </c>
      <c r="AC648">
        <v>15.058427999999999</v>
      </c>
      <c r="AD648">
        <v>108.842528</v>
      </c>
      <c r="AE648" s="5">
        <f t="shared" si="51"/>
        <v>2.3531549999999997</v>
      </c>
      <c r="AF648" s="5">
        <f t="shared" si="52"/>
        <v>0.15731999999999999</v>
      </c>
      <c r="AG648" s="1" t="str">
        <f>TRIM(LEFT(L648,FIND("-",L648)-1))</f>
        <v>Long Phụng</v>
      </c>
      <c r="AH648" s="1" t="str">
        <f>TRIM(RIGHT(L648, LEN(L648) - FIND("-", L648)))</f>
        <v>Tư Nghĩa</v>
      </c>
      <c r="AJ648">
        <f t="shared" si="53"/>
        <v>1.56877</v>
      </c>
      <c r="AK648">
        <f t="shared" si="54"/>
        <v>0.10488</v>
      </c>
      <c r="AL648">
        <f>VLOOKUP(L648,'[1]Tuyến cáp H04'!$B:$E,3,0)/1000</f>
        <v>11.252000000000001</v>
      </c>
      <c r="AM648" t="str">
        <f>VLOOKUP(L648,'[1]Tuyến cáp H04'!$B:$E,4,0)</f>
        <v>Mạng cấp 4</v>
      </c>
    </row>
    <row r="649" spans="1:39" x14ac:dyDescent="0.25">
      <c r="A649" s="1" t="s">
        <v>6079</v>
      </c>
      <c r="B649" s="1" t="s">
        <v>6080</v>
      </c>
      <c r="C649" s="1" t="s">
        <v>6081</v>
      </c>
      <c r="D649" s="1" t="s">
        <v>6062</v>
      </c>
      <c r="E649" s="1" t="s">
        <v>6063</v>
      </c>
      <c r="F649" s="1" t="s">
        <v>6082</v>
      </c>
      <c r="G649" s="1" t="s">
        <v>14129</v>
      </c>
      <c r="H649" s="1" t="s">
        <v>14679</v>
      </c>
      <c r="I649" s="1" t="s">
        <v>14766</v>
      </c>
      <c r="J649" s="1" t="s">
        <v>23</v>
      </c>
      <c r="K649" s="1"/>
      <c r="L649" s="1" t="s">
        <v>6037</v>
      </c>
      <c r="M649" s="1" t="s">
        <v>6037</v>
      </c>
      <c r="N649" s="12" t="b">
        <f t="shared" si="50"/>
        <v>1</v>
      </c>
      <c r="O649" s="1" t="s">
        <v>6083</v>
      </c>
      <c r="P649" s="1" t="s">
        <v>6084</v>
      </c>
      <c r="Q649" s="1" t="s">
        <v>6085</v>
      </c>
      <c r="R649" s="1" t="s">
        <v>6086</v>
      </c>
      <c r="S649" s="1" t="s">
        <v>6069</v>
      </c>
      <c r="T649" s="1" t="s">
        <v>6070</v>
      </c>
      <c r="U649" s="1" t="s">
        <v>6071</v>
      </c>
      <c r="V649" s="13">
        <f>COUNTIF(L649:$M$1659,L649)</f>
        <v>2</v>
      </c>
      <c r="W649" s="1" t="s">
        <v>6072</v>
      </c>
      <c r="X649">
        <v>649.64</v>
      </c>
      <c r="Y649">
        <v>373.66</v>
      </c>
      <c r="Z649">
        <v>15.035769999999999</v>
      </c>
      <c r="AA649">
        <v>108.87860999999999</v>
      </c>
      <c r="AB649">
        <v>275.98</v>
      </c>
      <c r="AC649">
        <v>15.040077999999999</v>
      </c>
      <c r="AD649">
        <v>108.86617200000001</v>
      </c>
      <c r="AE649" s="5">
        <f t="shared" si="51"/>
        <v>0.56049000000000004</v>
      </c>
      <c r="AF649" s="5">
        <f t="shared" si="52"/>
        <v>0.41397</v>
      </c>
      <c r="AG649" s="1" t="str">
        <f>TRIM(LEFT(L649,FIND("-",L649)-1))</f>
        <v>Mỏ Cày</v>
      </c>
      <c r="AH649" s="1" t="str">
        <f>TRIM(RIGHT(L649, LEN(L649) - FIND("-", L649)))</f>
        <v>Long Phụng</v>
      </c>
      <c r="AJ649">
        <f t="shared" si="53"/>
        <v>0.37366000000000005</v>
      </c>
      <c r="AK649">
        <f t="shared" si="54"/>
        <v>0.27598</v>
      </c>
      <c r="AL649">
        <f>VLOOKUP(L649,'[1]Tuyến cáp H04'!$B:$E,3,0)/1000</f>
        <v>11.798</v>
      </c>
      <c r="AM649" t="str">
        <f>VLOOKUP(L649,'[1]Tuyến cáp H04'!$B:$E,4,0)</f>
        <v>Mạng cấp 4</v>
      </c>
    </row>
    <row r="650" spans="1:39" x14ac:dyDescent="0.25">
      <c r="A650" s="1" t="s">
        <v>6087</v>
      </c>
      <c r="B650" s="1" t="s">
        <v>6062</v>
      </c>
      <c r="C650" s="1" t="s">
        <v>6063</v>
      </c>
      <c r="D650" s="1" t="s">
        <v>6088</v>
      </c>
      <c r="E650" s="1" t="s">
        <v>6089</v>
      </c>
      <c r="F650" s="1" t="s">
        <v>6090</v>
      </c>
      <c r="G650" s="1" t="s">
        <v>14281</v>
      </c>
      <c r="H650" s="1" t="s">
        <v>14282</v>
      </c>
      <c r="I650" s="1" t="s">
        <v>14767</v>
      </c>
      <c r="J650" s="1" t="s">
        <v>23</v>
      </c>
      <c r="K650" s="1"/>
      <c r="L650" s="1" t="s">
        <v>5745</v>
      </c>
      <c r="M650" s="1" t="s">
        <v>5745</v>
      </c>
      <c r="N650" s="12" t="b">
        <f t="shared" si="50"/>
        <v>1</v>
      </c>
      <c r="O650" s="1" t="s">
        <v>6091</v>
      </c>
      <c r="P650" s="1" t="s">
        <v>6092</v>
      </c>
      <c r="Q650" s="1" t="s">
        <v>6093</v>
      </c>
      <c r="R650" s="1" t="s">
        <v>6094</v>
      </c>
      <c r="S650" s="1" t="s">
        <v>6095</v>
      </c>
      <c r="T650" s="1" t="s">
        <v>6096</v>
      </c>
      <c r="U650" s="1" t="s">
        <v>6097</v>
      </c>
      <c r="V650" s="13">
        <f>COUNTIF(L650:$M$1659,L650)</f>
        <v>6</v>
      </c>
      <c r="W650" s="1" t="s">
        <v>6098</v>
      </c>
      <c r="X650">
        <v>581.88</v>
      </c>
      <c r="Y650">
        <v>216.52</v>
      </c>
      <c r="Z650">
        <v>15.040836000000001</v>
      </c>
      <c r="AA650">
        <v>108.86237800000001</v>
      </c>
      <c r="AB650">
        <v>365.36</v>
      </c>
      <c r="AC650">
        <v>15.030893000000001</v>
      </c>
      <c r="AD650">
        <v>108.86153400000001</v>
      </c>
      <c r="AE650" s="5">
        <f t="shared" si="51"/>
        <v>0.32478000000000001</v>
      </c>
      <c r="AF650" s="5">
        <f t="shared" si="52"/>
        <v>0.54803999999999997</v>
      </c>
      <c r="AG650" s="1" t="str">
        <f>TRIM(LEFT(L650,FIND("-",L650)-1))</f>
        <v>Long Phụng</v>
      </c>
      <c r="AH650" s="1" t="str">
        <f>TRIM(RIGHT(L650, LEN(L650) - FIND("-", L650)))</f>
        <v>Tư Nghĩa</v>
      </c>
      <c r="AJ650">
        <f t="shared" si="53"/>
        <v>0.21652000000000002</v>
      </c>
      <c r="AK650">
        <f t="shared" si="54"/>
        <v>0.36536000000000002</v>
      </c>
      <c r="AL650">
        <f>VLOOKUP(L650,'[1]Tuyến cáp H04'!$B:$E,3,0)/1000</f>
        <v>11.252000000000001</v>
      </c>
      <c r="AM650" t="str">
        <f>VLOOKUP(L650,'[1]Tuyến cáp H04'!$B:$E,4,0)</f>
        <v>Mạng cấp 4</v>
      </c>
    </row>
    <row r="651" spans="1:39" x14ac:dyDescent="0.25">
      <c r="A651" s="1" t="s">
        <v>6099</v>
      </c>
      <c r="B651" s="1" t="s">
        <v>5466</v>
      </c>
      <c r="C651" s="1" t="s">
        <v>5467</v>
      </c>
      <c r="D651" s="1" t="s">
        <v>6100</v>
      </c>
      <c r="E651" s="1" t="s">
        <v>6101</v>
      </c>
      <c r="F651" s="1" t="s">
        <v>6102</v>
      </c>
      <c r="G651" s="1" t="s">
        <v>14129</v>
      </c>
      <c r="H651" s="1" t="s">
        <v>14133</v>
      </c>
      <c r="I651" s="1" t="s">
        <v>14768</v>
      </c>
      <c r="J651" s="1" t="s">
        <v>23</v>
      </c>
      <c r="K651" s="1"/>
      <c r="L651" s="1" t="s">
        <v>6103</v>
      </c>
      <c r="M651" s="1" t="s">
        <v>6103</v>
      </c>
      <c r="N651" s="12" t="b">
        <f t="shared" si="50"/>
        <v>1</v>
      </c>
      <c r="O651" s="1" t="s">
        <v>6104</v>
      </c>
      <c r="P651" s="1" t="s">
        <v>6105</v>
      </c>
      <c r="Q651" s="1" t="s">
        <v>6106</v>
      </c>
      <c r="R651" s="1" t="s">
        <v>6107</v>
      </c>
      <c r="S651" s="1" t="s">
        <v>6108</v>
      </c>
      <c r="T651" s="1" t="s">
        <v>6109</v>
      </c>
      <c r="U651" s="1" t="s">
        <v>6110</v>
      </c>
      <c r="V651" s="13">
        <f>COUNTIF(L651:$M$1659,L651)</f>
        <v>8</v>
      </c>
      <c r="W651" s="1" t="s">
        <v>6111</v>
      </c>
      <c r="X651">
        <v>630.79999999999995</v>
      </c>
      <c r="Y651">
        <v>347.8</v>
      </c>
      <c r="Z651">
        <v>15.042566000000001</v>
      </c>
      <c r="AA651">
        <v>108.742581</v>
      </c>
      <c r="AB651">
        <v>283</v>
      </c>
      <c r="AC651">
        <v>15.006114999999999</v>
      </c>
      <c r="AD651">
        <v>108.719311</v>
      </c>
      <c r="AE651" s="5">
        <f t="shared" si="51"/>
        <v>0.52170000000000005</v>
      </c>
      <c r="AF651" s="5">
        <f t="shared" si="52"/>
        <v>0.42449999999999999</v>
      </c>
      <c r="AG651" s="1" t="str">
        <f>TRIM(LEFT(L651,FIND("-",L651)-1))</f>
        <v>Sơn Mai</v>
      </c>
      <c r="AH651" s="1" t="str">
        <f>TRIM(RIGHT(L651, LEN(L651) - FIND("-", L651)))</f>
        <v>Phước Giang</v>
      </c>
      <c r="AJ651">
        <f t="shared" si="53"/>
        <v>0.3478</v>
      </c>
      <c r="AK651">
        <f t="shared" si="54"/>
        <v>0.28299999999999997</v>
      </c>
      <c r="AL651">
        <f>VLOOKUP(L651,'[1]Tuyến cáp H04'!$B:$E,3,0)/1000</f>
        <v>6.75</v>
      </c>
      <c r="AM651" t="str">
        <f>VLOOKUP(L651,'[1]Tuyến cáp H04'!$B:$E,4,0)</f>
        <v>Mạng cấp 4</v>
      </c>
    </row>
    <row r="652" spans="1:39" x14ac:dyDescent="0.25">
      <c r="A652" s="1" t="s">
        <v>6112</v>
      </c>
      <c r="B652" s="1" t="s">
        <v>6113</v>
      </c>
      <c r="C652" s="1" t="s">
        <v>6114</v>
      </c>
      <c r="D652" s="1" t="s">
        <v>5466</v>
      </c>
      <c r="E652" s="1" t="s">
        <v>5467</v>
      </c>
      <c r="F652" s="1" t="s">
        <v>6115</v>
      </c>
      <c r="G652" s="1" t="s">
        <v>14129</v>
      </c>
      <c r="H652" s="1" t="s">
        <v>14679</v>
      </c>
      <c r="I652" s="1" t="s">
        <v>14769</v>
      </c>
      <c r="J652" s="1" t="s">
        <v>23</v>
      </c>
      <c r="K652" s="1"/>
      <c r="L652" s="1" t="s">
        <v>6103</v>
      </c>
      <c r="M652" s="1" t="s">
        <v>6103</v>
      </c>
      <c r="N652" s="12" t="b">
        <f t="shared" si="50"/>
        <v>1</v>
      </c>
      <c r="O652" s="1" t="s">
        <v>6116</v>
      </c>
      <c r="P652" s="1" t="s">
        <v>6117</v>
      </c>
      <c r="Q652" s="1" t="s">
        <v>6118</v>
      </c>
      <c r="R652" s="1" t="s">
        <v>6119</v>
      </c>
      <c r="S652" s="1" t="s">
        <v>6105</v>
      </c>
      <c r="T652" s="1" t="s">
        <v>6106</v>
      </c>
      <c r="U652" s="1" t="s">
        <v>6107</v>
      </c>
      <c r="V652" s="13">
        <f>COUNTIF(L652:$M$1659,L652)</f>
        <v>6</v>
      </c>
      <c r="W652" s="1" t="s">
        <v>6111</v>
      </c>
      <c r="X652">
        <v>1084.01</v>
      </c>
      <c r="Y652">
        <v>736.21</v>
      </c>
      <c r="Z652">
        <v>15.031617000000001</v>
      </c>
      <c r="AA652">
        <v>108.733498</v>
      </c>
      <c r="AB652">
        <v>347.8</v>
      </c>
      <c r="AC652">
        <v>15.042566000000001</v>
      </c>
      <c r="AD652">
        <v>108.742581</v>
      </c>
      <c r="AE652" s="5">
        <f t="shared" si="51"/>
        <v>1.1043150000000002</v>
      </c>
      <c r="AF652" s="5">
        <f t="shared" si="52"/>
        <v>0.52170000000000005</v>
      </c>
      <c r="AG652" s="1" t="str">
        <f>TRIM(LEFT(L652,FIND("-",L652)-1))</f>
        <v>Sơn Mai</v>
      </c>
      <c r="AH652" s="1" t="str">
        <f>TRIM(RIGHT(L652, LEN(L652) - FIND("-", L652)))</f>
        <v>Phước Giang</v>
      </c>
      <c r="AJ652">
        <f t="shared" si="53"/>
        <v>0.73621000000000003</v>
      </c>
      <c r="AK652">
        <f t="shared" si="54"/>
        <v>0.3478</v>
      </c>
      <c r="AL652">
        <f>VLOOKUP(L652,'[1]Tuyến cáp H04'!$B:$E,3,0)/1000</f>
        <v>6.75</v>
      </c>
      <c r="AM652" t="str">
        <f>VLOOKUP(L652,'[1]Tuyến cáp H04'!$B:$E,4,0)</f>
        <v>Mạng cấp 4</v>
      </c>
    </row>
    <row r="653" spans="1:39" x14ac:dyDescent="0.25">
      <c r="A653" s="1" t="s">
        <v>6120</v>
      </c>
      <c r="B653" s="1" t="s">
        <v>5577</v>
      </c>
      <c r="C653" s="1" t="s">
        <v>5578</v>
      </c>
      <c r="D653" s="1" t="s">
        <v>5466</v>
      </c>
      <c r="E653" s="1" t="s">
        <v>5467</v>
      </c>
      <c r="F653" s="1" t="s">
        <v>6121</v>
      </c>
      <c r="G653" s="1" t="s">
        <v>14281</v>
      </c>
      <c r="H653" s="1" t="s">
        <v>14282</v>
      </c>
      <c r="I653" s="1" t="s">
        <v>14770</v>
      </c>
      <c r="J653" s="1" t="s">
        <v>23</v>
      </c>
      <c r="K653" s="1"/>
      <c r="L653" s="1" t="s">
        <v>5469</v>
      </c>
      <c r="M653" s="1" t="s">
        <v>5469</v>
      </c>
      <c r="N653" s="12" t="b">
        <f t="shared" si="50"/>
        <v>1</v>
      </c>
      <c r="O653" s="1" t="s">
        <v>6122</v>
      </c>
      <c r="P653" s="1" t="s">
        <v>6123</v>
      </c>
      <c r="Q653" s="1" t="s">
        <v>6124</v>
      </c>
      <c r="R653" s="1" t="s">
        <v>6125</v>
      </c>
      <c r="S653" s="1" t="s">
        <v>5474</v>
      </c>
      <c r="T653" s="1" t="s">
        <v>5475</v>
      </c>
      <c r="U653" s="1" t="s">
        <v>5476</v>
      </c>
      <c r="V653" s="13">
        <f>COUNTIF(L653:$M$1659,L653)</f>
        <v>10</v>
      </c>
      <c r="W653" s="1" t="s">
        <v>5477</v>
      </c>
      <c r="X653">
        <v>1977.81</v>
      </c>
      <c r="Y653">
        <v>1641.22</v>
      </c>
      <c r="Z653">
        <v>15.047103999999999</v>
      </c>
      <c r="AA653">
        <v>108.747927</v>
      </c>
      <c r="AB653">
        <v>336.59</v>
      </c>
      <c r="AC653">
        <v>15.045444</v>
      </c>
      <c r="AD653">
        <v>108.745306</v>
      </c>
      <c r="AE653" s="5">
        <f t="shared" si="51"/>
        <v>2.46183</v>
      </c>
      <c r="AF653" s="5">
        <f t="shared" si="52"/>
        <v>0.50488500000000003</v>
      </c>
      <c r="AG653" s="1" t="str">
        <f>TRIM(LEFT(L653,FIND("-",L653)-1))</f>
        <v>Phước Giang</v>
      </c>
      <c r="AH653" s="1" t="str">
        <f>TRIM(RIGHT(L653, LEN(L653) - FIND("-", L653)))</f>
        <v>Trà Giang</v>
      </c>
      <c r="AJ653">
        <f t="shared" si="53"/>
        <v>1.6412200000000001</v>
      </c>
      <c r="AK653">
        <f t="shared" si="54"/>
        <v>0.33659</v>
      </c>
      <c r="AL653">
        <f>VLOOKUP(L653,'[1]Tuyến cáp H04'!$B:$E,3,0)/1000</f>
        <v>15.189</v>
      </c>
      <c r="AM653" t="str">
        <f>VLOOKUP(L653,'[1]Tuyến cáp H04'!$B:$E,4,0)</f>
        <v>Mạng cấp 4</v>
      </c>
    </row>
    <row r="654" spans="1:39" x14ac:dyDescent="0.25">
      <c r="A654" s="1" t="s">
        <v>6126</v>
      </c>
      <c r="B654" s="1" t="s">
        <v>5466</v>
      </c>
      <c r="C654" s="1" t="s">
        <v>5467</v>
      </c>
      <c r="D654" s="1" t="s">
        <v>6127</v>
      </c>
      <c r="E654" s="1" t="s">
        <v>6128</v>
      </c>
      <c r="F654" s="1" t="s">
        <v>6129</v>
      </c>
      <c r="G654" s="1" t="s">
        <v>14281</v>
      </c>
      <c r="H654" s="1" t="s">
        <v>14282</v>
      </c>
      <c r="I654" s="1" t="s">
        <v>14771</v>
      </c>
      <c r="J654" s="1" t="s">
        <v>23</v>
      </c>
      <c r="K654" s="1"/>
      <c r="L654" s="1" t="s">
        <v>5469</v>
      </c>
      <c r="M654" s="1" t="s">
        <v>5469</v>
      </c>
      <c r="N654" s="12" t="b">
        <f t="shared" si="50"/>
        <v>1</v>
      </c>
      <c r="O654" s="1" t="s">
        <v>6130</v>
      </c>
      <c r="P654" s="1" t="s">
        <v>5474</v>
      </c>
      <c r="Q654" s="1" t="s">
        <v>5475</v>
      </c>
      <c r="R654" s="1" t="s">
        <v>5476</v>
      </c>
      <c r="S654" s="1" t="s">
        <v>6131</v>
      </c>
      <c r="T654" s="1" t="s">
        <v>6132</v>
      </c>
      <c r="U654" s="1" t="s">
        <v>6133</v>
      </c>
      <c r="V654" s="13">
        <f>COUNTIF(L654:$M$1659,L654)</f>
        <v>8</v>
      </c>
      <c r="W654" s="1" t="s">
        <v>5477</v>
      </c>
      <c r="X654">
        <v>480.75</v>
      </c>
      <c r="Y654">
        <v>336.59</v>
      </c>
      <c r="Z654">
        <v>15.045444</v>
      </c>
      <c r="AA654">
        <v>108.745306</v>
      </c>
      <c r="AB654">
        <v>144.16</v>
      </c>
      <c r="AC654">
        <v>15.066254000000001</v>
      </c>
      <c r="AD654">
        <v>108.750563</v>
      </c>
      <c r="AE654" s="5">
        <f t="shared" si="51"/>
        <v>0.50488500000000003</v>
      </c>
      <c r="AF654" s="5">
        <f t="shared" si="52"/>
        <v>0.21624000000000002</v>
      </c>
      <c r="AG654" s="1" t="str">
        <f>TRIM(LEFT(L654,FIND("-",L654)-1))</f>
        <v>Phước Giang</v>
      </c>
      <c r="AH654" s="1" t="str">
        <f>TRIM(RIGHT(L654, LEN(L654) - FIND("-", L654)))</f>
        <v>Trà Giang</v>
      </c>
      <c r="AJ654">
        <f t="shared" si="53"/>
        <v>0.33659</v>
      </c>
      <c r="AK654">
        <f t="shared" si="54"/>
        <v>0.14416000000000001</v>
      </c>
      <c r="AL654">
        <f>VLOOKUP(L654,'[1]Tuyến cáp H04'!$B:$E,3,0)/1000</f>
        <v>15.189</v>
      </c>
      <c r="AM654" t="str">
        <f>VLOOKUP(L654,'[1]Tuyến cáp H04'!$B:$E,4,0)</f>
        <v>Mạng cấp 4</v>
      </c>
    </row>
    <row r="655" spans="1:39" x14ac:dyDescent="0.25">
      <c r="A655" s="1" t="s">
        <v>6134</v>
      </c>
      <c r="B655" s="1" t="s">
        <v>6135</v>
      </c>
      <c r="C655" s="1" t="s">
        <v>6136</v>
      </c>
      <c r="D655" s="1" t="s">
        <v>6137</v>
      </c>
      <c r="E655" s="1" t="s">
        <v>6138</v>
      </c>
      <c r="F655" s="1" t="s">
        <v>6139</v>
      </c>
      <c r="G655" s="1" t="s">
        <v>14129</v>
      </c>
      <c r="H655" s="1" t="s">
        <v>14133</v>
      </c>
      <c r="I655" s="1" t="s">
        <v>14772</v>
      </c>
      <c r="J655" s="1" t="s">
        <v>23</v>
      </c>
      <c r="K655" s="1"/>
      <c r="L655" s="1" t="s">
        <v>5197</v>
      </c>
      <c r="M655" s="1" t="s">
        <v>5197</v>
      </c>
      <c r="N655" s="12" t="b">
        <f t="shared" si="50"/>
        <v>1</v>
      </c>
      <c r="O655" s="1" t="s">
        <v>6140</v>
      </c>
      <c r="P655" s="1" t="s">
        <v>6141</v>
      </c>
      <c r="Q655" s="1" t="s">
        <v>6142</v>
      </c>
      <c r="R655" s="1" t="s">
        <v>6143</v>
      </c>
      <c r="S655" s="1" t="s">
        <v>6144</v>
      </c>
      <c r="T655" s="1" t="s">
        <v>6145</v>
      </c>
      <c r="U655" s="1" t="s">
        <v>6146</v>
      </c>
      <c r="V655" s="13">
        <f>COUNTIF(L655:$M$1659,L655)</f>
        <v>4</v>
      </c>
      <c r="W655" s="1" t="s">
        <v>6147</v>
      </c>
      <c r="X655">
        <v>3533.33</v>
      </c>
      <c r="Y655">
        <v>3228.48</v>
      </c>
      <c r="Z655">
        <v>15.007661000000001</v>
      </c>
      <c r="AA655">
        <v>108.81334699999999</v>
      </c>
      <c r="AB655">
        <v>304.83999999999997</v>
      </c>
      <c r="AC655">
        <v>14.956894</v>
      </c>
      <c r="AD655">
        <v>108.777917</v>
      </c>
      <c r="AE655" s="5">
        <f t="shared" si="51"/>
        <v>4.8427199999999999</v>
      </c>
      <c r="AF655" s="5">
        <f t="shared" si="52"/>
        <v>0.45726</v>
      </c>
      <c r="AG655" s="1" t="str">
        <f>TRIM(LEFT(L655,FIND("-",L655)-1))</f>
        <v>TT1 Quảng Ngãi</v>
      </c>
      <c r="AH655" s="1" t="str">
        <f>TRIM(RIGHT(L655, LEN(L655) - FIND("-", L655)))</f>
        <v>Minh Long</v>
      </c>
      <c r="AJ655">
        <f t="shared" si="53"/>
        <v>3.2284800000000002</v>
      </c>
      <c r="AK655">
        <f t="shared" si="54"/>
        <v>0.30484</v>
      </c>
      <c r="AL655">
        <f>VLOOKUP(L655,'[1]Tuyến cáp H04'!$B:$E,3,0)/1000</f>
        <v>45.045000000000002</v>
      </c>
      <c r="AM655" t="str">
        <f>VLOOKUP(L655,'[1]Tuyến cáp H04'!$B:$E,4,0)</f>
        <v>Mạng cấp 3</v>
      </c>
    </row>
    <row r="656" spans="1:39" x14ac:dyDescent="0.25">
      <c r="A656" s="1" t="s">
        <v>6148</v>
      </c>
      <c r="B656" s="1" t="s">
        <v>6137</v>
      </c>
      <c r="C656" s="1" t="s">
        <v>6138</v>
      </c>
      <c r="D656" s="1" t="s">
        <v>6149</v>
      </c>
      <c r="E656" s="1" t="s">
        <v>6150</v>
      </c>
      <c r="F656" s="1" t="s">
        <v>6151</v>
      </c>
      <c r="G656" s="1" t="s">
        <v>14129</v>
      </c>
      <c r="H656" s="1" t="s">
        <v>14133</v>
      </c>
      <c r="I656" s="1" t="s">
        <v>14773</v>
      </c>
      <c r="J656" s="1" t="s">
        <v>23</v>
      </c>
      <c r="K656" s="1"/>
      <c r="L656" s="1" t="s">
        <v>6152</v>
      </c>
      <c r="M656" s="1" t="s">
        <v>6152</v>
      </c>
      <c r="N656" s="12" t="b">
        <f t="shared" si="50"/>
        <v>1</v>
      </c>
      <c r="O656" s="1" t="s">
        <v>6153</v>
      </c>
      <c r="P656" s="1" t="s">
        <v>6154</v>
      </c>
      <c r="Q656" s="1" t="s">
        <v>6155</v>
      </c>
      <c r="R656" s="1" t="s">
        <v>6156</v>
      </c>
      <c r="S656" s="1" t="s">
        <v>6157</v>
      </c>
      <c r="T656" s="1" t="s">
        <v>6158</v>
      </c>
      <c r="U656" s="1" t="s">
        <v>6159</v>
      </c>
      <c r="V656" s="13">
        <f>COUNTIF(L656:$M$1659,L656)</f>
        <v>6</v>
      </c>
      <c r="W656" s="1" t="s">
        <v>6160</v>
      </c>
      <c r="X656">
        <v>5553.4</v>
      </c>
      <c r="Y656">
        <v>248.44</v>
      </c>
      <c r="Z656">
        <v>14.958562000000001</v>
      </c>
      <c r="AA656">
        <v>108.776166</v>
      </c>
      <c r="AB656">
        <v>5304.96</v>
      </c>
      <c r="AC656">
        <v>14.982704999999999</v>
      </c>
      <c r="AD656">
        <v>108.80611399999999</v>
      </c>
      <c r="AE656" s="5">
        <f t="shared" si="51"/>
        <v>0.37265999999999999</v>
      </c>
      <c r="AF656" s="5">
        <f t="shared" si="52"/>
        <v>7.9574400000000001</v>
      </c>
      <c r="AG656" s="1" t="str">
        <f>TRIM(LEFT(L656,FIND("-",L656)-1))</f>
        <v>TTCMKV Minh Long</v>
      </c>
      <c r="AH656" s="1" t="str">
        <f>TRIM(RIGHT(L656, LEN(L656) - FIND("-", L656)))</f>
        <v>Đình Cương</v>
      </c>
      <c r="AJ656">
        <f t="shared" si="53"/>
        <v>0.24843999999999999</v>
      </c>
      <c r="AK656">
        <f t="shared" si="54"/>
        <v>5.3049600000000003</v>
      </c>
      <c r="AL656">
        <f>VLOOKUP(L656,'[1]Tuyến cáp H04'!$B:$E,3,0)/1000</f>
        <v>19.981000000000002</v>
      </c>
      <c r="AM656" t="str">
        <f>VLOOKUP(L656,'[1]Tuyến cáp H04'!$B:$E,4,0)</f>
        <v>Mạng cấp 4</v>
      </c>
    </row>
    <row r="657" spans="1:39" x14ac:dyDescent="0.25">
      <c r="A657" s="1" t="s">
        <v>6161</v>
      </c>
      <c r="B657" s="1" t="s">
        <v>6162</v>
      </c>
      <c r="C657" s="1" t="s">
        <v>6163</v>
      </c>
      <c r="D657" s="1" t="s">
        <v>6137</v>
      </c>
      <c r="E657" s="1" t="s">
        <v>6138</v>
      </c>
      <c r="F657" s="1" t="s">
        <v>6164</v>
      </c>
      <c r="G657" s="1" t="s">
        <v>14129</v>
      </c>
      <c r="H657" s="1" t="s">
        <v>14133</v>
      </c>
      <c r="I657" s="1" t="s">
        <v>14774</v>
      </c>
      <c r="J657" s="1" t="s">
        <v>23</v>
      </c>
      <c r="K657" s="1"/>
      <c r="L657" s="1" t="s">
        <v>6165</v>
      </c>
      <c r="M657" s="1" t="s">
        <v>6165</v>
      </c>
      <c r="N657" s="12" t="b">
        <f t="shared" si="50"/>
        <v>1</v>
      </c>
      <c r="O657" s="1" t="s">
        <v>6166</v>
      </c>
      <c r="P657" s="1" t="s">
        <v>6167</v>
      </c>
      <c r="Q657" s="1" t="s">
        <v>6168</v>
      </c>
      <c r="R657" s="1" t="s">
        <v>6169</v>
      </c>
      <c r="S657" s="1" t="s">
        <v>6170</v>
      </c>
      <c r="T657" s="1" t="s">
        <v>6171</v>
      </c>
      <c r="U657" s="1" t="s">
        <v>6172</v>
      </c>
      <c r="V657" s="13">
        <f>COUNTIF(L657:$M$1659,L657)</f>
        <v>2</v>
      </c>
      <c r="W657" s="1" t="s">
        <v>6173</v>
      </c>
      <c r="X657">
        <v>268.14999999999998</v>
      </c>
      <c r="Y657">
        <v>157.22999999999999</v>
      </c>
      <c r="Z657">
        <v>14.91952</v>
      </c>
      <c r="AA657">
        <v>108.772904</v>
      </c>
      <c r="AB657">
        <v>110.92</v>
      </c>
      <c r="AC657">
        <v>14.955847</v>
      </c>
      <c r="AD657">
        <v>108.77439699999999</v>
      </c>
      <c r="AE657" s="5">
        <f t="shared" si="51"/>
        <v>0.23584499999999997</v>
      </c>
      <c r="AF657" s="5">
        <f t="shared" si="52"/>
        <v>0.16638</v>
      </c>
      <c r="AG657" s="1" t="str">
        <f>TRIM(LEFT(L657,FIND("-",L657)-1))</f>
        <v>Ba Động</v>
      </c>
      <c r="AH657" s="1" t="str">
        <f>TRIM(RIGHT(L657, LEN(L657) - FIND("-", L657)))</f>
        <v>Thiện Tín</v>
      </c>
      <c r="AJ657">
        <f t="shared" si="53"/>
        <v>0.15722999999999998</v>
      </c>
      <c r="AK657">
        <f t="shared" si="54"/>
        <v>0.11092</v>
      </c>
      <c r="AL657">
        <f>VLOOKUP(L657,'[1]Tuyến cáp H04'!$B:$E,3,0)/1000</f>
        <v>20.135999999999999</v>
      </c>
      <c r="AM657" t="str">
        <f>VLOOKUP(L657,'[1]Tuyến cáp H04'!$B:$E,4,0)</f>
        <v>Mạng cấp 4</v>
      </c>
    </row>
    <row r="658" spans="1:39" x14ac:dyDescent="0.25">
      <c r="A658" s="1" t="s">
        <v>6174</v>
      </c>
      <c r="B658" s="1" t="s">
        <v>6175</v>
      </c>
      <c r="C658" s="1" t="s">
        <v>6176</v>
      </c>
      <c r="D658" s="1" t="s">
        <v>6137</v>
      </c>
      <c r="E658" s="1" t="s">
        <v>6138</v>
      </c>
      <c r="F658" s="1" t="s">
        <v>6177</v>
      </c>
      <c r="G658" s="1" t="s">
        <v>14281</v>
      </c>
      <c r="H658" s="1" t="s">
        <v>14282</v>
      </c>
      <c r="I658" s="1" t="s">
        <v>14775</v>
      </c>
      <c r="J658" s="1" t="s">
        <v>23</v>
      </c>
      <c r="K658" s="1"/>
      <c r="L658" s="1" t="s">
        <v>6178</v>
      </c>
      <c r="M658" s="1" t="s">
        <v>6178</v>
      </c>
      <c r="N658" s="12" t="b">
        <f t="shared" si="50"/>
        <v>1</v>
      </c>
      <c r="O658" s="1" t="s">
        <v>6179</v>
      </c>
      <c r="P658" s="1" t="s">
        <v>6180</v>
      </c>
      <c r="Q658" s="1" t="s">
        <v>6181</v>
      </c>
      <c r="R658" s="1" t="s">
        <v>6182</v>
      </c>
      <c r="S658" s="1" t="s">
        <v>6183</v>
      </c>
      <c r="T658" s="1" t="s">
        <v>6184</v>
      </c>
      <c r="U658" s="1" t="s">
        <v>6185</v>
      </c>
      <c r="V658" s="13">
        <f>COUNTIF(L658:$M$1659,L658)</f>
        <v>2</v>
      </c>
      <c r="W658" s="1" t="s">
        <v>6186</v>
      </c>
      <c r="X658">
        <v>154.85</v>
      </c>
      <c r="Y658">
        <v>25.27</v>
      </c>
      <c r="Z658">
        <v>14.962543</v>
      </c>
      <c r="AA658">
        <v>108.738855</v>
      </c>
      <c r="AB658">
        <v>129.58000000000001</v>
      </c>
      <c r="AC658">
        <v>14.957691000000001</v>
      </c>
      <c r="AD658">
        <v>108.774734</v>
      </c>
      <c r="AE658" s="5">
        <f t="shared" si="51"/>
        <v>3.7905000000000001E-2</v>
      </c>
      <c r="AF658" s="5">
        <f t="shared" si="52"/>
        <v>0.19437000000000001</v>
      </c>
      <c r="AG658" s="1" t="str">
        <f>TRIM(LEFT(L658,FIND("-",L658)-1))</f>
        <v>Thiện Tín</v>
      </c>
      <c r="AH658" s="1" t="str">
        <f>TRIM(RIGHT(L658, LEN(L658) - FIND("-", L658)))</f>
        <v>TTCMKV Minh Long</v>
      </c>
      <c r="AJ658">
        <f t="shared" si="53"/>
        <v>2.5270000000000001E-2</v>
      </c>
      <c r="AK658">
        <f t="shared" si="54"/>
        <v>0.12958</v>
      </c>
      <c r="AL658">
        <f>VLOOKUP(L658,'[1]Tuyến cáp H04'!$B:$E,3,0)/1000</f>
        <v>10.920999999999999</v>
      </c>
      <c r="AM658" t="str">
        <f>VLOOKUP(L658,'[1]Tuyến cáp H04'!$B:$E,4,0)</f>
        <v>Mạng cấp 4</v>
      </c>
    </row>
    <row r="659" spans="1:39" x14ac:dyDescent="0.25">
      <c r="A659" s="1" t="s">
        <v>6187</v>
      </c>
      <c r="B659" s="1" t="s">
        <v>5488</v>
      </c>
      <c r="C659" s="1" t="s">
        <v>5489</v>
      </c>
      <c r="D659" s="1" t="s">
        <v>6188</v>
      </c>
      <c r="E659" s="1" t="s">
        <v>6189</v>
      </c>
      <c r="F659" s="1" t="s">
        <v>6190</v>
      </c>
      <c r="G659" s="1" t="s">
        <v>14129</v>
      </c>
      <c r="H659" s="1" t="s">
        <v>14133</v>
      </c>
      <c r="I659" s="1" t="s">
        <v>14776</v>
      </c>
      <c r="J659" s="1" t="s">
        <v>23</v>
      </c>
      <c r="K659" s="1"/>
      <c r="L659" s="1" t="s">
        <v>5491</v>
      </c>
      <c r="M659" s="1" t="s">
        <v>5491</v>
      </c>
      <c r="N659" s="12" t="b">
        <f t="shared" si="50"/>
        <v>1</v>
      </c>
      <c r="O659" s="1" t="s">
        <v>6191</v>
      </c>
      <c r="P659" s="1" t="s">
        <v>5496</v>
      </c>
      <c r="Q659" s="1" t="s">
        <v>5497</v>
      </c>
      <c r="R659" s="1" t="s">
        <v>5498</v>
      </c>
      <c r="S659" s="1" t="s">
        <v>6192</v>
      </c>
      <c r="T659" s="1" t="s">
        <v>5547</v>
      </c>
      <c r="U659" s="1" t="s">
        <v>6193</v>
      </c>
      <c r="V659" s="13">
        <f>COUNTIF(L659:$M$1659,L659)</f>
        <v>8</v>
      </c>
      <c r="W659" s="1" t="s">
        <v>5499</v>
      </c>
      <c r="X659">
        <v>1809.87</v>
      </c>
      <c r="Y659">
        <v>221.48</v>
      </c>
      <c r="Z659">
        <v>15.04072</v>
      </c>
      <c r="AA659">
        <v>108.795241</v>
      </c>
      <c r="AB659">
        <v>1588.4</v>
      </c>
      <c r="AC659">
        <v>15.023047999999999</v>
      </c>
      <c r="AD659">
        <v>108.80918800000001</v>
      </c>
      <c r="AE659" s="5">
        <f t="shared" si="51"/>
        <v>0.33221999999999996</v>
      </c>
      <c r="AF659" s="5">
        <f t="shared" si="52"/>
        <v>2.3826000000000005</v>
      </c>
      <c r="AG659" s="1" t="str">
        <f>TRIM(LEFT(L659,FIND("-",L659)-1))</f>
        <v>Đình Cương</v>
      </c>
      <c r="AH659" s="1" t="str">
        <f>TRIM(RIGHT(L659, LEN(L659) - FIND("-", L659)))</f>
        <v>Nghĩa Hành</v>
      </c>
      <c r="AJ659">
        <f t="shared" si="53"/>
        <v>0.22147999999999998</v>
      </c>
      <c r="AK659">
        <f t="shared" si="54"/>
        <v>1.5884</v>
      </c>
      <c r="AL659">
        <f>VLOOKUP(L659,'[1]Tuyến cáp H04'!$B:$E,3,0)/1000</f>
        <v>7.7450000000000001</v>
      </c>
      <c r="AM659" t="str">
        <f>VLOOKUP(L659,'[1]Tuyến cáp H04'!$B:$E,4,0)</f>
        <v>Mạng cấp 4</v>
      </c>
    </row>
    <row r="660" spans="1:39" x14ac:dyDescent="0.25">
      <c r="A660" s="1" t="s">
        <v>6194</v>
      </c>
      <c r="B660" s="1" t="s">
        <v>6188</v>
      </c>
      <c r="C660" s="1" t="s">
        <v>6189</v>
      </c>
      <c r="D660" s="1" t="s">
        <v>6195</v>
      </c>
      <c r="E660" s="1" t="s">
        <v>6196</v>
      </c>
      <c r="F660" s="1" t="s">
        <v>6197</v>
      </c>
      <c r="G660" s="1" t="s">
        <v>14129</v>
      </c>
      <c r="H660" s="1" t="s">
        <v>14133</v>
      </c>
      <c r="I660" s="1" t="s">
        <v>14777</v>
      </c>
      <c r="J660" s="1" t="s">
        <v>23</v>
      </c>
      <c r="K660" s="1"/>
      <c r="L660" s="1" t="s">
        <v>5491</v>
      </c>
      <c r="M660" s="1" t="s">
        <v>5491</v>
      </c>
      <c r="N660" s="12" t="b">
        <f t="shared" si="50"/>
        <v>1</v>
      </c>
      <c r="O660" s="1" t="s">
        <v>6198</v>
      </c>
      <c r="P660" s="1" t="s">
        <v>6199</v>
      </c>
      <c r="Q660" s="1" t="s">
        <v>6200</v>
      </c>
      <c r="R660" s="1" t="s">
        <v>6201</v>
      </c>
      <c r="S660" s="1" t="s">
        <v>6202</v>
      </c>
      <c r="T660" s="1" t="s">
        <v>6203</v>
      </c>
      <c r="U660" s="1" t="s">
        <v>6204</v>
      </c>
      <c r="V660" s="13">
        <f>COUNTIF(L660:$M$1659,L660)</f>
        <v>6</v>
      </c>
      <c r="W660" s="1" t="s">
        <v>6205</v>
      </c>
      <c r="X660">
        <v>2000.25</v>
      </c>
      <c r="Y660">
        <v>25.4</v>
      </c>
      <c r="Z660">
        <v>15.015248</v>
      </c>
      <c r="AA660">
        <v>108.821816</v>
      </c>
      <c r="AB660">
        <v>1974.86</v>
      </c>
      <c r="AC660">
        <v>15.021352</v>
      </c>
      <c r="AD660">
        <v>108.814167</v>
      </c>
      <c r="AE660" s="5">
        <f t="shared" si="51"/>
        <v>3.8099999999999995E-2</v>
      </c>
      <c r="AF660" s="5">
        <f t="shared" si="52"/>
        <v>2.9622899999999999</v>
      </c>
      <c r="AG660" s="1" t="str">
        <f>TRIM(LEFT(L660,FIND("-",L660)-1))</f>
        <v>Đình Cương</v>
      </c>
      <c r="AH660" s="1" t="str">
        <f>TRIM(RIGHT(L660, LEN(L660) - FIND("-", L660)))</f>
        <v>Nghĩa Hành</v>
      </c>
      <c r="AJ660">
        <f t="shared" si="53"/>
        <v>2.5399999999999999E-2</v>
      </c>
      <c r="AK660">
        <f t="shared" si="54"/>
        <v>1.9748599999999998</v>
      </c>
      <c r="AL660">
        <f>VLOOKUP(L660,'[1]Tuyến cáp H04'!$B:$E,3,0)/1000</f>
        <v>7.7450000000000001</v>
      </c>
      <c r="AM660" t="str">
        <f>VLOOKUP(L660,'[1]Tuyến cáp H04'!$B:$E,4,0)</f>
        <v>Mạng cấp 4</v>
      </c>
    </row>
    <row r="661" spans="1:39" x14ac:dyDescent="0.25">
      <c r="A661" s="1" t="s">
        <v>6206</v>
      </c>
      <c r="B661" s="1" t="s">
        <v>6207</v>
      </c>
      <c r="C661" s="1" t="s">
        <v>6208</v>
      </c>
      <c r="D661" s="1" t="s">
        <v>6188</v>
      </c>
      <c r="E661" s="1" t="s">
        <v>6189</v>
      </c>
      <c r="F661" s="1" t="s">
        <v>6209</v>
      </c>
      <c r="G661" s="1" t="s">
        <v>14129</v>
      </c>
      <c r="H661" s="1" t="s">
        <v>14679</v>
      </c>
      <c r="I661" s="1" t="s">
        <v>14778</v>
      </c>
      <c r="J661" s="1" t="s">
        <v>23</v>
      </c>
      <c r="K661" s="1"/>
      <c r="L661" s="1" t="s">
        <v>6152</v>
      </c>
      <c r="M661" s="1" t="s">
        <v>6152</v>
      </c>
      <c r="N661" s="12" t="b">
        <f t="shared" si="50"/>
        <v>1</v>
      </c>
      <c r="O661" s="1" t="s">
        <v>6210</v>
      </c>
      <c r="P661" s="1" t="s">
        <v>6211</v>
      </c>
      <c r="Q661" s="1" t="s">
        <v>6212</v>
      </c>
      <c r="R661" s="1" t="s">
        <v>6213</v>
      </c>
      <c r="S661" s="1" t="s">
        <v>6214</v>
      </c>
      <c r="T661" s="1" t="s">
        <v>6215</v>
      </c>
      <c r="U661" s="1" t="s">
        <v>6216</v>
      </c>
      <c r="V661" s="13">
        <f>COUNTIF(L661:$M$1659,L661)</f>
        <v>4</v>
      </c>
      <c r="W661" s="1" t="s">
        <v>6160</v>
      </c>
      <c r="X661">
        <v>492.08</v>
      </c>
      <c r="Y661">
        <v>466.45</v>
      </c>
      <c r="Z661">
        <v>15.013532</v>
      </c>
      <c r="AA661">
        <v>108.821697</v>
      </c>
      <c r="AB661">
        <v>25.63</v>
      </c>
      <c r="AC661">
        <v>15.015243</v>
      </c>
      <c r="AD661">
        <v>108.821819</v>
      </c>
      <c r="AE661" s="5">
        <f t="shared" si="51"/>
        <v>0.69967499999999994</v>
      </c>
      <c r="AF661" s="5">
        <f t="shared" si="52"/>
        <v>3.8445E-2</v>
      </c>
      <c r="AG661" s="1" t="str">
        <f>TRIM(LEFT(L661,FIND("-",L661)-1))</f>
        <v>TTCMKV Minh Long</v>
      </c>
      <c r="AH661" s="1" t="str">
        <f>TRIM(RIGHT(L661, LEN(L661) - FIND("-", L661)))</f>
        <v>Đình Cương</v>
      </c>
      <c r="AJ661">
        <f t="shared" si="53"/>
        <v>0.46644999999999998</v>
      </c>
      <c r="AK661">
        <f t="shared" si="54"/>
        <v>2.563E-2</v>
      </c>
      <c r="AL661">
        <f>VLOOKUP(L661,'[1]Tuyến cáp H04'!$B:$E,3,0)/1000</f>
        <v>19.981000000000002</v>
      </c>
      <c r="AM661" t="str">
        <f>VLOOKUP(L661,'[1]Tuyến cáp H04'!$B:$E,4,0)</f>
        <v>Mạng cấp 4</v>
      </c>
    </row>
    <row r="662" spans="1:39" x14ac:dyDescent="0.25">
      <c r="A662" s="1" t="s">
        <v>6217</v>
      </c>
      <c r="B662" s="1" t="s">
        <v>6218</v>
      </c>
      <c r="C662" s="1" t="s">
        <v>6219</v>
      </c>
      <c r="D662" s="1" t="s">
        <v>6188</v>
      </c>
      <c r="E662" s="1" t="s">
        <v>6189</v>
      </c>
      <c r="F662" s="1" t="s">
        <v>6220</v>
      </c>
      <c r="G662" s="1" t="s">
        <v>14129</v>
      </c>
      <c r="H662" s="1" t="s">
        <v>14679</v>
      </c>
      <c r="I662" s="1" t="s">
        <v>14779</v>
      </c>
      <c r="J662" s="1" t="s">
        <v>23</v>
      </c>
      <c r="K662" s="1"/>
      <c r="L662" s="1" t="s">
        <v>5491</v>
      </c>
      <c r="M662" s="1" t="s">
        <v>5491</v>
      </c>
      <c r="N662" s="12" t="b">
        <f t="shared" si="50"/>
        <v>1</v>
      </c>
      <c r="O662" s="1" t="s">
        <v>6221</v>
      </c>
      <c r="P662" s="1" t="s">
        <v>6222</v>
      </c>
      <c r="Q662" s="1" t="s">
        <v>6223</v>
      </c>
      <c r="R662" s="1" t="s">
        <v>6224</v>
      </c>
      <c r="S662" s="1" t="s">
        <v>6199</v>
      </c>
      <c r="T662" s="1" t="s">
        <v>6200</v>
      </c>
      <c r="U662" s="1" t="s">
        <v>6201</v>
      </c>
      <c r="V662" s="13">
        <f>COUNTIF(L662:$M$1659,L662)</f>
        <v>4</v>
      </c>
      <c r="W662" s="1" t="s">
        <v>6205</v>
      </c>
      <c r="X662">
        <v>1414.49</v>
      </c>
      <c r="Y662">
        <v>1389.1</v>
      </c>
      <c r="Z662">
        <v>15.02305</v>
      </c>
      <c r="AA662">
        <v>108.809184</v>
      </c>
      <c r="AB662">
        <v>25.4</v>
      </c>
      <c r="AC662">
        <v>15.015248</v>
      </c>
      <c r="AD662">
        <v>108.821816</v>
      </c>
      <c r="AE662" s="5">
        <f t="shared" si="51"/>
        <v>2.0836499999999996</v>
      </c>
      <c r="AF662" s="5">
        <f t="shared" si="52"/>
        <v>3.8099999999999995E-2</v>
      </c>
      <c r="AG662" s="1" t="str">
        <f>TRIM(LEFT(L662,FIND("-",L662)-1))</f>
        <v>Đình Cương</v>
      </c>
      <c r="AH662" s="1" t="str">
        <f>TRIM(RIGHT(L662, LEN(L662) - FIND("-", L662)))</f>
        <v>Nghĩa Hành</v>
      </c>
      <c r="AJ662">
        <f t="shared" si="53"/>
        <v>1.3891</v>
      </c>
      <c r="AK662">
        <f t="shared" si="54"/>
        <v>2.5399999999999999E-2</v>
      </c>
      <c r="AL662">
        <f>VLOOKUP(L662,'[1]Tuyến cáp H04'!$B:$E,3,0)/1000</f>
        <v>7.7450000000000001</v>
      </c>
      <c r="AM662" t="str">
        <f>VLOOKUP(L662,'[1]Tuyến cáp H04'!$B:$E,4,0)</f>
        <v>Mạng cấp 4</v>
      </c>
    </row>
    <row r="663" spans="1:39" x14ac:dyDescent="0.25">
      <c r="A663" s="1" t="s">
        <v>6225</v>
      </c>
      <c r="B663" s="1" t="s">
        <v>5561</v>
      </c>
      <c r="C663" s="1" t="s">
        <v>5562</v>
      </c>
      <c r="D663" s="1" t="s">
        <v>6188</v>
      </c>
      <c r="E663" s="1" t="s">
        <v>6189</v>
      </c>
      <c r="F663" s="1" t="s">
        <v>6226</v>
      </c>
      <c r="G663" s="1" t="s">
        <v>14281</v>
      </c>
      <c r="H663" s="1" t="s">
        <v>14282</v>
      </c>
      <c r="I663" s="1" t="s">
        <v>14780</v>
      </c>
      <c r="J663" s="1" t="s">
        <v>23</v>
      </c>
      <c r="K663" s="1"/>
      <c r="L663" s="1" t="s">
        <v>5491</v>
      </c>
      <c r="M663" s="1" t="s">
        <v>5491</v>
      </c>
      <c r="N663" s="12" t="b">
        <f t="shared" si="50"/>
        <v>1</v>
      </c>
      <c r="O663" s="1" t="s">
        <v>6227</v>
      </c>
      <c r="P663" s="1" t="s">
        <v>6228</v>
      </c>
      <c r="Q663" s="1" t="s">
        <v>6223</v>
      </c>
      <c r="R663" s="1" t="s">
        <v>6224</v>
      </c>
      <c r="S663" s="1" t="s">
        <v>6199</v>
      </c>
      <c r="T663" s="1" t="s">
        <v>6200</v>
      </c>
      <c r="U663" s="1" t="s">
        <v>6201</v>
      </c>
      <c r="V663" s="13">
        <f>COUNTIF(L663:$M$1659,L663)</f>
        <v>2</v>
      </c>
      <c r="W663" s="1" t="s">
        <v>6205</v>
      </c>
      <c r="X663">
        <v>2418.92</v>
      </c>
      <c r="Y663">
        <v>2393.52</v>
      </c>
      <c r="Z663">
        <v>15.02305</v>
      </c>
      <c r="AA663">
        <v>108.809184</v>
      </c>
      <c r="AB663">
        <v>25.4</v>
      </c>
      <c r="AC663">
        <v>15.015248</v>
      </c>
      <c r="AD663">
        <v>108.821816</v>
      </c>
      <c r="AE663" s="5">
        <f t="shared" si="51"/>
        <v>3.5902799999999999</v>
      </c>
      <c r="AF663" s="5">
        <f t="shared" si="52"/>
        <v>3.8099999999999995E-2</v>
      </c>
      <c r="AG663" s="1" t="str">
        <f>TRIM(LEFT(L663,FIND("-",L663)-1))</f>
        <v>Đình Cương</v>
      </c>
      <c r="AH663" s="1" t="str">
        <f>TRIM(RIGHT(L663, LEN(L663) - FIND("-", L663)))</f>
        <v>Nghĩa Hành</v>
      </c>
      <c r="AJ663">
        <f t="shared" si="53"/>
        <v>2.3935200000000001</v>
      </c>
      <c r="AK663">
        <f t="shared" si="54"/>
        <v>2.5399999999999999E-2</v>
      </c>
      <c r="AL663">
        <f>VLOOKUP(L663,'[1]Tuyến cáp H04'!$B:$E,3,0)/1000</f>
        <v>7.7450000000000001</v>
      </c>
      <c r="AM663" t="str">
        <f>VLOOKUP(L663,'[1]Tuyến cáp H04'!$B:$E,4,0)</f>
        <v>Mạng cấp 4</v>
      </c>
    </row>
    <row r="664" spans="1:39" x14ac:dyDescent="0.25">
      <c r="A664" s="1" t="s">
        <v>6229</v>
      </c>
      <c r="B664" s="1" t="s">
        <v>6188</v>
      </c>
      <c r="C664" s="1" t="s">
        <v>6189</v>
      </c>
      <c r="D664" s="1" t="s">
        <v>6230</v>
      </c>
      <c r="E664" s="1" t="s">
        <v>6231</v>
      </c>
      <c r="F664" s="1" t="s">
        <v>6232</v>
      </c>
      <c r="G664" s="1" t="s">
        <v>14281</v>
      </c>
      <c r="H664" s="1" t="s">
        <v>14282</v>
      </c>
      <c r="I664" s="1" t="s">
        <v>14781</v>
      </c>
      <c r="J664" s="1" t="s">
        <v>23</v>
      </c>
      <c r="K664" s="1"/>
      <c r="L664" s="1" t="s">
        <v>6152</v>
      </c>
      <c r="M664" s="1" t="s">
        <v>6152</v>
      </c>
      <c r="N664" s="12" t="b">
        <f t="shared" si="50"/>
        <v>1</v>
      </c>
      <c r="O664" s="1" t="s">
        <v>6233</v>
      </c>
      <c r="P664" s="1" t="s">
        <v>6234</v>
      </c>
      <c r="Q664" s="1" t="s">
        <v>6235</v>
      </c>
      <c r="R664" s="1" t="s">
        <v>6236</v>
      </c>
      <c r="S664" s="1" t="s">
        <v>6237</v>
      </c>
      <c r="T664" s="1" t="s">
        <v>6238</v>
      </c>
      <c r="U664" s="1" t="s">
        <v>6239</v>
      </c>
      <c r="V664" s="13">
        <f>COUNTIF(L664:$M$1659,L664)</f>
        <v>2</v>
      </c>
      <c r="W664" s="1" t="s">
        <v>6240</v>
      </c>
      <c r="X664">
        <v>1179.57</v>
      </c>
      <c r="Y664">
        <v>0.38</v>
      </c>
      <c r="Z664">
        <v>15.015252</v>
      </c>
      <c r="AA664">
        <v>108.821583</v>
      </c>
      <c r="AB664">
        <v>1179.19</v>
      </c>
      <c r="AC664">
        <v>15.015311000000001</v>
      </c>
      <c r="AD664">
        <v>108.821809</v>
      </c>
      <c r="AE664" s="5">
        <f t="shared" si="51"/>
        <v>5.7000000000000009E-4</v>
      </c>
      <c r="AF664" s="5">
        <f t="shared" si="52"/>
        <v>1.7687850000000001</v>
      </c>
      <c r="AG664" s="1" t="str">
        <f>TRIM(LEFT(L664,FIND("-",L664)-1))</f>
        <v>TTCMKV Minh Long</v>
      </c>
      <c r="AH664" s="1" t="str">
        <f>TRIM(RIGHT(L664, LEN(L664) - FIND("-", L664)))</f>
        <v>Đình Cương</v>
      </c>
      <c r="AJ664">
        <f t="shared" si="53"/>
        <v>3.8000000000000002E-4</v>
      </c>
      <c r="AK664">
        <f t="shared" si="54"/>
        <v>1.17919</v>
      </c>
      <c r="AL664">
        <f>VLOOKUP(L664,'[1]Tuyến cáp H04'!$B:$E,3,0)/1000</f>
        <v>19.981000000000002</v>
      </c>
      <c r="AM664" t="str">
        <f>VLOOKUP(L664,'[1]Tuyến cáp H04'!$B:$E,4,0)</f>
        <v>Mạng cấp 4</v>
      </c>
    </row>
    <row r="665" spans="1:39" x14ac:dyDescent="0.25">
      <c r="A665" s="1" t="s">
        <v>6241</v>
      </c>
      <c r="B665" s="1" t="s">
        <v>6100</v>
      </c>
      <c r="C665" s="1" t="s">
        <v>6101</v>
      </c>
      <c r="D665" s="1" t="s">
        <v>6135</v>
      </c>
      <c r="E665" s="1" t="s">
        <v>6136</v>
      </c>
      <c r="F665" s="1" t="s">
        <v>6242</v>
      </c>
      <c r="G665" s="1" t="s">
        <v>14129</v>
      </c>
      <c r="H665" s="1" t="s">
        <v>14133</v>
      </c>
      <c r="I665" s="1" t="s">
        <v>14782</v>
      </c>
      <c r="J665" s="1" t="s">
        <v>23</v>
      </c>
      <c r="K665" s="1"/>
      <c r="L665" s="1" t="s">
        <v>6103</v>
      </c>
      <c r="M665" s="1" t="s">
        <v>6103</v>
      </c>
      <c r="N665" s="12" t="b">
        <f t="shared" si="50"/>
        <v>1</v>
      </c>
      <c r="O665" s="1" t="s">
        <v>6243</v>
      </c>
      <c r="P665" s="1" t="s">
        <v>6108</v>
      </c>
      <c r="Q665" s="1" t="s">
        <v>6109</v>
      </c>
      <c r="R665" s="1" t="s">
        <v>6110</v>
      </c>
      <c r="S665" s="1" t="s">
        <v>6244</v>
      </c>
      <c r="T665" s="1" t="s">
        <v>6245</v>
      </c>
      <c r="U665" s="1" t="s">
        <v>6246</v>
      </c>
      <c r="V665" s="13">
        <f>COUNTIF(L665:$M$1659,L665)</f>
        <v>4</v>
      </c>
      <c r="W665" s="1" t="s">
        <v>6111</v>
      </c>
      <c r="X665">
        <v>5538.8</v>
      </c>
      <c r="Y665">
        <v>283</v>
      </c>
      <c r="Z665">
        <v>15.006114999999999</v>
      </c>
      <c r="AA665">
        <v>108.719311</v>
      </c>
      <c r="AB665">
        <v>5255.8</v>
      </c>
      <c r="AC665">
        <v>15.041461999999999</v>
      </c>
      <c r="AD665">
        <v>108.74701399999999</v>
      </c>
      <c r="AE665" s="5">
        <f t="shared" si="51"/>
        <v>0.42449999999999999</v>
      </c>
      <c r="AF665" s="5">
        <f t="shared" si="52"/>
        <v>7.883700000000001</v>
      </c>
      <c r="AG665" s="1" t="str">
        <f>TRIM(LEFT(L665,FIND("-",L665)-1))</f>
        <v>Sơn Mai</v>
      </c>
      <c r="AH665" s="1" t="str">
        <f>TRIM(RIGHT(L665, LEN(L665) - FIND("-", L665)))</f>
        <v>Phước Giang</v>
      </c>
      <c r="AJ665">
        <f t="shared" si="53"/>
        <v>0.28299999999999997</v>
      </c>
      <c r="AK665">
        <f t="shared" si="54"/>
        <v>5.2557999999999998</v>
      </c>
      <c r="AL665">
        <f>VLOOKUP(L665,'[1]Tuyến cáp H04'!$B:$E,3,0)/1000</f>
        <v>6.75</v>
      </c>
      <c r="AM665" t="str">
        <f>VLOOKUP(L665,'[1]Tuyến cáp H04'!$B:$E,4,0)</f>
        <v>Mạng cấp 4</v>
      </c>
    </row>
    <row r="666" spans="1:39" x14ac:dyDescent="0.25">
      <c r="A666" s="1" t="s">
        <v>6247</v>
      </c>
      <c r="B666" s="1" t="s">
        <v>6248</v>
      </c>
      <c r="C666" s="1" t="s">
        <v>6249</v>
      </c>
      <c r="D666" s="1" t="s">
        <v>6100</v>
      </c>
      <c r="E666" s="1" t="s">
        <v>6101</v>
      </c>
      <c r="F666" s="1" t="s">
        <v>6250</v>
      </c>
      <c r="G666" s="1" t="s">
        <v>14129</v>
      </c>
      <c r="H666" s="1" t="s">
        <v>14133</v>
      </c>
      <c r="I666" s="1" t="s">
        <v>14783</v>
      </c>
      <c r="J666" s="1" t="s">
        <v>23</v>
      </c>
      <c r="K666" s="1"/>
      <c r="L666" s="1" t="s">
        <v>6251</v>
      </c>
      <c r="M666" s="1" t="s">
        <v>6251</v>
      </c>
      <c r="N666" s="12" t="b">
        <f t="shared" si="50"/>
        <v>1</v>
      </c>
      <c r="O666" s="1" t="s">
        <v>6252</v>
      </c>
      <c r="P666" s="1" t="s">
        <v>6253</v>
      </c>
      <c r="Q666" s="1" t="s">
        <v>6254</v>
      </c>
      <c r="R666" s="1" t="s">
        <v>6255</v>
      </c>
      <c r="S666" s="1" t="s">
        <v>6256</v>
      </c>
      <c r="T666" s="1" t="s">
        <v>6257</v>
      </c>
      <c r="U666" s="1" t="s">
        <v>6258</v>
      </c>
      <c r="V666" s="13">
        <f>COUNTIF(L666:$M$1659,L666)</f>
        <v>2</v>
      </c>
      <c r="W666" s="1" t="s">
        <v>6259</v>
      </c>
      <c r="X666">
        <v>256.44</v>
      </c>
      <c r="Y666">
        <v>235.36</v>
      </c>
      <c r="Z666">
        <v>15.003126</v>
      </c>
      <c r="AA666">
        <v>108.718464</v>
      </c>
      <c r="AB666">
        <v>21.07</v>
      </c>
      <c r="AC666">
        <v>15.003926</v>
      </c>
      <c r="AD666">
        <v>108.71825699999999</v>
      </c>
      <c r="AE666" s="5">
        <f t="shared" si="51"/>
        <v>0.35304000000000002</v>
      </c>
      <c r="AF666" s="5">
        <f t="shared" si="52"/>
        <v>3.1605000000000001E-2</v>
      </c>
      <c r="AG666" s="1" t="str">
        <f>TRIM(LEFT(L666,FIND("-",L666)-1))</f>
        <v>TTCMKV Minh Long</v>
      </c>
      <c r="AH666" s="1" t="str">
        <f>TRIM(RIGHT(L666, LEN(L666) - FIND("-", L666)))</f>
        <v>Sơn Mai</v>
      </c>
      <c r="AJ666">
        <f t="shared" si="53"/>
        <v>0.23536000000000001</v>
      </c>
      <c r="AK666">
        <f t="shared" si="54"/>
        <v>2.1070000000000002E-2</v>
      </c>
      <c r="AL666">
        <f>VLOOKUP(L666,'[1]Tuyến cáp H04'!$B:$E,3,0)/1000</f>
        <v>9.6980000000000004</v>
      </c>
      <c r="AM666" t="str">
        <f>VLOOKUP(L666,'[1]Tuyến cáp H04'!$B:$E,4,0)</f>
        <v>Mạng cấp 4</v>
      </c>
    </row>
    <row r="667" spans="1:39" x14ac:dyDescent="0.25">
      <c r="A667" s="1" t="s">
        <v>6260</v>
      </c>
      <c r="B667" s="1" t="s">
        <v>6261</v>
      </c>
      <c r="C667" s="1" t="s">
        <v>6262</v>
      </c>
      <c r="D667" s="1" t="s">
        <v>6100</v>
      </c>
      <c r="E667" s="1" t="s">
        <v>6101</v>
      </c>
      <c r="F667" s="1" t="s">
        <v>6263</v>
      </c>
      <c r="G667" s="1" t="s">
        <v>14281</v>
      </c>
      <c r="H667" s="1" t="s">
        <v>14282</v>
      </c>
      <c r="I667" s="1" t="s">
        <v>14784</v>
      </c>
      <c r="J667" s="1" t="s">
        <v>23</v>
      </c>
      <c r="K667" s="1"/>
      <c r="L667" s="1" t="s">
        <v>6103</v>
      </c>
      <c r="M667" s="1" t="s">
        <v>6103</v>
      </c>
      <c r="N667" s="12" t="b">
        <f t="shared" si="50"/>
        <v>1</v>
      </c>
      <c r="O667" s="1" t="s">
        <v>6264</v>
      </c>
      <c r="P667" s="1" t="s">
        <v>6265</v>
      </c>
      <c r="Q667" s="1" t="s">
        <v>6266</v>
      </c>
      <c r="R667" s="1" t="s">
        <v>6267</v>
      </c>
      <c r="S667" s="1" t="s">
        <v>6108</v>
      </c>
      <c r="T667" s="1" t="s">
        <v>6109</v>
      </c>
      <c r="U667" s="1" t="s">
        <v>6110</v>
      </c>
      <c r="V667" s="13">
        <f>COUNTIF(L667:$M$1659,L667)</f>
        <v>2</v>
      </c>
      <c r="W667" s="1" t="s">
        <v>6111</v>
      </c>
      <c r="X667">
        <v>929.87</v>
      </c>
      <c r="Y667">
        <v>646.87</v>
      </c>
      <c r="Z667">
        <v>15.038031</v>
      </c>
      <c r="AA667">
        <v>108.74312399999999</v>
      </c>
      <c r="AB667">
        <v>283</v>
      </c>
      <c r="AC667">
        <v>15.006114999999999</v>
      </c>
      <c r="AD667">
        <v>108.719311</v>
      </c>
      <c r="AE667" s="5">
        <f t="shared" si="51"/>
        <v>0.97030500000000008</v>
      </c>
      <c r="AF667" s="5">
        <f t="shared" si="52"/>
        <v>0.42449999999999999</v>
      </c>
      <c r="AG667" s="1" t="str">
        <f>TRIM(LEFT(L667,FIND("-",L667)-1))</f>
        <v>Sơn Mai</v>
      </c>
      <c r="AH667" s="1" t="str">
        <f>TRIM(RIGHT(L667, LEN(L667) - FIND("-", L667)))</f>
        <v>Phước Giang</v>
      </c>
      <c r="AJ667">
        <f t="shared" si="53"/>
        <v>0.64687000000000006</v>
      </c>
      <c r="AK667">
        <f t="shared" si="54"/>
        <v>0.28299999999999997</v>
      </c>
      <c r="AL667">
        <f>VLOOKUP(L667,'[1]Tuyến cáp H04'!$B:$E,3,0)/1000</f>
        <v>6.75</v>
      </c>
      <c r="AM667" t="str">
        <f>VLOOKUP(L667,'[1]Tuyến cáp H04'!$B:$E,4,0)</f>
        <v>Mạng cấp 4</v>
      </c>
    </row>
    <row r="668" spans="1:39" x14ac:dyDescent="0.25">
      <c r="A668" s="1" t="s">
        <v>6268</v>
      </c>
      <c r="B668" s="1" t="s">
        <v>6269</v>
      </c>
      <c r="C668" s="1" t="s">
        <v>6270</v>
      </c>
      <c r="D668" s="1" t="s">
        <v>6271</v>
      </c>
      <c r="E668" s="1" t="s">
        <v>6272</v>
      </c>
      <c r="F668" s="1" t="s">
        <v>6273</v>
      </c>
      <c r="G668" s="1" t="s">
        <v>14129</v>
      </c>
      <c r="H668" s="1" t="s">
        <v>14133</v>
      </c>
      <c r="I668" s="1" t="s">
        <v>14785</v>
      </c>
      <c r="J668" s="1" t="s">
        <v>23</v>
      </c>
      <c r="K668" s="1"/>
      <c r="L668" s="1" t="s">
        <v>6274</v>
      </c>
      <c r="M668" s="1" t="s">
        <v>6274</v>
      </c>
      <c r="N668" s="12" t="b">
        <f t="shared" si="50"/>
        <v>1</v>
      </c>
      <c r="O668" s="1" t="s">
        <v>6275</v>
      </c>
      <c r="P668" s="1" t="s">
        <v>6276</v>
      </c>
      <c r="Q668" s="1" t="s">
        <v>6277</v>
      </c>
      <c r="R668" s="1" t="s">
        <v>6278</v>
      </c>
      <c r="S668" s="1" t="s">
        <v>6279</v>
      </c>
      <c r="T668" s="1" t="s">
        <v>6280</v>
      </c>
      <c r="U668" s="1" t="s">
        <v>6281</v>
      </c>
      <c r="V668" s="13">
        <f>COUNTIF(L668:$M$1659,L668)</f>
        <v>2</v>
      </c>
      <c r="W668" s="1" t="s">
        <v>6282</v>
      </c>
      <c r="X668">
        <v>634.07000000000005</v>
      </c>
      <c r="Y668">
        <v>28.63</v>
      </c>
      <c r="Z668">
        <v>15.118627</v>
      </c>
      <c r="AA668">
        <v>108.806135</v>
      </c>
      <c r="AB668">
        <v>605.44000000000005</v>
      </c>
      <c r="AC668">
        <v>15.11905</v>
      </c>
      <c r="AD668">
        <v>108.804942</v>
      </c>
      <c r="AE668" s="5">
        <f t="shared" si="51"/>
        <v>4.2944999999999997E-2</v>
      </c>
      <c r="AF668" s="5">
        <f t="shared" si="52"/>
        <v>0.90816000000000008</v>
      </c>
      <c r="AG668" s="1" t="str">
        <f>TRIM(LEFT(L668,FIND("-",L668)-1))</f>
        <v>PC01</v>
      </c>
      <c r="AH668" s="1" t="str">
        <f>TRIM(RIGHT(L668, LEN(L668) - FIND("-", L668)))</f>
        <v>CS113_TRỤ HT_TRỤ III</v>
      </c>
      <c r="AJ668">
        <f t="shared" si="53"/>
        <v>2.8629999999999999E-2</v>
      </c>
      <c r="AK668">
        <f t="shared" si="54"/>
        <v>0.60544000000000009</v>
      </c>
      <c r="AL668" t="e">
        <f>VLOOKUP(L668,'[1]Tuyến cáp H04'!$B:$E,3,0)/1000</f>
        <v>#N/A</v>
      </c>
      <c r="AM668" t="e">
        <f>VLOOKUP(L668,'[1]Tuyến cáp H04'!$B:$E,4,0)</f>
        <v>#N/A</v>
      </c>
    </row>
    <row r="669" spans="1:39" x14ac:dyDescent="0.25">
      <c r="A669" s="1" t="s">
        <v>6283</v>
      </c>
      <c r="B669" s="1" t="s">
        <v>6284</v>
      </c>
      <c r="C669" s="1" t="s">
        <v>6285</v>
      </c>
      <c r="D669" s="1" t="s">
        <v>6269</v>
      </c>
      <c r="E669" s="1" t="s">
        <v>6270</v>
      </c>
      <c r="F669" s="1" t="s">
        <v>6286</v>
      </c>
      <c r="G669" s="1" t="s">
        <v>14129</v>
      </c>
      <c r="H669" s="1" t="s">
        <v>14679</v>
      </c>
      <c r="I669" s="1" t="s">
        <v>14786</v>
      </c>
      <c r="J669" s="1" t="s">
        <v>23</v>
      </c>
      <c r="K669" s="1"/>
      <c r="L669" s="1" t="s">
        <v>6287</v>
      </c>
      <c r="M669" s="1" t="s">
        <v>6287</v>
      </c>
      <c r="N669" s="12" t="b">
        <f t="shared" si="50"/>
        <v>1</v>
      </c>
      <c r="O669" s="1" t="s">
        <v>6288</v>
      </c>
      <c r="P669" s="1" t="s">
        <v>6289</v>
      </c>
      <c r="Q669" s="1" t="s">
        <v>6290</v>
      </c>
      <c r="R669" s="1" t="s">
        <v>6291</v>
      </c>
      <c r="S669" s="1" t="s">
        <v>6292</v>
      </c>
      <c r="T669" s="1" t="s">
        <v>6293</v>
      </c>
      <c r="U669" s="1" t="s">
        <v>6294</v>
      </c>
      <c r="V669" s="13">
        <f>COUNTIF(L669:$M$1659,L669)</f>
        <v>4</v>
      </c>
      <c r="W669" s="1" t="s">
        <v>6295</v>
      </c>
      <c r="X669">
        <v>631.58000000000004</v>
      </c>
      <c r="Y669">
        <v>201.22</v>
      </c>
      <c r="Z669">
        <v>15.113094</v>
      </c>
      <c r="AA669">
        <v>108.803139</v>
      </c>
      <c r="AB669">
        <v>430.36</v>
      </c>
      <c r="AC669">
        <v>15.118891</v>
      </c>
      <c r="AD669">
        <v>108.802402</v>
      </c>
      <c r="AE669" s="5">
        <f t="shared" si="51"/>
        <v>0.30182999999999999</v>
      </c>
      <c r="AF669" s="5">
        <f t="shared" si="52"/>
        <v>0.64554</v>
      </c>
      <c r="AG669" s="1" t="str">
        <f>TRIM(LEFT(L669,FIND("-",L669)-1))</f>
        <v>Cẩm Thành</v>
      </c>
      <c r="AH669" s="1" t="str">
        <f>TRIM(RIGHT(L669, LEN(L669) - FIND("-", L669)))</f>
        <v>TT1 QUẢNG NGÃI</v>
      </c>
      <c r="AJ669">
        <f t="shared" si="53"/>
        <v>0.20122000000000001</v>
      </c>
      <c r="AK669">
        <f t="shared" si="54"/>
        <v>0.43036000000000002</v>
      </c>
      <c r="AL669">
        <f>VLOOKUP(L669,'[1]Tuyến cáp H04'!$B:$E,3,0)/1000</f>
        <v>3.1179999999999999</v>
      </c>
      <c r="AM669" t="str">
        <f>VLOOKUP(L669,'[1]Tuyến cáp H04'!$B:$E,4,0)</f>
        <v>Mạng cấp 4</v>
      </c>
    </row>
    <row r="670" spans="1:39" x14ac:dyDescent="0.25">
      <c r="A670" s="1" t="s">
        <v>6296</v>
      </c>
      <c r="B670" s="1" t="s">
        <v>6297</v>
      </c>
      <c r="C670" s="1" t="s">
        <v>6298</v>
      </c>
      <c r="D670" s="1" t="s">
        <v>6269</v>
      </c>
      <c r="E670" s="1" t="s">
        <v>6270</v>
      </c>
      <c r="F670" s="1" t="s">
        <v>6299</v>
      </c>
      <c r="G670" s="1" t="s">
        <v>14129</v>
      </c>
      <c r="H670" s="1" t="s">
        <v>14679</v>
      </c>
      <c r="I670" s="1" t="s">
        <v>14787</v>
      </c>
      <c r="J670" s="1" t="s">
        <v>23</v>
      </c>
      <c r="K670" s="1"/>
      <c r="L670" s="1" t="s">
        <v>6300</v>
      </c>
      <c r="M670" s="1" t="s">
        <v>6300</v>
      </c>
      <c r="N670" s="12" t="b">
        <f t="shared" si="50"/>
        <v>1</v>
      </c>
      <c r="O670" s="1" t="s">
        <v>6301</v>
      </c>
      <c r="P670" s="1" t="s">
        <v>6302</v>
      </c>
      <c r="Q670" s="1" t="s">
        <v>6303</v>
      </c>
      <c r="R670" s="1" t="s">
        <v>6304</v>
      </c>
      <c r="S670" s="1" t="s">
        <v>6305</v>
      </c>
      <c r="T670" s="1" t="s">
        <v>6306</v>
      </c>
      <c r="U670" s="1" t="s">
        <v>6307</v>
      </c>
      <c r="V670" s="13">
        <f>COUNTIF(L670:$M$1659,L670)</f>
        <v>2</v>
      </c>
      <c r="W670" s="1" t="s">
        <v>6308</v>
      </c>
      <c r="X670">
        <v>81.260000000000005</v>
      </c>
      <c r="Y670">
        <v>56.81</v>
      </c>
      <c r="Z670">
        <v>15.117743000000001</v>
      </c>
      <c r="AA670">
        <v>108.809515</v>
      </c>
      <c r="AB670">
        <v>24.45</v>
      </c>
      <c r="AC670">
        <v>15.118425</v>
      </c>
      <c r="AD670">
        <v>108.806263</v>
      </c>
      <c r="AE670" s="5">
        <f t="shared" si="51"/>
        <v>8.5214999999999999E-2</v>
      </c>
      <c r="AF670" s="5">
        <f t="shared" si="52"/>
        <v>3.6674999999999999E-2</v>
      </c>
      <c r="AG670" s="1" t="str">
        <f>TRIM(LEFT(L670,FIND("-",L670)-1))</f>
        <v>CS113</v>
      </c>
      <c r="AH670" s="1" t="str">
        <f>TRIM(RIGHT(L670, LEN(L670) - FIND("-", L670)))</f>
        <v>PK02</v>
      </c>
      <c r="AJ670">
        <f t="shared" si="53"/>
        <v>5.6809999999999999E-2</v>
      </c>
      <c r="AK670">
        <f t="shared" si="54"/>
        <v>2.445E-2</v>
      </c>
      <c r="AL670">
        <f>VLOOKUP(L670,'[1]Tuyến cáp H04'!$B:$E,3,0)/1000</f>
        <v>1.8740000000000001</v>
      </c>
      <c r="AM670" t="str">
        <f>VLOOKUP(L670,'[1]Tuyến cáp H04'!$B:$E,4,0)</f>
        <v>Mạng cấp 3</v>
      </c>
    </row>
    <row r="671" spans="1:39" x14ac:dyDescent="0.25">
      <c r="A671" s="1" t="s">
        <v>6309</v>
      </c>
      <c r="B671" s="1" t="s">
        <v>6310</v>
      </c>
      <c r="C671" s="1" t="s">
        <v>6311</v>
      </c>
      <c r="D671" s="1" t="s">
        <v>6269</v>
      </c>
      <c r="E671" s="1" t="s">
        <v>6270</v>
      </c>
      <c r="F671" s="1" t="s">
        <v>6312</v>
      </c>
      <c r="G671" s="1" t="s">
        <v>14281</v>
      </c>
      <c r="H671" s="1" t="s">
        <v>14282</v>
      </c>
      <c r="I671" s="1" t="s">
        <v>14788</v>
      </c>
      <c r="J671" s="1" t="s">
        <v>23</v>
      </c>
      <c r="K671" s="1"/>
      <c r="L671" s="1" t="s">
        <v>6287</v>
      </c>
      <c r="M671" s="1" t="s">
        <v>6287</v>
      </c>
      <c r="N671" s="12" t="b">
        <f t="shared" si="50"/>
        <v>1</v>
      </c>
      <c r="O671" s="1" t="s">
        <v>6313</v>
      </c>
      <c r="P671" s="1" t="s">
        <v>6314</v>
      </c>
      <c r="Q671" s="1" t="s">
        <v>6315</v>
      </c>
      <c r="R671" s="1" t="s">
        <v>6316</v>
      </c>
      <c r="S671" s="1" t="s">
        <v>6292</v>
      </c>
      <c r="T671" s="1" t="s">
        <v>6293</v>
      </c>
      <c r="U671" s="1" t="s">
        <v>6294</v>
      </c>
      <c r="V671" s="13">
        <f>COUNTIF(L671:$M$1659,L671)</f>
        <v>2</v>
      </c>
      <c r="W671" s="1" t="s">
        <v>6295</v>
      </c>
      <c r="X671">
        <v>461.53</v>
      </c>
      <c r="Y671">
        <v>31.17</v>
      </c>
      <c r="Z671">
        <v>15.113121</v>
      </c>
      <c r="AA671">
        <v>108.80839</v>
      </c>
      <c r="AB671">
        <v>430.36</v>
      </c>
      <c r="AC671">
        <v>15.118891</v>
      </c>
      <c r="AD671">
        <v>108.802402</v>
      </c>
      <c r="AE671" s="5">
        <f t="shared" si="51"/>
        <v>4.6755000000000005E-2</v>
      </c>
      <c r="AF671" s="5">
        <f t="shared" si="52"/>
        <v>0.64554</v>
      </c>
      <c r="AG671" s="1" t="str">
        <f>TRIM(LEFT(L671,FIND("-",L671)-1))</f>
        <v>Cẩm Thành</v>
      </c>
      <c r="AH671" s="1" t="str">
        <f>TRIM(RIGHT(L671, LEN(L671) - FIND("-", L671)))</f>
        <v>TT1 QUẢNG NGÃI</v>
      </c>
      <c r="AJ671">
        <f t="shared" si="53"/>
        <v>3.1170000000000003E-2</v>
      </c>
      <c r="AK671">
        <f t="shared" si="54"/>
        <v>0.43036000000000002</v>
      </c>
      <c r="AL671">
        <f>VLOOKUP(L671,'[1]Tuyến cáp H04'!$B:$E,3,0)/1000</f>
        <v>3.1179999999999999</v>
      </c>
      <c r="AM671" t="str">
        <f>VLOOKUP(L671,'[1]Tuyến cáp H04'!$B:$E,4,0)</f>
        <v>Mạng cấp 4</v>
      </c>
    </row>
    <row r="672" spans="1:39" x14ac:dyDescent="0.25">
      <c r="A672" s="1" t="s">
        <v>6317</v>
      </c>
      <c r="B672" s="1" t="s">
        <v>6269</v>
      </c>
      <c r="C672" s="1" t="s">
        <v>6270</v>
      </c>
      <c r="D672" s="1" t="s">
        <v>5321</v>
      </c>
      <c r="E672" s="1" t="s">
        <v>5322</v>
      </c>
      <c r="F672" s="1" t="s">
        <v>6318</v>
      </c>
      <c r="G672" s="1" t="s">
        <v>14281</v>
      </c>
      <c r="H672" s="1" t="s">
        <v>14282</v>
      </c>
      <c r="I672" s="1" t="s">
        <v>14789</v>
      </c>
      <c r="J672" s="1" t="s">
        <v>23</v>
      </c>
      <c r="K672" s="1"/>
      <c r="L672" s="1" t="s">
        <v>6319</v>
      </c>
      <c r="M672" s="1" t="s">
        <v>6319</v>
      </c>
      <c r="N672" s="12" t="b">
        <f t="shared" si="50"/>
        <v>1</v>
      </c>
      <c r="O672" s="1" t="s">
        <v>6320</v>
      </c>
      <c r="P672" s="1" t="s">
        <v>6321</v>
      </c>
      <c r="Q672" s="1" t="s">
        <v>6322</v>
      </c>
      <c r="R672" s="1" t="s">
        <v>6323</v>
      </c>
      <c r="S672" s="1" t="s">
        <v>6324</v>
      </c>
      <c r="T672" s="1" t="s">
        <v>6325</v>
      </c>
      <c r="U672" s="1" t="s">
        <v>6326</v>
      </c>
      <c r="V672" s="13">
        <f>COUNTIF(L672:$M$1659,L672)</f>
        <v>2</v>
      </c>
      <c r="W672" s="1" t="s">
        <v>6327</v>
      </c>
      <c r="X672">
        <v>1647.78</v>
      </c>
      <c r="Y672">
        <v>971.41</v>
      </c>
      <c r="Z672">
        <v>15.126533999999999</v>
      </c>
      <c r="AA672">
        <v>108.80261299999999</v>
      </c>
      <c r="AB672">
        <v>676.37</v>
      </c>
      <c r="AC672">
        <v>15.132671</v>
      </c>
      <c r="AD672">
        <v>108.801546</v>
      </c>
      <c r="AE672" s="5">
        <f t="shared" si="51"/>
        <v>1.4571149999999999</v>
      </c>
      <c r="AF672" s="5">
        <f t="shared" si="52"/>
        <v>1.0145550000000001</v>
      </c>
      <c r="AG672" s="1" t="str">
        <f>TRIM(LEFT(L672,FIND("-",L672)-1))</f>
        <v>Trương Quang Trọng</v>
      </c>
      <c r="AH672" s="1" t="str">
        <f>TRIM(RIGHT(L672, LEN(L672) - FIND("-", L672)))</f>
        <v>TT1 QUẢNG NGÃI</v>
      </c>
      <c r="AJ672">
        <f t="shared" si="53"/>
        <v>0.97141</v>
      </c>
      <c r="AK672">
        <f t="shared" si="54"/>
        <v>0.67637000000000003</v>
      </c>
      <c r="AL672">
        <f>VLOOKUP(L672,'[1]Tuyến cáp H04'!$B:$E,3,0)/1000</f>
        <v>5.2640000000000002</v>
      </c>
      <c r="AM672" t="str">
        <f>VLOOKUP(L672,'[1]Tuyến cáp H04'!$B:$E,4,0)</f>
        <v>Mạng cấp 4</v>
      </c>
    </row>
    <row r="673" spans="1:39" x14ac:dyDescent="0.25">
      <c r="A673" s="1" t="s">
        <v>6328</v>
      </c>
      <c r="B673" s="1" t="s">
        <v>6329</v>
      </c>
      <c r="C673" s="1" t="s">
        <v>6330</v>
      </c>
      <c r="D673" s="1" t="s">
        <v>6331</v>
      </c>
      <c r="E673" s="1" t="s">
        <v>6332</v>
      </c>
      <c r="F673" s="1" t="s">
        <v>6333</v>
      </c>
      <c r="G673" s="1" t="s">
        <v>14129</v>
      </c>
      <c r="H673" s="1" t="s">
        <v>14679</v>
      </c>
      <c r="I673" s="1" t="s">
        <v>14790</v>
      </c>
      <c r="J673" s="1" t="s">
        <v>23</v>
      </c>
      <c r="K673" s="1"/>
      <c r="L673" s="1" t="s">
        <v>5777</v>
      </c>
      <c r="M673" s="1" t="s">
        <v>5777</v>
      </c>
      <c r="N673" s="12" t="b">
        <f t="shared" si="50"/>
        <v>1</v>
      </c>
      <c r="O673" s="1" t="s">
        <v>6334</v>
      </c>
      <c r="P673" s="1" t="s">
        <v>6335</v>
      </c>
      <c r="Q673" s="1" t="s">
        <v>6336</v>
      </c>
      <c r="R673" s="1" t="s">
        <v>6337</v>
      </c>
      <c r="S673" s="1" t="s">
        <v>6338</v>
      </c>
      <c r="T673" s="1" t="s">
        <v>6339</v>
      </c>
      <c r="U673" s="1" t="s">
        <v>6340</v>
      </c>
      <c r="V673" s="13">
        <f>COUNTIF(L673:$M$1659,L673)</f>
        <v>10</v>
      </c>
      <c r="W673" s="1" t="s">
        <v>6341</v>
      </c>
      <c r="X673">
        <v>1570.23</v>
      </c>
      <c r="Y673">
        <v>1216.32</v>
      </c>
      <c r="Z673">
        <v>15.108153</v>
      </c>
      <c r="AA673">
        <v>108.81795099999999</v>
      </c>
      <c r="AB673">
        <v>353.92</v>
      </c>
      <c r="AC673">
        <v>15.122006000000001</v>
      </c>
      <c r="AD673">
        <v>108.814892</v>
      </c>
      <c r="AE673" s="5">
        <f t="shared" si="51"/>
        <v>1.8244800000000001</v>
      </c>
      <c r="AF673" s="5">
        <f t="shared" si="52"/>
        <v>0.53088000000000002</v>
      </c>
      <c r="AG673" s="1" t="e">
        <f>TRIM(LEFT(L673,FIND("-",L673)-1))</f>
        <v>#VALUE!</v>
      </c>
      <c r="AH673" s="1" t="e">
        <f>TRIM(RIGHT(L673, LEN(L673) - FIND("-", L673)))</f>
        <v>#VALUE!</v>
      </c>
      <c r="AJ673">
        <f t="shared" si="53"/>
        <v>1.2163199999999998</v>
      </c>
      <c r="AK673">
        <f t="shared" si="54"/>
        <v>0.35392000000000001</v>
      </c>
      <c r="AL673" t="e">
        <f>VLOOKUP(L673,'[1]Tuyến cáp H04'!$B:$E,3,0)/1000</f>
        <v>#N/A</v>
      </c>
      <c r="AM673" t="e">
        <f>VLOOKUP(L673,'[1]Tuyến cáp H04'!$B:$E,4,0)</f>
        <v>#N/A</v>
      </c>
    </row>
    <row r="674" spans="1:39" x14ac:dyDescent="0.25">
      <c r="A674" s="1" t="s">
        <v>6342</v>
      </c>
      <c r="B674" s="1" t="s">
        <v>6343</v>
      </c>
      <c r="C674" s="1" t="s">
        <v>6344</v>
      </c>
      <c r="D674" s="1" t="s">
        <v>6331</v>
      </c>
      <c r="E674" s="1" t="s">
        <v>6332</v>
      </c>
      <c r="F674" s="1" t="s">
        <v>6345</v>
      </c>
      <c r="G674" s="1" t="s">
        <v>14281</v>
      </c>
      <c r="H674" s="1" t="s">
        <v>14282</v>
      </c>
      <c r="I674" s="1" t="s">
        <v>14791</v>
      </c>
      <c r="J674" s="1" t="s">
        <v>23</v>
      </c>
      <c r="K674" s="1"/>
      <c r="L674" s="1" t="s">
        <v>6346</v>
      </c>
      <c r="M674" s="1" t="s">
        <v>6346</v>
      </c>
      <c r="N674" s="12" t="b">
        <f t="shared" si="50"/>
        <v>1</v>
      </c>
      <c r="O674" s="1" t="s">
        <v>6347</v>
      </c>
      <c r="P674" s="1" t="s">
        <v>6348</v>
      </c>
      <c r="Q674" s="1" t="s">
        <v>6349</v>
      </c>
      <c r="R674" s="1" t="s">
        <v>6350</v>
      </c>
      <c r="S674" s="1" t="s">
        <v>6351</v>
      </c>
      <c r="T674" s="1" t="s">
        <v>6352</v>
      </c>
      <c r="U674" s="1" t="s">
        <v>6353</v>
      </c>
      <c r="V674" s="13">
        <f>COUNTIF(L674:$M$1659,L674)</f>
        <v>2</v>
      </c>
      <c r="W674" s="1" t="s">
        <v>6354</v>
      </c>
      <c r="X674">
        <v>514.13</v>
      </c>
      <c r="Y674">
        <v>135.80000000000001</v>
      </c>
      <c r="Z674">
        <v>15.122529</v>
      </c>
      <c r="AA674">
        <v>108.82444099999999</v>
      </c>
      <c r="AB674">
        <v>378.33</v>
      </c>
      <c r="AC674">
        <v>15.120934999999999</v>
      </c>
      <c r="AD674">
        <v>108.82108700000001</v>
      </c>
      <c r="AE674" s="5">
        <f t="shared" si="51"/>
        <v>0.20370000000000002</v>
      </c>
      <c r="AF674" s="5">
        <f t="shared" si="52"/>
        <v>0.56749499999999997</v>
      </c>
      <c r="AG674" s="1" t="str">
        <f>TRIM(LEFT(L674,FIND("-",L674)-1))</f>
        <v>TT1 Quảng Ngãi mới</v>
      </c>
      <c r="AH674" s="1" t="str">
        <f>TRIM(RIGHT(L674, LEN(L674) - FIND("-", L674)))</f>
        <v>TT1 Quảng Ngãi</v>
      </c>
      <c r="AJ674">
        <f t="shared" si="53"/>
        <v>0.1358</v>
      </c>
      <c r="AK674">
        <f t="shared" si="54"/>
        <v>0.37833</v>
      </c>
      <c r="AL674" t="e">
        <f>VLOOKUP(L674,'[1]Tuyến cáp H04'!$B:$E,3,0)/1000</f>
        <v>#N/A</v>
      </c>
      <c r="AM674" t="e">
        <f>VLOOKUP(L674,'[1]Tuyến cáp H04'!$B:$E,4,0)</f>
        <v>#N/A</v>
      </c>
    </row>
    <row r="675" spans="1:39" x14ac:dyDescent="0.25">
      <c r="A675" s="1" t="s">
        <v>6355</v>
      </c>
      <c r="B675" s="1" t="s">
        <v>6331</v>
      </c>
      <c r="C675" s="1" t="s">
        <v>6332</v>
      </c>
      <c r="D675" s="1" t="s">
        <v>5321</v>
      </c>
      <c r="E675" s="1" t="s">
        <v>5322</v>
      </c>
      <c r="F675" s="1" t="s">
        <v>6356</v>
      </c>
      <c r="G675" s="1" t="s">
        <v>14281</v>
      </c>
      <c r="H675" s="1" t="s">
        <v>14282</v>
      </c>
      <c r="I675" s="1" t="s">
        <v>14792</v>
      </c>
      <c r="J675" s="1" t="s">
        <v>23</v>
      </c>
      <c r="K675" s="1"/>
      <c r="L675" s="1" t="s">
        <v>6357</v>
      </c>
      <c r="M675" s="1" t="s">
        <v>6357</v>
      </c>
      <c r="N675" s="12" t="b">
        <f t="shared" si="50"/>
        <v>1</v>
      </c>
      <c r="O675" s="1" t="s">
        <v>6358</v>
      </c>
      <c r="P675" s="1" t="s">
        <v>6359</v>
      </c>
      <c r="Q675" s="1" t="s">
        <v>6360</v>
      </c>
      <c r="R675" s="1" t="s">
        <v>6361</v>
      </c>
      <c r="S675" s="1" t="s">
        <v>6362</v>
      </c>
      <c r="T675" s="1" t="s">
        <v>6363</v>
      </c>
      <c r="U675" s="1" t="s">
        <v>6364</v>
      </c>
      <c r="V675" s="13">
        <f>COUNTIF(L675:$M$1659,L675)</f>
        <v>2</v>
      </c>
      <c r="W675" s="1" t="s">
        <v>6365</v>
      </c>
      <c r="X675">
        <v>1061.82</v>
      </c>
      <c r="Y675">
        <v>383.51</v>
      </c>
      <c r="Z675">
        <v>15.124038000000001</v>
      </c>
      <c r="AA675">
        <v>108.81479</v>
      </c>
      <c r="AB675">
        <v>678.32</v>
      </c>
      <c r="AC675">
        <v>15.132804999999999</v>
      </c>
      <c r="AD675">
        <v>108.801569</v>
      </c>
      <c r="AE675" s="5">
        <f t="shared" si="51"/>
        <v>0.57526500000000003</v>
      </c>
      <c r="AF675" s="5">
        <f t="shared" si="52"/>
        <v>1.0174799999999999</v>
      </c>
      <c r="AG675" s="1" t="str">
        <f>TRIM(LEFT(L675,FIND("-",L675)-1))</f>
        <v>PC03</v>
      </c>
      <c r="AH675" s="1" t="str">
        <f>TRIM(RIGHT(L675, LEN(L675) - FIND("-", L675)))</f>
        <v>PC10</v>
      </c>
      <c r="AJ675">
        <f t="shared" si="53"/>
        <v>0.38351000000000002</v>
      </c>
      <c r="AK675">
        <f t="shared" si="54"/>
        <v>0.67832000000000003</v>
      </c>
      <c r="AL675">
        <f>VLOOKUP(L675,'[1]Tuyến cáp H04'!$B:$E,3,0)/1000</f>
        <v>4.218</v>
      </c>
      <c r="AM675" t="str">
        <f>VLOOKUP(L675,'[1]Tuyến cáp H04'!$B:$E,4,0)</f>
        <v>Mạng cấp 3</v>
      </c>
    </row>
    <row r="676" spans="1:39" x14ac:dyDescent="0.25">
      <c r="A676" s="1" t="s">
        <v>6366</v>
      </c>
      <c r="B676" s="1" t="s">
        <v>6367</v>
      </c>
      <c r="C676" s="1" t="s">
        <v>6368</v>
      </c>
      <c r="D676" s="1" t="s">
        <v>6369</v>
      </c>
      <c r="E676" s="1" t="s">
        <v>6370</v>
      </c>
      <c r="F676" s="1" t="s">
        <v>6371</v>
      </c>
      <c r="G676" s="1" t="s">
        <v>14129</v>
      </c>
      <c r="H676" s="1" t="s">
        <v>14133</v>
      </c>
      <c r="I676" s="1" t="s">
        <v>14793</v>
      </c>
      <c r="J676" s="1" t="s">
        <v>23</v>
      </c>
      <c r="K676" s="1"/>
      <c r="L676" s="1" t="s">
        <v>6372</v>
      </c>
      <c r="M676" s="1" t="s">
        <v>6372</v>
      </c>
      <c r="N676" s="12" t="b">
        <f t="shared" si="50"/>
        <v>1</v>
      </c>
      <c r="O676" s="1" t="s">
        <v>6373</v>
      </c>
      <c r="P676" s="1" t="s">
        <v>6374</v>
      </c>
      <c r="Q676" s="1" t="s">
        <v>6375</v>
      </c>
      <c r="R676" s="1" t="s">
        <v>6376</v>
      </c>
      <c r="S676" s="1" t="s">
        <v>6377</v>
      </c>
      <c r="T676" s="1" t="s">
        <v>6378</v>
      </c>
      <c r="U676" s="1" t="s">
        <v>6379</v>
      </c>
      <c r="V676" s="13">
        <f>COUNTIF(L676:$M$1659,L676)</f>
        <v>2</v>
      </c>
      <c r="W676" s="1" t="s">
        <v>6380</v>
      </c>
      <c r="X676">
        <v>52.84</v>
      </c>
      <c r="Y676">
        <v>7.72</v>
      </c>
      <c r="Z676">
        <v>15.120787999999999</v>
      </c>
      <c r="AA676">
        <v>108.786946</v>
      </c>
      <c r="AB676">
        <v>45.11</v>
      </c>
      <c r="AC676">
        <v>15.128276</v>
      </c>
      <c r="AD676">
        <v>108.787037</v>
      </c>
      <c r="AE676" s="5">
        <f t="shared" si="51"/>
        <v>1.158E-2</v>
      </c>
      <c r="AF676" s="5">
        <f t="shared" si="52"/>
        <v>6.7664999999999989E-2</v>
      </c>
      <c r="AG676" s="1" t="str">
        <f>TRIM(LEFT(L676,FIND("-",L676)-1))</f>
        <v>TT1 Quảng Ngãi</v>
      </c>
      <c r="AH676" s="1" t="str">
        <f>TRIM(RIGHT(L676, LEN(L676) - FIND("-", L676)))</f>
        <v>PC07</v>
      </c>
      <c r="AJ676">
        <f t="shared" si="53"/>
        <v>7.7199999999999994E-3</v>
      </c>
      <c r="AK676">
        <f t="shared" si="54"/>
        <v>4.5109999999999997E-2</v>
      </c>
      <c r="AL676">
        <f>VLOOKUP(L676,'[1]Tuyến cáp H04'!$B:$E,3,0)/1000</f>
        <v>1.958</v>
      </c>
      <c r="AM676" t="str">
        <f>VLOOKUP(L676,'[1]Tuyến cáp H04'!$B:$E,4,0)</f>
        <v>Mạng cấp 3</v>
      </c>
    </row>
    <row r="677" spans="1:39" x14ac:dyDescent="0.25">
      <c r="A677" s="1" t="s">
        <v>6381</v>
      </c>
      <c r="B677" s="1" t="s">
        <v>6369</v>
      </c>
      <c r="C677" s="1" t="s">
        <v>6370</v>
      </c>
      <c r="D677" s="1" t="s">
        <v>6382</v>
      </c>
      <c r="E677" s="1" t="s">
        <v>6383</v>
      </c>
      <c r="F677" s="1" t="s">
        <v>6384</v>
      </c>
      <c r="G677" s="1" t="s">
        <v>14129</v>
      </c>
      <c r="H677" s="1" t="s">
        <v>14133</v>
      </c>
      <c r="I677" s="1" t="s">
        <v>14794</v>
      </c>
      <c r="J677" s="1" t="s">
        <v>23</v>
      </c>
      <c r="K677" s="1"/>
      <c r="L677" s="1" t="s">
        <v>5210</v>
      </c>
      <c r="M677" s="1" t="s">
        <v>5210</v>
      </c>
      <c r="N677" s="12" t="b">
        <f t="shared" si="50"/>
        <v>1</v>
      </c>
      <c r="O677" s="1" t="s">
        <v>6385</v>
      </c>
      <c r="P677" s="1" t="s">
        <v>6386</v>
      </c>
      <c r="Q677" s="1" t="s">
        <v>6387</v>
      </c>
      <c r="R677" s="1" t="s">
        <v>6388</v>
      </c>
      <c r="S677" s="1" t="s">
        <v>6389</v>
      </c>
      <c r="T677" s="1" t="s">
        <v>6390</v>
      </c>
      <c r="U677" s="1" t="s">
        <v>6391</v>
      </c>
      <c r="V677" s="13">
        <f>COUNTIF(L677:$M$1659,L677)</f>
        <v>4</v>
      </c>
      <c r="W677" s="1" t="s">
        <v>6392</v>
      </c>
      <c r="X677">
        <v>631.67999999999995</v>
      </c>
      <c r="Y677">
        <v>46.45</v>
      </c>
      <c r="Z677">
        <v>15.12837</v>
      </c>
      <c r="AA677">
        <v>108.787385</v>
      </c>
      <c r="AB677">
        <v>585.24</v>
      </c>
      <c r="AC677">
        <v>15.129201</v>
      </c>
      <c r="AD677">
        <v>108.79018600000001</v>
      </c>
      <c r="AE677" s="5">
        <f t="shared" si="51"/>
        <v>6.9675000000000015E-2</v>
      </c>
      <c r="AF677" s="5">
        <f t="shared" si="52"/>
        <v>0.87785999999999997</v>
      </c>
      <c r="AG677" s="1" t="str">
        <f>TRIM(LEFT(L677,FIND("-",L677)-1))</f>
        <v>PC07</v>
      </c>
      <c r="AH677" s="1" t="str">
        <f>TRIM(RIGHT(L677, LEN(L677) - FIND("-", L677)))</f>
        <v>Sơn Tịnh</v>
      </c>
      <c r="AJ677">
        <f t="shared" si="53"/>
        <v>4.6450000000000005E-2</v>
      </c>
      <c r="AK677">
        <f t="shared" si="54"/>
        <v>0.58523999999999998</v>
      </c>
      <c r="AL677">
        <f>VLOOKUP(L677,'[1]Tuyến cáp H04'!$B:$E,3,0)/1000</f>
        <v>9.1340000000000003</v>
      </c>
      <c r="AM677" t="str">
        <f>VLOOKUP(L677,'[1]Tuyến cáp H04'!$B:$E,4,0)</f>
        <v>Mạng cấp 3</v>
      </c>
    </row>
    <row r="678" spans="1:39" x14ac:dyDescent="0.25">
      <c r="A678" s="1" t="s">
        <v>6393</v>
      </c>
      <c r="B678" s="1" t="s">
        <v>6369</v>
      </c>
      <c r="C678" s="1" t="s">
        <v>6370</v>
      </c>
      <c r="D678" s="1" t="s">
        <v>6394</v>
      </c>
      <c r="E678" s="1" t="s">
        <v>6395</v>
      </c>
      <c r="F678" s="1" t="s">
        <v>6396</v>
      </c>
      <c r="G678" s="1" t="s">
        <v>14129</v>
      </c>
      <c r="H678" s="1" t="s">
        <v>14133</v>
      </c>
      <c r="I678" s="1" t="s">
        <v>14795</v>
      </c>
      <c r="J678" s="1" t="s">
        <v>23</v>
      </c>
      <c r="K678" s="1"/>
      <c r="L678" s="1" t="s">
        <v>6397</v>
      </c>
      <c r="M678" s="1" t="s">
        <v>6397</v>
      </c>
      <c r="N678" s="12" t="b">
        <f t="shared" si="50"/>
        <v>1</v>
      </c>
      <c r="O678" s="1" t="s">
        <v>6398</v>
      </c>
      <c r="P678" s="1" t="s">
        <v>6399</v>
      </c>
      <c r="Q678" s="1" t="s">
        <v>6400</v>
      </c>
      <c r="R678" s="1" t="s">
        <v>6401</v>
      </c>
      <c r="S678" s="1" t="s">
        <v>6402</v>
      </c>
      <c r="T678" s="1" t="s">
        <v>6403</v>
      </c>
      <c r="U678" s="1" t="s">
        <v>6404</v>
      </c>
      <c r="V678" s="13">
        <f>COUNTIF(L678:$M$1659,L678)</f>
        <v>2</v>
      </c>
      <c r="W678" s="1" t="s">
        <v>6405</v>
      </c>
      <c r="X678">
        <v>954.07</v>
      </c>
      <c r="Y678">
        <v>443.79</v>
      </c>
      <c r="Z678">
        <v>15.131817</v>
      </c>
      <c r="AA678">
        <v>108.78836200000001</v>
      </c>
      <c r="AB678">
        <v>510.28</v>
      </c>
      <c r="AC678">
        <v>15.139509</v>
      </c>
      <c r="AD678">
        <v>108.784069</v>
      </c>
      <c r="AE678" s="5">
        <f t="shared" si="51"/>
        <v>0.66568500000000008</v>
      </c>
      <c r="AF678" s="5">
        <f t="shared" si="52"/>
        <v>0.76541999999999999</v>
      </c>
      <c r="AG678" s="1" t="str">
        <f>TRIM(LEFT(L678,FIND("-",L678)-1))</f>
        <v>TT1 Quảng Ngãi</v>
      </c>
      <c r="AH678" s="1" t="str">
        <f>TRIM(RIGHT(L678, LEN(L678) - FIND("-", L678)))</f>
        <v>Sơn hà</v>
      </c>
      <c r="AJ678">
        <f t="shared" si="53"/>
        <v>0.44379000000000002</v>
      </c>
      <c r="AK678">
        <f t="shared" si="54"/>
        <v>0.51027999999999996</v>
      </c>
      <c r="AL678">
        <f>VLOOKUP(L678,'[1]Tuyến cáp H04'!$B:$E,3,0)/1000</f>
        <v>48.545000000000002</v>
      </c>
      <c r="AM678" t="str">
        <f>VLOOKUP(L678,'[1]Tuyến cáp H04'!$B:$E,4,0)</f>
        <v>Mạng cấp 3</v>
      </c>
    </row>
    <row r="679" spans="1:39" x14ac:dyDescent="0.25">
      <c r="A679" s="1" t="s">
        <v>6406</v>
      </c>
      <c r="B679" s="1" t="s">
        <v>6407</v>
      </c>
      <c r="C679" s="1" t="s">
        <v>6408</v>
      </c>
      <c r="D679" s="1" t="s">
        <v>6409</v>
      </c>
      <c r="E679" s="1" t="s">
        <v>6410</v>
      </c>
      <c r="F679" s="1" t="s">
        <v>6411</v>
      </c>
      <c r="G679" s="1" t="s">
        <v>14129</v>
      </c>
      <c r="H679" s="1" t="s">
        <v>14679</v>
      </c>
      <c r="I679" s="1" t="s">
        <v>14796</v>
      </c>
      <c r="J679" s="1" t="s">
        <v>23</v>
      </c>
      <c r="K679" s="1"/>
      <c r="L679" s="1" t="s">
        <v>5197</v>
      </c>
      <c r="M679" s="1" t="s">
        <v>5197</v>
      </c>
      <c r="N679" s="12" t="b">
        <f t="shared" si="50"/>
        <v>1</v>
      </c>
      <c r="O679" s="1" t="s">
        <v>6412</v>
      </c>
      <c r="P679" s="1" t="s">
        <v>6413</v>
      </c>
      <c r="Q679" s="1" t="s">
        <v>5200</v>
      </c>
      <c r="R679" s="1" t="s">
        <v>5201</v>
      </c>
      <c r="S679" s="1" t="s">
        <v>6414</v>
      </c>
      <c r="T679" s="1" t="s">
        <v>6415</v>
      </c>
      <c r="U679" s="1" t="s">
        <v>6416</v>
      </c>
      <c r="V679" s="13">
        <f>COUNTIF(L679:$M$1659,L679)</f>
        <v>2</v>
      </c>
      <c r="W679" s="1" t="s">
        <v>5205</v>
      </c>
      <c r="X679">
        <v>999.69</v>
      </c>
      <c r="Y679">
        <v>864.68</v>
      </c>
      <c r="Z679">
        <v>15.113571</v>
      </c>
      <c r="AA679">
        <v>108.78981899999999</v>
      </c>
      <c r="AB679">
        <v>135.01</v>
      </c>
      <c r="AC679">
        <v>15.094535</v>
      </c>
      <c r="AD679">
        <v>108.782274</v>
      </c>
      <c r="AE679" s="5">
        <f t="shared" si="51"/>
        <v>1.2970200000000001</v>
      </c>
      <c r="AF679" s="5">
        <f t="shared" si="52"/>
        <v>0.20251499999999997</v>
      </c>
      <c r="AG679" s="1" t="str">
        <f>TRIM(LEFT(L679,FIND("-",L679)-1))</f>
        <v>TT1 Quảng Ngãi</v>
      </c>
      <c r="AH679" s="1" t="str">
        <f>TRIM(RIGHT(L679, LEN(L679) - FIND("-", L679)))</f>
        <v>Minh Long</v>
      </c>
      <c r="AJ679">
        <f t="shared" si="53"/>
        <v>0.86468</v>
      </c>
      <c r="AK679">
        <f t="shared" si="54"/>
        <v>0.13500999999999999</v>
      </c>
      <c r="AL679">
        <f>VLOOKUP(L679,'[1]Tuyến cáp H04'!$B:$E,3,0)/1000</f>
        <v>45.045000000000002</v>
      </c>
      <c r="AM679" t="str">
        <f>VLOOKUP(L679,'[1]Tuyến cáp H04'!$B:$E,4,0)</f>
        <v>Mạng cấp 3</v>
      </c>
    </row>
    <row r="680" spans="1:39" x14ac:dyDescent="0.25">
      <c r="A680" s="1" t="s">
        <v>6417</v>
      </c>
      <c r="B680" s="1" t="s">
        <v>6418</v>
      </c>
      <c r="C680" s="1" t="s">
        <v>5609</v>
      </c>
      <c r="D680" s="1" t="s">
        <v>6409</v>
      </c>
      <c r="E680" s="1" t="s">
        <v>6410</v>
      </c>
      <c r="F680" s="1" t="s">
        <v>6419</v>
      </c>
      <c r="G680" s="1" t="s">
        <v>14281</v>
      </c>
      <c r="H680" s="1" t="s">
        <v>14282</v>
      </c>
      <c r="I680" s="1" t="s">
        <v>14797</v>
      </c>
      <c r="J680" s="1" t="s">
        <v>23</v>
      </c>
      <c r="K680" s="1"/>
      <c r="L680" s="1" t="s">
        <v>5504</v>
      </c>
      <c r="M680" s="1" t="s">
        <v>5504</v>
      </c>
      <c r="N680" s="12" t="b">
        <f t="shared" si="50"/>
        <v>1</v>
      </c>
      <c r="O680" s="1" t="s">
        <v>6420</v>
      </c>
      <c r="P680" s="1" t="s">
        <v>6421</v>
      </c>
      <c r="Q680" s="1" t="s">
        <v>6422</v>
      </c>
      <c r="R680" s="1" t="s">
        <v>6423</v>
      </c>
      <c r="S680" s="1" t="s">
        <v>6424</v>
      </c>
      <c r="T680" s="1" t="s">
        <v>6425</v>
      </c>
      <c r="U680" s="1" t="s">
        <v>6426</v>
      </c>
      <c r="V680" s="13">
        <f>COUNTIF(L680:$M$1659,L680)</f>
        <v>2</v>
      </c>
      <c r="W680" s="1" t="s">
        <v>5512</v>
      </c>
      <c r="X680">
        <v>1247.8399999999999</v>
      </c>
      <c r="Y680">
        <v>1115.8900000000001</v>
      </c>
      <c r="Z680">
        <v>15.089324</v>
      </c>
      <c r="AA680">
        <v>108.785945</v>
      </c>
      <c r="AB680">
        <v>131.94999999999999</v>
      </c>
      <c r="AC680">
        <v>15.094568000000001</v>
      </c>
      <c r="AD680">
        <v>108.78225500000001</v>
      </c>
      <c r="AE680" s="5">
        <f t="shared" si="51"/>
        <v>1.673835</v>
      </c>
      <c r="AF680" s="5">
        <f t="shared" si="52"/>
        <v>0.19792499999999999</v>
      </c>
      <c r="AG680" s="1" t="str">
        <f>TRIM(LEFT(L680,FIND("-",L680)-1))</f>
        <v>Nghĩa Hành</v>
      </c>
      <c r="AH680" s="1" t="str">
        <f>TRIM(RIGHT(L680, LEN(L680) - FIND("-", L680)))</f>
        <v>Nghĩa Lộ</v>
      </c>
      <c r="AJ680">
        <f t="shared" si="53"/>
        <v>1.11589</v>
      </c>
      <c r="AK680">
        <f t="shared" si="54"/>
        <v>0.13194999999999998</v>
      </c>
      <c r="AL680">
        <f>VLOOKUP(L680,'[1]Tuyến cáp H04'!$B:$E,3,0)/1000</f>
        <v>13.734</v>
      </c>
      <c r="AM680" t="str">
        <f>VLOOKUP(L680,'[1]Tuyến cáp H04'!$B:$E,4,0)</f>
        <v>Mạng cấp 4</v>
      </c>
    </row>
    <row r="681" spans="1:39" x14ac:dyDescent="0.25">
      <c r="A681" s="1" t="s">
        <v>6427</v>
      </c>
      <c r="B681" s="1" t="s">
        <v>6409</v>
      </c>
      <c r="C681" s="1" t="s">
        <v>6410</v>
      </c>
      <c r="D681" s="1" t="s">
        <v>5321</v>
      </c>
      <c r="E681" s="1" t="s">
        <v>5322</v>
      </c>
      <c r="F681" s="1" t="s">
        <v>6428</v>
      </c>
      <c r="G681" s="1" t="s">
        <v>14281</v>
      </c>
      <c r="H681" s="1" t="s">
        <v>14282</v>
      </c>
      <c r="I681" s="1" t="s">
        <v>14798</v>
      </c>
      <c r="J681" s="1" t="s">
        <v>23</v>
      </c>
      <c r="K681" s="1"/>
      <c r="L681" s="1" t="s">
        <v>6429</v>
      </c>
      <c r="M681" s="1" t="s">
        <v>6429</v>
      </c>
      <c r="N681" s="12" t="b">
        <f t="shared" si="50"/>
        <v>1</v>
      </c>
      <c r="O681" s="1" t="s">
        <v>6430</v>
      </c>
      <c r="P681" s="1" t="s">
        <v>6431</v>
      </c>
      <c r="Q681" s="1" t="s">
        <v>6432</v>
      </c>
      <c r="R681" s="1" t="s">
        <v>6433</v>
      </c>
      <c r="S681" s="1" t="s">
        <v>6434</v>
      </c>
      <c r="T681" s="1" t="s">
        <v>6435</v>
      </c>
      <c r="U681" s="1" t="s">
        <v>6436</v>
      </c>
      <c r="V681" s="13">
        <f>COUNTIF(L681:$M$1659,L681)</f>
        <v>2</v>
      </c>
      <c r="W681" s="1" t="s">
        <v>6437</v>
      </c>
      <c r="X681">
        <v>2066.14</v>
      </c>
      <c r="Y681">
        <v>693.13</v>
      </c>
      <c r="Z681">
        <v>15.098264</v>
      </c>
      <c r="AA681">
        <v>108.788479</v>
      </c>
      <c r="AB681">
        <v>1373.01</v>
      </c>
      <c r="AC681">
        <v>15.120972999999999</v>
      </c>
      <c r="AD681">
        <v>108.792068</v>
      </c>
      <c r="AE681" s="5">
        <f t="shared" si="51"/>
        <v>1.039695</v>
      </c>
      <c r="AF681" s="5">
        <f t="shared" si="52"/>
        <v>2.0595149999999998</v>
      </c>
      <c r="AG681" s="1" t="str">
        <f>TRIM(LEFT(L681,FIND("-",L681)-1))</f>
        <v>Nghĩa Giang</v>
      </c>
      <c r="AH681" s="1" t="str">
        <f>TRIM(RIGHT(L681, LEN(L681) - FIND("-", L681)))</f>
        <v>TT1 QUẢNG NGÃI</v>
      </c>
      <c r="AJ681">
        <f t="shared" si="53"/>
        <v>0.69313000000000002</v>
      </c>
      <c r="AK681">
        <f t="shared" si="54"/>
        <v>1.3730100000000001</v>
      </c>
      <c r="AL681">
        <f>VLOOKUP(L681,'[1]Tuyến cáp H04'!$B:$E,3,0)/1000</f>
        <v>4.782</v>
      </c>
      <c r="AM681" t="str">
        <f>VLOOKUP(L681,'[1]Tuyến cáp H04'!$B:$E,4,0)</f>
        <v>Mạng cấp 4</v>
      </c>
    </row>
    <row r="682" spans="1:39" x14ac:dyDescent="0.25">
      <c r="A682" s="1" t="s">
        <v>6438</v>
      </c>
      <c r="B682" s="1" t="s">
        <v>5275</v>
      </c>
      <c r="C682" s="1" t="s">
        <v>5276</v>
      </c>
      <c r="D682" s="1" t="s">
        <v>6367</v>
      </c>
      <c r="E682" s="1" t="s">
        <v>6368</v>
      </c>
      <c r="F682" s="1" t="s">
        <v>6439</v>
      </c>
      <c r="G682" s="1" t="s">
        <v>14129</v>
      </c>
      <c r="H682" s="1" t="s">
        <v>14133</v>
      </c>
      <c r="I682" s="1" t="s">
        <v>14799</v>
      </c>
      <c r="J682" s="1" t="s">
        <v>23</v>
      </c>
      <c r="K682" s="1"/>
      <c r="L682" s="1" t="s">
        <v>5249</v>
      </c>
      <c r="M682" s="1" t="s">
        <v>5249</v>
      </c>
      <c r="N682" s="12" t="b">
        <f t="shared" si="50"/>
        <v>1</v>
      </c>
      <c r="O682" s="1" t="s">
        <v>6440</v>
      </c>
      <c r="P682" s="1" t="s">
        <v>5279</v>
      </c>
      <c r="Q682" s="1" t="s">
        <v>5280</v>
      </c>
      <c r="R682" s="1" t="s">
        <v>5281</v>
      </c>
      <c r="S682" s="1" t="s">
        <v>6441</v>
      </c>
      <c r="T682" s="1" t="s">
        <v>6442</v>
      </c>
      <c r="U682" s="1" t="s">
        <v>6443</v>
      </c>
      <c r="V682" s="13">
        <f>COUNTIF(L682:$M$1659,L682)</f>
        <v>4</v>
      </c>
      <c r="W682" s="1" t="s">
        <v>5257</v>
      </c>
      <c r="X682">
        <v>285.2</v>
      </c>
      <c r="Y682">
        <v>268.31</v>
      </c>
      <c r="Z682">
        <v>15.126120999999999</v>
      </c>
      <c r="AA682">
        <v>108.779673</v>
      </c>
      <c r="AB682">
        <v>16.89</v>
      </c>
      <c r="AC682">
        <v>15.120799999999999</v>
      </c>
      <c r="AD682">
        <v>108.786826</v>
      </c>
      <c r="AE682" s="5">
        <f t="shared" si="51"/>
        <v>0.40246500000000002</v>
      </c>
      <c r="AF682" s="5">
        <f t="shared" si="52"/>
        <v>2.5335E-2</v>
      </c>
      <c r="AG682" s="1" t="str">
        <f>TRIM(LEFT(L682,FIND("-",L682)-1))</f>
        <v>Ba Gia</v>
      </c>
      <c r="AH682" s="1" t="str">
        <f>TRIM(RIGHT(L682, LEN(L682) - FIND("-", L682)))</f>
        <v>TT1 QUẢNG NGÃI</v>
      </c>
      <c r="AJ682">
        <f t="shared" si="53"/>
        <v>0.26830999999999999</v>
      </c>
      <c r="AK682">
        <f t="shared" si="54"/>
        <v>1.6890000000000002E-2</v>
      </c>
      <c r="AL682">
        <f>VLOOKUP(L682,'[1]Tuyến cáp H04'!$B:$E,3,0)/1000</f>
        <v>20.206</v>
      </c>
      <c r="AM682" t="str">
        <f>VLOOKUP(L682,'[1]Tuyến cáp H04'!$B:$E,4,0)</f>
        <v>Mạng cấp 4</v>
      </c>
    </row>
    <row r="683" spans="1:39" x14ac:dyDescent="0.25">
      <c r="A683" s="1" t="s">
        <v>6444</v>
      </c>
      <c r="B683" s="1" t="s">
        <v>6367</v>
      </c>
      <c r="C683" s="1" t="s">
        <v>6368</v>
      </c>
      <c r="D683" s="1" t="s">
        <v>6445</v>
      </c>
      <c r="E683" s="1" t="s">
        <v>6446</v>
      </c>
      <c r="F683" s="1" t="s">
        <v>6447</v>
      </c>
      <c r="G683" s="1" t="s">
        <v>14129</v>
      </c>
      <c r="H683" s="1" t="s">
        <v>14133</v>
      </c>
      <c r="I683" s="1" t="s">
        <v>14800</v>
      </c>
      <c r="J683" s="1" t="s">
        <v>23</v>
      </c>
      <c r="K683" s="1"/>
      <c r="L683" s="1" t="s">
        <v>5249</v>
      </c>
      <c r="M683" s="1" t="s">
        <v>5249</v>
      </c>
      <c r="N683" s="12" t="b">
        <f t="shared" si="50"/>
        <v>1</v>
      </c>
      <c r="O683" s="1" t="s">
        <v>6448</v>
      </c>
      <c r="P683" s="1" t="s">
        <v>6441</v>
      </c>
      <c r="Q683" s="1" t="s">
        <v>6442</v>
      </c>
      <c r="R683" s="1" t="s">
        <v>6443</v>
      </c>
      <c r="S683" s="1" t="s">
        <v>6449</v>
      </c>
      <c r="T683" s="1" t="s">
        <v>6450</v>
      </c>
      <c r="U683" s="1" t="s">
        <v>6451</v>
      </c>
      <c r="V683" s="13">
        <f>COUNTIF(L683:$M$1659,L683)</f>
        <v>2</v>
      </c>
      <c r="W683" s="1" t="s">
        <v>5257</v>
      </c>
      <c r="X683">
        <v>212.76</v>
      </c>
      <c r="Y683">
        <v>16.89</v>
      </c>
      <c r="Z683">
        <v>15.120799999999999</v>
      </c>
      <c r="AA683">
        <v>108.786826</v>
      </c>
      <c r="AB683">
        <v>195.87</v>
      </c>
      <c r="AC683">
        <v>15.125795</v>
      </c>
      <c r="AD683">
        <v>108.78645</v>
      </c>
      <c r="AE683" s="5">
        <f t="shared" si="51"/>
        <v>2.5335E-2</v>
      </c>
      <c r="AF683" s="5">
        <f t="shared" si="52"/>
        <v>0.29380499999999998</v>
      </c>
      <c r="AG683" s="1" t="str">
        <f>TRIM(LEFT(L683,FIND("-",L683)-1))</f>
        <v>Ba Gia</v>
      </c>
      <c r="AH683" s="1" t="str">
        <f>TRIM(RIGHT(L683, LEN(L683) - FIND("-", L683)))</f>
        <v>TT1 QUẢNG NGÃI</v>
      </c>
      <c r="AJ683">
        <f t="shared" si="53"/>
        <v>1.6890000000000002E-2</v>
      </c>
      <c r="AK683">
        <f t="shared" si="54"/>
        <v>0.19587000000000002</v>
      </c>
      <c r="AL683">
        <f>VLOOKUP(L683,'[1]Tuyến cáp H04'!$B:$E,3,0)/1000</f>
        <v>20.206</v>
      </c>
      <c r="AM683" t="str">
        <f>VLOOKUP(L683,'[1]Tuyến cáp H04'!$B:$E,4,0)</f>
        <v>Mạng cấp 4</v>
      </c>
    </row>
    <row r="684" spans="1:39" x14ac:dyDescent="0.25">
      <c r="A684" s="1" t="s">
        <v>6452</v>
      </c>
      <c r="B684" s="1" t="s">
        <v>5337</v>
      </c>
      <c r="C684" s="1" t="s">
        <v>5338</v>
      </c>
      <c r="D684" s="1" t="s">
        <v>6453</v>
      </c>
      <c r="E684" s="1" t="s">
        <v>6454</v>
      </c>
      <c r="F684" s="1" t="s">
        <v>6455</v>
      </c>
      <c r="G684" s="1" t="s">
        <v>14129</v>
      </c>
      <c r="H684" s="1" t="s">
        <v>14133</v>
      </c>
      <c r="I684" s="1" t="s">
        <v>14801</v>
      </c>
      <c r="J684" s="1" t="s">
        <v>23</v>
      </c>
      <c r="K684" s="1"/>
      <c r="L684" s="1" t="s">
        <v>5340</v>
      </c>
      <c r="M684" s="1" t="s">
        <v>5340</v>
      </c>
      <c r="N684" s="12" t="b">
        <f t="shared" si="50"/>
        <v>1</v>
      </c>
      <c r="O684" s="1" t="s">
        <v>6456</v>
      </c>
      <c r="P684" s="1" t="s">
        <v>5345</v>
      </c>
      <c r="Q684" s="1" t="s">
        <v>5346</v>
      </c>
      <c r="R684" s="1" t="s">
        <v>5347</v>
      </c>
      <c r="S684" s="1" t="s">
        <v>6457</v>
      </c>
      <c r="T684" s="1" t="s">
        <v>6458</v>
      </c>
      <c r="U684" s="1" t="s">
        <v>6459</v>
      </c>
      <c r="V684" s="13">
        <f>COUNTIF(L684:$M$1659,L684)</f>
        <v>8</v>
      </c>
      <c r="W684" s="1" t="s">
        <v>5348</v>
      </c>
      <c r="X684">
        <v>16.579999999999998</v>
      </c>
      <c r="Y684">
        <v>11.68</v>
      </c>
      <c r="Z684">
        <v>15.113891000000001</v>
      </c>
      <c r="AA684">
        <v>108.79631999999999</v>
      </c>
      <c r="AB684">
        <v>4.9000000000000004</v>
      </c>
      <c r="AC684">
        <v>15.114583</v>
      </c>
      <c r="AD684">
        <v>108.796239</v>
      </c>
      <c r="AE684" s="5">
        <f t="shared" si="51"/>
        <v>1.7520000000000001E-2</v>
      </c>
      <c r="AF684" s="5">
        <f t="shared" si="52"/>
        <v>7.3500000000000006E-3</v>
      </c>
      <c r="AG684" s="1" t="str">
        <f>TRIM(LEFT(L684,FIND("-",L684)-1))</f>
        <v>Khối Phòng PA08_PA05</v>
      </c>
      <c r="AH684" s="1" t="str">
        <f>TRIM(RIGHT(L684, LEN(L684) - FIND("-", L684)))</f>
        <v>TT1 Quảng Ngãi</v>
      </c>
      <c r="AJ684">
        <f t="shared" si="53"/>
        <v>1.1679999999999999E-2</v>
      </c>
      <c r="AK684">
        <f t="shared" si="54"/>
        <v>4.9000000000000007E-3</v>
      </c>
      <c r="AL684" t="e">
        <f>VLOOKUP(L684,'[1]Tuyến cáp H04'!$B:$E,3,0)/1000</f>
        <v>#N/A</v>
      </c>
      <c r="AM684" t="e">
        <f>VLOOKUP(L684,'[1]Tuyến cáp H04'!$B:$E,4,0)</f>
        <v>#N/A</v>
      </c>
    </row>
    <row r="685" spans="1:39" x14ac:dyDescent="0.25">
      <c r="A685" s="1" t="s">
        <v>6460</v>
      </c>
      <c r="B685" s="1" t="s">
        <v>5337</v>
      </c>
      <c r="C685" s="1" t="s">
        <v>5338</v>
      </c>
      <c r="D685" s="1" t="s">
        <v>6461</v>
      </c>
      <c r="E685" s="1" t="s">
        <v>6462</v>
      </c>
      <c r="F685" s="1" t="s">
        <v>6463</v>
      </c>
      <c r="G685" s="1" t="s">
        <v>14129</v>
      </c>
      <c r="H685" s="1" t="s">
        <v>14133</v>
      </c>
      <c r="I685" s="1" t="s">
        <v>14802</v>
      </c>
      <c r="J685" s="1" t="s">
        <v>23</v>
      </c>
      <c r="K685" s="1"/>
      <c r="L685" s="1" t="s">
        <v>5340</v>
      </c>
      <c r="M685" s="1" t="s">
        <v>5340</v>
      </c>
      <c r="N685" s="12" t="b">
        <f t="shared" si="50"/>
        <v>1</v>
      </c>
      <c r="O685" s="1" t="s">
        <v>6464</v>
      </c>
      <c r="P685" s="1" t="s">
        <v>5345</v>
      </c>
      <c r="Q685" s="1" t="s">
        <v>5346</v>
      </c>
      <c r="R685" s="1" t="s">
        <v>5347</v>
      </c>
      <c r="S685" s="1" t="s">
        <v>6465</v>
      </c>
      <c r="T685" s="1" t="s">
        <v>6466</v>
      </c>
      <c r="U685" s="1" t="s">
        <v>6459</v>
      </c>
      <c r="V685" s="13">
        <f>COUNTIF(L685:$M$1659,L685)</f>
        <v>6</v>
      </c>
      <c r="W685" s="1" t="s">
        <v>5348</v>
      </c>
      <c r="X685">
        <v>311.37</v>
      </c>
      <c r="Y685">
        <v>11.68</v>
      </c>
      <c r="Z685">
        <v>15.113891000000001</v>
      </c>
      <c r="AA685">
        <v>108.79631999999999</v>
      </c>
      <c r="AB685">
        <v>299.69</v>
      </c>
      <c r="AC685">
        <v>15.118803</v>
      </c>
      <c r="AD685">
        <v>108.796239</v>
      </c>
      <c r="AE685" s="5">
        <f t="shared" si="51"/>
        <v>1.7520000000000001E-2</v>
      </c>
      <c r="AF685" s="5">
        <f t="shared" si="52"/>
        <v>0.44953499999999996</v>
      </c>
      <c r="AG685" s="1" t="str">
        <f>TRIM(LEFT(L685,FIND("-",L685)-1))</f>
        <v>Khối Phòng PA08_PA05</v>
      </c>
      <c r="AH685" s="1" t="str">
        <f>TRIM(RIGHT(L685, LEN(L685) - FIND("-", L685)))</f>
        <v>TT1 Quảng Ngãi</v>
      </c>
      <c r="AJ685">
        <f t="shared" si="53"/>
        <v>1.1679999999999999E-2</v>
      </c>
      <c r="AK685">
        <f t="shared" si="54"/>
        <v>0.29969000000000001</v>
      </c>
      <c r="AL685" t="e">
        <f>VLOOKUP(L685,'[1]Tuyến cáp H04'!$B:$E,3,0)/1000</f>
        <v>#N/A</v>
      </c>
      <c r="AM685" t="e">
        <f>VLOOKUP(L685,'[1]Tuyến cáp H04'!$B:$E,4,0)</f>
        <v>#N/A</v>
      </c>
    </row>
    <row r="686" spans="1:39" x14ac:dyDescent="0.25">
      <c r="A686" s="1" t="s">
        <v>6467</v>
      </c>
      <c r="B686" s="1" t="s">
        <v>5337</v>
      </c>
      <c r="C686" s="1" t="s">
        <v>5338</v>
      </c>
      <c r="D686" s="1" t="s">
        <v>6468</v>
      </c>
      <c r="E686" s="1" t="s">
        <v>6469</v>
      </c>
      <c r="F686" s="1" t="s">
        <v>6470</v>
      </c>
      <c r="G686" s="1" t="s">
        <v>14129</v>
      </c>
      <c r="H686" s="1" t="s">
        <v>14133</v>
      </c>
      <c r="I686" s="1" t="s">
        <v>14803</v>
      </c>
      <c r="J686" s="1" t="s">
        <v>23</v>
      </c>
      <c r="K686" s="1"/>
      <c r="L686" s="1" t="s">
        <v>6471</v>
      </c>
      <c r="M686" s="1" t="s">
        <v>6471</v>
      </c>
      <c r="N686" s="12" t="b">
        <f t="shared" si="50"/>
        <v>1</v>
      </c>
      <c r="O686" s="1" t="s">
        <v>6472</v>
      </c>
      <c r="P686" s="1" t="s">
        <v>6473</v>
      </c>
      <c r="Q686" s="1" t="s">
        <v>6474</v>
      </c>
      <c r="R686" s="1" t="s">
        <v>6475</v>
      </c>
      <c r="S686" s="1" t="s">
        <v>6476</v>
      </c>
      <c r="T686" s="1" t="s">
        <v>6477</v>
      </c>
      <c r="U686" s="1" t="s">
        <v>6478</v>
      </c>
      <c r="V686" s="13">
        <f>COUNTIF(L686:$M$1659,L686)</f>
        <v>2</v>
      </c>
      <c r="W686" s="1" t="s">
        <v>6479</v>
      </c>
      <c r="X686">
        <v>600.64</v>
      </c>
      <c r="Y686">
        <v>309.87</v>
      </c>
      <c r="Z686">
        <v>15.112746</v>
      </c>
      <c r="AA686">
        <v>108.79373699999999</v>
      </c>
      <c r="AB686">
        <v>290.77</v>
      </c>
      <c r="AC686">
        <v>15.107789</v>
      </c>
      <c r="AD686">
        <v>108.790053</v>
      </c>
      <c r="AE686" s="5">
        <f t="shared" si="51"/>
        <v>0.46480500000000002</v>
      </c>
      <c r="AF686" s="5">
        <f t="shared" si="52"/>
        <v>0.43615499999999996</v>
      </c>
      <c r="AG686" s="1" t="str">
        <f>TRIM(LEFT(L686,FIND("-",L686)-1))</f>
        <v>Tư Nghĩa</v>
      </c>
      <c r="AH686" s="1" t="str">
        <f>TRIM(RIGHT(L686, LEN(L686) - FIND("-", L686)))</f>
        <v>TT1 QUẢNG NGÃI</v>
      </c>
      <c r="AJ686">
        <f t="shared" si="53"/>
        <v>0.30986999999999998</v>
      </c>
      <c r="AK686">
        <f t="shared" si="54"/>
        <v>0.29076999999999997</v>
      </c>
      <c r="AL686">
        <f>VLOOKUP(L686,'[1]Tuyến cáp H04'!$B:$E,3,0)/1000</f>
        <v>7.335</v>
      </c>
      <c r="AM686" t="str">
        <f>VLOOKUP(L686,'[1]Tuyến cáp H04'!$B:$E,4,0)</f>
        <v>Mạng cấp 4</v>
      </c>
    </row>
    <row r="687" spans="1:39" x14ac:dyDescent="0.25">
      <c r="A687" s="1" t="s">
        <v>6480</v>
      </c>
      <c r="B687" s="1" t="s">
        <v>6481</v>
      </c>
      <c r="C687" s="1" t="s">
        <v>6482</v>
      </c>
      <c r="D687" s="1" t="s">
        <v>5337</v>
      </c>
      <c r="E687" s="1" t="s">
        <v>5338</v>
      </c>
      <c r="F687" s="1" t="s">
        <v>6483</v>
      </c>
      <c r="G687" s="1" t="s">
        <v>14129</v>
      </c>
      <c r="H687" s="1" t="s">
        <v>14679</v>
      </c>
      <c r="I687" s="1" t="s">
        <v>14804</v>
      </c>
      <c r="J687" s="1" t="s">
        <v>23</v>
      </c>
      <c r="K687" s="1"/>
      <c r="L687" s="1" t="s">
        <v>5340</v>
      </c>
      <c r="M687" s="1" t="s">
        <v>5340</v>
      </c>
      <c r="N687" s="12" t="b">
        <f t="shared" si="50"/>
        <v>1</v>
      </c>
      <c r="O687" s="1" t="s">
        <v>6484</v>
      </c>
      <c r="P687" s="1" t="s">
        <v>6485</v>
      </c>
      <c r="Q687" s="1" t="s">
        <v>6486</v>
      </c>
      <c r="R687" s="1" t="s">
        <v>6487</v>
      </c>
      <c r="S687" s="1" t="s">
        <v>5345</v>
      </c>
      <c r="T687" s="1" t="s">
        <v>5346</v>
      </c>
      <c r="U687" s="1" t="s">
        <v>5347</v>
      </c>
      <c r="V687" s="13">
        <f>COUNTIF(L687:$M$1659,L687)</f>
        <v>4</v>
      </c>
      <c r="W687" s="1" t="s">
        <v>5348</v>
      </c>
      <c r="X687">
        <v>121.29</v>
      </c>
      <c r="Y687">
        <v>109.61</v>
      </c>
      <c r="Z687">
        <v>15.118824999999999</v>
      </c>
      <c r="AA687">
        <v>108.798416</v>
      </c>
      <c r="AB687">
        <v>11.68</v>
      </c>
      <c r="AC687">
        <v>15.113891000000001</v>
      </c>
      <c r="AD687">
        <v>108.79631999999999</v>
      </c>
      <c r="AE687" s="5">
        <f t="shared" si="51"/>
        <v>0.16441500000000001</v>
      </c>
      <c r="AF687" s="5">
        <f t="shared" si="52"/>
        <v>1.7520000000000001E-2</v>
      </c>
      <c r="AG687" s="1" t="str">
        <f>TRIM(LEFT(L687,FIND("-",L687)-1))</f>
        <v>Khối Phòng PA08_PA05</v>
      </c>
      <c r="AH687" s="1" t="str">
        <f>TRIM(RIGHT(L687, LEN(L687) - FIND("-", L687)))</f>
        <v>TT1 Quảng Ngãi</v>
      </c>
      <c r="AJ687">
        <f t="shared" si="53"/>
        <v>0.10961</v>
      </c>
      <c r="AK687">
        <f t="shared" si="54"/>
        <v>1.1679999999999999E-2</v>
      </c>
      <c r="AL687" t="e">
        <f>VLOOKUP(L687,'[1]Tuyến cáp H04'!$B:$E,3,0)/1000</f>
        <v>#N/A</v>
      </c>
      <c r="AM687" t="e">
        <f>VLOOKUP(L687,'[1]Tuyến cáp H04'!$B:$E,4,0)</f>
        <v>#N/A</v>
      </c>
    </row>
    <row r="688" spans="1:39" x14ac:dyDescent="0.25">
      <c r="A688" s="1" t="s">
        <v>6488</v>
      </c>
      <c r="B688" s="1" t="s">
        <v>5337</v>
      </c>
      <c r="C688" s="1" t="s">
        <v>5338</v>
      </c>
      <c r="D688" s="1" t="s">
        <v>6489</v>
      </c>
      <c r="E688" s="1" t="s">
        <v>6490</v>
      </c>
      <c r="F688" s="1" t="s">
        <v>6491</v>
      </c>
      <c r="G688" s="1" t="s">
        <v>14281</v>
      </c>
      <c r="H688" s="1" t="s">
        <v>14282</v>
      </c>
      <c r="I688" s="1" t="s">
        <v>14805</v>
      </c>
      <c r="J688" s="1" t="s">
        <v>23</v>
      </c>
      <c r="K688" s="1"/>
      <c r="L688" s="1" t="s">
        <v>5340</v>
      </c>
      <c r="M688" s="1" t="s">
        <v>5340</v>
      </c>
      <c r="N688" s="12" t="b">
        <f t="shared" si="50"/>
        <v>1</v>
      </c>
      <c r="O688" s="1" t="s">
        <v>6492</v>
      </c>
      <c r="P688" s="1" t="s">
        <v>5345</v>
      </c>
      <c r="Q688" s="1" t="s">
        <v>5346</v>
      </c>
      <c r="R688" s="1" t="s">
        <v>5347</v>
      </c>
      <c r="S688" s="1" t="s">
        <v>6493</v>
      </c>
      <c r="T688" s="1" t="s">
        <v>6494</v>
      </c>
      <c r="U688" s="1" t="s">
        <v>6495</v>
      </c>
      <c r="V688" s="13">
        <f>COUNTIF(L688:$M$1659,L688)</f>
        <v>2</v>
      </c>
      <c r="W688" s="1" t="s">
        <v>5348</v>
      </c>
      <c r="X688">
        <v>229.16</v>
      </c>
      <c r="Y688">
        <v>11.68</v>
      </c>
      <c r="Z688">
        <v>15.113891000000001</v>
      </c>
      <c r="AA688">
        <v>108.79631999999999</v>
      </c>
      <c r="AB688">
        <v>217.48</v>
      </c>
      <c r="AC688">
        <v>15.118926999999999</v>
      </c>
      <c r="AD688">
        <v>108.79814</v>
      </c>
      <c r="AE688" s="5">
        <f t="shared" si="51"/>
        <v>1.7520000000000001E-2</v>
      </c>
      <c r="AF688" s="5">
        <f t="shared" si="52"/>
        <v>0.32621999999999995</v>
      </c>
      <c r="AG688" s="1" t="str">
        <f>TRIM(LEFT(L688,FIND("-",L688)-1))</f>
        <v>Khối Phòng PA08_PA05</v>
      </c>
      <c r="AH688" s="1" t="str">
        <f>TRIM(RIGHT(L688, LEN(L688) - FIND("-", L688)))</f>
        <v>TT1 Quảng Ngãi</v>
      </c>
      <c r="AJ688">
        <f t="shared" si="53"/>
        <v>1.1679999999999999E-2</v>
      </c>
      <c r="AK688">
        <f t="shared" si="54"/>
        <v>0.21747999999999998</v>
      </c>
      <c r="AL688" t="e">
        <f>VLOOKUP(L688,'[1]Tuyến cáp H04'!$B:$E,3,0)/1000</f>
        <v>#N/A</v>
      </c>
      <c r="AM688" t="e">
        <f>VLOOKUP(L688,'[1]Tuyến cáp H04'!$B:$E,4,0)</f>
        <v>#N/A</v>
      </c>
    </row>
    <row r="689" spans="1:39" x14ac:dyDescent="0.25">
      <c r="A689" s="1" t="s">
        <v>6496</v>
      </c>
      <c r="B689" s="1" t="s">
        <v>6497</v>
      </c>
      <c r="C689" s="1" t="s">
        <v>6498</v>
      </c>
      <c r="D689" s="1" t="s">
        <v>6499</v>
      </c>
      <c r="E689" s="1" t="s">
        <v>6500</v>
      </c>
      <c r="F689" s="1" t="s">
        <v>6501</v>
      </c>
      <c r="G689" s="1" t="s">
        <v>14281</v>
      </c>
      <c r="H689" s="1" t="s">
        <v>14282</v>
      </c>
      <c r="I689" s="1" t="s">
        <v>14806</v>
      </c>
      <c r="J689" s="1" t="s">
        <v>23</v>
      </c>
      <c r="K689" s="1"/>
      <c r="L689" s="1" t="s">
        <v>5777</v>
      </c>
      <c r="M689" s="1" t="s">
        <v>5777</v>
      </c>
      <c r="N689" s="12" t="b">
        <f t="shared" si="50"/>
        <v>1</v>
      </c>
      <c r="O689" s="1" t="s">
        <v>6502</v>
      </c>
      <c r="P689" s="1" t="s">
        <v>6503</v>
      </c>
      <c r="Q689" s="1" t="s">
        <v>6339</v>
      </c>
      <c r="R689" s="1" t="s">
        <v>6340</v>
      </c>
      <c r="S689" s="1" t="s">
        <v>6504</v>
      </c>
      <c r="T689" s="1" t="s">
        <v>6505</v>
      </c>
      <c r="U689" s="1" t="s">
        <v>6506</v>
      </c>
      <c r="V689" s="13">
        <f>COUNTIF(L689:$M$1659,L689)</f>
        <v>8</v>
      </c>
      <c r="W689" s="1" t="s">
        <v>6341</v>
      </c>
      <c r="X689">
        <v>560.87</v>
      </c>
      <c r="Y689">
        <v>226.41</v>
      </c>
      <c r="Z689">
        <v>15.122006000000001</v>
      </c>
      <c r="AA689">
        <v>108.814892</v>
      </c>
      <c r="AB689">
        <v>334.46</v>
      </c>
      <c r="AC689">
        <v>15.115344</v>
      </c>
      <c r="AD689">
        <v>108.816458</v>
      </c>
      <c r="AE689" s="5">
        <f t="shared" si="51"/>
        <v>0.339615</v>
      </c>
      <c r="AF689" s="5">
        <f t="shared" si="52"/>
        <v>0.50168999999999997</v>
      </c>
      <c r="AG689" s="1" t="e">
        <f>TRIM(LEFT(L689,FIND("-",L689)-1))</f>
        <v>#VALUE!</v>
      </c>
      <c r="AH689" s="1" t="e">
        <f>TRIM(RIGHT(L689, LEN(L689) - FIND("-", L689)))</f>
        <v>#VALUE!</v>
      </c>
      <c r="AJ689">
        <f t="shared" si="53"/>
        <v>0.22641</v>
      </c>
      <c r="AK689">
        <f t="shared" si="54"/>
        <v>0.33445999999999998</v>
      </c>
      <c r="AL689" t="e">
        <f>VLOOKUP(L689,'[1]Tuyến cáp H04'!$B:$E,3,0)/1000</f>
        <v>#N/A</v>
      </c>
      <c r="AM689" t="e">
        <f>VLOOKUP(L689,'[1]Tuyến cáp H04'!$B:$E,4,0)</f>
        <v>#N/A</v>
      </c>
    </row>
    <row r="690" spans="1:39" x14ac:dyDescent="0.25">
      <c r="A690" s="1" t="s">
        <v>6507</v>
      </c>
      <c r="B690" s="1" t="s">
        <v>6499</v>
      </c>
      <c r="C690" s="1" t="s">
        <v>6500</v>
      </c>
      <c r="D690" s="1" t="s">
        <v>6508</v>
      </c>
      <c r="E690" s="1" t="s">
        <v>6509</v>
      </c>
      <c r="F690" s="1" t="s">
        <v>6510</v>
      </c>
      <c r="G690" s="1" t="s">
        <v>14281</v>
      </c>
      <c r="H690" s="1" t="s">
        <v>14282</v>
      </c>
      <c r="I690" s="1" t="s">
        <v>14807</v>
      </c>
      <c r="J690" s="1" t="s">
        <v>23</v>
      </c>
      <c r="K690" s="1"/>
      <c r="L690" s="1" t="s">
        <v>5777</v>
      </c>
      <c r="M690" s="1" t="s">
        <v>5777</v>
      </c>
      <c r="N690" s="12" t="b">
        <f t="shared" si="50"/>
        <v>1</v>
      </c>
      <c r="O690" s="1" t="s">
        <v>6511</v>
      </c>
      <c r="P690" s="1" t="s">
        <v>6504</v>
      </c>
      <c r="Q690" s="1" t="s">
        <v>6505</v>
      </c>
      <c r="R690" s="1" t="s">
        <v>6506</v>
      </c>
      <c r="S690" s="1" t="s">
        <v>6512</v>
      </c>
      <c r="T690" s="1" t="s">
        <v>6513</v>
      </c>
      <c r="U690" s="1" t="s">
        <v>6514</v>
      </c>
      <c r="V690" s="13">
        <f>COUNTIF(L690:$M$1659,L690)</f>
        <v>6</v>
      </c>
      <c r="W690" s="1" t="s">
        <v>6341</v>
      </c>
      <c r="X690">
        <v>351.74</v>
      </c>
      <c r="Y690">
        <v>334.46</v>
      </c>
      <c r="Z690">
        <v>15.115344</v>
      </c>
      <c r="AA690">
        <v>108.816458</v>
      </c>
      <c r="AB690">
        <v>17.29</v>
      </c>
      <c r="AC690">
        <v>15.131022</v>
      </c>
      <c r="AD690">
        <v>108.806347</v>
      </c>
      <c r="AE690" s="5">
        <f t="shared" si="51"/>
        <v>0.50168999999999997</v>
      </c>
      <c r="AF690" s="5">
        <f t="shared" si="52"/>
        <v>2.5935E-2</v>
      </c>
      <c r="AG690" s="1" t="e">
        <f>TRIM(LEFT(L690,FIND("-",L690)-1))</f>
        <v>#VALUE!</v>
      </c>
      <c r="AH690" s="1" t="e">
        <f>TRIM(RIGHT(L690, LEN(L690) - FIND("-", L690)))</f>
        <v>#VALUE!</v>
      </c>
      <c r="AJ690">
        <f t="shared" si="53"/>
        <v>0.33445999999999998</v>
      </c>
      <c r="AK690">
        <f t="shared" si="54"/>
        <v>1.729E-2</v>
      </c>
      <c r="AL690" t="e">
        <f>VLOOKUP(L690,'[1]Tuyến cáp H04'!$B:$E,3,0)/1000</f>
        <v>#N/A</v>
      </c>
      <c r="AM690" t="e">
        <f>VLOOKUP(L690,'[1]Tuyến cáp H04'!$B:$E,4,0)</f>
        <v>#N/A</v>
      </c>
    </row>
    <row r="691" spans="1:39" x14ac:dyDescent="0.25">
      <c r="A691" s="1" t="s">
        <v>6515</v>
      </c>
      <c r="B691" s="1" t="s">
        <v>6516</v>
      </c>
      <c r="C691" s="1" t="s">
        <v>6517</v>
      </c>
      <c r="D691" s="1" t="s">
        <v>6518</v>
      </c>
      <c r="E691" s="1" t="s">
        <v>6519</v>
      </c>
      <c r="F691" s="1" t="s">
        <v>6520</v>
      </c>
      <c r="G691" s="1" t="s">
        <v>14129</v>
      </c>
      <c r="H691" s="1" t="s">
        <v>14679</v>
      </c>
      <c r="I691" s="1" t="s">
        <v>14808</v>
      </c>
      <c r="J691" s="1" t="s">
        <v>23</v>
      </c>
      <c r="K691" s="1"/>
      <c r="L691" s="1" t="s">
        <v>6521</v>
      </c>
      <c r="M691" s="1" t="s">
        <v>6521</v>
      </c>
      <c r="N691" s="12" t="b">
        <f t="shared" si="50"/>
        <v>1</v>
      </c>
      <c r="O691" s="1" t="s">
        <v>6522</v>
      </c>
      <c r="P691" s="1" t="s">
        <v>6523</v>
      </c>
      <c r="Q691" s="1" t="s">
        <v>6524</v>
      </c>
      <c r="R691" s="1" t="s">
        <v>6525</v>
      </c>
      <c r="S691" s="1" t="s">
        <v>6526</v>
      </c>
      <c r="T691" s="1" t="s">
        <v>6527</v>
      </c>
      <c r="U691" s="1" t="s">
        <v>6528</v>
      </c>
      <c r="V691" s="13">
        <f>COUNTIF(L691:$M$1659,L691)</f>
        <v>12</v>
      </c>
      <c r="W691" s="1" t="s">
        <v>6529</v>
      </c>
      <c r="X691">
        <v>3533.57</v>
      </c>
      <c r="Y691">
        <v>3521.99</v>
      </c>
      <c r="Z691">
        <v>15.126675000000001</v>
      </c>
      <c r="AA691">
        <v>108.88433499999999</v>
      </c>
      <c r="AB691">
        <v>11.58</v>
      </c>
      <c r="AC691">
        <v>15.126735999999999</v>
      </c>
      <c r="AD691">
        <v>108.88436299999999</v>
      </c>
      <c r="AE691" s="5">
        <f t="shared" si="51"/>
        <v>5.282985</v>
      </c>
      <c r="AF691" s="5">
        <f t="shared" si="52"/>
        <v>1.737E-2</v>
      </c>
      <c r="AG691" s="1" t="str">
        <f>TRIM(LEFT(L691,FIND("-",L691)-1))</f>
        <v>Quảng Ngãi</v>
      </c>
      <c r="AH691" s="1" t="str">
        <f>TRIM(RIGHT(L691, LEN(L691) - FIND("-", L691)))</f>
        <v>Ring 1_An Phú-CAT Quảng Ngãi</v>
      </c>
      <c r="AJ691">
        <f t="shared" si="53"/>
        <v>3.5219899999999997</v>
      </c>
      <c r="AK691">
        <f t="shared" si="54"/>
        <v>1.158E-2</v>
      </c>
      <c r="AL691" t="e">
        <f>VLOOKUP(L691,'[1]Tuyến cáp H04'!$B:$E,3,0)/1000</f>
        <v>#N/A</v>
      </c>
      <c r="AM691" t="e">
        <f>VLOOKUP(L691,'[1]Tuyến cáp H04'!$B:$E,4,0)</f>
        <v>#N/A</v>
      </c>
    </row>
    <row r="692" spans="1:39" x14ac:dyDescent="0.25">
      <c r="A692" s="1" t="s">
        <v>6530</v>
      </c>
      <c r="B692" s="1" t="s">
        <v>6518</v>
      </c>
      <c r="C692" s="1" t="s">
        <v>6519</v>
      </c>
      <c r="D692" s="1" t="s">
        <v>5704</v>
      </c>
      <c r="E692" s="1" t="s">
        <v>5705</v>
      </c>
      <c r="F692" s="1" t="s">
        <v>6531</v>
      </c>
      <c r="G692" s="1" t="s">
        <v>14129</v>
      </c>
      <c r="H692" s="1" t="s">
        <v>14679</v>
      </c>
      <c r="I692" s="1" t="s">
        <v>14809</v>
      </c>
      <c r="J692" s="1" t="s">
        <v>23</v>
      </c>
      <c r="K692" s="1"/>
      <c r="L692" s="1" t="s">
        <v>6521</v>
      </c>
      <c r="M692" s="1" t="s">
        <v>6521</v>
      </c>
      <c r="N692" s="12" t="b">
        <f t="shared" si="50"/>
        <v>1</v>
      </c>
      <c r="O692" s="1" t="s">
        <v>6532</v>
      </c>
      <c r="P692" s="1" t="s">
        <v>6526</v>
      </c>
      <c r="Q692" s="1" t="s">
        <v>6527</v>
      </c>
      <c r="R692" s="1" t="s">
        <v>6528</v>
      </c>
      <c r="S692" s="1" t="s">
        <v>6533</v>
      </c>
      <c r="T692" s="1" t="s">
        <v>6534</v>
      </c>
      <c r="U692" s="1" t="s">
        <v>6535</v>
      </c>
      <c r="V692" s="13">
        <f>COUNTIF(L692:$M$1659,L692)</f>
        <v>10</v>
      </c>
      <c r="W692" s="1" t="s">
        <v>6529</v>
      </c>
      <c r="X692">
        <v>1642.3</v>
      </c>
      <c r="Y692">
        <v>11.58</v>
      </c>
      <c r="Z692">
        <v>15.126735999999999</v>
      </c>
      <c r="AA692">
        <v>108.88436299999999</v>
      </c>
      <c r="AB692">
        <v>1630.72</v>
      </c>
      <c r="AC692">
        <v>15.124923000000001</v>
      </c>
      <c r="AD692">
        <v>108.845949</v>
      </c>
      <c r="AE692" s="5">
        <f t="shared" si="51"/>
        <v>1.737E-2</v>
      </c>
      <c r="AF692" s="5">
        <f t="shared" si="52"/>
        <v>2.4460799999999998</v>
      </c>
      <c r="AG692" s="1" t="str">
        <f>TRIM(LEFT(L692,FIND("-",L692)-1))</f>
        <v>Quảng Ngãi</v>
      </c>
      <c r="AH692" s="1" t="str">
        <f>TRIM(RIGHT(L692, LEN(L692) - FIND("-", L692)))</f>
        <v>Ring 1_An Phú-CAT Quảng Ngãi</v>
      </c>
      <c r="AJ692">
        <f t="shared" si="53"/>
        <v>1.158E-2</v>
      </c>
      <c r="AK692">
        <f t="shared" si="54"/>
        <v>1.6307199999999999</v>
      </c>
      <c r="AL692" t="e">
        <f>VLOOKUP(L692,'[1]Tuyến cáp H04'!$B:$E,3,0)/1000</f>
        <v>#N/A</v>
      </c>
      <c r="AM692" t="e">
        <f>VLOOKUP(L692,'[1]Tuyến cáp H04'!$B:$E,4,0)</f>
        <v>#N/A</v>
      </c>
    </row>
    <row r="693" spans="1:39" x14ac:dyDescent="0.25">
      <c r="A693" s="1" t="s">
        <v>6536</v>
      </c>
      <c r="B693" s="1" t="s">
        <v>6537</v>
      </c>
      <c r="C693" s="1" t="s">
        <v>6538</v>
      </c>
      <c r="D693" s="1" t="s">
        <v>6518</v>
      </c>
      <c r="E693" s="1" t="s">
        <v>6519</v>
      </c>
      <c r="F693" s="1" t="s">
        <v>6539</v>
      </c>
      <c r="G693" s="1" t="s">
        <v>14129</v>
      </c>
      <c r="H693" s="1" t="s">
        <v>14679</v>
      </c>
      <c r="I693" s="1" t="s">
        <v>14810</v>
      </c>
      <c r="J693" s="1" t="s">
        <v>23</v>
      </c>
      <c r="K693" s="1"/>
      <c r="L693" s="1" t="s">
        <v>6540</v>
      </c>
      <c r="M693" s="1" t="s">
        <v>6540</v>
      </c>
      <c r="N693" s="12" t="b">
        <f t="shared" si="50"/>
        <v>1</v>
      </c>
      <c r="O693" s="1" t="s">
        <v>6541</v>
      </c>
      <c r="P693" s="1" t="s">
        <v>6542</v>
      </c>
      <c r="Q693" s="1" t="s">
        <v>6543</v>
      </c>
      <c r="R693" s="1" t="s">
        <v>6544</v>
      </c>
      <c r="S693" s="1" t="s">
        <v>6545</v>
      </c>
      <c r="T693" s="1" t="s">
        <v>6546</v>
      </c>
      <c r="U693" s="1" t="s">
        <v>6547</v>
      </c>
      <c r="V693" s="13">
        <f>COUNTIF(L693:$M$1659,L693)</f>
        <v>6</v>
      </c>
      <c r="W693" s="1" t="s">
        <v>6548</v>
      </c>
      <c r="X693">
        <v>504.66</v>
      </c>
      <c r="Y693">
        <v>469.96</v>
      </c>
      <c r="Z693">
        <v>15.132929000000001</v>
      </c>
      <c r="AA693">
        <v>108.876476</v>
      </c>
      <c r="AB693">
        <v>34.700000000000003</v>
      </c>
      <c r="AC693">
        <v>15.12703</v>
      </c>
      <c r="AD693">
        <v>108.884162</v>
      </c>
      <c r="AE693" s="5">
        <f t="shared" si="51"/>
        <v>0.7049399999999999</v>
      </c>
      <c r="AF693" s="5">
        <f t="shared" si="52"/>
        <v>5.2050000000000006E-2</v>
      </c>
      <c r="AG693" s="1" t="str">
        <f>TRIM(LEFT(L693,FIND("-",L693)-1))</f>
        <v>Quảng Ngãi</v>
      </c>
      <c r="AH693" s="1" t="str">
        <f>TRIM(RIGHT(L693, LEN(L693) - FIND("-", L693)))</f>
        <v>Ring 1_Tịnh Khê - An Phú</v>
      </c>
      <c r="AJ693">
        <f t="shared" si="53"/>
        <v>0.46995999999999999</v>
      </c>
      <c r="AK693">
        <f t="shared" si="54"/>
        <v>3.4700000000000002E-2</v>
      </c>
      <c r="AL693" t="e">
        <f>VLOOKUP(L693,'[1]Tuyến cáp H04'!$B:$E,3,0)/1000</f>
        <v>#N/A</v>
      </c>
      <c r="AM693" t="e">
        <f>VLOOKUP(L693,'[1]Tuyến cáp H04'!$B:$E,4,0)</f>
        <v>#N/A</v>
      </c>
    </row>
    <row r="694" spans="1:39" x14ac:dyDescent="0.25">
      <c r="A694" s="1" t="s">
        <v>6549</v>
      </c>
      <c r="B694" s="1" t="s">
        <v>6550</v>
      </c>
      <c r="C694" s="1" t="s">
        <v>6551</v>
      </c>
      <c r="D694" s="1" t="s">
        <v>6518</v>
      </c>
      <c r="E694" s="1" t="s">
        <v>6519</v>
      </c>
      <c r="F694" s="1" t="s">
        <v>6552</v>
      </c>
      <c r="G694" s="1" t="s">
        <v>14129</v>
      </c>
      <c r="H694" s="1" t="s">
        <v>14679</v>
      </c>
      <c r="I694" s="1" t="s">
        <v>14811</v>
      </c>
      <c r="J694" s="1" t="s">
        <v>23</v>
      </c>
      <c r="K694" s="1"/>
      <c r="L694" s="1" t="s">
        <v>6521</v>
      </c>
      <c r="M694" s="1" t="s">
        <v>6521</v>
      </c>
      <c r="N694" s="12" t="b">
        <f t="shared" si="50"/>
        <v>1</v>
      </c>
      <c r="O694" s="1" t="s">
        <v>6553</v>
      </c>
      <c r="P694" s="1" t="s">
        <v>6554</v>
      </c>
      <c r="Q694" s="1" t="s">
        <v>6555</v>
      </c>
      <c r="R694" s="1" t="s">
        <v>6556</v>
      </c>
      <c r="S694" s="1" t="s">
        <v>6526</v>
      </c>
      <c r="T694" s="1" t="s">
        <v>6527</v>
      </c>
      <c r="U694" s="1" t="s">
        <v>6528</v>
      </c>
      <c r="V694" s="13">
        <f>COUNTIF(L694:$M$1659,L694)</f>
        <v>8</v>
      </c>
      <c r="W694" s="1" t="s">
        <v>6529</v>
      </c>
      <c r="X694">
        <v>293.08</v>
      </c>
      <c r="Y694">
        <v>281.5</v>
      </c>
      <c r="Z694">
        <v>15.128410000000001</v>
      </c>
      <c r="AA694">
        <v>108.88037</v>
      </c>
      <c r="AB694">
        <v>11.58</v>
      </c>
      <c r="AC694">
        <v>15.126735999999999</v>
      </c>
      <c r="AD694">
        <v>108.88436299999999</v>
      </c>
      <c r="AE694" s="5">
        <f t="shared" si="51"/>
        <v>0.42225000000000001</v>
      </c>
      <c r="AF694" s="5">
        <f t="shared" si="52"/>
        <v>1.737E-2</v>
      </c>
      <c r="AG694" s="1" t="str">
        <f>TRIM(LEFT(L694,FIND("-",L694)-1))</f>
        <v>Quảng Ngãi</v>
      </c>
      <c r="AH694" s="1" t="str">
        <f>TRIM(RIGHT(L694, LEN(L694) - FIND("-", L694)))</f>
        <v>Ring 1_An Phú-CAT Quảng Ngãi</v>
      </c>
      <c r="AJ694">
        <f t="shared" si="53"/>
        <v>0.28149999999999997</v>
      </c>
      <c r="AK694">
        <f t="shared" si="54"/>
        <v>1.158E-2</v>
      </c>
      <c r="AL694" t="e">
        <f>VLOOKUP(L694,'[1]Tuyến cáp H04'!$B:$E,3,0)/1000</f>
        <v>#N/A</v>
      </c>
      <c r="AM694" t="e">
        <f>VLOOKUP(L694,'[1]Tuyến cáp H04'!$B:$E,4,0)</f>
        <v>#N/A</v>
      </c>
    </row>
    <row r="695" spans="1:39" x14ac:dyDescent="0.25">
      <c r="A695" s="1" t="s">
        <v>6557</v>
      </c>
      <c r="B695" s="1" t="s">
        <v>6558</v>
      </c>
      <c r="C695" s="1" t="s">
        <v>6559</v>
      </c>
      <c r="D695" s="1" t="s">
        <v>6518</v>
      </c>
      <c r="E695" s="1" t="s">
        <v>6519</v>
      </c>
      <c r="F695" s="1" t="s">
        <v>6560</v>
      </c>
      <c r="G695" s="1" t="s">
        <v>14129</v>
      </c>
      <c r="H695" s="1" t="s">
        <v>14679</v>
      </c>
      <c r="I695" s="1" t="s">
        <v>14812</v>
      </c>
      <c r="J695" s="1" t="s">
        <v>23</v>
      </c>
      <c r="K695" s="1"/>
      <c r="L695" s="1" t="s">
        <v>6521</v>
      </c>
      <c r="M695" s="1" t="s">
        <v>6521</v>
      </c>
      <c r="N695" s="12" t="b">
        <f t="shared" si="50"/>
        <v>1</v>
      </c>
      <c r="O695" s="1" t="s">
        <v>6561</v>
      </c>
      <c r="P695" s="1" t="s">
        <v>6562</v>
      </c>
      <c r="Q695" s="1" t="s">
        <v>6563</v>
      </c>
      <c r="R695" s="1" t="s">
        <v>6564</v>
      </c>
      <c r="S695" s="1" t="s">
        <v>6526</v>
      </c>
      <c r="T695" s="1" t="s">
        <v>6527</v>
      </c>
      <c r="U695" s="1" t="s">
        <v>6528</v>
      </c>
      <c r="V695" s="13">
        <f>COUNTIF(L695:$M$1659,L695)</f>
        <v>6</v>
      </c>
      <c r="W695" s="1" t="s">
        <v>6529</v>
      </c>
      <c r="X695">
        <v>197.17</v>
      </c>
      <c r="Y695">
        <v>185.59</v>
      </c>
      <c r="Z695">
        <v>15.124615</v>
      </c>
      <c r="AA695">
        <v>108.860423</v>
      </c>
      <c r="AB695">
        <v>11.58</v>
      </c>
      <c r="AC695">
        <v>15.126735999999999</v>
      </c>
      <c r="AD695">
        <v>108.88436299999999</v>
      </c>
      <c r="AE695" s="5">
        <f t="shared" si="51"/>
        <v>0.27838499999999999</v>
      </c>
      <c r="AF695" s="5">
        <f t="shared" si="52"/>
        <v>1.737E-2</v>
      </c>
      <c r="AG695" s="1" t="str">
        <f>TRIM(LEFT(L695,FIND("-",L695)-1))</f>
        <v>Quảng Ngãi</v>
      </c>
      <c r="AH695" s="1" t="str">
        <f>TRIM(RIGHT(L695, LEN(L695) - FIND("-", L695)))</f>
        <v>Ring 1_An Phú-CAT Quảng Ngãi</v>
      </c>
      <c r="AJ695">
        <f t="shared" si="53"/>
        <v>0.18559</v>
      </c>
      <c r="AK695">
        <f t="shared" si="54"/>
        <v>1.158E-2</v>
      </c>
      <c r="AL695" t="e">
        <f>VLOOKUP(L695,'[1]Tuyến cáp H04'!$B:$E,3,0)/1000</f>
        <v>#N/A</v>
      </c>
      <c r="AM695" t="e">
        <f>VLOOKUP(L695,'[1]Tuyến cáp H04'!$B:$E,4,0)</f>
        <v>#N/A</v>
      </c>
    </row>
    <row r="696" spans="1:39" x14ac:dyDescent="0.25">
      <c r="A696" s="1" t="s">
        <v>6565</v>
      </c>
      <c r="B696" s="1" t="s">
        <v>6566</v>
      </c>
      <c r="C696" s="1" t="s">
        <v>6567</v>
      </c>
      <c r="D696" s="1" t="s">
        <v>6518</v>
      </c>
      <c r="E696" s="1" t="s">
        <v>6519</v>
      </c>
      <c r="F696" s="1" t="s">
        <v>6568</v>
      </c>
      <c r="G696" s="1" t="s">
        <v>14129</v>
      </c>
      <c r="H696" s="1" t="s">
        <v>14679</v>
      </c>
      <c r="I696" s="1" t="s">
        <v>14813</v>
      </c>
      <c r="J696" s="1" t="s">
        <v>23</v>
      </c>
      <c r="K696" s="1"/>
      <c r="L696" s="1" t="s">
        <v>6521</v>
      </c>
      <c r="M696" s="1" t="s">
        <v>6521</v>
      </c>
      <c r="N696" s="12" t="b">
        <f t="shared" si="50"/>
        <v>1</v>
      </c>
      <c r="O696" s="1" t="s">
        <v>6569</v>
      </c>
      <c r="P696" s="1" t="s">
        <v>6570</v>
      </c>
      <c r="Q696" s="1" t="s">
        <v>6571</v>
      </c>
      <c r="R696" s="1" t="s">
        <v>6572</v>
      </c>
      <c r="S696" s="1" t="s">
        <v>6526</v>
      </c>
      <c r="T696" s="1" t="s">
        <v>6527</v>
      </c>
      <c r="U696" s="1" t="s">
        <v>6528</v>
      </c>
      <c r="V696" s="13">
        <f>COUNTIF(L696:$M$1659,L696)</f>
        <v>4</v>
      </c>
      <c r="W696" s="1" t="s">
        <v>6529</v>
      </c>
      <c r="X696">
        <v>338.94</v>
      </c>
      <c r="Y696">
        <v>327.36</v>
      </c>
      <c r="Z696">
        <v>15.127604</v>
      </c>
      <c r="AA696">
        <v>108.869018</v>
      </c>
      <c r="AB696">
        <v>11.58</v>
      </c>
      <c r="AC696">
        <v>15.126735999999999</v>
      </c>
      <c r="AD696">
        <v>108.88436299999999</v>
      </c>
      <c r="AE696" s="5">
        <f t="shared" si="51"/>
        <v>0.49104000000000003</v>
      </c>
      <c r="AF696" s="5">
        <f t="shared" si="52"/>
        <v>1.737E-2</v>
      </c>
      <c r="AG696" s="1" t="str">
        <f>TRIM(LEFT(L696,FIND("-",L696)-1))</f>
        <v>Quảng Ngãi</v>
      </c>
      <c r="AH696" s="1" t="str">
        <f>TRIM(RIGHT(L696, LEN(L696) - FIND("-", L696)))</f>
        <v>Ring 1_An Phú-CAT Quảng Ngãi</v>
      </c>
      <c r="AJ696">
        <f t="shared" si="53"/>
        <v>0.32736000000000004</v>
      </c>
      <c r="AK696">
        <f t="shared" si="54"/>
        <v>1.158E-2</v>
      </c>
      <c r="AL696" t="e">
        <f>VLOOKUP(L696,'[1]Tuyến cáp H04'!$B:$E,3,0)/1000</f>
        <v>#N/A</v>
      </c>
      <c r="AM696" t="e">
        <f>VLOOKUP(L696,'[1]Tuyến cáp H04'!$B:$E,4,0)</f>
        <v>#N/A</v>
      </c>
    </row>
    <row r="697" spans="1:39" x14ac:dyDescent="0.25">
      <c r="A697" s="1" t="s">
        <v>6573</v>
      </c>
      <c r="B697" s="1" t="s">
        <v>6574</v>
      </c>
      <c r="C697" s="1" t="s">
        <v>6575</v>
      </c>
      <c r="D697" s="1" t="s">
        <v>6576</v>
      </c>
      <c r="E697" s="1" t="s">
        <v>6577</v>
      </c>
      <c r="F697" s="1" t="s">
        <v>6578</v>
      </c>
      <c r="G697" s="1" t="s">
        <v>14129</v>
      </c>
      <c r="H697" s="1" t="s">
        <v>14679</v>
      </c>
      <c r="I697" s="1" t="s">
        <v>14814</v>
      </c>
      <c r="J697" s="1" t="s">
        <v>23</v>
      </c>
      <c r="K697" s="1"/>
      <c r="L697" s="1" t="s">
        <v>5777</v>
      </c>
      <c r="M697" s="1" t="s">
        <v>5777</v>
      </c>
      <c r="N697" s="12" t="b">
        <f t="shared" si="50"/>
        <v>1</v>
      </c>
      <c r="O697" s="1" t="s">
        <v>6579</v>
      </c>
      <c r="P697" s="1" t="s">
        <v>6580</v>
      </c>
      <c r="Q697" s="1" t="s">
        <v>6581</v>
      </c>
      <c r="R697" s="1" t="s">
        <v>6582</v>
      </c>
      <c r="S697" s="1" t="s">
        <v>6583</v>
      </c>
      <c r="T697" s="1" t="s">
        <v>6584</v>
      </c>
      <c r="U697" s="1" t="s">
        <v>6585</v>
      </c>
      <c r="V697" s="13">
        <f>COUNTIF(L697:$M$1659,L697)</f>
        <v>4</v>
      </c>
      <c r="W697" s="1" t="s">
        <v>6341</v>
      </c>
      <c r="X697">
        <v>483.19</v>
      </c>
      <c r="Y697">
        <v>443.89</v>
      </c>
      <c r="Z697">
        <v>15.104867</v>
      </c>
      <c r="AA697">
        <v>108.81532</v>
      </c>
      <c r="AB697">
        <v>39.299999999999997</v>
      </c>
      <c r="AC697">
        <v>15.099724</v>
      </c>
      <c r="AD697">
        <v>108.80691299999999</v>
      </c>
      <c r="AE697" s="5">
        <f t="shared" si="51"/>
        <v>0.66583500000000007</v>
      </c>
      <c r="AF697" s="5">
        <f t="shared" si="52"/>
        <v>5.8949999999999995E-2</v>
      </c>
      <c r="AG697" s="1" t="e">
        <f>TRIM(LEFT(L697,FIND("-",L697)-1))</f>
        <v>#VALUE!</v>
      </c>
      <c r="AH697" s="1" t="e">
        <f>TRIM(RIGHT(L697, LEN(L697) - FIND("-", L697)))</f>
        <v>#VALUE!</v>
      </c>
      <c r="AJ697">
        <f t="shared" si="53"/>
        <v>0.44389000000000001</v>
      </c>
      <c r="AK697">
        <f t="shared" si="54"/>
        <v>3.9299999999999995E-2</v>
      </c>
      <c r="AL697" t="e">
        <f>VLOOKUP(L697,'[1]Tuyến cáp H04'!$B:$E,3,0)/1000</f>
        <v>#N/A</v>
      </c>
      <c r="AM697" t="e">
        <f>VLOOKUP(L697,'[1]Tuyến cáp H04'!$B:$E,4,0)</f>
        <v>#N/A</v>
      </c>
    </row>
    <row r="698" spans="1:39" x14ac:dyDescent="0.25">
      <c r="A698" s="1" t="s">
        <v>6586</v>
      </c>
      <c r="B698" s="1" t="s">
        <v>5706</v>
      </c>
      <c r="C698" s="1" t="s">
        <v>5707</v>
      </c>
      <c r="D698" s="1" t="s">
        <v>6576</v>
      </c>
      <c r="E698" s="1" t="s">
        <v>6577</v>
      </c>
      <c r="F698" s="1" t="s">
        <v>6587</v>
      </c>
      <c r="G698" s="1" t="s">
        <v>14281</v>
      </c>
      <c r="H698" s="1" t="s">
        <v>14282</v>
      </c>
      <c r="I698" s="1" t="s">
        <v>14815</v>
      </c>
      <c r="J698" s="1" t="s">
        <v>23</v>
      </c>
      <c r="K698" s="1"/>
      <c r="L698" s="1" t="s">
        <v>5734</v>
      </c>
      <c r="M698" s="1" t="s">
        <v>5734</v>
      </c>
      <c r="N698" s="12" t="b">
        <f t="shared" si="50"/>
        <v>1</v>
      </c>
      <c r="O698" s="1" t="s">
        <v>6588</v>
      </c>
      <c r="P698" s="1" t="s">
        <v>5739</v>
      </c>
      <c r="Q698" s="1" t="s">
        <v>5740</v>
      </c>
      <c r="R698" s="1" t="s">
        <v>5741</v>
      </c>
      <c r="S698" s="1" t="s">
        <v>6589</v>
      </c>
      <c r="T698" s="1" t="s">
        <v>6590</v>
      </c>
      <c r="U698" s="1" t="s">
        <v>6591</v>
      </c>
      <c r="V698" s="13">
        <f>COUNTIF(L698:$M$1659,L698)</f>
        <v>2</v>
      </c>
      <c r="W698" s="1" t="s">
        <v>5742</v>
      </c>
      <c r="X698">
        <v>515.21</v>
      </c>
      <c r="Y698">
        <v>47.39</v>
      </c>
      <c r="Z698">
        <v>15.08394</v>
      </c>
      <c r="AA698">
        <v>108.82642800000001</v>
      </c>
      <c r="AB698">
        <v>467.82</v>
      </c>
      <c r="AC698">
        <v>15.104257</v>
      </c>
      <c r="AD698">
        <v>108.807107</v>
      </c>
      <c r="AE698" s="5">
        <f t="shared" si="51"/>
        <v>7.1085000000000009E-2</v>
      </c>
      <c r="AF698" s="5">
        <f t="shared" si="52"/>
        <v>0.70172999999999996</v>
      </c>
      <c r="AG698" s="1" t="str">
        <f>TRIM(LEFT(L698,FIND("-",L698)-1))</f>
        <v>Cơ sở cai nghiện (X. Nghĩa Kỳ, H. Tư Nghĩa)</v>
      </c>
      <c r="AH698" s="1" t="str">
        <f>TRIM(RIGHT(L698, LEN(L698) - FIND("-", L698)))</f>
        <v>TTCMKV Tư Nghĩa</v>
      </c>
      <c r="AJ698">
        <f t="shared" si="53"/>
        <v>4.7390000000000002E-2</v>
      </c>
      <c r="AK698">
        <f t="shared" si="54"/>
        <v>0.46782000000000001</v>
      </c>
      <c r="AL698">
        <f>VLOOKUP(L698,'[1]Tuyến cáp H04'!$B:$E,3,0)/1000</f>
        <v>12.4</v>
      </c>
      <c r="AM698" t="str">
        <f>VLOOKUP(L698,'[1]Tuyến cáp H04'!$B:$E,4,0)</f>
        <v>Mạng cấp 3</v>
      </c>
    </row>
    <row r="699" spans="1:39" x14ac:dyDescent="0.25">
      <c r="A699" s="1" t="s">
        <v>6592</v>
      </c>
      <c r="B699" s="1" t="s">
        <v>6576</v>
      </c>
      <c r="C699" s="1" t="s">
        <v>6577</v>
      </c>
      <c r="D699" s="1" t="s">
        <v>6310</v>
      </c>
      <c r="E699" s="1" t="s">
        <v>6311</v>
      </c>
      <c r="F699" s="1" t="s">
        <v>6593</v>
      </c>
      <c r="G699" s="1" t="s">
        <v>14281</v>
      </c>
      <c r="H699" s="1" t="s">
        <v>14282</v>
      </c>
      <c r="I699" s="1" t="s">
        <v>14816</v>
      </c>
      <c r="J699" s="1" t="s">
        <v>23</v>
      </c>
      <c r="K699" s="1"/>
      <c r="L699" s="1" t="s">
        <v>6594</v>
      </c>
      <c r="M699" s="1" t="s">
        <v>6594</v>
      </c>
      <c r="N699" s="12" t="b">
        <f t="shared" si="50"/>
        <v>1</v>
      </c>
      <c r="O699" s="1" t="s">
        <v>6595</v>
      </c>
      <c r="P699" s="1" t="s">
        <v>6596</v>
      </c>
      <c r="Q699" s="1" t="s">
        <v>6597</v>
      </c>
      <c r="R699" s="1" t="s">
        <v>6598</v>
      </c>
      <c r="S699" s="1" t="s">
        <v>6599</v>
      </c>
      <c r="T699" s="1" t="s">
        <v>6600</v>
      </c>
      <c r="U699" s="1" t="s">
        <v>6601</v>
      </c>
      <c r="V699" s="13">
        <f>COUNTIF(L699:$M$1659,L699)</f>
        <v>4</v>
      </c>
      <c r="W699" s="1" t="s">
        <v>6602</v>
      </c>
      <c r="X699">
        <v>581.97</v>
      </c>
      <c r="Y699">
        <v>49.13</v>
      </c>
      <c r="Z699">
        <v>15.100458</v>
      </c>
      <c r="AA699">
        <v>108.806602</v>
      </c>
      <c r="AB699">
        <v>532.84</v>
      </c>
      <c r="AC699">
        <v>15.113075</v>
      </c>
      <c r="AD699">
        <v>108.80313700000001</v>
      </c>
      <c r="AE699" s="5">
        <f t="shared" si="51"/>
        <v>7.369500000000001E-2</v>
      </c>
      <c r="AF699" s="5">
        <f t="shared" si="52"/>
        <v>0.79925999999999997</v>
      </c>
      <c r="AG699" s="1" t="str">
        <f>TRIM(LEFT(L699,FIND("-",L699)-1))</f>
        <v>PC08</v>
      </c>
      <c r="AH699" s="1" t="str">
        <f>TRIM(RIGHT(L699, LEN(L699) - FIND("-", L699)))</f>
        <v>Khối Phòng PA08_PA05</v>
      </c>
      <c r="AJ699">
        <f t="shared" si="53"/>
        <v>4.913E-2</v>
      </c>
      <c r="AK699">
        <f t="shared" si="54"/>
        <v>0.53283999999999998</v>
      </c>
      <c r="AL699" t="e">
        <f>VLOOKUP(L699,'[1]Tuyến cáp H04'!$B:$E,3,0)/1000</f>
        <v>#N/A</v>
      </c>
      <c r="AM699" t="e">
        <f>VLOOKUP(L699,'[1]Tuyến cáp H04'!$B:$E,4,0)</f>
        <v>#N/A</v>
      </c>
    </row>
    <row r="700" spans="1:39" x14ac:dyDescent="0.25">
      <c r="A700" s="1" t="s">
        <v>6603</v>
      </c>
      <c r="B700" s="1" t="s">
        <v>6576</v>
      </c>
      <c r="C700" s="1" t="s">
        <v>6577</v>
      </c>
      <c r="D700" s="1" t="s">
        <v>6604</v>
      </c>
      <c r="E700" s="1" t="s">
        <v>6605</v>
      </c>
      <c r="F700" s="1" t="s">
        <v>6606</v>
      </c>
      <c r="G700" s="1" t="s">
        <v>14281</v>
      </c>
      <c r="H700" s="1" t="s">
        <v>14282</v>
      </c>
      <c r="I700" s="1" t="s">
        <v>14817</v>
      </c>
      <c r="J700" s="1" t="s">
        <v>23</v>
      </c>
      <c r="K700" s="1"/>
      <c r="L700" s="1" t="s">
        <v>6594</v>
      </c>
      <c r="M700" s="1" t="s">
        <v>6594</v>
      </c>
      <c r="N700" s="12" t="b">
        <f t="shared" si="50"/>
        <v>1</v>
      </c>
      <c r="O700" s="1" t="s">
        <v>6607</v>
      </c>
      <c r="P700" s="1" t="s">
        <v>6596</v>
      </c>
      <c r="Q700" s="1" t="s">
        <v>6597</v>
      </c>
      <c r="R700" s="1" t="s">
        <v>6598</v>
      </c>
      <c r="S700" s="1" t="s">
        <v>6608</v>
      </c>
      <c r="T700" s="1" t="s">
        <v>6609</v>
      </c>
      <c r="U700" s="1" t="s">
        <v>6610</v>
      </c>
      <c r="V700" s="13">
        <f>COUNTIF(L700:$M$1659,L700)</f>
        <v>2</v>
      </c>
      <c r="W700" s="1" t="s">
        <v>6602</v>
      </c>
      <c r="X700">
        <v>90.92</v>
      </c>
      <c r="Y700">
        <v>49.13</v>
      </c>
      <c r="Z700">
        <v>15.100458</v>
      </c>
      <c r="AA700">
        <v>108.806602</v>
      </c>
      <c r="AB700">
        <v>41.79</v>
      </c>
      <c r="AC700">
        <v>15.107366000000001</v>
      </c>
      <c r="AD700">
        <v>108.803161</v>
      </c>
      <c r="AE700" s="5">
        <f t="shared" si="51"/>
        <v>7.369500000000001E-2</v>
      </c>
      <c r="AF700" s="5">
        <f t="shared" si="52"/>
        <v>6.2685000000000005E-2</v>
      </c>
      <c r="AG700" s="1" t="str">
        <f>TRIM(LEFT(L700,FIND("-",L700)-1))</f>
        <v>PC08</v>
      </c>
      <c r="AH700" s="1" t="str">
        <f>TRIM(RIGHT(L700, LEN(L700) - FIND("-", L700)))</f>
        <v>Khối Phòng PA08_PA05</v>
      </c>
      <c r="AJ700">
        <f t="shared" si="53"/>
        <v>4.913E-2</v>
      </c>
      <c r="AK700">
        <f t="shared" si="54"/>
        <v>4.1790000000000001E-2</v>
      </c>
      <c r="AL700" t="e">
        <f>VLOOKUP(L700,'[1]Tuyến cáp H04'!$B:$E,3,0)/1000</f>
        <v>#N/A</v>
      </c>
      <c r="AM700" t="e">
        <f>VLOOKUP(L700,'[1]Tuyến cáp H04'!$B:$E,4,0)</f>
        <v>#N/A</v>
      </c>
    </row>
    <row r="701" spans="1:39" x14ac:dyDescent="0.25">
      <c r="A701" s="1" t="s">
        <v>6611</v>
      </c>
      <c r="B701" s="1" t="s">
        <v>6343</v>
      </c>
      <c r="C701" s="1" t="s">
        <v>6344</v>
      </c>
      <c r="D701" s="1" t="s">
        <v>6612</v>
      </c>
      <c r="E701" s="1" t="s">
        <v>6613</v>
      </c>
      <c r="F701" s="1" t="s">
        <v>6614</v>
      </c>
      <c r="G701" s="1" t="s">
        <v>14129</v>
      </c>
      <c r="H701" s="1" t="s">
        <v>14133</v>
      </c>
      <c r="I701" s="1" t="s">
        <v>14818</v>
      </c>
      <c r="J701" s="1" t="s">
        <v>23</v>
      </c>
      <c r="K701" s="1"/>
      <c r="L701" s="1" t="s">
        <v>6540</v>
      </c>
      <c r="M701" s="1" t="s">
        <v>6540</v>
      </c>
      <c r="N701" s="12" t="b">
        <f t="shared" si="50"/>
        <v>1</v>
      </c>
      <c r="O701" s="1" t="s">
        <v>6615</v>
      </c>
      <c r="P701" s="1" t="s">
        <v>6616</v>
      </c>
      <c r="Q701" s="1" t="s">
        <v>6617</v>
      </c>
      <c r="R701" s="1" t="s">
        <v>6618</v>
      </c>
      <c r="S701" s="1" t="s">
        <v>6619</v>
      </c>
      <c r="T701" s="1" t="s">
        <v>6620</v>
      </c>
      <c r="U701" s="1" t="s">
        <v>6621</v>
      </c>
      <c r="V701" s="13">
        <f>COUNTIF(L701:$M$1659,L701)</f>
        <v>4</v>
      </c>
      <c r="W701" s="1" t="s">
        <v>6622</v>
      </c>
      <c r="X701">
        <v>799.29</v>
      </c>
      <c r="Y701">
        <v>443.88</v>
      </c>
      <c r="Z701">
        <v>15.119071</v>
      </c>
      <c r="AA701">
        <v>108.82515100000001</v>
      </c>
      <c r="AB701">
        <v>355.41</v>
      </c>
      <c r="AC701">
        <v>15.12162</v>
      </c>
      <c r="AD701">
        <v>108.83467400000001</v>
      </c>
      <c r="AE701" s="5">
        <f t="shared" si="51"/>
        <v>0.66581999999999997</v>
      </c>
      <c r="AF701" s="5">
        <f t="shared" si="52"/>
        <v>0.53311500000000001</v>
      </c>
      <c r="AG701" s="1" t="str">
        <f>TRIM(LEFT(L701,FIND("-",L701)-1))</f>
        <v>Quảng Ngãi</v>
      </c>
      <c r="AH701" s="1" t="str">
        <f>TRIM(RIGHT(L701, LEN(L701) - FIND("-", L701)))</f>
        <v>Ring 1_Tịnh Khê - An Phú</v>
      </c>
      <c r="AJ701">
        <f t="shared" si="53"/>
        <v>0.44388</v>
      </c>
      <c r="AK701">
        <f t="shared" si="54"/>
        <v>0.35541</v>
      </c>
      <c r="AL701" t="e">
        <f>VLOOKUP(L701,'[1]Tuyến cáp H04'!$B:$E,3,0)/1000</f>
        <v>#N/A</v>
      </c>
      <c r="AM701" t="e">
        <f>VLOOKUP(L701,'[1]Tuyến cáp H04'!$B:$E,4,0)</f>
        <v>#N/A</v>
      </c>
    </row>
    <row r="702" spans="1:39" x14ac:dyDescent="0.25">
      <c r="A702" s="1" t="s">
        <v>6623</v>
      </c>
      <c r="B702" s="1" t="s">
        <v>6624</v>
      </c>
      <c r="C702" s="1" t="s">
        <v>6625</v>
      </c>
      <c r="D702" s="1" t="s">
        <v>6343</v>
      </c>
      <c r="E702" s="1" t="s">
        <v>6344</v>
      </c>
      <c r="F702" s="1" t="s">
        <v>6626</v>
      </c>
      <c r="G702" s="1" t="s">
        <v>14281</v>
      </c>
      <c r="H702" s="1" t="s">
        <v>14282</v>
      </c>
      <c r="I702" s="1" t="s">
        <v>14819</v>
      </c>
      <c r="J702" s="1" t="s">
        <v>23</v>
      </c>
      <c r="K702" s="1"/>
      <c r="L702" s="1" t="s">
        <v>6540</v>
      </c>
      <c r="M702" s="1" t="s">
        <v>6540</v>
      </c>
      <c r="N702" s="12" t="b">
        <f t="shared" si="50"/>
        <v>1</v>
      </c>
      <c r="O702" s="1" t="s">
        <v>6627</v>
      </c>
      <c r="P702" s="1" t="s">
        <v>6628</v>
      </c>
      <c r="Q702" s="1" t="s">
        <v>6629</v>
      </c>
      <c r="R702" s="1" t="s">
        <v>6630</v>
      </c>
      <c r="S702" s="1" t="s">
        <v>6616</v>
      </c>
      <c r="T702" s="1" t="s">
        <v>6617</v>
      </c>
      <c r="U702" s="1" t="s">
        <v>6618</v>
      </c>
      <c r="V702" s="13">
        <f>COUNTIF(L702:$M$1659,L702)</f>
        <v>2</v>
      </c>
      <c r="W702" s="1" t="s">
        <v>6622</v>
      </c>
      <c r="X702">
        <v>589.25</v>
      </c>
      <c r="Y702">
        <v>145.37</v>
      </c>
      <c r="Z702">
        <v>15.132324000000001</v>
      </c>
      <c r="AA702">
        <v>108.842215</v>
      </c>
      <c r="AB702">
        <v>443.88</v>
      </c>
      <c r="AC702">
        <v>15.119071</v>
      </c>
      <c r="AD702">
        <v>108.82515100000001</v>
      </c>
      <c r="AE702" s="5">
        <f t="shared" si="51"/>
        <v>0.218055</v>
      </c>
      <c r="AF702" s="5">
        <f t="shared" si="52"/>
        <v>0.66581999999999997</v>
      </c>
      <c r="AG702" s="1" t="str">
        <f>TRIM(LEFT(L702,FIND("-",L702)-1))</f>
        <v>Quảng Ngãi</v>
      </c>
      <c r="AH702" s="1" t="str">
        <f>TRIM(RIGHT(L702, LEN(L702) - FIND("-", L702)))</f>
        <v>Ring 1_Tịnh Khê - An Phú</v>
      </c>
      <c r="AJ702">
        <f t="shared" si="53"/>
        <v>0.14537</v>
      </c>
      <c r="AK702">
        <f t="shared" si="54"/>
        <v>0.44388</v>
      </c>
      <c r="AL702" t="e">
        <f>VLOOKUP(L702,'[1]Tuyến cáp H04'!$B:$E,3,0)/1000</f>
        <v>#N/A</v>
      </c>
      <c r="AM702" t="e">
        <f>VLOOKUP(L702,'[1]Tuyến cáp H04'!$B:$E,4,0)</f>
        <v>#N/A</v>
      </c>
    </row>
    <row r="703" spans="1:39" x14ac:dyDescent="0.25">
      <c r="A703" s="1" t="s">
        <v>6631</v>
      </c>
      <c r="B703" s="1" t="s">
        <v>6632</v>
      </c>
      <c r="C703" s="1" t="s">
        <v>6633</v>
      </c>
      <c r="D703" s="1" t="s">
        <v>6489</v>
      </c>
      <c r="E703" s="1" t="s">
        <v>6490</v>
      </c>
      <c r="F703" s="1" t="s">
        <v>6634</v>
      </c>
      <c r="G703" s="1" t="s">
        <v>14129</v>
      </c>
      <c r="H703" s="1" t="s">
        <v>14679</v>
      </c>
      <c r="I703" s="1" t="s">
        <v>14820</v>
      </c>
      <c r="J703" s="1" t="s">
        <v>23</v>
      </c>
      <c r="K703" s="1"/>
      <c r="L703" s="1" t="s">
        <v>6635</v>
      </c>
      <c r="M703" s="1" t="s">
        <v>6635</v>
      </c>
      <c r="N703" s="12" t="b">
        <f t="shared" si="50"/>
        <v>1</v>
      </c>
      <c r="O703" s="1" t="s">
        <v>6636</v>
      </c>
      <c r="P703" s="1" t="s">
        <v>6637</v>
      </c>
      <c r="Q703" s="1" t="s">
        <v>6638</v>
      </c>
      <c r="R703" s="1" t="s">
        <v>6639</v>
      </c>
      <c r="S703" s="1" t="s">
        <v>6640</v>
      </c>
      <c r="T703" s="1" t="s">
        <v>6641</v>
      </c>
      <c r="U703" s="1" t="s">
        <v>6642</v>
      </c>
      <c r="V703" s="13">
        <f>COUNTIF(L703:$M$1659,L703)</f>
        <v>2</v>
      </c>
      <c r="W703" s="1" t="s">
        <v>6643</v>
      </c>
      <c r="X703">
        <v>78.84</v>
      </c>
      <c r="Y703">
        <v>65.989999999999995</v>
      </c>
      <c r="Z703">
        <v>15.12265</v>
      </c>
      <c r="AA703">
        <v>108.800957</v>
      </c>
      <c r="AB703">
        <v>12.86</v>
      </c>
      <c r="AC703">
        <v>15.120733</v>
      </c>
      <c r="AD703">
        <v>108.79877999999999</v>
      </c>
      <c r="AE703" s="5">
        <f t="shared" si="51"/>
        <v>9.898499999999999E-2</v>
      </c>
      <c r="AF703" s="5">
        <f t="shared" si="52"/>
        <v>1.9289999999999998E-2</v>
      </c>
      <c r="AG703" s="1" t="str">
        <f>TRIM(LEFT(L703,FIND("-",L703)-1))</f>
        <v>PA03</v>
      </c>
      <c r="AH703" s="1" t="str">
        <f>TRIM(RIGHT(L703, LEN(L703) - FIND("-", L703)))</f>
        <v>PC03</v>
      </c>
      <c r="AJ703">
        <f t="shared" si="53"/>
        <v>6.5989999999999993E-2</v>
      </c>
      <c r="AK703">
        <f t="shared" si="54"/>
        <v>1.286E-2</v>
      </c>
      <c r="AL703">
        <f>VLOOKUP(L703,'[1]Tuyến cáp H04'!$B:$E,3,0)/1000</f>
        <v>2.76</v>
      </c>
      <c r="AM703" t="str">
        <f>VLOOKUP(L703,'[1]Tuyến cáp H04'!$B:$E,4,0)</f>
        <v>Mạng cấp 3</v>
      </c>
    </row>
    <row r="704" spans="1:39" x14ac:dyDescent="0.25">
      <c r="A704" s="1" t="s">
        <v>6644</v>
      </c>
      <c r="B704" s="1" t="s">
        <v>6489</v>
      </c>
      <c r="C704" s="1" t="s">
        <v>6490</v>
      </c>
      <c r="D704" s="1" t="s">
        <v>5321</v>
      </c>
      <c r="E704" s="1" t="s">
        <v>5322</v>
      </c>
      <c r="F704" s="1" t="s">
        <v>6645</v>
      </c>
      <c r="G704" s="1" t="s">
        <v>14281</v>
      </c>
      <c r="H704" s="1" t="s">
        <v>14282</v>
      </c>
      <c r="I704" s="1" t="s">
        <v>14821</v>
      </c>
      <c r="J704" s="1" t="s">
        <v>23</v>
      </c>
      <c r="K704" s="1"/>
      <c r="L704" s="1" t="s">
        <v>5236</v>
      </c>
      <c r="M704" s="1" t="s">
        <v>5236</v>
      </c>
      <c r="N704" s="12" t="b">
        <f t="shared" si="50"/>
        <v>1</v>
      </c>
      <c r="O704" s="1" t="s">
        <v>6646</v>
      </c>
      <c r="P704" s="1" t="s">
        <v>6647</v>
      </c>
      <c r="Q704" s="1" t="s">
        <v>6648</v>
      </c>
      <c r="R704" s="1" t="s">
        <v>6649</v>
      </c>
      <c r="S704" s="1" t="s">
        <v>6650</v>
      </c>
      <c r="T704" s="1" t="s">
        <v>6651</v>
      </c>
      <c r="U704" s="1" t="s">
        <v>6652</v>
      </c>
      <c r="V704" s="13">
        <f>COUNTIF(L704:$M$1659,L704)</f>
        <v>4</v>
      </c>
      <c r="W704" s="1" t="s">
        <v>6653</v>
      </c>
      <c r="X704">
        <v>1026.17</v>
      </c>
      <c r="Y704">
        <v>926.76</v>
      </c>
      <c r="Z704">
        <v>15.128491</v>
      </c>
      <c r="AA704">
        <v>108.795727</v>
      </c>
      <c r="AB704">
        <v>99.41</v>
      </c>
      <c r="AC704">
        <v>15.132609</v>
      </c>
      <c r="AD704">
        <v>108.796115</v>
      </c>
      <c r="AE704" s="5">
        <f t="shared" si="51"/>
        <v>1.3901399999999999</v>
      </c>
      <c r="AF704" s="5">
        <f t="shared" si="52"/>
        <v>0.149115</v>
      </c>
      <c r="AG704" s="1" t="e">
        <f>TRIM(LEFT(L704,FIND("-",L704)-1))</f>
        <v>#VALUE!</v>
      </c>
      <c r="AH704" s="1" t="e">
        <f>TRIM(RIGHT(L704, LEN(L704) - FIND("-", L704)))</f>
        <v>#VALUE!</v>
      </c>
      <c r="AJ704">
        <f t="shared" si="53"/>
        <v>0.92676000000000003</v>
      </c>
      <c r="AK704">
        <f t="shared" si="54"/>
        <v>9.9409999999999998E-2</v>
      </c>
      <c r="AL704" t="e">
        <f>VLOOKUP(L704,'[1]Tuyến cáp H04'!$B:$E,3,0)/1000</f>
        <v>#N/A</v>
      </c>
      <c r="AM704" t="e">
        <f>VLOOKUP(L704,'[1]Tuyến cáp H04'!$B:$E,4,0)</f>
        <v>#N/A</v>
      </c>
    </row>
    <row r="705" spans="1:39" x14ac:dyDescent="0.25">
      <c r="A705" s="1" t="s">
        <v>6654</v>
      </c>
      <c r="B705" s="1" t="s">
        <v>5337</v>
      </c>
      <c r="C705" s="1" t="s">
        <v>6655</v>
      </c>
      <c r="D705" s="1" t="s">
        <v>6497</v>
      </c>
      <c r="E705" s="1" t="s">
        <v>6498</v>
      </c>
      <c r="F705" s="1" t="s">
        <v>6656</v>
      </c>
      <c r="G705" s="1" t="s">
        <v>14129</v>
      </c>
      <c r="H705" s="1" t="s">
        <v>14679</v>
      </c>
      <c r="I705" s="1" t="s">
        <v>14822</v>
      </c>
      <c r="J705" s="1" t="s">
        <v>23</v>
      </c>
      <c r="K705" s="1"/>
      <c r="L705" s="1" t="s">
        <v>5777</v>
      </c>
      <c r="M705" s="1" t="s">
        <v>5777</v>
      </c>
      <c r="N705" s="12" t="b">
        <f t="shared" si="50"/>
        <v>1</v>
      </c>
      <c r="O705" s="1" t="s">
        <v>6657</v>
      </c>
      <c r="P705" s="1" t="s">
        <v>6658</v>
      </c>
      <c r="Q705" s="1" t="s">
        <v>6659</v>
      </c>
      <c r="R705" s="1" t="s">
        <v>6660</v>
      </c>
      <c r="S705" s="1" t="s">
        <v>6503</v>
      </c>
      <c r="T705" s="1" t="s">
        <v>6339</v>
      </c>
      <c r="U705" s="1" t="s">
        <v>6340</v>
      </c>
      <c r="V705" s="13">
        <f>COUNTIF(L705:$M$1659,L705)</f>
        <v>2</v>
      </c>
      <c r="W705" s="1" t="s">
        <v>6341</v>
      </c>
      <c r="X705">
        <v>587.94000000000005</v>
      </c>
      <c r="Y705">
        <v>361.53</v>
      </c>
      <c r="Z705">
        <v>15.112512000000001</v>
      </c>
      <c r="AA705">
        <v>108.817047</v>
      </c>
      <c r="AB705">
        <v>226.41</v>
      </c>
      <c r="AC705">
        <v>15.122006000000001</v>
      </c>
      <c r="AD705">
        <v>108.814892</v>
      </c>
      <c r="AE705" s="5">
        <f t="shared" si="51"/>
        <v>0.54229499999999997</v>
      </c>
      <c r="AF705" s="5">
        <f t="shared" si="52"/>
        <v>0.339615</v>
      </c>
      <c r="AG705" s="1" t="e">
        <f>TRIM(LEFT(L705,FIND("-",L705)-1))</f>
        <v>#VALUE!</v>
      </c>
      <c r="AH705" s="1" t="e">
        <f>TRIM(RIGHT(L705, LEN(L705) - FIND("-", L705)))</f>
        <v>#VALUE!</v>
      </c>
      <c r="AJ705">
        <f t="shared" si="53"/>
        <v>0.36152999999999996</v>
      </c>
      <c r="AK705">
        <f t="shared" si="54"/>
        <v>0.22641</v>
      </c>
      <c r="AL705" t="e">
        <f>VLOOKUP(L705,'[1]Tuyến cáp H04'!$B:$E,3,0)/1000</f>
        <v>#N/A</v>
      </c>
      <c r="AM705" t="e">
        <f>VLOOKUP(L705,'[1]Tuyến cáp H04'!$B:$E,4,0)</f>
        <v>#N/A</v>
      </c>
    </row>
    <row r="706" spans="1:39" x14ac:dyDescent="0.25">
      <c r="A706" s="1" t="s">
        <v>6661</v>
      </c>
      <c r="B706" s="1" t="s">
        <v>5706</v>
      </c>
      <c r="C706" s="1" t="s">
        <v>5707</v>
      </c>
      <c r="D706" s="1" t="s">
        <v>6497</v>
      </c>
      <c r="E706" s="1" t="s">
        <v>6498</v>
      </c>
      <c r="F706" s="1" t="s">
        <v>6662</v>
      </c>
      <c r="G706" s="1" t="s">
        <v>14281</v>
      </c>
      <c r="H706" s="1" t="s">
        <v>14282</v>
      </c>
      <c r="I706" s="1" t="s">
        <v>14823</v>
      </c>
      <c r="J706" s="1" t="s">
        <v>23</v>
      </c>
      <c r="K706" s="1"/>
      <c r="L706" s="1" t="s">
        <v>5721</v>
      </c>
      <c r="M706" s="1" t="s">
        <v>5721</v>
      </c>
      <c r="N706" s="12" t="b">
        <f t="shared" si="50"/>
        <v>1</v>
      </c>
      <c r="O706" s="1" t="s">
        <v>6663</v>
      </c>
      <c r="P706" s="1" t="s">
        <v>5726</v>
      </c>
      <c r="Q706" s="1" t="s">
        <v>5727</v>
      </c>
      <c r="R706" s="1" t="s">
        <v>5728</v>
      </c>
      <c r="S706" s="1" t="s">
        <v>6664</v>
      </c>
      <c r="T706" s="1" t="s">
        <v>6665</v>
      </c>
      <c r="U706" s="1" t="s">
        <v>6666</v>
      </c>
      <c r="V706" s="13">
        <f>COUNTIF(L706:$M$1659,L706)</f>
        <v>4</v>
      </c>
      <c r="W706" s="1" t="s">
        <v>5729</v>
      </c>
      <c r="X706">
        <v>971.37</v>
      </c>
      <c r="Y706">
        <v>345.03</v>
      </c>
      <c r="Z706">
        <v>15.085029</v>
      </c>
      <c r="AA706">
        <v>108.829308</v>
      </c>
      <c r="AB706">
        <v>626.34</v>
      </c>
      <c r="AC706">
        <v>15.116374</v>
      </c>
      <c r="AD706">
        <v>108.816103</v>
      </c>
      <c r="AE706" s="5">
        <f t="shared" si="51"/>
        <v>0.51754499999999992</v>
      </c>
      <c r="AF706" s="5">
        <f t="shared" si="52"/>
        <v>0.93950999999999996</v>
      </c>
      <c r="AG706" s="1" t="str">
        <f>TRIM(LEFT(L706,FIND("-",L706)-1))</f>
        <v>Vệ Giang</v>
      </c>
      <c r="AH706" s="1" t="str">
        <f>TRIM(RIGHT(L706, LEN(L706) - FIND("-", L706)))</f>
        <v>Cẩm Thành</v>
      </c>
      <c r="AJ706">
        <f t="shared" si="53"/>
        <v>0.34502999999999995</v>
      </c>
      <c r="AK706">
        <f t="shared" si="54"/>
        <v>0.62634000000000001</v>
      </c>
      <c r="AL706">
        <f>VLOOKUP(L706,'[1]Tuyến cáp H04'!$B:$E,3,0)/1000</f>
        <v>11.173</v>
      </c>
      <c r="AM706" t="str">
        <f>VLOOKUP(L706,'[1]Tuyến cáp H04'!$B:$E,4,0)</f>
        <v>Mạng cấp 4</v>
      </c>
    </row>
    <row r="707" spans="1:39" x14ac:dyDescent="0.25">
      <c r="A707" s="1" t="s">
        <v>6667</v>
      </c>
      <c r="B707" s="1" t="s">
        <v>6382</v>
      </c>
      <c r="C707" s="1" t="s">
        <v>6383</v>
      </c>
      <c r="D707" s="1" t="s">
        <v>5321</v>
      </c>
      <c r="E707" s="1" t="s">
        <v>5322</v>
      </c>
      <c r="F707" s="1" t="s">
        <v>6668</v>
      </c>
      <c r="G707" s="1" t="s">
        <v>14129</v>
      </c>
      <c r="H707" s="1" t="s">
        <v>14133</v>
      </c>
      <c r="I707" s="1" t="s">
        <v>14824</v>
      </c>
      <c r="J707" s="1" t="s">
        <v>23</v>
      </c>
      <c r="K707" s="1"/>
      <c r="L707" s="1" t="s">
        <v>5236</v>
      </c>
      <c r="M707" s="1" t="s">
        <v>5236</v>
      </c>
      <c r="N707" s="12" t="b">
        <f t="shared" ref="N707:N770" si="55">L707=M707</f>
        <v>1</v>
      </c>
      <c r="O707" s="1" t="s">
        <v>6669</v>
      </c>
      <c r="P707" s="1" t="s">
        <v>6670</v>
      </c>
      <c r="Q707" s="1" t="s">
        <v>6648</v>
      </c>
      <c r="R707" s="1" t="s">
        <v>6649</v>
      </c>
      <c r="S707" s="1" t="s">
        <v>6650</v>
      </c>
      <c r="T707" s="1" t="s">
        <v>6651</v>
      </c>
      <c r="U707" s="1" t="s">
        <v>6652</v>
      </c>
      <c r="V707" s="13">
        <f>COUNTIF(L707:$M$1659,L707)</f>
        <v>2</v>
      </c>
      <c r="W707" s="1" t="s">
        <v>6653</v>
      </c>
      <c r="X707">
        <v>147.31</v>
      </c>
      <c r="Y707">
        <v>47.91</v>
      </c>
      <c r="Z707">
        <v>15.128491</v>
      </c>
      <c r="AA707">
        <v>108.795727</v>
      </c>
      <c r="AB707">
        <v>99.41</v>
      </c>
      <c r="AC707">
        <v>15.132609</v>
      </c>
      <c r="AD707">
        <v>108.796115</v>
      </c>
      <c r="AE707" s="5">
        <f t="shared" ref="AE707:AE770" si="56">Y707*1.5/1000</f>
        <v>7.1864999999999998E-2</v>
      </c>
      <c r="AF707" s="5">
        <f t="shared" ref="AF707:AF770" si="57">AB707*1.5/1000</f>
        <v>0.149115</v>
      </c>
      <c r="AG707" s="1" t="e">
        <f>TRIM(LEFT(L707,FIND("-",L707)-1))</f>
        <v>#VALUE!</v>
      </c>
      <c r="AH707" s="1" t="e">
        <f>TRIM(RIGHT(L707, LEN(L707) - FIND("-", L707)))</f>
        <v>#VALUE!</v>
      </c>
      <c r="AJ707">
        <f t="shared" ref="AJ707:AJ770" si="58">Y707/1000</f>
        <v>4.7909999999999994E-2</v>
      </c>
      <c r="AK707">
        <f t="shared" ref="AK707:AK770" si="59">AB707/1000</f>
        <v>9.9409999999999998E-2</v>
      </c>
      <c r="AL707" t="e">
        <f>VLOOKUP(L707,'[1]Tuyến cáp H04'!$B:$E,3,0)/1000</f>
        <v>#N/A</v>
      </c>
      <c r="AM707" t="e">
        <f>VLOOKUP(L707,'[1]Tuyến cáp H04'!$B:$E,4,0)</f>
        <v>#N/A</v>
      </c>
    </row>
    <row r="708" spans="1:39" x14ac:dyDescent="0.25">
      <c r="A708" s="1" t="s">
        <v>6671</v>
      </c>
      <c r="B708" s="1" t="s">
        <v>6672</v>
      </c>
      <c r="C708" s="1" t="s">
        <v>6673</v>
      </c>
      <c r="D708" s="1" t="s">
        <v>6674</v>
      </c>
      <c r="E708" s="1" t="s">
        <v>6675</v>
      </c>
      <c r="F708" s="1" t="s">
        <v>6676</v>
      </c>
      <c r="G708" s="1" t="s">
        <v>14129</v>
      </c>
      <c r="H708" s="1" t="s">
        <v>14133</v>
      </c>
      <c r="I708" s="1" t="s">
        <v>14825</v>
      </c>
      <c r="J708" s="1" t="s">
        <v>23</v>
      </c>
      <c r="K708" s="1"/>
      <c r="L708" s="1" t="s">
        <v>5815</v>
      </c>
      <c r="M708" s="1" t="s">
        <v>5815</v>
      </c>
      <c r="N708" s="12" t="b">
        <f t="shared" si="55"/>
        <v>1</v>
      </c>
      <c r="O708" s="1" t="s">
        <v>6677</v>
      </c>
      <c r="P708" s="1" t="s">
        <v>6678</v>
      </c>
      <c r="Q708" s="1" t="s">
        <v>6679</v>
      </c>
      <c r="R708" s="1" t="s">
        <v>6680</v>
      </c>
      <c r="S708" s="1" t="s">
        <v>6681</v>
      </c>
      <c r="T708" s="1" t="s">
        <v>6682</v>
      </c>
      <c r="U708" s="1" t="s">
        <v>6683</v>
      </c>
      <c r="V708" s="13">
        <f>COUNTIF(L708:$M$1659,L708)</f>
        <v>4</v>
      </c>
      <c r="W708" s="1" t="s">
        <v>5823</v>
      </c>
      <c r="X708">
        <v>127.32</v>
      </c>
      <c r="Y708">
        <v>52.8</v>
      </c>
      <c r="Z708">
        <v>15.200165999999999</v>
      </c>
      <c r="AA708">
        <v>108.83606</v>
      </c>
      <c r="AB708">
        <v>74.52</v>
      </c>
      <c r="AC708">
        <v>15.182302999999999</v>
      </c>
      <c r="AD708">
        <v>108.85267899999999</v>
      </c>
      <c r="AE708" s="5">
        <f t="shared" si="56"/>
        <v>7.9199999999999993E-2</v>
      </c>
      <c r="AF708" s="5">
        <f t="shared" si="57"/>
        <v>0.11178</v>
      </c>
      <c r="AG708" s="1" t="str">
        <f>TRIM(LEFT(L708,FIND("-",L708)-1))</f>
        <v>Quảng Ngãi</v>
      </c>
      <c r="AH708" s="1" t="str">
        <f>TRIM(RIGHT(L708, LEN(L708) - FIND("-", L708)))</f>
        <v>Ring 1_Đông Sơn - Tịnh Khê</v>
      </c>
      <c r="AJ708">
        <f t="shared" si="58"/>
        <v>5.28E-2</v>
      </c>
      <c r="AK708">
        <f t="shared" si="59"/>
        <v>7.4520000000000003E-2</v>
      </c>
      <c r="AL708" t="e">
        <f>VLOOKUP(L708,'[1]Tuyến cáp H04'!$B:$E,3,0)/1000</f>
        <v>#N/A</v>
      </c>
      <c r="AM708" t="e">
        <f>VLOOKUP(L708,'[1]Tuyến cáp H04'!$B:$E,4,0)</f>
        <v>#N/A</v>
      </c>
    </row>
    <row r="709" spans="1:39" x14ac:dyDescent="0.25">
      <c r="A709" s="1" t="s">
        <v>6684</v>
      </c>
      <c r="B709" s="1" t="s">
        <v>6674</v>
      </c>
      <c r="C709" s="1" t="s">
        <v>6675</v>
      </c>
      <c r="D709" s="1" t="s">
        <v>5854</v>
      </c>
      <c r="E709" s="1" t="s">
        <v>5855</v>
      </c>
      <c r="F709" s="1" t="s">
        <v>6685</v>
      </c>
      <c r="G709" s="1" t="s">
        <v>14129</v>
      </c>
      <c r="H709" s="1" t="s">
        <v>14133</v>
      </c>
      <c r="I709" s="1" t="s">
        <v>14826</v>
      </c>
      <c r="J709" s="1" t="s">
        <v>23</v>
      </c>
      <c r="K709" s="1"/>
      <c r="L709" s="1" t="s">
        <v>5857</v>
      </c>
      <c r="M709" s="1" t="s">
        <v>5857</v>
      </c>
      <c r="N709" s="12" t="b">
        <f t="shared" si="55"/>
        <v>1</v>
      </c>
      <c r="O709" s="1" t="s">
        <v>6686</v>
      </c>
      <c r="P709" s="1" t="s">
        <v>6687</v>
      </c>
      <c r="Q709" s="1" t="s">
        <v>6688</v>
      </c>
      <c r="R709" s="1" t="s">
        <v>6689</v>
      </c>
      <c r="S709" s="1" t="s">
        <v>5862</v>
      </c>
      <c r="T709" s="1" t="s">
        <v>5863</v>
      </c>
      <c r="U709" s="1" t="s">
        <v>5864</v>
      </c>
      <c r="V709" s="13">
        <f>COUNTIF(L709:$M$1659,L709)</f>
        <v>2</v>
      </c>
      <c r="W709" s="1" t="s">
        <v>5865</v>
      </c>
      <c r="X709">
        <v>1869.73</v>
      </c>
      <c r="Y709">
        <v>148.51</v>
      </c>
      <c r="Z709">
        <v>15.181642999999999</v>
      </c>
      <c r="AA709">
        <v>108.852451</v>
      </c>
      <c r="AB709">
        <v>1721.22</v>
      </c>
      <c r="AC709">
        <v>15.189964</v>
      </c>
      <c r="AD709">
        <v>108.869676</v>
      </c>
      <c r="AE709" s="5">
        <f t="shared" si="56"/>
        <v>0.22276499999999999</v>
      </c>
      <c r="AF709" s="5">
        <f t="shared" si="57"/>
        <v>2.5818300000000001</v>
      </c>
      <c r="AG709" s="1" t="str">
        <f>TRIM(LEFT(L709,FIND("-",L709)-1))</f>
        <v>Đội CSGT Đường Thuỷ</v>
      </c>
      <c r="AH709" s="1" t="str">
        <f>TRIM(RIGHT(L709, LEN(L709) - FIND("-", L709)))</f>
        <v>PC08</v>
      </c>
      <c r="AJ709">
        <f t="shared" si="58"/>
        <v>0.14851</v>
      </c>
      <c r="AK709">
        <f t="shared" si="59"/>
        <v>1.72122</v>
      </c>
      <c r="AL709" t="e">
        <f>VLOOKUP(L709,'[1]Tuyến cáp H04'!$B:$E,3,0)/1000</f>
        <v>#N/A</v>
      </c>
      <c r="AM709" t="e">
        <f>VLOOKUP(L709,'[1]Tuyến cáp H04'!$B:$E,4,0)</f>
        <v>#N/A</v>
      </c>
    </row>
    <row r="710" spans="1:39" x14ac:dyDescent="0.25">
      <c r="A710" s="1" t="s">
        <v>6690</v>
      </c>
      <c r="B710" s="1" t="s">
        <v>6691</v>
      </c>
      <c r="C710" s="1" t="s">
        <v>6692</v>
      </c>
      <c r="D710" s="1" t="s">
        <v>6674</v>
      </c>
      <c r="E710" s="1" t="s">
        <v>6675</v>
      </c>
      <c r="F710" s="1" t="s">
        <v>6693</v>
      </c>
      <c r="G710" s="1" t="s">
        <v>14281</v>
      </c>
      <c r="H710" s="1" t="s">
        <v>14282</v>
      </c>
      <c r="I710" s="1" t="s">
        <v>14827</v>
      </c>
      <c r="J710" s="1" t="s">
        <v>23</v>
      </c>
      <c r="K710" s="1"/>
      <c r="L710" s="1" t="s">
        <v>5815</v>
      </c>
      <c r="M710" s="1" t="s">
        <v>5815</v>
      </c>
      <c r="N710" s="12" t="b">
        <f t="shared" si="55"/>
        <v>1</v>
      </c>
      <c r="O710" s="1" t="s">
        <v>6694</v>
      </c>
      <c r="P710" s="1" t="s">
        <v>6695</v>
      </c>
      <c r="Q710" s="1" t="s">
        <v>6696</v>
      </c>
      <c r="R710" s="1" t="s">
        <v>6697</v>
      </c>
      <c r="S710" s="1" t="s">
        <v>6681</v>
      </c>
      <c r="T710" s="1" t="s">
        <v>6682</v>
      </c>
      <c r="U710" s="1" t="s">
        <v>6683</v>
      </c>
      <c r="V710" s="13">
        <f>COUNTIF(L710:$M$1659,L710)</f>
        <v>2</v>
      </c>
      <c r="W710" s="1" t="s">
        <v>5823</v>
      </c>
      <c r="X710">
        <v>918.81</v>
      </c>
      <c r="Y710">
        <v>844.29</v>
      </c>
      <c r="Z710">
        <v>15.19181</v>
      </c>
      <c r="AA710">
        <v>108.841418</v>
      </c>
      <c r="AB710">
        <v>74.52</v>
      </c>
      <c r="AC710">
        <v>15.182302999999999</v>
      </c>
      <c r="AD710">
        <v>108.85267899999999</v>
      </c>
      <c r="AE710" s="5">
        <f t="shared" si="56"/>
        <v>1.266435</v>
      </c>
      <c r="AF710" s="5">
        <f t="shared" si="57"/>
        <v>0.11178</v>
      </c>
      <c r="AG710" s="1" t="str">
        <f>TRIM(LEFT(L710,FIND("-",L710)-1))</f>
        <v>Quảng Ngãi</v>
      </c>
      <c r="AH710" s="1" t="str">
        <f>TRIM(RIGHT(L710, LEN(L710) - FIND("-", L710)))</f>
        <v>Ring 1_Đông Sơn - Tịnh Khê</v>
      </c>
      <c r="AJ710">
        <f t="shared" si="58"/>
        <v>0.84428999999999998</v>
      </c>
      <c r="AK710">
        <f t="shared" si="59"/>
        <v>7.4520000000000003E-2</v>
      </c>
      <c r="AL710" t="e">
        <f>VLOOKUP(L710,'[1]Tuyến cáp H04'!$B:$E,3,0)/1000</f>
        <v>#N/A</v>
      </c>
      <c r="AM710" t="e">
        <f>VLOOKUP(L710,'[1]Tuyến cáp H04'!$B:$E,4,0)</f>
        <v>#N/A</v>
      </c>
    </row>
    <row r="711" spans="1:39" x14ac:dyDescent="0.25">
      <c r="A711" s="1" t="s">
        <v>6698</v>
      </c>
      <c r="B711" s="1" t="s">
        <v>6699</v>
      </c>
      <c r="C711" s="1" t="s">
        <v>6700</v>
      </c>
      <c r="D711" s="1" t="s">
        <v>6701</v>
      </c>
      <c r="E711" s="1" t="s">
        <v>6702</v>
      </c>
      <c r="F711" s="1" t="s">
        <v>6703</v>
      </c>
      <c r="G711" s="1" t="s">
        <v>14129</v>
      </c>
      <c r="H711" s="1" t="s">
        <v>14133</v>
      </c>
      <c r="I711" s="1" t="s">
        <v>14828</v>
      </c>
      <c r="J711" s="1" t="s">
        <v>23</v>
      </c>
      <c r="K711" s="1"/>
      <c r="L711" s="1" t="s">
        <v>6704</v>
      </c>
      <c r="M711" s="1" t="s">
        <v>6704</v>
      </c>
      <c r="N711" s="12" t="b">
        <f t="shared" si="55"/>
        <v>1</v>
      </c>
      <c r="O711" s="1" t="s">
        <v>6705</v>
      </c>
      <c r="P711" s="1" t="s">
        <v>6706</v>
      </c>
      <c r="Q711" s="1" t="s">
        <v>6707</v>
      </c>
      <c r="R711" s="1" t="s">
        <v>6708</v>
      </c>
      <c r="S711" s="1" t="s">
        <v>6709</v>
      </c>
      <c r="T711" s="1" t="s">
        <v>6710</v>
      </c>
      <c r="U711" s="1" t="s">
        <v>6711</v>
      </c>
      <c r="V711" s="13">
        <f>COUNTIF(L711:$M$1659,L711)</f>
        <v>4</v>
      </c>
      <c r="W711" s="1" t="s">
        <v>6712</v>
      </c>
      <c r="X711">
        <v>721.72</v>
      </c>
      <c r="Y711">
        <v>192.61</v>
      </c>
      <c r="Z711">
        <v>15.151139000000001</v>
      </c>
      <c r="AA711">
        <v>108.787036</v>
      </c>
      <c r="AB711">
        <v>529.11</v>
      </c>
      <c r="AC711">
        <v>15.150714000000001</v>
      </c>
      <c r="AD711">
        <v>108.79671999999999</v>
      </c>
      <c r="AE711" s="5">
        <f t="shared" si="56"/>
        <v>0.28891500000000003</v>
      </c>
      <c r="AF711" s="5">
        <f t="shared" si="57"/>
        <v>0.79366499999999995</v>
      </c>
      <c r="AG711" s="1" t="str">
        <f>TRIM(LEFT(L711,FIND("-",L711)-1))</f>
        <v>PC10</v>
      </c>
      <c r="AH711" s="1" t="str">
        <f>TRIM(RIGHT(L711, LEN(L711) - FIND("-", L711)))</f>
        <v>PA06</v>
      </c>
      <c r="AJ711">
        <f t="shared" si="58"/>
        <v>0.19261</v>
      </c>
      <c r="AK711">
        <f t="shared" si="59"/>
        <v>0.52910999999999997</v>
      </c>
      <c r="AL711" t="e">
        <f>VLOOKUP(L711,'[1]Tuyến cáp H04'!$B:$E,3,0)/1000</f>
        <v>#N/A</v>
      </c>
      <c r="AM711" t="e">
        <f>VLOOKUP(L711,'[1]Tuyến cáp H04'!$B:$E,4,0)</f>
        <v>#N/A</v>
      </c>
    </row>
    <row r="712" spans="1:39" x14ac:dyDescent="0.25">
      <c r="A712" s="1" t="s">
        <v>6713</v>
      </c>
      <c r="B712" s="1" t="s">
        <v>6701</v>
      </c>
      <c r="C712" s="1" t="s">
        <v>6702</v>
      </c>
      <c r="D712" s="1" t="s">
        <v>5233</v>
      </c>
      <c r="E712" s="1" t="s">
        <v>5234</v>
      </c>
      <c r="F712" s="1" t="s">
        <v>6714</v>
      </c>
      <c r="G712" s="1" t="s">
        <v>14129</v>
      </c>
      <c r="H712" s="1" t="s">
        <v>14133</v>
      </c>
      <c r="I712" s="1" t="s">
        <v>14829</v>
      </c>
      <c r="J712" s="1" t="s">
        <v>23</v>
      </c>
      <c r="K712" s="1"/>
      <c r="L712" s="1" t="s">
        <v>5644</v>
      </c>
      <c r="M712" s="1" t="s">
        <v>5644</v>
      </c>
      <c r="N712" s="12" t="b">
        <f t="shared" si="55"/>
        <v>1</v>
      </c>
      <c r="O712" s="1" t="s">
        <v>6715</v>
      </c>
      <c r="P712" s="1" t="s">
        <v>6716</v>
      </c>
      <c r="Q712" s="1" t="s">
        <v>6717</v>
      </c>
      <c r="R712" s="1" t="s">
        <v>6718</v>
      </c>
      <c r="S712" s="1" t="s">
        <v>5241</v>
      </c>
      <c r="T712" s="1" t="s">
        <v>5242</v>
      </c>
      <c r="U712" s="1" t="s">
        <v>5243</v>
      </c>
      <c r="V712" s="13">
        <f>COUNTIF(L712:$M$1659,L712)</f>
        <v>4</v>
      </c>
      <c r="W712" s="1" t="s">
        <v>6719</v>
      </c>
      <c r="X712">
        <v>209.25</v>
      </c>
      <c r="Y712">
        <v>98.68</v>
      </c>
      <c r="Z712">
        <v>15.156207999999999</v>
      </c>
      <c r="AA712">
        <v>108.7974</v>
      </c>
      <c r="AB712">
        <v>110.57</v>
      </c>
      <c r="AC712">
        <v>15.201007000000001</v>
      </c>
      <c r="AD712">
        <v>108.78958</v>
      </c>
      <c r="AE712" s="5">
        <f t="shared" si="56"/>
        <v>0.14802000000000001</v>
      </c>
      <c r="AF712" s="5">
        <f t="shared" si="57"/>
        <v>0.165855</v>
      </c>
      <c r="AG712" s="1" t="str">
        <f>TRIM(LEFT(L712,FIND("-",L712)-1))</f>
        <v>Bình Sơn</v>
      </c>
      <c r="AH712" s="1" t="str">
        <f>TRIM(RIGHT(L712, LEN(L712) - FIND("-", L712)))</f>
        <v>TT1 Quảng Ngãi</v>
      </c>
      <c r="AJ712">
        <f t="shared" si="58"/>
        <v>9.8680000000000004E-2</v>
      </c>
      <c r="AK712">
        <f t="shared" si="59"/>
        <v>0.11056999999999999</v>
      </c>
      <c r="AL712">
        <f>VLOOKUP(L712,'[1]Tuyến cáp H04'!$B:$E,3,0)/1000</f>
        <v>25.260999999999999</v>
      </c>
      <c r="AM712" t="str">
        <f>VLOOKUP(L712,'[1]Tuyến cáp H04'!$B:$E,4,0)</f>
        <v>Mạng cấp 3</v>
      </c>
    </row>
    <row r="713" spans="1:39" x14ac:dyDescent="0.25">
      <c r="A713" s="1" t="s">
        <v>6720</v>
      </c>
      <c r="B713" s="1" t="s">
        <v>5259</v>
      </c>
      <c r="C713" s="1" t="s">
        <v>5260</v>
      </c>
      <c r="D713" s="1" t="s">
        <v>6721</v>
      </c>
      <c r="E713" s="1" t="s">
        <v>6722</v>
      </c>
      <c r="F713" s="1" t="s">
        <v>6723</v>
      </c>
      <c r="G713" s="1" t="s">
        <v>14129</v>
      </c>
      <c r="H713" s="1" t="s">
        <v>14133</v>
      </c>
      <c r="I713" s="1" t="s">
        <v>14830</v>
      </c>
      <c r="J713" s="1" t="s">
        <v>23</v>
      </c>
      <c r="K713" s="1"/>
      <c r="L713" s="1" t="s">
        <v>6704</v>
      </c>
      <c r="M713" s="1" t="s">
        <v>6704</v>
      </c>
      <c r="N713" s="12" t="b">
        <f t="shared" si="55"/>
        <v>1</v>
      </c>
      <c r="O713" s="1" t="s">
        <v>6724</v>
      </c>
      <c r="P713" s="1" t="s">
        <v>6725</v>
      </c>
      <c r="Q713" s="1" t="s">
        <v>6726</v>
      </c>
      <c r="R713" s="1" t="s">
        <v>6727</v>
      </c>
      <c r="S713" s="1" t="s">
        <v>6728</v>
      </c>
      <c r="T713" s="1" t="s">
        <v>6729</v>
      </c>
      <c r="U713" s="1" t="s">
        <v>6730</v>
      </c>
      <c r="V713" s="13">
        <f>COUNTIF(L713:$M$1659,L713)</f>
        <v>2</v>
      </c>
      <c r="W713" s="1" t="s">
        <v>6712</v>
      </c>
      <c r="X713">
        <v>1549.89</v>
      </c>
      <c r="Y713">
        <v>1518.7</v>
      </c>
      <c r="Z713">
        <v>15.151586</v>
      </c>
      <c r="AA713">
        <v>108.77870900000001</v>
      </c>
      <c r="AB713">
        <v>31.19</v>
      </c>
      <c r="AC713">
        <v>15.148739000000001</v>
      </c>
      <c r="AD713">
        <v>108.797346</v>
      </c>
      <c r="AE713" s="5">
        <f t="shared" si="56"/>
        <v>2.2780500000000004</v>
      </c>
      <c r="AF713" s="5">
        <f t="shared" si="57"/>
        <v>4.6785000000000007E-2</v>
      </c>
      <c r="AG713" s="1" t="str">
        <f>TRIM(LEFT(L713,FIND("-",L713)-1))</f>
        <v>PC10</v>
      </c>
      <c r="AH713" s="1" t="str">
        <f>TRIM(RIGHT(L713, LEN(L713) - FIND("-", L713)))</f>
        <v>PA06</v>
      </c>
      <c r="AJ713">
        <f t="shared" si="58"/>
        <v>1.5186999999999999</v>
      </c>
      <c r="AK713">
        <f t="shared" si="59"/>
        <v>3.1190000000000002E-2</v>
      </c>
      <c r="AL713" t="e">
        <f>VLOOKUP(L713,'[1]Tuyến cáp H04'!$B:$E,3,0)/1000</f>
        <v>#N/A</v>
      </c>
      <c r="AM713" t="e">
        <f>VLOOKUP(L713,'[1]Tuyến cáp H04'!$B:$E,4,0)</f>
        <v>#N/A</v>
      </c>
    </row>
    <row r="714" spans="1:39" x14ac:dyDescent="0.25">
      <c r="A714" s="1" t="s">
        <v>6731</v>
      </c>
      <c r="B714" s="1" t="s">
        <v>6721</v>
      </c>
      <c r="C714" s="1" t="s">
        <v>6722</v>
      </c>
      <c r="D714" s="1" t="s">
        <v>6732</v>
      </c>
      <c r="E714" s="1" t="s">
        <v>6733</v>
      </c>
      <c r="F714" s="1" t="s">
        <v>6734</v>
      </c>
      <c r="G714" s="1" t="s">
        <v>14129</v>
      </c>
      <c r="H714" s="1" t="s">
        <v>14133</v>
      </c>
      <c r="I714" s="1" t="s">
        <v>14831</v>
      </c>
      <c r="J714" s="1" t="s">
        <v>23</v>
      </c>
      <c r="K714" s="1"/>
      <c r="L714" s="1" t="s">
        <v>5644</v>
      </c>
      <c r="M714" s="1" t="s">
        <v>5644</v>
      </c>
      <c r="N714" s="12" t="b">
        <f t="shared" si="55"/>
        <v>1</v>
      </c>
      <c r="O714" s="1" t="s">
        <v>6735</v>
      </c>
      <c r="P714" s="1" t="s">
        <v>6736</v>
      </c>
      <c r="Q714" s="1" t="s">
        <v>6737</v>
      </c>
      <c r="R714" s="1" t="s">
        <v>6738</v>
      </c>
      <c r="S714" s="1" t="s">
        <v>6739</v>
      </c>
      <c r="T714" s="1" t="s">
        <v>6740</v>
      </c>
      <c r="U714" s="1" t="s">
        <v>6741</v>
      </c>
      <c r="V714" s="13">
        <f>COUNTIF(L714:$M$1659,L714)</f>
        <v>2</v>
      </c>
      <c r="W714" s="1" t="s">
        <v>6719</v>
      </c>
      <c r="X714">
        <v>871.29</v>
      </c>
      <c r="Y714">
        <v>244.9</v>
      </c>
      <c r="Z714">
        <v>15.146458000000001</v>
      </c>
      <c r="AA714">
        <v>108.797673</v>
      </c>
      <c r="AB714">
        <v>626.39</v>
      </c>
      <c r="AC714">
        <v>15.17798</v>
      </c>
      <c r="AD714">
        <v>108.797039</v>
      </c>
      <c r="AE714" s="5">
        <f t="shared" si="56"/>
        <v>0.36735000000000001</v>
      </c>
      <c r="AF714" s="5">
        <f t="shared" si="57"/>
        <v>0.939585</v>
      </c>
      <c r="AG714" s="1" t="str">
        <f>TRIM(LEFT(L714,FIND("-",L714)-1))</f>
        <v>Bình Sơn</v>
      </c>
      <c r="AH714" s="1" t="str">
        <f>TRIM(RIGHT(L714, LEN(L714) - FIND("-", L714)))</f>
        <v>TT1 Quảng Ngãi</v>
      </c>
      <c r="AJ714">
        <f t="shared" si="58"/>
        <v>0.24490000000000001</v>
      </c>
      <c r="AK714">
        <f t="shared" si="59"/>
        <v>0.62639</v>
      </c>
      <c r="AL714">
        <f>VLOOKUP(L714,'[1]Tuyến cáp H04'!$B:$E,3,0)/1000</f>
        <v>25.260999999999999</v>
      </c>
      <c r="AM714" t="str">
        <f>VLOOKUP(L714,'[1]Tuyến cáp H04'!$B:$E,4,0)</f>
        <v>Mạng cấp 3</v>
      </c>
    </row>
    <row r="715" spans="1:39" x14ac:dyDescent="0.25">
      <c r="A715" s="1" t="s">
        <v>6742</v>
      </c>
      <c r="B715" s="1" t="s">
        <v>5233</v>
      </c>
      <c r="C715" s="1" t="s">
        <v>5234</v>
      </c>
      <c r="D715" s="1" t="s">
        <v>6743</v>
      </c>
      <c r="E715" s="1" t="s">
        <v>6744</v>
      </c>
      <c r="F715" s="1" t="s">
        <v>6745</v>
      </c>
      <c r="G715" s="1" t="s">
        <v>14129</v>
      </c>
      <c r="H715" s="1" t="s">
        <v>14133</v>
      </c>
      <c r="I715" s="1" t="s">
        <v>14832</v>
      </c>
      <c r="J715" s="1" t="s">
        <v>23</v>
      </c>
      <c r="K715" s="1"/>
      <c r="L715" s="1" t="s">
        <v>6746</v>
      </c>
      <c r="M715" s="1" t="s">
        <v>6746</v>
      </c>
      <c r="N715" s="12" t="b">
        <f t="shared" si="55"/>
        <v>1</v>
      </c>
      <c r="O715" s="1" t="s">
        <v>6747</v>
      </c>
      <c r="P715" s="1" t="s">
        <v>6748</v>
      </c>
      <c r="Q715" s="1" t="s">
        <v>6749</v>
      </c>
      <c r="R715" s="1" t="s">
        <v>6750</v>
      </c>
      <c r="S715" s="1" t="s">
        <v>6751</v>
      </c>
      <c r="T715" s="1" t="s">
        <v>6752</v>
      </c>
      <c r="U715" s="1" t="s">
        <v>6753</v>
      </c>
      <c r="V715" s="13">
        <f>COUNTIF(L715:$M$1659,L715)</f>
        <v>2</v>
      </c>
      <c r="W715" s="1" t="s">
        <v>6754</v>
      </c>
      <c r="X715">
        <v>427.25</v>
      </c>
      <c r="Y715">
        <v>365.07</v>
      </c>
      <c r="Z715">
        <v>15.197609</v>
      </c>
      <c r="AA715">
        <v>108.78932</v>
      </c>
      <c r="AB715">
        <v>62.18</v>
      </c>
      <c r="AC715">
        <v>15.216231000000001</v>
      </c>
      <c r="AD715">
        <v>108.76206500000001</v>
      </c>
      <c r="AE715" s="5">
        <f t="shared" si="56"/>
        <v>0.54760500000000001</v>
      </c>
      <c r="AF715" s="5">
        <f t="shared" si="57"/>
        <v>9.3269999999999992E-2</v>
      </c>
      <c r="AG715" s="1" t="str">
        <f>TRIM(LEFT(L715,FIND("-",L715)-1))</f>
        <v>Thọ Phong</v>
      </c>
      <c r="AH715" s="1" t="str">
        <f>TRIM(RIGHT(L715, LEN(L715) - FIND("-", L715)))</f>
        <v>Trương Quang Trọng</v>
      </c>
      <c r="AJ715">
        <f t="shared" si="58"/>
        <v>0.36507000000000001</v>
      </c>
      <c r="AK715">
        <f t="shared" si="59"/>
        <v>6.2179999999999999E-2</v>
      </c>
      <c r="AL715">
        <f>VLOOKUP(L715,'[1]Tuyến cáp H04'!$B:$E,3,0)/1000</f>
        <v>10.209</v>
      </c>
      <c r="AM715" t="str">
        <f>VLOOKUP(L715,'[1]Tuyến cáp H04'!$B:$E,4,0)</f>
        <v>Mạng cấp 4</v>
      </c>
    </row>
    <row r="716" spans="1:39" x14ac:dyDescent="0.25">
      <c r="A716" s="1" t="s">
        <v>6755</v>
      </c>
      <c r="B716" s="1" t="s">
        <v>6743</v>
      </c>
      <c r="C716" s="1" t="s">
        <v>6744</v>
      </c>
      <c r="D716" s="1" t="s">
        <v>6756</v>
      </c>
      <c r="E716" s="1" t="s">
        <v>6757</v>
      </c>
      <c r="F716" s="1" t="s">
        <v>6758</v>
      </c>
      <c r="G716" s="1" t="s">
        <v>14129</v>
      </c>
      <c r="H716" s="1" t="s">
        <v>14133</v>
      </c>
      <c r="I716" s="1" t="s">
        <v>14833</v>
      </c>
      <c r="J716" s="1" t="s">
        <v>23</v>
      </c>
      <c r="K716" s="1"/>
      <c r="L716" s="1" t="s">
        <v>5678</v>
      </c>
      <c r="M716" s="1" t="s">
        <v>5678</v>
      </c>
      <c r="N716" s="12" t="b">
        <f t="shared" si="55"/>
        <v>1</v>
      </c>
      <c r="O716" s="1" t="s">
        <v>6759</v>
      </c>
      <c r="P716" s="1" t="s">
        <v>6760</v>
      </c>
      <c r="Q716" s="1" t="s">
        <v>6761</v>
      </c>
      <c r="R716" s="1" t="s">
        <v>6762</v>
      </c>
      <c r="S716" s="1" t="s">
        <v>6763</v>
      </c>
      <c r="T716" s="1" t="s">
        <v>6764</v>
      </c>
      <c r="U716" s="1" t="s">
        <v>6765</v>
      </c>
      <c r="V716" s="13">
        <f>COUNTIF(L716:$M$1659,L716)</f>
        <v>6</v>
      </c>
      <c r="W716" s="1" t="s">
        <v>6766</v>
      </c>
      <c r="X716">
        <v>1405.98</v>
      </c>
      <c r="Y716">
        <v>61.7</v>
      </c>
      <c r="Z716">
        <v>15.216234</v>
      </c>
      <c r="AA716">
        <v>108.762061</v>
      </c>
      <c r="AB716">
        <v>1344.28</v>
      </c>
      <c r="AC716">
        <v>15.239758999999999</v>
      </c>
      <c r="AD716">
        <v>108.759897</v>
      </c>
      <c r="AE716" s="5">
        <f t="shared" si="56"/>
        <v>9.2550000000000007E-2</v>
      </c>
      <c r="AF716" s="5">
        <f t="shared" si="57"/>
        <v>2.0164200000000001</v>
      </c>
      <c r="AG716" s="1" t="str">
        <f>TRIM(LEFT(L716,FIND("-",L716)-1))</f>
        <v>Bình Sơn</v>
      </c>
      <c r="AH716" s="1" t="str">
        <f>TRIM(RIGHT(L716, LEN(L716) - FIND("-", L716)))</f>
        <v>Thọ Phong</v>
      </c>
      <c r="AJ716">
        <f t="shared" si="58"/>
        <v>6.1700000000000005E-2</v>
      </c>
      <c r="AK716">
        <f t="shared" si="59"/>
        <v>1.3442799999999999</v>
      </c>
      <c r="AL716">
        <f>VLOOKUP(L716,'[1]Tuyến cáp H04'!$B:$E,3,0)/1000</f>
        <v>16.503</v>
      </c>
      <c r="AM716" t="str">
        <f>VLOOKUP(L716,'[1]Tuyến cáp H04'!$B:$E,4,0)</f>
        <v>Mạng cấp 4</v>
      </c>
    </row>
    <row r="717" spans="1:39" x14ac:dyDescent="0.25">
      <c r="A717" s="1" t="s">
        <v>6767</v>
      </c>
      <c r="B717" s="1" t="s">
        <v>6768</v>
      </c>
      <c r="C717" s="1" t="s">
        <v>6769</v>
      </c>
      <c r="D717" s="1" t="s">
        <v>6743</v>
      </c>
      <c r="E717" s="1" t="s">
        <v>6744</v>
      </c>
      <c r="F717" s="1" t="s">
        <v>6770</v>
      </c>
      <c r="G717" s="1" t="s">
        <v>14129</v>
      </c>
      <c r="H717" s="1" t="s">
        <v>14133</v>
      </c>
      <c r="I717" s="1" t="s">
        <v>14834</v>
      </c>
      <c r="J717" s="1" t="s">
        <v>23</v>
      </c>
      <c r="K717" s="1"/>
      <c r="L717" s="1" t="s">
        <v>5678</v>
      </c>
      <c r="M717" s="1" t="s">
        <v>5678</v>
      </c>
      <c r="N717" s="12" t="b">
        <f t="shared" si="55"/>
        <v>1</v>
      </c>
      <c r="O717" s="1" t="s">
        <v>6771</v>
      </c>
      <c r="P717" s="1" t="s">
        <v>6772</v>
      </c>
      <c r="Q717" s="1" t="s">
        <v>6773</v>
      </c>
      <c r="R717" s="1" t="s">
        <v>6774</v>
      </c>
      <c r="S717" s="1" t="s">
        <v>6760</v>
      </c>
      <c r="T717" s="1" t="s">
        <v>6761</v>
      </c>
      <c r="U717" s="1" t="s">
        <v>6762</v>
      </c>
      <c r="V717" s="13">
        <f>COUNTIF(L717:$M$1659,L717)</f>
        <v>4</v>
      </c>
      <c r="W717" s="1" t="s">
        <v>6766</v>
      </c>
      <c r="X717">
        <v>117.83</v>
      </c>
      <c r="Y717">
        <v>56.14</v>
      </c>
      <c r="Z717">
        <v>15.240517000000001</v>
      </c>
      <c r="AA717">
        <v>108.763161</v>
      </c>
      <c r="AB717">
        <v>61.7</v>
      </c>
      <c r="AC717">
        <v>15.216234</v>
      </c>
      <c r="AD717">
        <v>108.762061</v>
      </c>
      <c r="AE717" s="5">
        <f t="shared" si="56"/>
        <v>8.4210000000000007E-2</v>
      </c>
      <c r="AF717" s="5">
        <f t="shared" si="57"/>
        <v>9.2550000000000007E-2</v>
      </c>
      <c r="AG717" s="1" t="str">
        <f>TRIM(LEFT(L717,FIND("-",L717)-1))</f>
        <v>Bình Sơn</v>
      </c>
      <c r="AH717" s="1" t="str">
        <f>TRIM(RIGHT(L717, LEN(L717) - FIND("-", L717)))</f>
        <v>Thọ Phong</v>
      </c>
      <c r="AJ717">
        <f t="shared" si="58"/>
        <v>5.6140000000000002E-2</v>
      </c>
      <c r="AK717">
        <f t="shared" si="59"/>
        <v>6.1700000000000005E-2</v>
      </c>
      <c r="AL717">
        <f>VLOOKUP(L717,'[1]Tuyến cáp H04'!$B:$E,3,0)/1000</f>
        <v>16.503</v>
      </c>
      <c r="AM717" t="str">
        <f>VLOOKUP(L717,'[1]Tuyến cáp H04'!$B:$E,4,0)</f>
        <v>Mạng cấp 4</v>
      </c>
    </row>
    <row r="718" spans="1:39" x14ac:dyDescent="0.25">
      <c r="A718" s="1" t="s">
        <v>6775</v>
      </c>
      <c r="B718" s="1" t="s">
        <v>6756</v>
      </c>
      <c r="C718" s="1" t="s">
        <v>6757</v>
      </c>
      <c r="D718" s="1" t="s">
        <v>6743</v>
      </c>
      <c r="E718" s="1" t="s">
        <v>6744</v>
      </c>
      <c r="F718" s="1" t="s">
        <v>6776</v>
      </c>
      <c r="G718" s="1" t="s">
        <v>14129</v>
      </c>
      <c r="H718" s="1" t="s">
        <v>14700</v>
      </c>
      <c r="I718" s="1" t="s">
        <v>14835</v>
      </c>
      <c r="J718" s="1" t="s">
        <v>23</v>
      </c>
      <c r="K718" s="1"/>
      <c r="L718" s="1" t="s">
        <v>5678</v>
      </c>
      <c r="M718" s="1" t="s">
        <v>5678</v>
      </c>
      <c r="N718" s="12" t="b">
        <f t="shared" si="55"/>
        <v>1</v>
      </c>
      <c r="O718" s="1" t="s">
        <v>6759</v>
      </c>
      <c r="P718" s="1" t="s">
        <v>6763</v>
      </c>
      <c r="Q718" s="1" t="s">
        <v>6764</v>
      </c>
      <c r="R718" s="1" t="s">
        <v>6765</v>
      </c>
      <c r="S718" s="1" t="s">
        <v>6760</v>
      </c>
      <c r="T718" s="1" t="s">
        <v>6761</v>
      </c>
      <c r="U718" s="1" t="s">
        <v>6762</v>
      </c>
      <c r="V718" s="13">
        <f>COUNTIF(L718:$M$1659,L718)</f>
        <v>2</v>
      </c>
      <c r="W718" s="1" t="s">
        <v>6766</v>
      </c>
      <c r="X718">
        <v>1405.98</v>
      </c>
      <c r="Y718">
        <v>1344.28</v>
      </c>
      <c r="Z718">
        <v>15.239758999999999</v>
      </c>
      <c r="AA718">
        <v>108.759897</v>
      </c>
      <c r="AB718">
        <v>61.7</v>
      </c>
      <c r="AC718">
        <v>15.216234</v>
      </c>
      <c r="AD718">
        <v>108.762061</v>
      </c>
      <c r="AE718" s="5">
        <f t="shared" si="56"/>
        <v>2.0164200000000001</v>
      </c>
      <c r="AF718" s="5">
        <f t="shared" si="57"/>
        <v>9.2550000000000007E-2</v>
      </c>
      <c r="AG718" s="1" t="str">
        <f>TRIM(LEFT(L718,FIND("-",L718)-1))</f>
        <v>Bình Sơn</v>
      </c>
      <c r="AH718" s="1" t="str">
        <f>TRIM(RIGHT(L718, LEN(L718) - FIND("-", L718)))</f>
        <v>Thọ Phong</v>
      </c>
      <c r="AJ718">
        <f t="shared" si="58"/>
        <v>1.3442799999999999</v>
      </c>
      <c r="AK718">
        <f t="shared" si="59"/>
        <v>6.1700000000000005E-2</v>
      </c>
      <c r="AL718">
        <f>VLOOKUP(L718,'[1]Tuyến cáp H04'!$B:$E,3,0)/1000</f>
        <v>16.503</v>
      </c>
      <c r="AM718" t="str">
        <f>VLOOKUP(L718,'[1]Tuyến cáp H04'!$B:$E,4,0)</f>
        <v>Mạng cấp 4</v>
      </c>
    </row>
    <row r="719" spans="1:39" x14ac:dyDescent="0.25">
      <c r="A719" s="1" t="s">
        <v>6777</v>
      </c>
      <c r="B719" s="1" t="s">
        <v>5207</v>
      </c>
      <c r="C719" s="1" t="s">
        <v>5208</v>
      </c>
      <c r="D719" s="1" t="s">
        <v>6778</v>
      </c>
      <c r="E719" s="1" t="s">
        <v>6779</v>
      </c>
      <c r="F719" s="1" t="s">
        <v>6780</v>
      </c>
      <c r="G719" s="1" t="s">
        <v>14129</v>
      </c>
      <c r="H719" s="1" t="s">
        <v>14133</v>
      </c>
      <c r="I719" s="1" t="s">
        <v>14836</v>
      </c>
      <c r="J719" s="1" t="s">
        <v>23</v>
      </c>
      <c r="K719" s="1"/>
      <c r="L719" s="1" t="s">
        <v>5936</v>
      </c>
      <c r="M719" s="1" t="s">
        <v>5936</v>
      </c>
      <c r="N719" s="12" t="b">
        <f t="shared" si="55"/>
        <v>1</v>
      </c>
      <c r="O719" s="1" t="s">
        <v>6781</v>
      </c>
      <c r="P719" s="1" t="s">
        <v>6782</v>
      </c>
      <c r="Q719" s="1" t="s">
        <v>6783</v>
      </c>
      <c r="R719" s="1" t="s">
        <v>6784</v>
      </c>
      <c r="S719" s="1" t="s">
        <v>6785</v>
      </c>
      <c r="T719" s="1" t="s">
        <v>6786</v>
      </c>
      <c r="U719" s="1" t="s">
        <v>6787</v>
      </c>
      <c r="V719" s="13">
        <f>COUNTIF(L719:$M$1659,L719)</f>
        <v>2</v>
      </c>
      <c r="W719" s="1" t="s">
        <v>6788</v>
      </c>
      <c r="X719">
        <v>4295.74</v>
      </c>
      <c r="Y719">
        <v>78.06</v>
      </c>
      <c r="Z719">
        <v>15.155013</v>
      </c>
      <c r="AA719">
        <v>108.73597100000001</v>
      </c>
      <c r="AB719">
        <v>4217.68</v>
      </c>
      <c r="AC719">
        <v>15.190061</v>
      </c>
      <c r="AD719">
        <v>108.724847</v>
      </c>
      <c r="AE719" s="5">
        <f t="shared" si="56"/>
        <v>0.11709</v>
      </c>
      <c r="AF719" s="5">
        <f t="shared" si="57"/>
        <v>6.3265200000000004</v>
      </c>
      <c r="AG719" s="1" t="str">
        <f>TRIM(LEFT(L719,FIND("-",L719)-1))</f>
        <v>Bình Chương</v>
      </c>
      <c r="AH719" s="1" t="str">
        <f>TRIM(RIGHT(L719, LEN(L719) - FIND("-", L719)))</f>
        <v>Sơn Tịnh</v>
      </c>
      <c r="AJ719">
        <f t="shared" si="58"/>
        <v>7.8060000000000004E-2</v>
      </c>
      <c r="AK719">
        <f t="shared" si="59"/>
        <v>4.2176800000000005</v>
      </c>
      <c r="AL719">
        <f>VLOOKUP(L719,'[1]Tuyến cáp H04'!$B:$E,3,0)/1000</f>
        <v>16.984000000000002</v>
      </c>
      <c r="AM719" t="str">
        <f>VLOOKUP(L719,'[1]Tuyến cáp H04'!$B:$E,4,0)</f>
        <v>Mạng cấp 4</v>
      </c>
    </row>
    <row r="720" spans="1:39" x14ac:dyDescent="0.25">
      <c r="A720" s="1" t="s">
        <v>6789</v>
      </c>
      <c r="B720" s="1" t="s">
        <v>6790</v>
      </c>
      <c r="C720" s="1" t="s">
        <v>6791</v>
      </c>
      <c r="D720" s="1" t="s">
        <v>5207</v>
      </c>
      <c r="E720" s="1" t="s">
        <v>5208</v>
      </c>
      <c r="F720" s="1" t="s">
        <v>6792</v>
      </c>
      <c r="G720" s="1" t="s">
        <v>14129</v>
      </c>
      <c r="H720" s="1" t="s">
        <v>14133</v>
      </c>
      <c r="I720" s="1" t="s">
        <v>14837</v>
      </c>
      <c r="J720" s="1" t="s">
        <v>23</v>
      </c>
      <c r="K720" s="1"/>
      <c r="L720" s="1" t="s">
        <v>5210</v>
      </c>
      <c r="M720" s="1" t="s">
        <v>5210</v>
      </c>
      <c r="N720" s="12" t="b">
        <f t="shared" si="55"/>
        <v>1</v>
      </c>
      <c r="O720" s="1" t="s">
        <v>6793</v>
      </c>
      <c r="P720" s="1" t="s">
        <v>6794</v>
      </c>
      <c r="Q720" s="1" t="s">
        <v>6795</v>
      </c>
      <c r="R720" s="1" t="s">
        <v>6796</v>
      </c>
      <c r="S720" s="1" t="s">
        <v>5215</v>
      </c>
      <c r="T720" s="1" t="s">
        <v>5216</v>
      </c>
      <c r="U720" s="1" t="s">
        <v>5217</v>
      </c>
      <c r="V720" s="13">
        <f>COUNTIF(L720:$M$1659,L720)</f>
        <v>2</v>
      </c>
      <c r="W720" s="1" t="s">
        <v>5218</v>
      </c>
      <c r="X720">
        <v>907.42</v>
      </c>
      <c r="Y720">
        <v>790.8</v>
      </c>
      <c r="Z720">
        <v>15.151778</v>
      </c>
      <c r="AA720">
        <v>108.773307</v>
      </c>
      <c r="AB720">
        <v>116.62</v>
      </c>
      <c r="AC720">
        <v>15.155536</v>
      </c>
      <c r="AD720">
        <v>108.736003</v>
      </c>
      <c r="AE720" s="5">
        <f t="shared" si="56"/>
        <v>1.1861999999999999</v>
      </c>
      <c r="AF720" s="5">
        <f t="shared" si="57"/>
        <v>0.17493</v>
      </c>
      <c r="AG720" s="1" t="str">
        <f>TRIM(LEFT(L720,FIND("-",L720)-1))</f>
        <v>PC07</v>
      </c>
      <c r="AH720" s="1" t="str">
        <f>TRIM(RIGHT(L720, LEN(L720) - FIND("-", L720)))</f>
        <v>Sơn Tịnh</v>
      </c>
      <c r="AJ720">
        <f t="shared" si="58"/>
        <v>0.79079999999999995</v>
      </c>
      <c r="AK720">
        <f t="shared" si="59"/>
        <v>0.11662</v>
      </c>
      <c r="AL720">
        <f>VLOOKUP(L720,'[1]Tuyến cáp H04'!$B:$E,3,0)/1000</f>
        <v>9.1340000000000003</v>
      </c>
      <c r="AM720" t="str">
        <f>VLOOKUP(L720,'[1]Tuyến cáp H04'!$B:$E,4,0)</f>
        <v>Mạng cấp 3</v>
      </c>
    </row>
    <row r="721" spans="1:39" x14ac:dyDescent="0.25">
      <c r="A721" s="1" t="s">
        <v>6797</v>
      </c>
      <c r="B721" s="1" t="s">
        <v>5220</v>
      </c>
      <c r="C721" s="1" t="s">
        <v>5221</v>
      </c>
      <c r="D721" s="1" t="s">
        <v>6798</v>
      </c>
      <c r="E721" s="1" t="s">
        <v>6799</v>
      </c>
      <c r="F721" s="1" t="s">
        <v>6800</v>
      </c>
      <c r="G721" s="1" t="s">
        <v>14129</v>
      </c>
      <c r="H721" s="1" t="s">
        <v>14679</v>
      </c>
      <c r="I721" s="1" t="s">
        <v>14838</v>
      </c>
      <c r="J721" s="1" t="s">
        <v>23</v>
      </c>
      <c r="K721" s="1"/>
      <c r="L721" s="1" t="s">
        <v>6801</v>
      </c>
      <c r="M721" s="1" t="s">
        <v>6801</v>
      </c>
      <c r="N721" s="12" t="b">
        <f t="shared" si="55"/>
        <v>1</v>
      </c>
      <c r="O721" s="1" t="s">
        <v>6802</v>
      </c>
      <c r="P721" s="1" t="s">
        <v>6803</v>
      </c>
      <c r="Q721" s="1" t="s">
        <v>6804</v>
      </c>
      <c r="R721" s="1" t="s">
        <v>6805</v>
      </c>
      <c r="S721" s="1" t="s">
        <v>6806</v>
      </c>
      <c r="T721" s="1" t="s">
        <v>6807</v>
      </c>
      <c r="U721" s="1" t="s">
        <v>6808</v>
      </c>
      <c r="V721" s="13">
        <f>COUNTIF(L721:$M$1659,L721)</f>
        <v>6</v>
      </c>
      <c r="W721" s="1" t="s">
        <v>6809</v>
      </c>
      <c r="X721">
        <v>2326.13</v>
      </c>
      <c r="Y721">
        <v>1.62</v>
      </c>
      <c r="Z721">
        <v>15.132306</v>
      </c>
      <c r="AA721">
        <v>108.712856</v>
      </c>
      <c r="AB721">
        <v>2324.52</v>
      </c>
      <c r="AC721">
        <v>15.132866</v>
      </c>
      <c r="AD721">
        <v>108.712329</v>
      </c>
      <c r="AE721" s="5">
        <f t="shared" si="56"/>
        <v>2.4300000000000003E-3</v>
      </c>
      <c r="AF721" s="5">
        <f t="shared" si="57"/>
        <v>3.4867799999999995</v>
      </c>
      <c r="AG721" s="1" t="str">
        <f>TRIM(LEFT(L721,FIND("-",L721)-1))</f>
        <v>Trà Giang</v>
      </c>
      <c r="AH721" s="1" t="str">
        <f>TRIM(RIGHT(L721, LEN(L721) - FIND("-", L721)))</f>
        <v>Nghĩa Giang</v>
      </c>
      <c r="AJ721">
        <f t="shared" si="58"/>
        <v>1.6200000000000001E-3</v>
      </c>
      <c r="AK721">
        <f t="shared" si="59"/>
        <v>2.3245200000000001</v>
      </c>
      <c r="AL721">
        <f>VLOOKUP(L721,'[1]Tuyến cáp H04'!$B:$E,3,0)/1000</f>
        <v>10.778</v>
      </c>
      <c r="AM721" t="str">
        <f>VLOOKUP(L721,'[1]Tuyến cáp H04'!$B:$E,4,0)</f>
        <v>Mạng cấp 4</v>
      </c>
    </row>
    <row r="722" spans="1:39" x14ac:dyDescent="0.25">
      <c r="A722" s="1" t="s">
        <v>6810</v>
      </c>
      <c r="B722" s="1" t="s">
        <v>6811</v>
      </c>
      <c r="C722" s="1" t="s">
        <v>6812</v>
      </c>
      <c r="D722" s="1" t="s">
        <v>5220</v>
      </c>
      <c r="E722" s="1" t="s">
        <v>5221</v>
      </c>
      <c r="F722" s="1" t="s">
        <v>6813</v>
      </c>
      <c r="G722" s="1" t="s">
        <v>14129</v>
      </c>
      <c r="H722" s="1" t="s">
        <v>14679</v>
      </c>
      <c r="I722" s="1" t="s">
        <v>14839</v>
      </c>
      <c r="J722" s="1" t="s">
        <v>23</v>
      </c>
      <c r="K722" s="1"/>
      <c r="L722" s="1" t="s">
        <v>5469</v>
      </c>
      <c r="M722" s="1" t="s">
        <v>5469</v>
      </c>
      <c r="N722" s="12" t="b">
        <f t="shared" si="55"/>
        <v>1</v>
      </c>
      <c r="O722" s="1" t="s">
        <v>6814</v>
      </c>
      <c r="P722" s="1" t="s">
        <v>6815</v>
      </c>
      <c r="Q722" s="1" t="s">
        <v>6816</v>
      </c>
      <c r="R722" s="1" t="s">
        <v>6817</v>
      </c>
      <c r="S722" s="1" t="s">
        <v>6818</v>
      </c>
      <c r="T722" s="1" t="s">
        <v>6819</v>
      </c>
      <c r="U722" s="1" t="s">
        <v>6820</v>
      </c>
      <c r="V722" s="13">
        <f>COUNTIF(L722:$M$1659,L722)</f>
        <v>6</v>
      </c>
      <c r="W722" s="1" t="s">
        <v>6821</v>
      </c>
      <c r="X722">
        <v>749.14</v>
      </c>
      <c r="Y722">
        <v>682.8</v>
      </c>
      <c r="Z722">
        <v>15.129135</v>
      </c>
      <c r="AA722">
        <v>108.711259</v>
      </c>
      <c r="AB722">
        <v>66.34</v>
      </c>
      <c r="AC722">
        <v>15.132633999999999</v>
      </c>
      <c r="AD722">
        <v>108.71235799999999</v>
      </c>
      <c r="AE722" s="5">
        <f t="shared" si="56"/>
        <v>1.0241999999999998</v>
      </c>
      <c r="AF722" s="5">
        <f t="shared" si="57"/>
        <v>9.9510000000000001E-2</v>
      </c>
      <c r="AG722" s="1" t="str">
        <f>TRIM(LEFT(L722,FIND("-",L722)-1))</f>
        <v>Phước Giang</v>
      </c>
      <c r="AH722" s="1" t="str">
        <f>TRIM(RIGHT(L722, LEN(L722) - FIND("-", L722)))</f>
        <v>Trà Giang</v>
      </c>
      <c r="AJ722">
        <f t="shared" si="58"/>
        <v>0.68279999999999996</v>
      </c>
      <c r="AK722">
        <f t="shared" si="59"/>
        <v>6.634000000000001E-2</v>
      </c>
      <c r="AL722">
        <f>VLOOKUP(L722,'[1]Tuyến cáp H04'!$B:$E,3,0)/1000</f>
        <v>15.189</v>
      </c>
      <c r="AM722" t="str">
        <f>VLOOKUP(L722,'[1]Tuyến cáp H04'!$B:$E,4,0)</f>
        <v>Mạng cấp 4</v>
      </c>
    </row>
    <row r="723" spans="1:39" x14ac:dyDescent="0.25">
      <c r="A723" s="1" t="s">
        <v>6822</v>
      </c>
      <c r="B723" s="1" t="s">
        <v>6823</v>
      </c>
      <c r="C723" s="1" t="s">
        <v>6824</v>
      </c>
      <c r="D723" s="1" t="s">
        <v>5220</v>
      </c>
      <c r="E723" s="1" t="s">
        <v>5221</v>
      </c>
      <c r="F723" s="1" t="s">
        <v>6825</v>
      </c>
      <c r="G723" s="1" t="s">
        <v>14129</v>
      </c>
      <c r="H723" s="1" t="s">
        <v>14679</v>
      </c>
      <c r="I723" s="1" t="s">
        <v>14840</v>
      </c>
      <c r="J723" s="1" t="s">
        <v>23</v>
      </c>
      <c r="K723" s="1"/>
      <c r="L723" s="1" t="s">
        <v>6801</v>
      </c>
      <c r="M723" s="1" t="s">
        <v>6801</v>
      </c>
      <c r="N723" s="12" t="b">
        <f t="shared" si="55"/>
        <v>1</v>
      </c>
      <c r="O723" s="1" t="s">
        <v>6826</v>
      </c>
      <c r="P723" s="1" t="s">
        <v>6827</v>
      </c>
      <c r="Q723" s="1" t="s">
        <v>6828</v>
      </c>
      <c r="R723" s="1" t="s">
        <v>6829</v>
      </c>
      <c r="S723" s="1" t="s">
        <v>6830</v>
      </c>
      <c r="T723" s="1" t="s">
        <v>6831</v>
      </c>
      <c r="U723" s="1" t="s">
        <v>6832</v>
      </c>
      <c r="V723" s="13">
        <f>COUNTIF(L723:$M$1659,L723)</f>
        <v>4</v>
      </c>
      <c r="W723" s="1" t="s">
        <v>6833</v>
      </c>
      <c r="X723">
        <v>1664.54</v>
      </c>
      <c r="Y723">
        <v>1579.29</v>
      </c>
      <c r="Z723">
        <v>15.132004</v>
      </c>
      <c r="AA723">
        <v>108.72138</v>
      </c>
      <c r="AB723">
        <v>85.26</v>
      </c>
      <c r="AC723">
        <v>15.132866999999999</v>
      </c>
      <c r="AD723">
        <v>108.71233599999999</v>
      </c>
      <c r="AE723" s="5">
        <f t="shared" si="56"/>
        <v>2.368935</v>
      </c>
      <c r="AF723" s="5">
        <f t="shared" si="57"/>
        <v>0.12789</v>
      </c>
      <c r="AG723" s="1" t="str">
        <f>TRIM(LEFT(L723,FIND("-",L723)-1))</f>
        <v>Trà Giang</v>
      </c>
      <c r="AH723" s="1" t="str">
        <f>TRIM(RIGHT(L723, LEN(L723) - FIND("-", L723)))</f>
        <v>Nghĩa Giang</v>
      </c>
      <c r="AJ723">
        <f t="shared" si="58"/>
        <v>1.5792899999999999</v>
      </c>
      <c r="AK723">
        <f t="shared" si="59"/>
        <v>8.5260000000000002E-2</v>
      </c>
      <c r="AL723">
        <f>VLOOKUP(L723,'[1]Tuyến cáp H04'!$B:$E,3,0)/1000</f>
        <v>10.778</v>
      </c>
      <c r="AM723" t="str">
        <f>VLOOKUP(L723,'[1]Tuyến cáp H04'!$B:$E,4,0)</f>
        <v>Mạng cấp 4</v>
      </c>
    </row>
    <row r="724" spans="1:39" x14ac:dyDescent="0.25">
      <c r="A724" s="1" t="s">
        <v>6834</v>
      </c>
      <c r="B724" s="1" t="s">
        <v>6835</v>
      </c>
      <c r="C724" s="1" t="s">
        <v>6836</v>
      </c>
      <c r="D724" s="1" t="s">
        <v>5220</v>
      </c>
      <c r="E724" s="1" t="s">
        <v>5221</v>
      </c>
      <c r="F724" s="1" t="s">
        <v>6837</v>
      </c>
      <c r="G724" s="1" t="s">
        <v>14281</v>
      </c>
      <c r="H724" s="1" t="s">
        <v>14282</v>
      </c>
      <c r="I724" s="1" t="s">
        <v>14841</v>
      </c>
      <c r="J724" s="1" t="s">
        <v>23</v>
      </c>
      <c r="K724" s="1"/>
      <c r="L724" s="1" t="s">
        <v>6801</v>
      </c>
      <c r="M724" s="1" t="s">
        <v>6801</v>
      </c>
      <c r="N724" s="12" t="b">
        <f t="shared" si="55"/>
        <v>1</v>
      </c>
      <c r="O724" s="1" t="s">
        <v>6838</v>
      </c>
      <c r="P724" s="1" t="s">
        <v>6839</v>
      </c>
      <c r="Q724" s="1" t="s">
        <v>6840</v>
      </c>
      <c r="R724" s="1" t="s">
        <v>6841</v>
      </c>
      <c r="S724" s="1" t="s">
        <v>6830</v>
      </c>
      <c r="T724" s="1" t="s">
        <v>6831</v>
      </c>
      <c r="U724" s="1" t="s">
        <v>6832</v>
      </c>
      <c r="V724" s="13">
        <f>COUNTIF(L724:$M$1659,L724)</f>
        <v>2</v>
      </c>
      <c r="W724" s="1" t="s">
        <v>6833</v>
      </c>
      <c r="X724">
        <v>376.76</v>
      </c>
      <c r="Y724">
        <v>291.51</v>
      </c>
      <c r="Z724">
        <v>15.119567999999999</v>
      </c>
      <c r="AA724">
        <v>108.74714400000001</v>
      </c>
      <c r="AB724">
        <v>85.26</v>
      </c>
      <c r="AC724">
        <v>15.132866999999999</v>
      </c>
      <c r="AD724">
        <v>108.71233599999999</v>
      </c>
      <c r="AE724" s="5">
        <f t="shared" si="56"/>
        <v>0.43726499999999996</v>
      </c>
      <c r="AF724" s="5">
        <f t="shared" si="57"/>
        <v>0.12789</v>
      </c>
      <c r="AG724" s="1" t="str">
        <f>TRIM(LEFT(L724,FIND("-",L724)-1))</f>
        <v>Trà Giang</v>
      </c>
      <c r="AH724" s="1" t="str">
        <f>TRIM(RIGHT(L724, LEN(L724) - FIND("-", L724)))</f>
        <v>Nghĩa Giang</v>
      </c>
      <c r="AJ724">
        <f t="shared" si="58"/>
        <v>0.29150999999999999</v>
      </c>
      <c r="AK724">
        <f t="shared" si="59"/>
        <v>8.5260000000000002E-2</v>
      </c>
      <c r="AL724">
        <f>VLOOKUP(L724,'[1]Tuyến cáp H04'!$B:$E,3,0)/1000</f>
        <v>10.778</v>
      </c>
      <c r="AM724" t="str">
        <f>VLOOKUP(L724,'[1]Tuyến cáp H04'!$B:$E,4,0)</f>
        <v>Mạng cấp 4</v>
      </c>
    </row>
    <row r="725" spans="1:39" x14ac:dyDescent="0.25">
      <c r="A725" s="1" t="s">
        <v>6842</v>
      </c>
      <c r="B725" s="1" t="s">
        <v>6843</v>
      </c>
      <c r="C725" s="1" t="s">
        <v>6844</v>
      </c>
      <c r="D725" s="1" t="s">
        <v>6845</v>
      </c>
      <c r="E725" s="1" t="s">
        <v>6846</v>
      </c>
      <c r="F725" s="1" t="s">
        <v>6847</v>
      </c>
      <c r="G725" s="1" t="s">
        <v>14281</v>
      </c>
      <c r="H725" s="1" t="s">
        <v>14282</v>
      </c>
      <c r="I725" s="1" t="s">
        <v>14842</v>
      </c>
      <c r="J725" s="1" t="s">
        <v>23</v>
      </c>
      <c r="K725" s="1"/>
      <c r="L725" s="1" t="s">
        <v>5381</v>
      </c>
      <c r="M725" s="1" t="s">
        <v>5381</v>
      </c>
      <c r="N725" s="12" t="b">
        <f t="shared" si="55"/>
        <v>1</v>
      </c>
      <c r="O725" s="1" t="s">
        <v>6848</v>
      </c>
      <c r="P725" s="1" t="s">
        <v>6849</v>
      </c>
      <c r="Q725" s="1" t="s">
        <v>6850</v>
      </c>
      <c r="R725" s="1" t="s">
        <v>6851</v>
      </c>
      <c r="S725" s="1" t="s">
        <v>6852</v>
      </c>
      <c r="T725" s="1" t="s">
        <v>6853</v>
      </c>
      <c r="U725" s="1" t="s">
        <v>6854</v>
      </c>
      <c r="V725" s="13">
        <f>COUNTIF(L725:$M$1659,L725)</f>
        <v>2</v>
      </c>
      <c r="W725" s="1" t="s">
        <v>6855</v>
      </c>
      <c r="X725">
        <v>358</v>
      </c>
      <c r="Y725">
        <v>62.5</v>
      </c>
      <c r="Z725">
        <v>15.030848000000001</v>
      </c>
      <c r="AA725">
        <v>108.83918799999999</v>
      </c>
      <c r="AB725">
        <v>295.5</v>
      </c>
      <c r="AC725">
        <v>15.047159000000001</v>
      </c>
      <c r="AD725">
        <v>108.847313</v>
      </c>
      <c r="AE725" s="5">
        <f t="shared" si="56"/>
        <v>9.375E-2</v>
      </c>
      <c r="AF725" s="5">
        <f t="shared" si="57"/>
        <v>0.44324999999999998</v>
      </c>
      <c r="AG725" s="1" t="str">
        <f>TRIM(LEFT(L725,FIND("-",L725)-1))</f>
        <v>Mộ Đức</v>
      </c>
      <c r="AH725" s="1" t="str">
        <f>TRIM(RIGHT(L725, LEN(L725) - FIND("-", L725)))</f>
        <v>Vệ Giang</v>
      </c>
      <c r="AJ725">
        <f t="shared" si="58"/>
        <v>6.25E-2</v>
      </c>
      <c r="AK725">
        <f t="shared" si="59"/>
        <v>0.29549999999999998</v>
      </c>
      <c r="AL725">
        <f>VLOOKUP(L725,'[1]Tuyến cáp H04'!$B:$E,3,0)/1000</f>
        <v>17.908000000000001</v>
      </c>
      <c r="AM725" t="str">
        <f>VLOOKUP(L725,'[1]Tuyến cáp H04'!$B:$E,4,0)</f>
        <v>Mạng cấp 4</v>
      </c>
    </row>
    <row r="726" spans="1:39" x14ac:dyDescent="0.25">
      <c r="A726" s="1" t="s">
        <v>6856</v>
      </c>
      <c r="B726" s="1" t="s">
        <v>6845</v>
      </c>
      <c r="C726" s="1" t="s">
        <v>6846</v>
      </c>
      <c r="D726" s="1" t="s">
        <v>5352</v>
      </c>
      <c r="E726" s="1" t="s">
        <v>5353</v>
      </c>
      <c r="F726" s="1" t="s">
        <v>6857</v>
      </c>
      <c r="G726" s="1" t="s">
        <v>14281</v>
      </c>
      <c r="H726" s="1" t="s">
        <v>14282</v>
      </c>
      <c r="I726" s="1" t="s">
        <v>14843</v>
      </c>
      <c r="J726" s="1" t="s">
        <v>23</v>
      </c>
      <c r="K726" s="1"/>
      <c r="L726" s="1" t="s">
        <v>5745</v>
      </c>
      <c r="M726" s="1" t="s">
        <v>5745</v>
      </c>
      <c r="N726" s="12" t="b">
        <f t="shared" si="55"/>
        <v>1</v>
      </c>
      <c r="O726" s="1" t="s">
        <v>6858</v>
      </c>
      <c r="P726" s="1" t="s">
        <v>6859</v>
      </c>
      <c r="Q726" s="1" t="s">
        <v>6860</v>
      </c>
      <c r="R726" s="1" t="s">
        <v>6861</v>
      </c>
      <c r="S726" s="1" t="s">
        <v>5747</v>
      </c>
      <c r="T726" s="1" t="s">
        <v>5748</v>
      </c>
      <c r="U726" s="1" t="s">
        <v>5749</v>
      </c>
      <c r="V726" s="13">
        <f>COUNTIF(L726:$M$1659,L726)</f>
        <v>4</v>
      </c>
      <c r="W726" s="1" t="s">
        <v>5753</v>
      </c>
      <c r="X726">
        <v>220.25</v>
      </c>
      <c r="Y726">
        <v>115.37</v>
      </c>
      <c r="Z726">
        <v>15.048643999999999</v>
      </c>
      <c r="AA726">
        <v>108.84818</v>
      </c>
      <c r="AB726">
        <v>104.88</v>
      </c>
      <c r="AC726">
        <v>15.058427999999999</v>
      </c>
      <c r="AD726">
        <v>108.842528</v>
      </c>
      <c r="AE726" s="5">
        <f t="shared" si="56"/>
        <v>0.17305500000000001</v>
      </c>
      <c r="AF726" s="5">
        <f t="shared" si="57"/>
        <v>0.15731999999999999</v>
      </c>
      <c r="AG726" s="1" t="str">
        <f>TRIM(LEFT(L726,FIND("-",L726)-1))</f>
        <v>Long Phụng</v>
      </c>
      <c r="AH726" s="1" t="str">
        <f>TRIM(RIGHT(L726, LEN(L726) - FIND("-", L726)))</f>
        <v>Tư Nghĩa</v>
      </c>
      <c r="AJ726">
        <f t="shared" si="58"/>
        <v>0.11537</v>
      </c>
      <c r="AK726">
        <f t="shared" si="59"/>
        <v>0.10488</v>
      </c>
      <c r="AL726">
        <f>VLOOKUP(L726,'[1]Tuyến cáp H04'!$B:$E,3,0)/1000</f>
        <v>11.252000000000001</v>
      </c>
      <c r="AM726" t="str">
        <f>VLOOKUP(L726,'[1]Tuyến cáp H04'!$B:$E,4,0)</f>
        <v>Mạng cấp 4</v>
      </c>
    </row>
    <row r="727" spans="1:39" x14ac:dyDescent="0.25">
      <c r="A727" s="1" t="s">
        <v>6862</v>
      </c>
      <c r="B727" s="1" t="s">
        <v>6088</v>
      </c>
      <c r="C727" s="1" t="s">
        <v>6089</v>
      </c>
      <c r="D727" s="1" t="s">
        <v>6845</v>
      </c>
      <c r="E727" s="1" t="s">
        <v>6846</v>
      </c>
      <c r="F727" s="1" t="s">
        <v>6863</v>
      </c>
      <c r="G727" s="1" t="s">
        <v>14281</v>
      </c>
      <c r="H727" s="1" t="s">
        <v>14282</v>
      </c>
      <c r="I727" s="1" t="s">
        <v>14844</v>
      </c>
      <c r="J727" s="1" t="s">
        <v>23</v>
      </c>
      <c r="K727" s="1"/>
      <c r="L727" s="1" t="s">
        <v>5745</v>
      </c>
      <c r="M727" s="1" t="s">
        <v>5745</v>
      </c>
      <c r="N727" s="12" t="b">
        <f t="shared" si="55"/>
        <v>1</v>
      </c>
      <c r="O727" s="1" t="s">
        <v>6864</v>
      </c>
      <c r="P727" s="1" t="s">
        <v>6095</v>
      </c>
      <c r="Q727" s="1" t="s">
        <v>6096</v>
      </c>
      <c r="R727" s="1" t="s">
        <v>6097</v>
      </c>
      <c r="S727" s="1" t="s">
        <v>6865</v>
      </c>
      <c r="T727" s="1" t="s">
        <v>6866</v>
      </c>
      <c r="U727" s="1" t="s">
        <v>6867</v>
      </c>
      <c r="V727" s="13">
        <f>COUNTIF(L727:$M$1659,L727)</f>
        <v>2</v>
      </c>
      <c r="W727" s="1" t="s">
        <v>6098</v>
      </c>
      <c r="X727">
        <v>1566.8</v>
      </c>
      <c r="Y727">
        <v>365.36</v>
      </c>
      <c r="Z727">
        <v>15.030893000000001</v>
      </c>
      <c r="AA727">
        <v>108.86153400000001</v>
      </c>
      <c r="AB727">
        <v>1201.45</v>
      </c>
      <c r="AC727">
        <v>15.038814</v>
      </c>
      <c r="AD727">
        <v>108.852256</v>
      </c>
      <c r="AE727" s="5">
        <f t="shared" si="56"/>
        <v>0.54803999999999997</v>
      </c>
      <c r="AF727" s="5">
        <f t="shared" si="57"/>
        <v>1.8021750000000001</v>
      </c>
      <c r="AG727" s="1" t="str">
        <f>TRIM(LEFT(L727,FIND("-",L727)-1))</f>
        <v>Long Phụng</v>
      </c>
      <c r="AH727" s="1" t="str">
        <f>TRIM(RIGHT(L727, LEN(L727) - FIND("-", L727)))</f>
        <v>Tư Nghĩa</v>
      </c>
      <c r="AJ727">
        <f t="shared" si="58"/>
        <v>0.36536000000000002</v>
      </c>
      <c r="AK727">
        <f t="shared" si="59"/>
        <v>1.2014500000000001</v>
      </c>
      <c r="AL727">
        <f>VLOOKUP(L727,'[1]Tuyến cáp H04'!$B:$E,3,0)/1000</f>
        <v>11.252000000000001</v>
      </c>
      <c r="AM727" t="str">
        <f>VLOOKUP(L727,'[1]Tuyến cáp H04'!$B:$E,4,0)</f>
        <v>Mạng cấp 4</v>
      </c>
    </row>
    <row r="728" spans="1:39" x14ac:dyDescent="0.25">
      <c r="A728" s="1" t="s">
        <v>6868</v>
      </c>
      <c r="B728" s="1" t="s">
        <v>6869</v>
      </c>
      <c r="C728" s="1" t="s">
        <v>6870</v>
      </c>
      <c r="D728" s="1" t="s">
        <v>6835</v>
      </c>
      <c r="E728" s="1" t="s">
        <v>6836</v>
      </c>
      <c r="F728" s="1" t="s">
        <v>6871</v>
      </c>
      <c r="G728" s="1" t="s">
        <v>14129</v>
      </c>
      <c r="H728" s="1" t="s">
        <v>14679</v>
      </c>
      <c r="I728" s="1" t="s">
        <v>14845</v>
      </c>
      <c r="J728" s="1" t="s">
        <v>23</v>
      </c>
      <c r="K728" s="1"/>
      <c r="L728" s="1" t="s">
        <v>5469</v>
      </c>
      <c r="M728" s="1" t="s">
        <v>5469</v>
      </c>
      <c r="N728" s="12" t="b">
        <f t="shared" si="55"/>
        <v>1</v>
      </c>
      <c r="O728" s="1" t="s">
        <v>6872</v>
      </c>
      <c r="P728" s="1" t="s">
        <v>6873</v>
      </c>
      <c r="Q728" s="1" t="s">
        <v>6874</v>
      </c>
      <c r="R728" s="1" t="s">
        <v>6875</v>
      </c>
      <c r="S728" s="1" t="s">
        <v>6876</v>
      </c>
      <c r="T728" s="1" t="s">
        <v>6877</v>
      </c>
      <c r="U728" s="1" t="s">
        <v>6878</v>
      </c>
      <c r="V728" s="13">
        <f>COUNTIF(L728:$M$1659,L728)</f>
        <v>4</v>
      </c>
      <c r="W728" s="1" t="s">
        <v>6821</v>
      </c>
      <c r="X728">
        <v>598.44000000000005</v>
      </c>
      <c r="Y728">
        <v>100.68</v>
      </c>
      <c r="Z728">
        <v>15.111948</v>
      </c>
      <c r="AA728">
        <v>108.734939</v>
      </c>
      <c r="AB728">
        <v>497.76</v>
      </c>
      <c r="AC728">
        <v>15.112887000000001</v>
      </c>
      <c r="AD728">
        <v>108.74466099999999</v>
      </c>
      <c r="AE728" s="5">
        <f t="shared" si="56"/>
        <v>0.15102000000000002</v>
      </c>
      <c r="AF728" s="5">
        <f t="shared" si="57"/>
        <v>0.74663999999999997</v>
      </c>
      <c r="AG728" s="1" t="str">
        <f>TRIM(LEFT(L728,FIND("-",L728)-1))</f>
        <v>Phước Giang</v>
      </c>
      <c r="AH728" s="1" t="str">
        <f>TRIM(RIGHT(L728, LEN(L728) - FIND("-", L728)))</f>
        <v>Trà Giang</v>
      </c>
      <c r="AJ728">
        <f t="shared" si="58"/>
        <v>0.10068000000000001</v>
      </c>
      <c r="AK728">
        <f t="shared" si="59"/>
        <v>0.49775999999999998</v>
      </c>
      <c r="AL728">
        <f>VLOOKUP(L728,'[1]Tuyến cáp H04'!$B:$E,3,0)/1000</f>
        <v>15.189</v>
      </c>
      <c r="AM728" t="str">
        <f>VLOOKUP(L728,'[1]Tuyến cáp H04'!$B:$E,4,0)</f>
        <v>Mạng cấp 4</v>
      </c>
    </row>
    <row r="729" spans="1:39" x14ac:dyDescent="0.25">
      <c r="A729" s="1" t="s">
        <v>6879</v>
      </c>
      <c r="B729" s="1" t="s">
        <v>5305</v>
      </c>
      <c r="C729" s="1" t="s">
        <v>5306</v>
      </c>
      <c r="D729" s="1" t="s">
        <v>6835</v>
      </c>
      <c r="E729" s="1" t="s">
        <v>6836</v>
      </c>
      <c r="F729" s="1" t="s">
        <v>6880</v>
      </c>
      <c r="G729" s="1" t="s">
        <v>14129</v>
      </c>
      <c r="H729" s="1" t="s">
        <v>14679</v>
      </c>
      <c r="I729" s="1" t="s">
        <v>14846</v>
      </c>
      <c r="J729" s="1" t="s">
        <v>23</v>
      </c>
      <c r="K729" s="1"/>
      <c r="L729" s="1" t="s">
        <v>6881</v>
      </c>
      <c r="M729" s="1" t="s">
        <v>6881</v>
      </c>
      <c r="N729" s="12" t="b">
        <f t="shared" si="55"/>
        <v>1</v>
      </c>
      <c r="O729" s="1" t="s">
        <v>6882</v>
      </c>
      <c r="P729" s="1" t="s">
        <v>6883</v>
      </c>
      <c r="Q729" s="1" t="s">
        <v>6884</v>
      </c>
      <c r="R729" s="1" t="s">
        <v>6885</v>
      </c>
      <c r="S729" s="1" t="s">
        <v>6886</v>
      </c>
      <c r="T729" s="1" t="s">
        <v>6887</v>
      </c>
      <c r="U729" s="1" t="s">
        <v>6888</v>
      </c>
      <c r="V729" s="13">
        <f>COUNTIF(L729:$M$1659,L729)</f>
        <v>2</v>
      </c>
      <c r="W729" s="1" t="s">
        <v>6889</v>
      </c>
      <c r="X729">
        <v>303.81</v>
      </c>
      <c r="Y729">
        <v>97.22</v>
      </c>
      <c r="Z729">
        <v>15.116405</v>
      </c>
      <c r="AA729">
        <v>108.754485</v>
      </c>
      <c r="AB729">
        <v>206.6</v>
      </c>
      <c r="AC729">
        <v>15.118936</v>
      </c>
      <c r="AD729">
        <v>108.74655799999999</v>
      </c>
      <c r="AE729" s="5">
        <f t="shared" si="56"/>
        <v>0.14582999999999999</v>
      </c>
      <c r="AF729" s="5">
        <f t="shared" si="57"/>
        <v>0.30989999999999995</v>
      </c>
      <c r="AG729" s="1" t="str">
        <f>TRIM(LEFT(L729,FIND("-",L729)-1))</f>
        <v>Trường Giang</v>
      </c>
      <c r="AH729" s="1" t="str">
        <f>TRIM(RIGHT(L729, LEN(L729) - FIND("-", L729)))</f>
        <v>TT1 QUẢNG NGÃI</v>
      </c>
      <c r="AJ729">
        <f t="shared" si="58"/>
        <v>9.7220000000000001E-2</v>
      </c>
      <c r="AK729">
        <f t="shared" si="59"/>
        <v>0.20660000000000001</v>
      </c>
      <c r="AL729">
        <f>VLOOKUP(L729,'[1]Tuyến cáp H04'!$B:$E,3,0)/1000</f>
        <v>22.302</v>
      </c>
      <c r="AM729" t="str">
        <f>VLOOKUP(L729,'[1]Tuyến cáp H04'!$B:$E,4,0)</f>
        <v>Mạng cấp 4</v>
      </c>
    </row>
    <row r="730" spans="1:39" x14ac:dyDescent="0.25">
      <c r="A730" s="1" t="s">
        <v>6890</v>
      </c>
      <c r="B730" s="1" t="s">
        <v>6835</v>
      </c>
      <c r="C730" s="1" t="s">
        <v>6836</v>
      </c>
      <c r="D730" s="1" t="s">
        <v>5514</v>
      </c>
      <c r="E730" s="1" t="s">
        <v>5515</v>
      </c>
      <c r="F730" s="1" t="s">
        <v>6891</v>
      </c>
      <c r="G730" s="1" t="s">
        <v>14129</v>
      </c>
      <c r="H730" s="1" t="s">
        <v>14679</v>
      </c>
      <c r="I730" s="1" t="s">
        <v>14847</v>
      </c>
      <c r="J730" s="1" t="s">
        <v>23</v>
      </c>
      <c r="K730" s="1"/>
      <c r="L730" s="1" t="s">
        <v>5469</v>
      </c>
      <c r="M730" s="1" t="s">
        <v>5469</v>
      </c>
      <c r="N730" s="12" t="b">
        <f t="shared" si="55"/>
        <v>1</v>
      </c>
      <c r="O730" s="1" t="s">
        <v>6892</v>
      </c>
      <c r="P730" s="1" t="s">
        <v>6876</v>
      </c>
      <c r="Q730" s="1" t="s">
        <v>6877</v>
      </c>
      <c r="R730" s="1" t="s">
        <v>6878</v>
      </c>
      <c r="S730" s="1" t="s">
        <v>6893</v>
      </c>
      <c r="T730" s="1" t="s">
        <v>6894</v>
      </c>
      <c r="U730" s="1" t="s">
        <v>6895</v>
      </c>
      <c r="V730" s="13">
        <f>COUNTIF(L730:$M$1659,L730)</f>
        <v>2</v>
      </c>
      <c r="W730" s="1" t="s">
        <v>6821</v>
      </c>
      <c r="X730">
        <v>564.6</v>
      </c>
      <c r="Y730">
        <v>497.76</v>
      </c>
      <c r="Z730">
        <v>15.112887000000001</v>
      </c>
      <c r="AA730">
        <v>108.74466099999999</v>
      </c>
      <c r="AB730">
        <v>66.83</v>
      </c>
      <c r="AC730">
        <v>15.0936</v>
      </c>
      <c r="AD730">
        <v>108.75017</v>
      </c>
      <c r="AE730" s="5">
        <f t="shared" si="56"/>
        <v>0.74663999999999997</v>
      </c>
      <c r="AF730" s="5">
        <f t="shared" si="57"/>
        <v>0.100245</v>
      </c>
      <c r="AG730" s="1" t="str">
        <f>TRIM(LEFT(L730,FIND("-",L730)-1))</f>
        <v>Phước Giang</v>
      </c>
      <c r="AH730" s="1" t="str">
        <f>TRIM(RIGHT(L730, LEN(L730) - FIND("-", L730)))</f>
        <v>Trà Giang</v>
      </c>
      <c r="AJ730">
        <f t="shared" si="58"/>
        <v>0.49775999999999998</v>
      </c>
      <c r="AK730">
        <f t="shared" si="59"/>
        <v>6.6830000000000001E-2</v>
      </c>
      <c r="AL730">
        <f>VLOOKUP(L730,'[1]Tuyến cáp H04'!$B:$E,3,0)/1000</f>
        <v>15.189</v>
      </c>
      <c r="AM730" t="str">
        <f>VLOOKUP(L730,'[1]Tuyến cáp H04'!$B:$E,4,0)</f>
        <v>Mạng cấp 4</v>
      </c>
    </row>
    <row r="731" spans="1:39" x14ac:dyDescent="0.25">
      <c r="A731" s="1" t="s">
        <v>6896</v>
      </c>
      <c r="B731" s="1" t="s">
        <v>6897</v>
      </c>
      <c r="C731" s="1" t="s">
        <v>6898</v>
      </c>
      <c r="D731" s="1" t="s">
        <v>5731</v>
      </c>
      <c r="E731" s="1" t="s">
        <v>5732</v>
      </c>
      <c r="F731" s="1" t="s">
        <v>6899</v>
      </c>
      <c r="G731" s="1" t="s">
        <v>14129</v>
      </c>
      <c r="H731" s="1" t="s">
        <v>14679</v>
      </c>
      <c r="I731" s="1" t="s">
        <v>14848</v>
      </c>
      <c r="J731" s="1" t="s">
        <v>23</v>
      </c>
      <c r="K731" s="1"/>
      <c r="L731" s="1" t="s">
        <v>6521</v>
      </c>
      <c r="M731" s="1" t="s">
        <v>6521</v>
      </c>
      <c r="N731" s="12" t="b">
        <f t="shared" si="55"/>
        <v>1</v>
      </c>
      <c r="O731" s="1" t="s">
        <v>6900</v>
      </c>
      <c r="P731" s="1" t="s">
        <v>6901</v>
      </c>
      <c r="Q731" s="1" t="s">
        <v>6563</v>
      </c>
      <c r="R731" s="1" t="s">
        <v>6564</v>
      </c>
      <c r="S731" s="1" t="s">
        <v>6902</v>
      </c>
      <c r="T731" s="1" t="s">
        <v>6903</v>
      </c>
      <c r="U731" s="1" t="s">
        <v>6904</v>
      </c>
      <c r="V731" s="13">
        <f>COUNTIF(L731:$M$1659,L731)</f>
        <v>2</v>
      </c>
      <c r="W731" s="1" t="s">
        <v>6529</v>
      </c>
      <c r="X731">
        <v>4454.04</v>
      </c>
      <c r="Y731">
        <v>1296.06</v>
      </c>
      <c r="Z731">
        <v>15.124615</v>
      </c>
      <c r="AA731">
        <v>108.860423</v>
      </c>
      <c r="AB731">
        <v>3157.98</v>
      </c>
      <c r="AC731">
        <v>15.11913</v>
      </c>
      <c r="AD731">
        <v>108.82518</v>
      </c>
      <c r="AE731" s="5">
        <f t="shared" si="56"/>
        <v>1.9440899999999999</v>
      </c>
      <c r="AF731" s="5">
        <f t="shared" si="57"/>
        <v>4.7369700000000003</v>
      </c>
      <c r="AG731" s="1" t="str">
        <f>TRIM(LEFT(L731,FIND("-",L731)-1))</f>
        <v>Quảng Ngãi</v>
      </c>
      <c r="AH731" s="1" t="str">
        <f>TRIM(RIGHT(L731, LEN(L731) - FIND("-", L731)))</f>
        <v>Ring 1_An Phú-CAT Quảng Ngãi</v>
      </c>
      <c r="AJ731">
        <f t="shared" si="58"/>
        <v>1.29606</v>
      </c>
      <c r="AK731">
        <f t="shared" si="59"/>
        <v>3.1579800000000002</v>
      </c>
      <c r="AL731" t="e">
        <f>VLOOKUP(L731,'[1]Tuyến cáp H04'!$B:$E,3,0)/1000</f>
        <v>#N/A</v>
      </c>
      <c r="AM731" t="e">
        <f>VLOOKUP(L731,'[1]Tuyến cáp H04'!$B:$E,4,0)</f>
        <v>#N/A</v>
      </c>
    </row>
    <row r="732" spans="1:39" x14ac:dyDescent="0.25">
      <c r="A732" s="1" t="s">
        <v>6905</v>
      </c>
      <c r="B732" s="1" t="s">
        <v>6906</v>
      </c>
      <c r="C732" s="1" t="s">
        <v>6907</v>
      </c>
      <c r="D732" s="1" t="s">
        <v>5731</v>
      </c>
      <c r="E732" s="1" t="s">
        <v>5732</v>
      </c>
      <c r="F732" s="1" t="s">
        <v>6908</v>
      </c>
      <c r="G732" s="1" t="s">
        <v>14129</v>
      </c>
      <c r="H732" s="1" t="s">
        <v>14679</v>
      </c>
      <c r="I732" s="1" t="s">
        <v>14849</v>
      </c>
      <c r="J732" s="1" t="s">
        <v>23</v>
      </c>
      <c r="K732" s="1"/>
      <c r="L732" s="1" t="s">
        <v>5721</v>
      </c>
      <c r="M732" s="1" t="s">
        <v>5721</v>
      </c>
      <c r="N732" s="12" t="b">
        <f t="shared" si="55"/>
        <v>1</v>
      </c>
      <c r="O732" s="1" t="s">
        <v>6909</v>
      </c>
      <c r="P732" s="1" t="s">
        <v>6910</v>
      </c>
      <c r="Q732" s="1" t="s">
        <v>6911</v>
      </c>
      <c r="R732" s="1" t="s">
        <v>6912</v>
      </c>
      <c r="S732" s="1" t="s">
        <v>6913</v>
      </c>
      <c r="T732" s="1" t="s">
        <v>6914</v>
      </c>
      <c r="U732" s="1" t="s">
        <v>6915</v>
      </c>
      <c r="V732" s="13">
        <f>COUNTIF(L732:$M$1659,L732)</f>
        <v>2</v>
      </c>
      <c r="W732" s="1" t="s">
        <v>5729</v>
      </c>
      <c r="X732">
        <v>2723.56</v>
      </c>
      <c r="Y732">
        <v>2001.09</v>
      </c>
      <c r="Z732">
        <v>15.08996</v>
      </c>
      <c r="AA732">
        <v>108.830865</v>
      </c>
      <c r="AB732">
        <v>722.47</v>
      </c>
      <c r="AC732">
        <v>15.093292999999999</v>
      </c>
      <c r="AD732">
        <v>108.82804400000001</v>
      </c>
      <c r="AE732" s="5">
        <f t="shared" si="56"/>
        <v>3.0016349999999998</v>
      </c>
      <c r="AF732" s="5">
        <f t="shared" si="57"/>
        <v>1.0837049999999999</v>
      </c>
      <c r="AG732" s="1" t="str">
        <f>TRIM(LEFT(L732,FIND("-",L732)-1))</f>
        <v>Vệ Giang</v>
      </c>
      <c r="AH732" s="1" t="str">
        <f>TRIM(RIGHT(L732, LEN(L732) - FIND("-", L732)))</f>
        <v>Cẩm Thành</v>
      </c>
      <c r="AJ732">
        <f t="shared" si="58"/>
        <v>2.00109</v>
      </c>
      <c r="AK732">
        <f t="shared" si="59"/>
        <v>0.72247000000000006</v>
      </c>
      <c r="AL732">
        <f>VLOOKUP(L732,'[1]Tuyến cáp H04'!$B:$E,3,0)/1000</f>
        <v>11.173</v>
      </c>
      <c r="AM732" t="str">
        <f>VLOOKUP(L732,'[1]Tuyến cáp H04'!$B:$E,4,0)</f>
        <v>Mạng cấp 4</v>
      </c>
    </row>
    <row r="733" spans="1:39" x14ac:dyDescent="0.25">
      <c r="A733" s="1" t="s">
        <v>6916</v>
      </c>
      <c r="B733" s="1" t="s">
        <v>6917</v>
      </c>
      <c r="C733" s="1" t="s">
        <v>6918</v>
      </c>
      <c r="D733" s="1" t="s">
        <v>6919</v>
      </c>
      <c r="E733" s="1" t="s">
        <v>6920</v>
      </c>
      <c r="F733" s="1" t="s">
        <v>6921</v>
      </c>
      <c r="G733" s="1" t="s">
        <v>14281</v>
      </c>
      <c r="H733" s="1" t="s">
        <v>14282</v>
      </c>
      <c r="I733" s="1" t="s">
        <v>14850</v>
      </c>
      <c r="J733" s="1" t="s">
        <v>23</v>
      </c>
      <c r="K733" s="1"/>
      <c r="L733" s="1" t="s">
        <v>6922</v>
      </c>
      <c r="M733" s="1" t="s">
        <v>6922</v>
      </c>
      <c r="N733" s="12" t="b">
        <f t="shared" si="55"/>
        <v>1</v>
      </c>
      <c r="O733" s="1" t="s">
        <v>6923</v>
      </c>
      <c r="P733" s="1" t="s">
        <v>6924</v>
      </c>
      <c r="Q733" s="1" t="s">
        <v>6925</v>
      </c>
      <c r="R733" s="1" t="s">
        <v>6926</v>
      </c>
      <c r="S733" s="1" t="s">
        <v>6927</v>
      </c>
      <c r="T733" s="1" t="s">
        <v>6928</v>
      </c>
      <c r="U733" s="1" t="s">
        <v>6929</v>
      </c>
      <c r="V733" s="13">
        <f>COUNTIF(L733:$M$1659,L733)</f>
        <v>4</v>
      </c>
      <c r="W733" s="1" t="s">
        <v>6930</v>
      </c>
      <c r="X733">
        <v>3507.62</v>
      </c>
      <c r="Y733">
        <v>1903.66</v>
      </c>
      <c r="Z733">
        <v>16.493866000000001</v>
      </c>
      <c r="AA733">
        <v>107.622596</v>
      </c>
      <c r="AB733">
        <v>1603.95</v>
      </c>
      <c r="AC733">
        <v>16.534875</v>
      </c>
      <c r="AD733">
        <v>107.629738</v>
      </c>
      <c r="AE733" s="5">
        <f t="shared" si="56"/>
        <v>2.8554900000000001</v>
      </c>
      <c r="AF733" s="5">
        <f t="shared" si="57"/>
        <v>2.4059250000000003</v>
      </c>
      <c r="AG733" s="1" t="str">
        <f>TRIM(LEFT(L733,FIND("-",L733)-1))</f>
        <v>Ring 7 Hóa Châu</v>
      </c>
      <c r="AH733" s="1" t="str">
        <f>TRIM(RIGHT(L733, LEN(L733) - FIND("-", L733)))</f>
        <v>Mỹ Thượng</v>
      </c>
      <c r="AJ733">
        <f t="shared" si="58"/>
        <v>1.9036600000000001</v>
      </c>
      <c r="AK733">
        <f t="shared" si="59"/>
        <v>1.60395</v>
      </c>
      <c r="AL733" t="e">
        <f>VLOOKUP(L733,'[1]Tuyến cáp H04'!$B:$E,3,0)/1000</f>
        <v>#N/A</v>
      </c>
      <c r="AM733" t="e">
        <f>VLOOKUP(L733,'[1]Tuyến cáp H04'!$B:$E,4,0)</f>
        <v>#N/A</v>
      </c>
    </row>
    <row r="734" spans="1:39" x14ac:dyDescent="0.25">
      <c r="A734" s="1" t="s">
        <v>6931</v>
      </c>
      <c r="B734" s="1" t="s">
        <v>6932</v>
      </c>
      <c r="C734" s="1" t="s">
        <v>6933</v>
      </c>
      <c r="D734" s="1" t="s">
        <v>6934</v>
      </c>
      <c r="E734" s="1" t="s">
        <v>6935</v>
      </c>
      <c r="F734" s="1" t="s">
        <v>6936</v>
      </c>
      <c r="G734" s="1" t="s">
        <v>14281</v>
      </c>
      <c r="H734" s="1" t="s">
        <v>14282</v>
      </c>
      <c r="I734" s="1" t="s">
        <v>14851</v>
      </c>
      <c r="J734" s="1" t="s">
        <v>23</v>
      </c>
      <c r="K734" s="1"/>
      <c r="L734" s="1" t="s">
        <v>6937</v>
      </c>
      <c r="M734" s="1" t="s">
        <v>6937</v>
      </c>
      <c r="N734" s="12" t="b">
        <f t="shared" si="55"/>
        <v>1</v>
      </c>
      <c r="O734" s="1" t="s">
        <v>6938</v>
      </c>
      <c r="P734" s="1" t="s">
        <v>6939</v>
      </c>
      <c r="Q734" s="1" t="s">
        <v>6940</v>
      </c>
      <c r="R734" s="1" t="s">
        <v>6941</v>
      </c>
      <c r="S734" s="1" t="s">
        <v>6942</v>
      </c>
      <c r="T734" s="1" t="s">
        <v>6943</v>
      </c>
      <c r="U734" s="1" t="s">
        <v>6944</v>
      </c>
      <c r="V734" s="13">
        <f>COUNTIF(L734:$M$1659,L734)</f>
        <v>8</v>
      </c>
      <c r="W734" s="1" t="s">
        <v>6945</v>
      </c>
      <c r="X734">
        <v>14876.49</v>
      </c>
      <c r="Y734">
        <v>6451.64</v>
      </c>
      <c r="Z734">
        <v>16.432220999999998</v>
      </c>
      <c r="AA734">
        <v>107.776447</v>
      </c>
      <c r="AB734">
        <v>8424.86</v>
      </c>
      <c r="AC734">
        <v>16.345566000000002</v>
      </c>
      <c r="AD734">
        <v>107.89903099999999</v>
      </c>
      <c r="AE734" s="5">
        <f t="shared" si="56"/>
        <v>9.6774600000000017</v>
      </c>
      <c r="AF734" s="5">
        <f t="shared" si="57"/>
        <v>12.63729</v>
      </c>
      <c r="AG734" s="1" t="str">
        <f>TRIM(LEFT(L734,FIND("-",L734)-1))</f>
        <v>TTCMKV_Ring 1_Phú Vang</v>
      </c>
      <c r="AH734" s="1" t="str">
        <f>TRIM(RIGHT(L734, LEN(L734) - FIND("-", L734)))</f>
        <v>Phú Lộc</v>
      </c>
      <c r="AJ734">
        <f t="shared" si="58"/>
        <v>6.4516400000000003</v>
      </c>
      <c r="AK734">
        <f t="shared" si="59"/>
        <v>8.4248600000000007</v>
      </c>
      <c r="AL734" t="e">
        <f>VLOOKUP(L734,'[1]Tuyến cáp H04'!$B:$E,3,0)/1000</f>
        <v>#N/A</v>
      </c>
      <c r="AM734" t="e">
        <f>VLOOKUP(L734,'[1]Tuyến cáp H04'!$B:$E,4,0)</f>
        <v>#N/A</v>
      </c>
    </row>
    <row r="735" spans="1:39" x14ac:dyDescent="0.25">
      <c r="A735" s="1" t="s">
        <v>6946</v>
      </c>
      <c r="B735" s="1" t="s">
        <v>6947</v>
      </c>
      <c r="C735" s="1" t="s">
        <v>6948</v>
      </c>
      <c r="D735" s="1" t="s">
        <v>6949</v>
      </c>
      <c r="E735" s="1" t="s">
        <v>6950</v>
      </c>
      <c r="F735" s="1" t="s">
        <v>6951</v>
      </c>
      <c r="G735" s="1" t="s">
        <v>14281</v>
      </c>
      <c r="H735" s="1" t="s">
        <v>14282</v>
      </c>
      <c r="I735" s="1" t="s">
        <v>14852</v>
      </c>
      <c r="J735" s="1" t="s">
        <v>23</v>
      </c>
      <c r="K735" s="1"/>
      <c r="L735" s="1" t="s">
        <v>6952</v>
      </c>
      <c r="M735" s="1" t="s">
        <v>6952</v>
      </c>
      <c r="N735" s="12" t="b">
        <f t="shared" si="55"/>
        <v>1</v>
      </c>
      <c r="O735" s="1" t="s">
        <v>6953</v>
      </c>
      <c r="P735" s="1" t="s">
        <v>6954</v>
      </c>
      <c r="Q735" s="1" t="s">
        <v>6955</v>
      </c>
      <c r="R735" s="1" t="s">
        <v>6956</v>
      </c>
      <c r="S735" s="1" t="s">
        <v>6957</v>
      </c>
      <c r="T735" s="1" t="s">
        <v>6958</v>
      </c>
      <c r="U735" s="1" t="s">
        <v>6959</v>
      </c>
      <c r="V735" s="13">
        <f>COUNTIF(L735:$M$1659,L735)</f>
        <v>2</v>
      </c>
      <c r="W735" s="1" t="s">
        <v>6960</v>
      </c>
      <c r="X735">
        <v>4467.6899999999996</v>
      </c>
      <c r="Y735">
        <v>710.67</v>
      </c>
      <c r="Z735">
        <v>16.282229999999998</v>
      </c>
      <c r="AA735">
        <v>107.858773</v>
      </c>
      <c r="AB735">
        <v>3757.02</v>
      </c>
      <c r="AC735">
        <v>16.321273000000001</v>
      </c>
      <c r="AD735">
        <v>107.773392</v>
      </c>
      <c r="AE735" s="5">
        <f t="shared" si="56"/>
        <v>1.0660049999999999</v>
      </c>
      <c r="AF735" s="5">
        <f t="shared" si="57"/>
        <v>5.6355300000000002</v>
      </c>
      <c r="AG735" s="1" t="str">
        <f>TRIM(LEFT(L735,FIND("-",L735)-1))</f>
        <v>Ring 13_Hương Phú</v>
      </c>
      <c r="AH735" s="1" t="str">
        <f>TRIM(RIGHT(L735, LEN(L735) - FIND("-", L735)))</f>
        <v>TTCMKV Phú Lộc</v>
      </c>
      <c r="AJ735">
        <f t="shared" si="58"/>
        <v>0.71066999999999991</v>
      </c>
      <c r="AK735">
        <f t="shared" si="59"/>
        <v>3.7570199999999998</v>
      </c>
      <c r="AL735" t="e">
        <f>VLOOKUP(L735,'[1]Tuyến cáp H04'!$B:$E,3,0)/1000</f>
        <v>#N/A</v>
      </c>
      <c r="AM735" t="e">
        <f>VLOOKUP(L735,'[1]Tuyến cáp H04'!$B:$E,4,0)</f>
        <v>#N/A</v>
      </c>
    </row>
    <row r="736" spans="1:39" x14ac:dyDescent="0.25">
      <c r="A736" s="1" t="s">
        <v>6961</v>
      </c>
      <c r="B736" s="1" t="s">
        <v>6962</v>
      </c>
      <c r="C736" s="1" t="s">
        <v>6963</v>
      </c>
      <c r="D736" s="1" t="s">
        <v>6964</v>
      </c>
      <c r="E736" s="1" t="s">
        <v>6965</v>
      </c>
      <c r="F736" s="1" t="s">
        <v>6966</v>
      </c>
      <c r="G736" s="1" t="s">
        <v>14281</v>
      </c>
      <c r="H736" s="1" t="s">
        <v>14282</v>
      </c>
      <c r="I736" s="1" t="s">
        <v>14853</v>
      </c>
      <c r="J736" s="1" t="s">
        <v>23</v>
      </c>
      <c r="K736" s="1"/>
      <c r="L736" s="1" t="s">
        <v>6967</v>
      </c>
      <c r="M736" s="1" t="s">
        <v>6967</v>
      </c>
      <c r="N736" s="12" t="b">
        <f t="shared" si="55"/>
        <v>1</v>
      </c>
      <c r="O736" s="1" t="s">
        <v>6968</v>
      </c>
      <c r="P736" s="1" t="s">
        <v>6969</v>
      </c>
      <c r="Q736" s="1" t="s">
        <v>6970</v>
      </c>
      <c r="R736" s="1" t="s">
        <v>6971</v>
      </c>
      <c r="S736" s="1" t="s">
        <v>6972</v>
      </c>
      <c r="T736" s="1" t="s">
        <v>6973</v>
      </c>
      <c r="U736" s="1" t="s">
        <v>6974</v>
      </c>
      <c r="V736" s="13">
        <f>COUNTIF(L736:$M$1659,L736)</f>
        <v>4</v>
      </c>
      <c r="W736" s="1" t="s">
        <v>6975</v>
      </c>
      <c r="X736">
        <v>5362.34</v>
      </c>
      <c r="Y736">
        <v>281.25</v>
      </c>
      <c r="Z736">
        <v>16.410368999999999</v>
      </c>
      <c r="AA736">
        <v>107.679062</v>
      </c>
      <c r="AB736">
        <v>5081.09</v>
      </c>
      <c r="AC736">
        <v>16.449480999999999</v>
      </c>
      <c r="AD736">
        <v>107.62788500000001</v>
      </c>
      <c r="AE736" s="5">
        <f t="shared" si="56"/>
        <v>0.421875</v>
      </c>
      <c r="AF736" s="5">
        <f t="shared" si="57"/>
        <v>7.6216350000000004</v>
      </c>
      <c r="AG736" s="1" t="str">
        <f>TRIM(LEFT(L736,FIND("-",L736)-1))</f>
        <v>TTCMKV_Ring 1_Hương Thủy</v>
      </c>
      <c r="AH736" s="1" t="str">
        <f>TRIM(RIGHT(L736, LEN(L736) - FIND("-", L736)))</f>
        <v>CAT Huế mới</v>
      </c>
      <c r="AJ736">
        <f t="shared" si="58"/>
        <v>0.28125</v>
      </c>
      <c r="AK736">
        <f t="shared" si="59"/>
        <v>5.0810900000000006</v>
      </c>
      <c r="AL736" t="e">
        <f>VLOOKUP(L736,'[1]Tuyến cáp H04'!$B:$E,3,0)/1000</f>
        <v>#N/A</v>
      </c>
      <c r="AM736" t="e">
        <f>VLOOKUP(L736,'[1]Tuyến cáp H04'!$B:$E,4,0)</f>
        <v>#N/A</v>
      </c>
    </row>
    <row r="737" spans="1:39" x14ac:dyDescent="0.25">
      <c r="A737" s="1" t="s">
        <v>6976</v>
      </c>
      <c r="B737" s="1" t="s">
        <v>6977</v>
      </c>
      <c r="C737" s="1" t="s">
        <v>6978</v>
      </c>
      <c r="D737" s="1" t="s">
        <v>6977</v>
      </c>
      <c r="E737" s="1" t="s">
        <v>6978</v>
      </c>
      <c r="F737" s="1" t="s">
        <v>6979</v>
      </c>
      <c r="G737" s="1" t="s">
        <v>14281</v>
      </c>
      <c r="H737" s="1" t="s">
        <v>14282</v>
      </c>
      <c r="I737" s="1" t="s">
        <v>14854</v>
      </c>
      <c r="J737" s="1" t="s">
        <v>23</v>
      </c>
      <c r="K737" s="1"/>
      <c r="L737" s="1" t="s">
        <v>6980</v>
      </c>
      <c r="M737" s="1" t="s">
        <v>6980</v>
      </c>
      <c r="N737" s="12" t="b">
        <f t="shared" si="55"/>
        <v>1</v>
      </c>
      <c r="O737" s="1" t="s">
        <v>6981</v>
      </c>
      <c r="P737" s="1" t="s">
        <v>6982</v>
      </c>
      <c r="Q737" s="1" t="s">
        <v>6983</v>
      </c>
      <c r="R737" s="1" t="s">
        <v>6984</v>
      </c>
      <c r="S737" s="1" t="s">
        <v>6982</v>
      </c>
      <c r="T737" s="1" t="s">
        <v>6983</v>
      </c>
      <c r="U737" s="1" t="s">
        <v>6984</v>
      </c>
      <c r="V737" s="13">
        <f>COUNTIF(L737:$M$1659,L737)</f>
        <v>12</v>
      </c>
      <c r="W737" s="1" t="s">
        <v>6985</v>
      </c>
      <c r="X737">
        <v>3050.43</v>
      </c>
      <c r="Y737">
        <v>1525.21</v>
      </c>
      <c r="Z737">
        <v>16.496891000000002</v>
      </c>
      <c r="AA737">
        <v>107.507471</v>
      </c>
      <c r="AB737">
        <v>1525.21</v>
      </c>
      <c r="AC737">
        <v>16.496891000000002</v>
      </c>
      <c r="AD737">
        <v>107.507471</v>
      </c>
      <c r="AE737" s="5">
        <f t="shared" si="56"/>
        <v>2.2878150000000002</v>
      </c>
      <c r="AF737" s="5">
        <f t="shared" si="57"/>
        <v>2.2878150000000002</v>
      </c>
      <c r="AG737" s="1" t="str">
        <f>TRIM(LEFT(L737,FIND("-",L737)-1))</f>
        <v>Ring 6 TTCMKV Quảng Điền</v>
      </c>
      <c r="AH737" s="1" t="str">
        <f>TRIM(RIGHT(L737, LEN(L737) - FIND("-", L737)))</f>
        <v>Kim Trà</v>
      </c>
      <c r="AJ737">
        <f t="shared" si="58"/>
        <v>1.52521</v>
      </c>
      <c r="AK737">
        <f t="shared" si="59"/>
        <v>1.52521</v>
      </c>
      <c r="AL737" t="e">
        <f>VLOOKUP(L737,'[1]Tuyến cáp H04'!$B:$E,3,0)/1000</f>
        <v>#N/A</v>
      </c>
      <c r="AM737" t="e">
        <f>VLOOKUP(L737,'[1]Tuyến cáp H04'!$B:$E,4,0)</f>
        <v>#N/A</v>
      </c>
    </row>
    <row r="738" spans="1:39" x14ac:dyDescent="0.25">
      <c r="A738" s="1" t="s">
        <v>6986</v>
      </c>
      <c r="B738" s="1" t="s">
        <v>6987</v>
      </c>
      <c r="C738" s="1" t="s">
        <v>6988</v>
      </c>
      <c r="D738" s="1" t="s">
        <v>6989</v>
      </c>
      <c r="E738" s="1" t="s">
        <v>6990</v>
      </c>
      <c r="F738" s="1" t="s">
        <v>6991</v>
      </c>
      <c r="G738" s="1" t="s">
        <v>14281</v>
      </c>
      <c r="H738" s="1" t="s">
        <v>14282</v>
      </c>
      <c r="I738" s="1" t="s">
        <v>6986</v>
      </c>
      <c r="J738" s="1" t="s">
        <v>23</v>
      </c>
      <c r="K738" s="1"/>
      <c r="L738" s="1" t="s">
        <v>6992</v>
      </c>
      <c r="M738" s="1" t="s">
        <v>6992</v>
      </c>
      <c r="N738" s="12" t="b">
        <f t="shared" si="55"/>
        <v>1</v>
      </c>
      <c r="O738" s="1" t="s">
        <v>6993</v>
      </c>
      <c r="P738" s="1" t="s">
        <v>6994</v>
      </c>
      <c r="Q738" s="1" t="s">
        <v>6995</v>
      </c>
      <c r="R738" s="1" t="s">
        <v>6996</v>
      </c>
      <c r="S738" s="1" t="s">
        <v>6997</v>
      </c>
      <c r="T738" s="1" t="s">
        <v>6998</v>
      </c>
      <c r="U738" s="1" t="s">
        <v>6999</v>
      </c>
      <c r="V738" s="13">
        <f>COUNTIF(L738:$M$1659,L738)</f>
        <v>2</v>
      </c>
      <c r="W738" s="1" t="s">
        <v>7000</v>
      </c>
      <c r="X738">
        <v>1763.15</v>
      </c>
      <c r="Y738">
        <v>504.24</v>
      </c>
      <c r="Z738">
        <v>16.568887</v>
      </c>
      <c r="AA738">
        <v>107.386796</v>
      </c>
      <c r="AB738">
        <v>1258.9000000000001</v>
      </c>
      <c r="AC738">
        <v>16.58006</v>
      </c>
      <c r="AD738">
        <v>107.513435</v>
      </c>
      <c r="AE738" s="5">
        <f t="shared" si="56"/>
        <v>0.75636000000000003</v>
      </c>
      <c r="AF738" s="5">
        <f t="shared" si="57"/>
        <v>1.8883500000000002</v>
      </c>
      <c r="AG738" s="1" t="str">
        <f>TRIM(LEFT(L738,FIND("-",L738)-1))</f>
        <v>TTCMKV_Ring 2_Quảng Điền</v>
      </c>
      <c r="AH738" s="1" t="str">
        <f>TRIM(RIGHT(L738, LEN(L738) - FIND("-", L738)))</f>
        <v>Phong Điền</v>
      </c>
      <c r="AJ738">
        <f t="shared" si="58"/>
        <v>0.50424000000000002</v>
      </c>
      <c r="AK738">
        <f t="shared" si="59"/>
        <v>1.2589000000000001</v>
      </c>
      <c r="AL738" t="e">
        <f>VLOOKUP(L738,'[1]Tuyến cáp H04'!$B:$E,3,0)/1000</f>
        <v>#N/A</v>
      </c>
      <c r="AM738" t="e">
        <f>VLOOKUP(L738,'[1]Tuyến cáp H04'!$B:$E,4,0)</f>
        <v>#N/A</v>
      </c>
    </row>
    <row r="739" spans="1:39" x14ac:dyDescent="0.25">
      <c r="A739" s="1" t="s">
        <v>7001</v>
      </c>
      <c r="B739" s="1" t="s">
        <v>7002</v>
      </c>
      <c r="C739" s="1" t="s">
        <v>7003</v>
      </c>
      <c r="D739" s="1" t="s">
        <v>7004</v>
      </c>
      <c r="E739" s="1" t="s">
        <v>7005</v>
      </c>
      <c r="F739" s="1" t="s">
        <v>7006</v>
      </c>
      <c r="G739" s="1" t="s">
        <v>14129</v>
      </c>
      <c r="H739" s="1" t="s">
        <v>14532</v>
      </c>
      <c r="I739" s="1" t="s">
        <v>14855</v>
      </c>
      <c r="J739" s="1" t="s">
        <v>23</v>
      </c>
      <c r="K739" s="1"/>
      <c r="L739" s="1" t="s">
        <v>7007</v>
      </c>
      <c r="M739" s="1" t="s">
        <v>7007</v>
      </c>
      <c r="N739" s="12" t="b">
        <f t="shared" si="55"/>
        <v>1</v>
      </c>
      <c r="O739" s="1" t="s">
        <v>7008</v>
      </c>
      <c r="P739" s="1" t="s">
        <v>7009</v>
      </c>
      <c r="Q739" s="1" t="s">
        <v>7010</v>
      </c>
      <c r="R739" s="1" t="s">
        <v>7011</v>
      </c>
      <c r="S739" s="1" t="s">
        <v>7012</v>
      </c>
      <c r="T739" s="1" t="s">
        <v>7013</v>
      </c>
      <c r="U739" s="1" t="s">
        <v>7014</v>
      </c>
      <c r="V739" s="13">
        <f>COUNTIF(L739:$M$1659,L739)</f>
        <v>6</v>
      </c>
      <c r="W739" s="1" t="s">
        <v>7015</v>
      </c>
      <c r="X739">
        <v>116.41</v>
      </c>
      <c r="Y739">
        <v>24.59</v>
      </c>
      <c r="Z739">
        <v>16.465112999999999</v>
      </c>
      <c r="AA739">
        <v>107.595674</v>
      </c>
      <c r="AB739">
        <v>91.82</v>
      </c>
      <c r="AC739">
        <v>16.463172</v>
      </c>
      <c r="AD739">
        <v>107.594795</v>
      </c>
      <c r="AE739" s="5">
        <f t="shared" si="56"/>
        <v>3.6885000000000001E-2</v>
      </c>
      <c r="AF739" s="5">
        <f t="shared" si="57"/>
        <v>0.13772999999999999</v>
      </c>
      <c r="AG739" s="1" t="str">
        <f>TRIM(LEFT(L739,FIND("-",L739)-1))</f>
        <v>Ring 1 CA TP Huế</v>
      </c>
      <c r="AH739" s="1" t="str">
        <f>TRIM(RIGHT(L739, LEN(L739) - FIND("-", L739)))</f>
        <v>PK02</v>
      </c>
      <c r="AJ739">
        <f t="shared" si="58"/>
        <v>2.4590000000000001E-2</v>
      </c>
      <c r="AK739">
        <f t="shared" si="59"/>
        <v>9.1819999999999999E-2</v>
      </c>
      <c r="AL739" t="e">
        <f>VLOOKUP(L739,'[1]Tuyến cáp H04'!$B:$E,3,0)/1000</f>
        <v>#N/A</v>
      </c>
      <c r="AM739" t="e">
        <f>VLOOKUP(L739,'[1]Tuyến cáp H04'!$B:$E,4,0)</f>
        <v>#N/A</v>
      </c>
    </row>
    <row r="740" spans="1:39" x14ac:dyDescent="0.25">
      <c r="A740" s="1" t="s">
        <v>7016</v>
      </c>
      <c r="B740" s="1" t="s">
        <v>7017</v>
      </c>
      <c r="C740" s="1" t="s">
        <v>7018</v>
      </c>
      <c r="D740" s="1" t="s">
        <v>7019</v>
      </c>
      <c r="E740" s="1" t="s">
        <v>7020</v>
      </c>
      <c r="F740" s="1" t="s">
        <v>7021</v>
      </c>
      <c r="G740" s="1" t="s">
        <v>14129</v>
      </c>
      <c r="H740" s="1" t="s">
        <v>14532</v>
      </c>
      <c r="I740" s="1" t="s">
        <v>14856</v>
      </c>
      <c r="J740" s="1" t="s">
        <v>23</v>
      </c>
      <c r="K740" s="1"/>
      <c r="L740" s="1" t="s">
        <v>7022</v>
      </c>
      <c r="M740" s="1" t="s">
        <v>7022</v>
      </c>
      <c r="N740" s="12" t="b">
        <f t="shared" si="55"/>
        <v>1</v>
      </c>
      <c r="O740" s="1" t="s">
        <v>7023</v>
      </c>
      <c r="P740" s="1" t="s">
        <v>7024</v>
      </c>
      <c r="Q740" s="1" t="s">
        <v>7025</v>
      </c>
      <c r="R740" s="1" t="s">
        <v>7026</v>
      </c>
      <c r="S740" s="1" t="s">
        <v>7027</v>
      </c>
      <c r="T740" s="1" t="s">
        <v>7028</v>
      </c>
      <c r="U740" s="1" t="s">
        <v>7029</v>
      </c>
      <c r="V740" s="13">
        <f>COUNTIF(L740:$M$1659,L740)</f>
        <v>4</v>
      </c>
      <c r="W740" s="1" t="s">
        <v>7030</v>
      </c>
      <c r="X740">
        <v>40.65</v>
      </c>
      <c r="Y740">
        <v>23.03</v>
      </c>
      <c r="Z740">
        <v>16.487348999999998</v>
      </c>
      <c r="AA740">
        <v>107.58749</v>
      </c>
      <c r="AB740">
        <v>17.61</v>
      </c>
      <c r="AC740">
        <v>16.482997999999998</v>
      </c>
      <c r="AD740">
        <v>107.58643600000001</v>
      </c>
      <c r="AE740" s="5">
        <f t="shared" si="56"/>
        <v>3.4544999999999999E-2</v>
      </c>
      <c r="AF740" s="5">
        <f t="shared" si="57"/>
        <v>2.6414999999999998E-2</v>
      </c>
      <c r="AG740" s="1" t="str">
        <f>TRIM(LEFT(L740,FIND("-",L740)-1))</f>
        <v>Ring 1 Nguyễn Thái Học</v>
      </c>
      <c r="AH740" s="1" t="str">
        <f>TRIM(RIGHT(L740, LEN(L740) - FIND("-", L740)))</f>
        <v>Phú Xuân</v>
      </c>
      <c r="AJ740">
        <f t="shared" si="58"/>
        <v>2.3030000000000002E-2</v>
      </c>
      <c r="AK740">
        <f t="shared" si="59"/>
        <v>1.7610000000000001E-2</v>
      </c>
      <c r="AL740" t="e">
        <f>VLOOKUP(L740,'[1]Tuyến cáp H04'!$B:$E,3,0)/1000</f>
        <v>#N/A</v>
      </c>
      <c r="AM740" t="e">
        <f>VLOOKUP(L740,'[1]Tuyến cáp H04'!$B:$E,4,0)</f>
        <v>#N/A</v>
      </c>
    </row>
    <row r="741" spans="1:39" x14ac:dyDescent="0.25">
      <c r="A741" s="1" t="s">
        <v>7031</v>
      </c>
      <c r="B741" s="1" t="s">
        <v>7032</v>
      </c>
      <c r="C741" s="1" t="s">
        <v>7033</v>
      </c>
      <c r="D741" s="1" t="s">
        <v>6964</v>
      </c>
      <c r="E741" s="1" t="s">
        <v>6965</v>
      </c>
      <c r="F741" s="1" t="s">
        <v>7034</v>
      </c>
      <c r="G741" s="1" t="s">
        <v>14129</v>
      </c>
      <c r="H741" s="1" t="s">
        <v>14532</v>
      </c>
      <c r="I741" s="1" t="s">
        <v>14857</v>
      </c>
      <c r="J741" s="1" t="s">
        <v>23</v>
      </c>
      <c r="K741" s="1"/>
      <c r="L741" s="1" t="s">
        <v>7035</v>
      </c>
      <c r="M741" s="1" t="s">
        <v>7035</v>
      </c>
      <c r="N741" s="12" t="b">
        <f t="shared" si="55"/>
        <v>1</v>
      </c>
      <c r="O741" s="1" t="s">
        <v>7036</v>
      </c>
      <c r="P741" s="1" t="s">
        <v>7037</v>
      </c>
      <c r="Q741" s="1" t="s">
        <v>7038</v>
      </c>
      <c r="R741" s="1" t="s">
        <v>7039</v>
      </c>
      <c r="S741" s="1" t="s">
        <v>7040</v>
      </c>
      <c r="T741" s="1" t="s">
        <v>7041</v>
      </c>
      <c r="U741" s="1" t="s">
        <v>7042</v>
      </c>
      <c r="V741" s="13">
        <f>COUNTIF(L741:$M$1659,L741)</f>
        <v>2</v>
      </c>
      <c r="W741" s="1" t="s">
        <v>7043</v>
      </c>
      <c r="X741">
        <v>772.53</v>
      </c>
      <c r="Y741">
        <v>18.86</v>
      </c>
      <c r="Z741">
        <v>16.495902000000001</v>
      </c>
      <c r="AA741">
        <v>107.598653</v>
      </c>
      <c r="AB741">
        <v>753.68</v>
      </c>
      <c r="AC741">
        <v>16.493953999999999</v>
      </c>
      <c r="AD741">
        <v>107.622204</v>
      </c>
      <c r="AE741" s="5">
        <f t="shared" si="56"/>
        <v>2.8289999999999999E-2</v>
      </c>
      <c r="AF741" s="5">
        <f t="shared" si="57"/>
        <v>1.13052</v>
      </c>
      <c r="AG741" s="1" t="str">
        <f>TRIM(LEFT(L741,FIND("-",L741)-1))</f>
        <v>Ring 3 CAT TT Huế</v>
      </c>
      <c r="AH741" s="1" t="str">
        <f>TRIM(RIGHT(L741, LEN(L741) - FIND("-", L741)))</f>
        <v>PA07</v>
      </c>
      <c r="AJ741">
        <f t="shared" si="58"/>
        <v>1.8859999999999998E-2</v>
      </c>
      <c r="AK741">
        <f t="shared" si="59"/>
        <v>0.75367999999999991</v>
      </c>
      <c r="AL741" t="e">
        <f>VLOOKUP(L741,'[1]Tuyến cáp H04'!$B:$E,3,0)/1000</f>
        <v>#N/A</v>
      </c>
      <c r="AM741" t="e">
        <f>VLOOKUP(L741,'[1]Tuyến cáp H04'!$B:$E,4,0)</f>
        <v>#N/A</v>
      </c>
    </row>
    <row r="742" spans="1:39" x14ac:dyDescent="0.25">
      <c r="A742" s="1" t="s">
        <v>7044</v>
      </c>
      <c r="B742" s="1" t="s">
        <v>7045</v>
      </c>
      <c r="C742" s="1" t="s">
        <v>7046</v>
      </c>
      <c r="D742" s="1" t="s">
        <v>7047</v>
      </c>
      <c r="E742" s="1" t="s">
        <v>7048</v>
      </c>
      <c r="F742" s="1" t="s">
        <v>7049</v>
      </c>
      <c r="G742" s="1" t="s">
        <v>14129</v>
      </c>
      <c r="H742" s="1" t="s">
        <v>14532</v>
      </c>
      <c r="I742" s="1" t="s">
        <v>14858</v>
      </c>
      <c r="J742" s="1" t="s">
        <v>23</v>
      </c>
      <c r="K742" s="1"/>
      <c r="L742" s="1" t="s">
        <v>7050</v>
      </c>
      <c r="M742" s="1" t="s">
        <v>7050</v>
      </c>
      <c r="N742" s="12" t="b">
        <f t="shared" si="55"/>
        <v>1</v>
      </c>
      <c r="O742" s="1" t="s">
        <v>7051</v>
      </c>
      <c r="P742" s="1" t="s">
        <v>7052</v>
      </c>
      <c r="Q742" s="1" t="s">
        <v>7053</v>
      </c>
      <c r="R742" s="1" t="s">
        <v>7054</v>
      </c>
      <c r="S742" s="1" t="s">
        <v>7055</v>
      </c>
      <c r="T742" s="1" t="s">
        <v>7056</v>
      </c>
      <c r="U742" s="1" t="s">
        <v>7057</v>
      </c>
      <c r="V742" s="13">
        <f>COUNTIF(L742:$M$1659,L742)</f>
        <v>12</v>
      </c>
      <c r="W742" s="1" t="s">
        <v>7058</v>
      </c>
      <c r="X742">
        <v>346.19</v>
      </c>
      <c r="Y742">
        <v>13.97</v>
      </c>
      <c r="Z742">
        <v>16.475570999999999</v>
      </c>
      <c r="AA742">
        <v>107.60319</v>
      </c>
      <c r="AB742">
        <v>332.22</v>
      </c>
      <c r="AC742">
        <v>16.475852</v>
      </c>
      <c r="AD742">
        <v>107.603185</v>
      </c>
      <c r="AE742" s="5">
        <f t="shared" si="56"/>
        <v>2.0955000000000001E-2</v>
      </c>
      <c r="AF742" s="5">
        <f t="shared" si="57"/>
        <v>0.49833000000000005</v>
      </c>
      <c r="AG742" s="1" t="str">
        <f>TRIM(LEFT(L742,FIND("-",L742)-1))</f>
        <v>Ring 3 PA07</v>
      </c>
      <c r="AH742" s="1" t="str">
        <f>TRIM(RIGHT(L742, LEN(L742) - FIND("-", L742)))</f>
        <v>PC01</v>
      </c>
      <c r="AJ742">
        <f t="shared" si="58"/>
        <v>1.397E-2</v>
      </c>
      <c r="AK742">
        <f t="shared" si="59"/>
        <v>0.33222000000000002</v>
      </c>
      <c r="AL742" t="e">
        <f>VLOOKUP(L742,'[1]Tuyến cáp H04'!$B:$E,3,0)/1000</f>
        <v>#N/A</v>
      </c>
      <c r="AM742" t="e">
        <f>VLOOKUP(L742,'[1]Tuyến cáp H04'!$B:$E,4,0)</f>
        <v>#N/A</v>
      </c>
    </row>
    <row r="743" spans="1:39" x14ac:dyDescent="0.25">
      <c r="A743" s="1" t="s">
        <v>7059</v>
      </c>
      <c r="B743" s="1" t="s">
        <v>7060</v>
      </c>
      <c r="C743" s="1" t="s">
        <v>7061</v>
      </c>
      <c r="D743" s="1" t="s">
        <v>7062</v>
      </c>
      <c r="E743" s="1" t="s">
        <v>7063</v>
      </c>
      <c r="F743" s="1" t="s">
        <v>7064</v>
      </c>
      <c r="G743" s="1" t="s">
        <v>14129</v>
      </c>
      <c r="H743" s="1" t="s">
        <v>14532</v>
      </c>
      <c r="I743" s="1" t="s">
        <v>14859</v>
      </c>
      <c r="J743" s="1" t="s">
        <v>23</v>
      </c>
      <c r="K743" s="1"/>
      <c r="L743" s="1" t="s">
        <v>7065</v>
      </c>
      <c r="M743" s="1" t="s">
        <v>7065</v>
      </c>
      <c r="N743" s="12" t="b">
        <f t="shared" si="55"/>
        <v>1</v>
      </c>
      <c r="O743" s="1" t="s">
        <v>7066</v>
      </c>
      <c r="P743" s="1" t="s">
        <v>7067</v>
      </c>
      <c r="Q743" s="1" t="s">
        <v>7068</v>
      </c>
      <c r="R743" s="1" t="s">
        <v>7069</v>
      </c>
      <c r="S743" s="1" t="s">
        <v>7070</v>
      </c>
      <c r="T743" s="1" t="s">
        <v>7071</v>
      </c>
      <c r="U743" s="1" t="s">
        <v>7072</v>
      </c>
      <c r="V743" s="13">
        <f>COUNTIF(L743:$M$1659,L743)</f>
        <v>14</v>
      </c>
      <c r="W743" s="1" t="s">
        <v>7073</v>
      </c>
      <c r="X743">
        <v>493.3</v>
      </c>
      <c r="Y743">
        <v>111.91</v>
      </c>
      <c r="Z743">
        <v>16.452242999999999</v>
      </c>
      <c r="AA743">
        <v>107.613004</v>
      </c>
      <c r="AB743">
        <v>381.39</v>
      </c>
      <c r="AC743">
        <v>16.457075</v>
      </c>
      <c r="AD743">
        <v>107.600076</v>
      </c>
      <c r="AE743" s="5">
        <f t="shared" si="56"/>
        <v>0.16786500000000001</v>
      </c>
      <c r="AF743" s="5">
        <f t="shared" si="57"/>
        <v>0.57208500000000007</v>
      </c>
      <c r="AG743" s="1" t="str">
        <f>TRIM(LEFT(L743,FIND("-",L743)-1))</f>
        <v>TTCMKV_Ring 2_Phong Điền</v>
      </c>
      <c r="AH743" s="1" t="str">
        <f>TRIM(RIGHT(L743, LEN(L743) - FIND("-", L743)))</f>
        <v>CAT Huế mới</v>
      </c>
      <c r="AJ743">
        <f t="shared" si="58"/>
        <v>0.11191</v>
      </c>
      <c r="AK743">
        <f t="shared" si="59"/>
        <v>0.38139000000000001</v>
      </c>
      <c r="AL743" t="e">
        <f>VLOOKUP(L743,'[1]Tuyến cáp H04'!$B:$E,3,0)/1000</f>
        <v>#N/A</v>
      </c>
      <c r="AM743" t="e">
        <f>VLOOKUP(L743,'[1]Tuyến cáp H04'!$B:$E,4,0)</f>
        <v>#N/A</v>
      </c>
    </row>
    <row r="744" spans="1:39" x14ac:dyDescent="0.25">
      <c r="A744" s="1" t="s">
        <v>7074</v>
      </c>
      <c r="B744" s="1" t="s">
        <v>7075</v>
      </c>
      <c r="C744" s="1" t="s">
        <v>7076</v>
      </c>
      <c r="D744" s="1" t="s">
        <v>7077</v>
      </c>
      <c r="E744" s="1" t="s">
        <v>7078</v>
      </c>
      <c r="F744" s="1" t="s">
        <v>7079</v>
      </c>
      <c r="G744" s="1" t="s">
        <v>14129</v>
      </c>
      <c r="H744" s="1" t="s">
        <v>14532</v>
      </c>
      <c r="I744" s="1" t="s">
        <v>14860</v>
      </c>
      <c r="J744" s="1" t="s">
        <v>23</v>
      </c>
      <c r="K744" s="1"/>
      <c r="L744" s="1" t="s">
        <v>7007</v>
      </c>
      <c r="M744" s="1" t="s">
        <v>7007</v>
      </c>
      <c r="N744" s="12" t="b">
        <f t="shared" si="55"/>
        <v>1</v>
      </c>
      <c r="O744" s="1" t="s">
        <v>7080</v>
      </c>
      <c r="P744" s="1" t="s">
        <v>7081</v>
      </c>
      <c r="Q744" s="1" t="s">
        <v>7082</v>
      </c>
      <c r="R744" s="1" t="s">
        <v>7083</v>
      </c>
      <c r="S744" s="1" t="s">
        <v>7084</v>
      </c>
      <c r="T744" s="1" t="s">
        <v>7085</v>
      </c>
      <c r="U744" s="1" t="s">
        <v>7086</v>
      </c>
      <c r="V744" s="13">
        <f>COUNTIF(L744:$M$1659,L744)</f>
        <v>4</v>
      </c>
      <c r="W744" s="1" t="s">
        <v>7015</v>
      </c>
      <c r="X744">
        <v>684.71</v>
      </c>
      <c r="Y744">
        <v>143.93</v>
      </c>
      <c r="Z744">
        <v>16.463031999999998</v>
      </c>
      <c r="AA744">
        <v>107.595343</v>
      </c>
      <c r="AB744">
        <v>540.78</v>
      </c>
      <c r="AC744">
        <v>16.464182999999998</v>
      </c>
      <c r="AD744">
        <v>107.59474299999999</v>
      </c>
      <c r="AE744" s="5">
        <f t="shared" si="56"/>
        <v>0.215895</v>
      </c>
      <c r="AF744" s="5">
        <f t="shared" si="57"/>
        <v>0.81116999999999995</v>
      </c>
      <c r="AG744" s="1" t="str">
        <f>TRIM(LEFT(L744,FIND("-",L744)-1))</f>
        <v>Ring 1 CA TP Huế</v>
      </c>
      <c r="AH744" s="1" t="str">
        <f>TRIM(RIGHT(L744, LEN(L744) - FIND("-", L744)))</f>
        <v>PK02</v>
      </c>
      <c r="AJ744">
        <f t="shared" si="58"/>
        <v>0.14393</v>
      </c>
      <c r="AK744">
        <f t="shared" si="59"/>
        <v>0.54077999999999993</v>
      </c>
      <c r="AL744" t="e">
        <f>VLOOKUP(L744,'[1]Tuyến cáp H04'!$B:$E,3,0)/1000</f>
        <v>#N/A</v>
      </c>
      <c r="AM744" t="e">
        <f>VLOOKUP(L744,'[1]Tuyến cáp H04'!$B:$E,4,0)</f>
        <v>#N/A</v>
      </c>
    </row>
    <row r="745" spans="1:39" x14ac:dyDescent="0.25">
      <c r="A745" s="1" t="s">
        <v>7087</v>
      </c>
      <c r="B745" s="1" t="s">
        <v>7088</v>
      </c>
      <c r="C745" s="1" t="s">
        <v>7089</v>
      </c>
      <c r="D745" s="1" t="s">
        <v>7090</v>
      </c>
      <c r="E745" s="1" t="s">
        <v>7091</v>
      </c>
      <c r="F745" s="1" t="s">
        <v>7092</v>
      </c>
      <c r="G745" s="1" t="s">
        <v>14129</v>
      </c>
      <c r="H745" s="1" t="s">
        <v>14532</v>
      </c>
      <c r="I745" s="1" t="s">
        <v>14861</v>
      </c>
      <c r="J745" s="1" t="s">
        <v>23</v>
      </c>
      <c r="K745" s="1"/>
      <c r="L745" s="1" t="s">
        <v>7093</v>
      </c>
      <c r="M745" s="1" t="s">
        <v>7093</v>
      </c>
      <c r="N745" s="12" t="b">
        <f t="shared" si="55"/>
        <v>1</v>
      </c>
      <c r="O745" s="1" t="s">
        <v>7094</v>
      </c>
      <c r="P745" s="1" t="s">
        <v>7095</v>
      </c>
      <c r="Q745" s="1" t="s">
        <v>7096</v>
      </c>
      <c r="R745" s="1" t="s">
        <v>7097</v>
      </c>
      <c r="S745" s="1" t="s">
        <v>7098</v>
      </c>
      <c r="T745" s="1" t="s">
        <v>7099</v>
      </c>
      <c r="U745" s="1" t="s">
        <v>7100</v>
      </c>
      <c r="V745" s="13">
        <f>COUNTIF(L745:$M$1659,L745)</f>
        <v>8</v>
      </c>
      <c r="W745" s="1" t="s">
        <v>7101</v>
      </c>
      <c r="X745">
        <v>6284.57</v>
      </c>
      <c r="Y745">
        <v>3752.34</v>
      </c>
      <c r="Z745">
        <v>16.397697000000001</v>
      </c>
      <c r="AA745">
        <v>107.59733199999999</v>
      </c>
      <c r="AB745">
        <v>2532.23</v>
      </c>
      <c r="AC745">
        <v>16.393180000000001</v>
      </c>
      <c r="AD745">
        <v>107.577963</v>
      </c>
      <c r="AE745" s="5">
        <f t="shared" si="56"/>
        <v>5.6285100000000003</v>
      </c>
      <c r="AF745" s="5">
        <f t="shared" si="57"/>
        <v>3.7983450000000003</v>
      </c>
      <c r="AG745" s="1" t="str">
        <f>TRIM(LEFT(L745,FIND("-",L745)-1))</f>
        <v>Ring 12_Bình Điền</v>
      </c>
      <c r="AH745" s="1" t="str">
        <f>TRIM(RIGHT(L745, LEN(L745) - FIND("-", L745)))</f>
        <v>TTCMKV Hương Thủy</v>
      </c>
      <c r="AJ745">
        <f t="shared" si="58"/>
        <v>3.7523400000000002</v>
      </c>
      <c r="AK745">
        <f t="shared" si="59"/>
        <v>2.5322300000000002</v>
      </c>
      <c r="AL745" t="e">
        <f>VLOOKUP(L745,'[1]Tuyến cáp H04'!$B:$E,3,0)/1000</f>
        <v>#N/A</v>
      </c>
      <c r="AM745" t="e">
        <f>VLOOKUP(L745,'[1]Tuyến cáp H04'!$B:$E,4,0)</f>
        <v>#N/A</v>
      </c>
    </row>
    <row r="746" spans="1:39" x14ac:dyDescent="0.25">
      <c r="A746" s="1" t="s">
        <v>7102</v>
      </c>
      <c r="B746" s="1" t="s">
        <v>7103</v>
      </c>
      <c r="C746" s="1" t="s">
        <v>7104</v>
      </c>
      <c r="D746" s="1" t="s">
        <v>7105</v>
      </c>
      <c r="E746" s="1" t="s">
        <v>7106</v>
      </c>
      <c r="F746" s="1" t="s">
        <v>7107</v>
      </c>
      <c r="G746" s="1" t="s">
        <v>14129</v>
      </c>
      <c r="H746" s="1" t="s">
        <v>14532</v>
      </c>
      <c r="I746" s="1" t="s">
        <v>14862</v>
      </c>
      <c r="J746" s="1" t="s">
        <v>23</v>
      </c>
      <c r="K746" s="1"/>
      <c r="L746" s="1" t="s">
        <v>7065</v>
      </c>
      <c r="M746" s="1" t="s">
        <v>7065</v>
      </c>
      <c r="N746" s="12" t="b">
        <f t="shared" si="55"/>
        <v>1</v>
      </c>
      <c r="O746" s="1" t="s">
        <v>7108</v>
      </c>
      <c r="P746" s="1" t="s">
        <v>7109</v>
      </c>
      <c r="Q746" s="1" t="s">
        <v>7110</v>
      </c>
      <c r="R746" s="1" t="s">
        <v>7111</v>
      </c>
      <c r="S746" s="1" t="s">
        <v>1755</v>
      </c>
      <c r="T746" s="1" t="s">
        <v>7112</v>
      </c>
      <c r="U746" s="1" t="s">
        <v>7113</v>
      </c>
      <c r="V746" s="13">
        <f>COUNTIF(L746:$M$1659,L746)</f>
        <v>12</v>
      </c>
      <c r="W746" s="1" t="s">
        <v>7114</v>
      </c>
      <c r="X746">
        <v>7974.8</v>
      </c>
      <c r="Y746">
        <v>7414.04</v>
      </c>
      <c r="Z746">
        <v>16.483526000000001</v>
      </c>
      <c r="AA746">
        <v>107.549825</v>
      </c>
      <c r="AB746">
        <v>560.76</v>
      </c>
      <c r="AC746">
        <v>16.523812</v>
      </c>
      <c r="AD746">
        <v>107.480937</v>
      </c>
      <c r="AE746" s="5">
        <f t="shared" si="56"/>
        <v>11.12106</v>
      </c>
      <c r="AF746" s="5">
        <f t="shared" si="57"/>
        <v>0.84114</v>
      </c>
      <c r="AG746" s="1" t="str">
        <f>TRIM(LEFT(L746,FIND("-",L746)-1))</f>
        <v>TTCMKV_Ring 2_Phong Điền</v>
      </c>
      <c r="AH746" s="1" t="str">
        <f>TRIM(RIGHT(L746, LEN(L746) - FIND("-", L746)))</f>
        <v>CAT Huế mới</v>
      </c>
      <c r="AJ746">
        <f t="shared" si="58"/>
        <v>7.41404</v>
      </c>
      <c r="AK746">
        <f t="shared" si="59"/>
        <v>0.56076000000000004</v>
      </c>
      <c r="AL746" t="e">
        <f>VLOOKUP(L746,'[1]Tuyến cáp H04'!$B:$E,3,0)/1000</f>
        <v>#N/A</v>
      </c>
      <c r="AM746" t="e">
        <f>VLOOKUP(L746,'[1]Tuyến cáp H04'!$B:$E,4,0)</f>
        <v>#N/A</v>
      </c>
    </row>
    <row r="747" spans="1:39" x14ac:dyDescent="0.25">
      <c r="A747" s="1" t="s">
        <v>7115</v>
      </c>
      <c r="B747" s="1" t="s">
        <v>7116</v>
      </c>
      <c r="C747" s="1" t="s">
        <v>7117</v>
      </c>
      <c r="D747" s="1" t="s">
        <v>7004</v>
      </c>
      <c r="E747" s="1" t="s">
        <v>7005</v>
      </c>
      <c r="F747" s="1" t="s">
        <v>7118</v>
      </c>
      <c r="G747" s="1" t="s">
        <v>14129</v>
      </c>
      <c r="H747" s="1" t="s">
        <v>14532</v>
      </c>
      <c r="I747" s="1" t="s">
        <v>14863</v>
      </c>
      <c r="J747" s="1" t="s">
        <v>23</v>
      </c>
      <c r="K747" s="1"/>
      <c r="L747" s="1" t="s">
        <v>7119</v>
      </c>
      <c r="M747" s="1" t="s">
        <v>7119</v>
      </c>
      <c r="N747" s="12" t="b">
        <f t="shared" si="55"/>
        <v>1</v>
      </c>
      <c r="O747" s="1" t="s">
        <v>2892</v>
      </c>
      <c r="P747" s="1" t="s">
        <v>1365</v>
      </c>
      <c r="Q747" s="1" t="s">
        <v>7120</v>
      </c>
      <c r="R747" s="1" t="s">
        <v>7121</v>
      </c>
      <c r="S747" s="1" t="s">
        <v>7122</v>
      </c>
      <c r="T747" s="1" t="s">
        <v>7120</v>
      </c>
      <c r="U747" s="1" t="s">
        <v>7121</v>
      </c>
      <c r="V747" s="13">
        <f>COUNTIF(L747:$M$1659,L747)</f>
        <v>4</v>
      </c>
      <c r="W747" s="1" t="s">
        <v>7123</v>
      </c>
      <c r="X747">
        <v>73.959999999999994</v>
      </c>
      <c r="Y747">
        <v>13.09</v>
      </c>
      <c r="Z747">
        <v>16.462486999999999</v>
      </c>
      <c r="AA747">
        <v>107.594978</v>
      </c>
      <c r="AB747">
        <v>60.87</v>
      </c>
      <c r="AC747">
        <v>16.462486999999999</v>
      </c>
      <c r="AD747">
        <v>107.594978</v>
      </c>
      <c r="AE747" s="5">
        <f t="shared" si="56"/>
        <v>1.9635E-2</v>
      </c>
      <c r="AF747" s="5">
        <f t="shared" si="57"/>
        <v>9.1304999999999997E-2</v>
      </c>
      <c r="AG747" s="1" t="str">
        <f>TRIM(LEFT(L747,FIND("-",L747)-1))</f>
        <v>PC07 (52 Hùng Vương)</v>
      </c>
      <c r="AH747" s="1" t="str">
        <f>TRIM(RIGHT(L747, LEN(L747) - FIND("-", L747)))</f>
        <v>TT Huế</v>
      </c>
      <c r="AJ747">
        <f t="shared" si="58"/>
        <v>1.3089999999999999E-2</v>
      </c>
      <c r="AK747">
        <f t="shared" si="59"/>
        <v>6.087E-2</v>
      </c>
      <c r="AL747">
        <f>VLOOKUP(L747,'[1]Tuyến cáp H04'!$B:$E,3,0)/1000</f>
        <v>6.2</v>
      </c>
      <c r="AM747" t="str">
        <f>VLOOKUP(L747,'[1]Tuyến cáp H04'!$B:$E,4,0)</f>
        <v>Mạng cấp 3</v>
      </c>
    </row>
    <row r="748" spans="1:39" x14ac:dyDescent="0.25">
      <c r="A748" s="1" t="s">
        <v>7124</v>
      </c>
      <c r="B748" s="1" t="s">
        <v>7125</v>
      </c>
      <c r="C748" s="1" t="s">
        <v>7126</v>
      </c>
      <c r="D748" s="1" t="s">
        <v>7127</v>
      </c>
      <c r="E748" s="1" t="s">
        <v>7128</v>
      </c>
      <c r="F748" s="1" t="s">
        <v>7129</v>
      </c>
      <c r="G748" s="1" t="s">
        <v>14129</v>
      </c>
      <c r="H748" s="1" t="s">
        <v>14532</v>
      </c>
      <c r="I748" s="1" t="s">
        <v>14864</v>
      </c>
      <c r="J748" s="1" t="s">
        <v>23</v>
      </c>
      <c r="K748" s="1"/>
      <c r="L748" s="1" t="s">
        <v>7093</v>
      </c>
      <c r="M748" s="1" t="s">
        <v>7093</v>
      </c>
      <c r="N748" s="12" t="b">
        <f t="shared" si="55"/>
        <v>1</v>
      </c>
      <c r="O748" s="1" t="s">
        <v>7130</v>
      </c>
      <c r="P748" s="1" t="s">
        <v>7131</v>
      </c>
      <c r="Q748" s="1" t="s">
        <v>7132</v>
      </c>
      <c r="R748" s="1" t="s">
        <v>7133</v>
      </c>
      <c r="S748" s="1" t="s">
        <v>7134</v>
      </c>
      <c r="T748" s="1" t="s">
        <v>7135</v>
      </c>
      <c r="U748" s="1" t="s">
        <v>7136</v>
      </c>
      <c r="V748" s="13">
        <f>COUNTIF(L748:$M$1659,L748)</f>
        <v>6</v>
      </c>
      <c r="W748" s="1" t="s">
        <v>7101</v>
      </c>
      <c r="X748">
        <v>4055.05</v>
      </c>
      <c r="Y748">
        <v>3002.96</v>
      </c>
      <c r="Z748">
        <v>16.410385999999999</v>
      </c>
      <c r="AA748">
        <v>107.679068</v>
      </c>
      <c r="AB748">
        <v>1052.0899999999999</v>
      </c>
      <c r="AC748">
        <v>16.398534999999999</v>
      </c>
      <c r="AD748">
        <v>107.617428</v>
      </c>
      <c r="AE748" s="5">
        <f t="shared" si="56"/>
        <v>4.5044400000000007</v>
      </c>
      <c r="AF748" s="5">
        <f t="shared" si="57"/>
        <v>1.5781349999999998</v>
      </c>
      <c r="AG748" s="1" t="str">
        <f>TRIM(LEFT(L748,FIND("-",L748)-1))</f>
        <v>Ring 12_Bình Điền</v>
      </c>
      <c r="AH748" s="1" t="str">
        <f>TRIM(RIGHT(L748, LEN(L748) - FIND("-", L748)))</f>
        <v>TTCMKV Hương Thủy</v>
      </c>
      <c r="AJ748">
        <f t="shared" si="58"/>
        <v>3.0029599999999999</v>
      </c>
      <c r="AK748">
        <f t="shared" si="59"/>
        <v>1.05209</v>
      </c>
      <c r="AL748" t="e">
        <f>VLOOKUP(L748,'[1]Tuyến cáp H04'!$B:$E,3,0)/1000</f>
        <v>#N/A</v>
      </c>
      <c r="AM748" t="e">
        <f>VLOOKUP(L748,'[1]Tuyến cáp H04'!$B:$E,4,0)</f>
        <v>#N/A</v>
      </c>
    </row>
    <row r="749" spans="1:39" x14ac:dyDescent="0.25">
      <c r="A749" s="1" t="s">
        <v>7137</v>
      </c>
      <c r="B749" s="1" t="s">
        <v>7138</v>
      </c>
      <c r="C749" s="1" t="s">
        <v>7139</v>
      </c>
      <c r="D749" s="1" t="s">
        <v>7004</v>
      </c>
      <c r="E749" s="1" t="s">
        <v>7005</v>
      </c>
      <c r="F749" s="1" t="s">
        <v>7140</v>
      </c>
      <c r="G749" s="1" t="s">
        <v>14129</v>
      </c>
      <c r="H749" s="1" t="s">
        <v>14532</v>
      </c>
      <c r="I749" s="1" t="s">
        <v>14865</v>
      </c>
      <c r="J749" s="1" t="s">
        <v>23</v>
      </c>
      <c r="K749" s="1"/>
      <c r="L749" s="1" t="s">
        <v>7141</v>
      </c>
      <c r="M749" s="1" t="s">
        <v>7141</v>
      </c>
      <c r="N749" s="12" t="b">
        <f t="shared" si="55"/>
        <v>1</v>
      </c>
      <c r="O749" s="1" t="s">
        <v>7142</v>
      </c>
      <c r="P749" s="1" t="s">
        <v>7143</v>
      </c>
      <c r="Q749" s="1" t="s">
        <v>7144</v>
      </c>
      <c r="R749" s="1" t="s">
        <v>7145</v>
      </c>
      <c r="S749" s="1" t="s">
        <v>7146</v>
      </c>
      <c r="T749" s="1" t="s">
        <v>7147</v>
      </c>
      <c r="U749" s="1" t="s">
        <v>7148</v>
      </c>
      <c r="V749" s="13">
        <f>COUNTIF(L749:$M$1659,L749)</f>
        <v>2</v>
      </c>
      <c r="W749" s="1" t="s">
        <v>7149</v>
      </c>
      <c r="X749">
        <v>338.8</v>
      </c>
      <c r="Y749">
        <v>21.06</v>
      </c>
      <c r="Z749">
        <v>16.467756000000001</v>
      </c>
      <c r="AA749">
        <v>107.595181</v>
      </c>
      <c r="AB749">
        <v>317.75</v>
      </c>
      <c r="AC749">
        <v>16.465074000000001</v>
      </c>
      <c r="AD749">
        <v>107.595547</v>
      </c>
      <c r="AE749" s="5">
        <f t="shared" si="56"/>
        <v>3.1589999999999993E-2</v>
      </c>
      <c r="AF749" s="5">
        <f t="shared" si="57"/>
        <v>0.47662500000000002</v>
      </c>
      <c r="AG749" s="1" t="str">
        <f>TRIM(LEFT(L749,FIND("-",L749)-1))</f>
        <v>Ring 1 PK02</v>
      </c>
      <c r="AH749" s="1" t="str">
        <f>TRIM(RIGHT(L749, LEN(L749) - FIND("-", L749)))</f>
        <v>Nguyễn Thái Học</v>
      </c>
      <c r="AJ749">
        <f t="shared" si="58"/>
        <v>2.1059999999999999E-2</v>
      </c>
      <c r="AK749">
        <f t="shared" si="59"/>
        <v>0.31774999999999998</v>
      </c>
      <c r="AL749" t="e">
        <f>VLOOKUP(L749,'[1]Tuyến cáp H04'!$B:$E,3,0)/1000</f>
        <v>#N/A</v>
      </c>
      <c r="AM749" t="e">
        <f>VLOOKUP(L749,'[1]Tuyến cáp H04'!$B:$E,4,0)</f>
        <v>#N/A</v>
      </c>
    </row>
    <row r="750" spans="1:39" x14ac:dyDescent="0.25">
      <c r="A750" s="1" t="s">
        <v>7150</v>
      </c>
      <c r="B750" s="1" t="s">
        <v>7151</v>
      </c>
      <c r="C750" s="1" t="s">
        <v>7152</v>
      </c>
      <c r="D750" s="1" t="s">
        <v>7153</v>
      </c>
      <c r="E750" s="1" t="s">
        <v>7154</v>
      </c>
      <c r="F750" s="1" t="s">
        <v>7155</v>
      </c>
      <c r="G750" s="1" t="s">
        <v>14129</v>
      </c>
      <c r="H750" s="1" t="s">
        <v>14532</v>
      </c>
      <c r="I750" s="1" t="s">
        <v>14866</v>
      </c>
      <c r="J750" s="1" t="s">
        <v>23</v>
      </c>
      <c r="K750" s="1"/>
      <c r="L750" s="1" t="s">
        <v>7156</v>
      </c>
      <c r="M750" s="1" t="s">
        <v>7156</v>
      </c>
      <c r="N750" s="12" t="b">
        <f t="shared" si="55"/>
        <v>1</v>
      </c>
      <c r="O750" s="1" t="s">
        <v>7157</v>
      </c>
      <c r="P750" s="1" t="s">
        <v>7158</v>
      </c>
      <c r="Q750" s="1" t="s">
        <v>7159</v>
      </c>
      <c r="R750" s="1" t="s">
        <v>7160</v>
      </c>
      <c r="S750" s="1" t="s">
        <v>7161</v>
      </c>
      <c r="T750" s="1" t="s">
        <v>7162</v>
      </c>
      <c r="U750" s="1" t="s">
        <v>7163</v>
      </c>
      <c r="V750" s="13">
        <f>COUNTIF(L750:$M$1659,L750)</f>
        <v>4</v>
      </c>
      <c r="W750" s="1" t="s">
        <v>7164</v>
      </c>
      <c r="X750">
        <v>146.69</v>
      </c>
      <c r="Y750">
        <v>81.430000000000007</v>
      </c>
      <c r="Z750">
        <v>16.668635999999999</v>
      </c>
      <c r="AA750">
        <v>107.478525</v>
      </c>
      <c r="AB750">
        <v>65.260000000000005</v>
      </c>
      <c r="AC750">
        <v>16.595822999999999</v>
      </c>
      <c r="AD750">
        <v>107.575176</v>
      </c>
      <c r="AE750" s="5">
        <f t="shared" si="56"/>
        <v>0.122145</v>
      </c>
      <c r="AF750" s="5">
        <f t="shared" si="57"/>
        <v>9.7890000000000019E-2</v>
      </c>
      <c r="AG750" s="1" t="str">
        <f>TRIM(LEFT(L750,FIND("-",L750)-1))</f>
        <v>Ring 4 Phong Quảng</v>
      </c>
      <c r="AH750" s="1" t="str">
        <f>TRIM(RIGHT(L750, LEN(L750) - FIND("-", L750)))</f>
        <v>TTCMKV Quảng
Điền</v>
      </c>
      <c r="AJ750">
        <f t="shared" si="58"/>
        <v>8.1430000000000002E-2</v>
      </c>
      <c r="AK750">
        <f t="shared" si="59"/>
        <v>6.5259999999999999E-2</v>
      </c>
      <c r="AL750" t="e">
        <f>VLOOKUP(L750,'[1]Tuyến cáp H04'!$B:$E,3,0)/1000</f>
        <v>#N/A</v>
      </c>
      <c r="AM750" t="e">
        <f>VLOOKUP(L750,'[1]Tuyến cáp H04'!$B:$E,4,0)</f>
        <v>#N/A</v>
      </c>
    </row>
    <row r="751" spans="1:39" x14ac:dyDescent="0.25">
      <c r="A751" s="1" t="s">
        <v>7165</v>
      </c>
      <c r="B751" s="1" t="s">
        <v>7166</v>
      </c>
      <c r="C751" s="1" t="s">
        <v>7167</v>
      </c>
      <c r="D751" s="1" t="s">
        <v>7168</v>
      </c>
      <c r="E751" s="1" t="s">
        <v>7169</v>
      </c>
      <c r="F751" s="1" t="s">
        <v>7170</v>
      </c>
      <c r="G751" s="1" t="s">
        <v>14129</v>
      </c>
      <c r="H751" s="1" t="s">
        <v>14532</v>
      </c>
      <c r="I751" s="1" t="s">
        <v>14867</v>
      </c>
      <c r="J751" s="1" t="s">
        <v>23</v>
      </c>
      <c r="K751" s="1"/>
      <c r="L751" s="1" t="s">
        <v>7171</v>
      </c>
      <c r="M751" s="1" t="s">
        <v>7171</v>
      </c>
      <c r="N751" s="12" t="b">
        <f t="shared" si="55"/>
        <v>1</v>
      </c>
      <c r="O751" s="1" t="s">
        <v>7172</v>
      </c>
      <c r="P751" s="1" t="s">
        <v>7173</v>
      </c>
      <c r="Q751" s="1" t="s">
        <v>7174</v>
      </c>
      <c r="R751" s="1" t="s">
        <v>7175</v>
      </c>
      <c r="S751" s="1" t="s">
        <v>7176</v>
      </c>
      <c r="T751" s="1" t="s">
        <v>7177</v>
      </c>
      <c r="U751" s="1" t="s">
        <v>7178</v>
      </c>
      <c r="V751" s="13">
        <f>COUNTIF(L751:$M$1659,L751)</f>
        <v>4</v>
      </c>
      <c r="W751" s="1" t="s">
        <v>7179</v>
      </c>
      <c r="X751">
        <v>3949.23</v>
      </c>
      <c r="Y751">
        <v>75.87</v>
      </c>
      <c r="Z751">
        <v>16.523371000000001</v>
      </c>
      <c r="AA751">
        <v>107.47460100000001</v>
      </c>
      <c r="AB751">
        <v>3873.36</v>
      </c>
      <c r="AC751">
        <v>16.525274</v>
      </c>
      <c r="AD751">
        <v>107.469005</v>
      </c>
      <c r="AE751" s="5">
        <f t="shared" si="56"/>
        <v>0.113805</v>
      </c>
      <c r="AF751" s="5">
        <f t="shared" si="57"/>
        <v>5.8100399999999999</v>
      </c>
      <c r="AG751" s="1" t="str">
        <f>TRIM(LEFT(L751,FIND("-",L751)-1))</f>
        <v>Ring 5 Phong Thái</v>
      </c>
      <c r="AH751" s="1" t="str">
        <f>TRIM(RIGHT(L751, LEN(L751) - FIND("-", L751)))</f>
        <v>Hương Trà</v>
      </c>
      <c r="AJ751">
        <f t="shared" si="58"/>
        <v>7.5870000000000007E-2</v>
      </c>
      <c r="AK751">
        <f t="shared" si="59"/>
        <v>3.8733599999999999</v>
      </c>
      <c r="AL751" t="e">
        <f>VLOOKUP(L751,'[1]Tuyến cáp H04'!$B:$E,3,0)/1000</f>
        <v>#N/A</v>
      </c>
      <c r="AM751" t="e">
        <f>VLOOKUP(L751,'[1]Tuyến cáp H04'!$B:$E,4,0)</f>
        <v>#N/A</v>
      </c>
    </row>
    <row r="752" spans="1:39" x14ac:dyDescent="0.25">
      <c r="A752" s="1" t="s">
        <v>7180</v>
      </c>
      <c r="B752" s="1" t="s">
        <v>7181</v>
      </c>
      <c r="C752" s="1" t="s">
        <v>7182</v>
      </c>
      <c r="D752" s="1" t="s">
        <v>7105</v>
      </c>
      <c r="E752" s="1" t="s">
        <v>7106</v>
      </c>
      <c r="F752" s="1" t="s">
        <v>7183</v>
      </c>
      <c r="G752" s="1" t="s">
        <v>14129</v>
      </c>
      <c r="H752" s="1" t="s">
        <v>14532</v>
      </c>
      <c r="I752" s="1" t="s">
        <v>14868</v>
      </c>
      <c r="J752" s="1" t="s">
        <v>23</v>
      </c>
      <c r="K752" s="1"/>
      <c r="L752" s="1" t="s">
        <v>7184</v>
      </c>
      <c r="M752" s="1" t="s">
        <v>7184</v>
      </c>
      <c r="N752" s="12" t="b">
        <f t="shared" si="55"/>
        <v>1</v>
      </c>
      <c r="O752" s="1" t="s">
        <v>7185</v>
      </c>
      <c r="P752" s="1" t="s">
        <v>7186</v>
      </c>
      <c r="Q752" s="1" t="s">
        <v>7187</v>
      </c>
      <c r="R752" s="1" t="s">
        <v>7188</v>
      </c>
      <c r="S752" s="1" t="s">
        <v>7189</v>
      </c>
      <c r="T752" s="1" t="s">
        <v>7190</v>
      </c>
      <c r="U752" s="1" t="s">
        <v>7191</v>
      </c>
      <c r="V752" s="13">
        <f>COUNTIF(L752:$M$1659,L752)</f>
        <v>2</v>
      </c>
      <c r="W752" s="1" t="s">
        <v>7192</v>
      </c>
      <c r="X752">
        <v>926.13</v>
      </c>
      <c r="Y752">
        <v>362.13</v>
      </c>
      <c r="Z752">
        <v>16.528243</v>
      </c>
      <c r="AA752">
        <v>107.49378900000001</v>
      </c>
      <c r="AB752">
        <v>564</v>
      </c>
      <c r="AC752">
        <v>16.52338</v>
      </c>
      <c r="AD752">
        <v>107.480818</v>
      </c>
      <c r="AE752" s="5">
        <f t="shared" si="56"/>
        <v>0.54319499999999998</v>
      </c>
      <c r="AF752" s="5">
        <f t="shared" si="57"/>
        <v>0.84599999999999997</v>
      </c>
      <c r="AG752" s="1" t="str">
        <f>TRIM(LEFT(L752,FIND("-",L752)-1))</f>
        <v>Ring 5 Hương Trà</v>
      </c>
      <c r="AH752" s="1" t="str">
        <f>TRIM(RIGHT(L752, LEN(L752) - FIND("-", L752)))</f>
        <v>Đan Điền</v>
      </c>
      <c r="AJ752">
        <f t="shared" si="58"/>
        <v>0.36213000000000001</v>
      </c>
      <c r="AK752">
        <f t="shared" si="59"/>
        <v>0.56399999999999995</v>
      </c>
      <c r="AL752" t="e">
        <f>VLOOKUP(L752,'[1]Tuyến cáp H04'!$B:$E,3,0)/1000</f>
        <v>#N/A</v>
      </c>
      <c r="AM752" t="e">
        <f>VLOOKUP(L752,'[1]Tuyến cáp H04'!$B:$E,4,0)</f>
        <v>#N/A</v>
      </c>
    </row>
    <row r="753" spans="1:39" x14ac:dyDescent="0.25">
      <c r="A753" s="1" t="s">
        <v>7193</v>
      </c>
      <c r="B753" s="1" t="s">
        <v>7194</v>
      </c>
      <c r="C753" s="1" t="s">
        <v>7195</v>
      </c>
      <c r="D753" s="1" t="s">
        <v>7196</v>
      </c>
      <c r="E753" s="1" t="s">
        <v>7197</v>
      </c>
      <c r="F753" s="1" t="s">
        <v>7198</v>
      </c>
      <c r="G753" s="1" t="s">
        <v>14129</v>
      </c>
      <c r="H753" s="1" t="s">
        <v>14532</v>
      </c>
      <c r="I753" s="1" t="s">
        <v>14869</v>
      </c>
      <c r="J753" s="1" t="s">
        <v>23</v>
      </c>
      <c r="K753" s="1"/>
      <c r="L753" s="1" t="s">
        <v>6980</v>
      </c>
      <c r="M753" s="1" t="s">
        <v>6980</v>
      </c>
      <c r="N753" s="12" t="b">
        <f t="shared" si="55"/>
        <v>1</v>
      </c>
      <c r="O753" s="1" t="s">
        <v>7199</v>
      </c>
      <c r="P753" s="1" t="s">
        <v>7200</v>
      </c>
      <c r="Q753" s="1" t="s">
        <v>7201</v>
      </c>
      <c r="R753" s="1" t="s">
        <v>7202</v>
      </c>
      <c r="S753" s="1" t="s">
        <v>7203</v>
      </c>
      <c r="T753" s="1" t="s">
        <v>7204</v>
      </c>
      <c r="U753" s="1" t="s">
        <v>7205</v>
      </c>
      <c r="V753" s="13">
        <f>COUNTIF(L753:$M$1659,L753)</f>
        <v>10</v>
      </c>
      <c r="W753" s="1" t="s">
        <v>6985</v>
      </c>
      <c r="X753">
        <v>115.09</v>
      </c>
      <c r="Y753">
        <v>32.299999999999997</v>
      </c>
      <c r="Z753">
        <v>16.491365999999999</v>
      </c>
      <c r="AA753">
        <v>107.521095</v>
      </c>
      <c r="AB753">
        <v>82.79</v>
      </c>
      <c r="AC753">
        <v>16.503764</v>
      </c>
      <c r="AD753">
        <v>107.513632</v>
      </c>
      <c r="AE753" s="5">
        <f t="shared" si="56"/>
        <v>4.8449999999999993E-2</v>
      </c>
      <c r="AF753" s="5">
        <f t="shared" si="57"/>
        <v>0.124185</v>
      </c>
      <c r="AG753" s="1" t="str">
        <f>TRIM(LEFT(L753,FIND("-",L753)-1))</f>
        <v>Ring 6 TTCMKV Quảng Điền</v>
      </c>
      <c r="AH753" s="1" t="str">
        <f>TRIM(RIGHT(L753, LEN(L753) - FIND("-", L753)))</f>
        <v>Kim Trà</v>
      </c>
      <c r="AJ753">
        <f t="shared" si="58"/>
        <v>3.2299999999999995E-2</v>
      </c>
      <c r="AK753">
        <f t="shared" si="59"/>
        <v>8.2790000000000002E-2</v>
      </c>
      <c r="AL753" t="e">
        <f>VLOOKUP(L753,'[1]Tuyến cáp H04'!$B:$E,3,0)/1000</f>
        <v>#N/A</v>
      </c>
      <c r="AM753" t="e">
        <f>VLOOKUP(L753,'[1]Tuyến cáp H04'!$B:$E,4,0)</f>
        <v>#N/A</v>
      </c>
    </row>
    <row r="754" spans="1:39" x14ac:dyDescent="0.25">
      <c r="A754" s="1" t="s">
        <v>7206</v>
      </c>
      <c r="B754" s="1" t="s">
        <v>7207</v>
      </c>
      <c r="C754" s="1" t="s">
        <v>7208</v>
      </c>
      <c r="D754" s="1" t="s">
        <v>7209</v>
      </c>
      <c r="E754" s="1" t="s">
        <v>7210</v>
      </c>
      <c r="F754" s="1" t="s">
        <v>7211</v>
      </c>
      <c r="G754" s="1" t="s">
        <v>14129</v>
      </c>
      <c r="H754" s="1" t="s">
        <v>14532</v>
      </c>
      <c r="I754" s="1" t="s">
        <v>14870</v>
      </c>
      <c r="J754" s="1" t="s">
        <v>23</v>
      </c>
      <c r="K754" s="1"/>
      <c r="L754" s="1" t="s">
        <v>7212</v>
      </c>
      <c r="M754" s="1" t="s">
        <v>7212</v>
      </c>
      <c r="N754" s="12" t="b">
        <f t="shared" si="55"/>
        <v>1</v>
      </c>
      <c r="O754" s="1" t="s">
        <v>7213</v>
      </c>
      <c r="P754" s="1" t="s">
        <v>7214</v>
      </c>
      <c r="Q754" s="1" t="s">
        <v>7215</v>
      </c>
      <c r="R754" s="1" t="s">
        <v>7216</v>
      </c>
      <c r="S754" s="1" t="s">
        <v>7217</v>
      </c>
      <c r="T754" s="1" t="s">
        <v>7218</v>
      </c>
      <c r="U754" s="1" t="s">
        <v>7219</v>
      </c>
      <c r="V754" s="13">
        <f>COUNTIF(L754:$M$1659,L754)</f>
        <v>2</v>
      </c>
      <c r="W754" s="1" t="s">
        <v>7220</v>
      </c>
      <c r="X754">
        <v>190.84</v>
      </c>
      <c r="Y754">
        <v>59.18</v>
      </c>
      <c r="Z754">
        <v>16.468192999999999</v>
      </c>
      <c r="AA754">
        <v>107.524468</v>
      </c>
      <c r="AB754">
        <v>131.65</v>
      </c>
      <c r="AC754">
        <v>16.487960000000001</v>
      </c>
      <c r="AD754">
        <v>107.52082299999999</v>
      </c>
      <c r="AE754" s="5">
        <f t="shared" si="56"/>
        <v>8.8770000000000002E-2</v>
      </c>
      <c r="AF754" s="5">
        <f t="shared" si="57"/>
        <v>0.19747500000000001</v>
      </c>
      <c r="AG754" s="1" t="str">
        <f>TRIM(LEFT(L754,FIND("-",L754)-1))</f>
        <v>Ring 6 Kim Trà</v>
      </c>
      <c r="AH754" s="1" t="str">
        <f>TRIM(RIGHT(L754, LEN(L754) - FIND("-", L754)))</f>
        <v>Hương An</v>
      </c>
      <c r="AJ754">
        <f t="shared" si="58"/>
        <v>5.9179999999999996E-2</v>
      </c>
      <c r="AK754">
        <f t="shared" si="59"/>
        <v>0.13165000000000002</v>
      </c>
      <c r="AL754" t="e">
        <f>VLOOKUP(L754,'[1]Tuyến cáp H04'!$B:$E,3,0)/1000</f>
        <v>#N/A</v>
      </c>
      <c r="AM754" t="e">
        <f>VLOOKUP(L754,'[1]Tuyến cáp H04'!$B:$E,4,0)</f>
        <v>#N/A</v>
      </c>
    </row>
    <row r="755" spans="1:39" x14ac:dyDescent="0.25">
      <c r="A755" s="1" t="s">
        <v>7221</v>
      </c>
      <c r="B755" s="1" t="s">
        <v>7222</v>
      </c>
      <c r="C755" s="1" t="s">
        <v>7223</v>
      </c>
      <c r="D755" s="1" t="s">
        <v>7224</v>
      </c>
      <c r="E755" s="1" t="s">
        <v>7225</v>
      </c>
      <c r="F755" s="1" t="s">
        <v>7226</v>
      </c>
      <c r="G755" s="1" t="s">
        <v>14129</v>
      </c>
      <c r="H755" s="1" t="s">
        <v>14532</v>
      </c>
      <c r="I755" s="1" t="s">
        <v>14871</v>
      </c>
      <c r="J755" s="1" t="s">
        <v>23</v>
      </c>
      <c r="K755" s="1"/>
      <c r="L755" s="1" t="s">
        <v>7227</v>
      </c>
      <c r="M755" s="1" t="s">
        <v>7227</v>
      </c>
      <c r="N755" s="12" t="b">
        <f t="shared" si="55"/>
        <v>1</v>
      </c>
      <c r="O755" s="1" t="s">
        <v>7228</v>
      </c>
      <c r="P755" s="1" t="s">
        <v>7229</v>
      </c>
      <c r="Q755" s="1" t="s">
        <v>7230</v>
      </c>
      <c r="R755" s="1" t="s">
        <v>7231</v>
      </c>
      <c r="S755" s="1" t="s">
        <v>7232</v>
      </c>
      <c r="T755" s="1" t="s">
        <v>7233</v>
      </c>
      <c r="U755" s="1" t="s">
        <v>7234</v>
      </c>
      <c r="V755" s="13">
        <f>COUNTIF(L755:$M$1659,L755)</f>
        <v>4</v>
      </c>
      <c r="W755" s="1" t="s">
        <v>7235</v>
      </c>
      <c r="X755">
        <v>129.84</v>
      </c>
      <c r="Y755">
        <v>66.180000000000007</v>
      </c>
      <c r="Z755">
        <v>16.439848000000001</v>
      </c>
      <c r="AA755">
        <v>107.52389700000001</v>
      </c>
      <c r="AB755">
        <v>63.66</v>
      </c>
      <c r="AC755">
        <v>16.458561</v>
      </c>
      <c r="AD755">
        <v>107.5205</v>
      </c>
      <c r="AE755" s="5">
        <f t="shared" si="56"/>
        <v>9.9270000000000011E-2</v>
      </c>
      <c r="AF755" s="5">
        <f t="shared" si="57"/>
        <v>9.5489999999999992E-2</v>
      </c>
      <c r="AG755" s="1" t="str">
        <f>TRIM(LEFT(L755,FIND("-",L755)-1))</f>
        <v>Ring 6 Hương An</v>
      </c>
      <c r="AH755" s="1" t="str">
        <f>TRIM(RIGHT(L755, LEN(L755) - FIND("-", L755)))</f>
        <v>Kim Long</v>
      </c>
      <c r="AJ755">
        <f t="shared" si="58"/>
        <v>6.6180000000000003E-2</v>
      </c>
      <c r="AK755">
        <f t="shared" si="59"/>
        <v>6.3659999999999994E-2</v>
      </c>
      <c r="AL755" t="e">
        <f>VLOOKUP(L755,'[1]Tuyến cáp H04'!$B:$E,3,0)/1000</f>
        <v>#N/A</v>
      </c>
      <c r="AM755" t="e">
        <f>VLOOKUP(L755,'[1]Tuyến cáp H04'!$B:$E,4,0)</f>
        <v>#N/A</v>
      </c>
    </row>
    <row r="756" spans="1:39" x14ac:dyDescent="0.25">
      <c r="A756" s="1" t="s">
        <v>7236</v>
      </c>
      <c r="B756" s="1" t="s">
        <v>7237</v>
      </c>
      <c r="C756" s="1" t="s">
        <v>7238</v>
      </c>
      <c r="D756" s="1" t="s">
        <v>6919</v>
      </c>
      <c r="E756" s="1" t="s">
        <v>6920</v>
      </c>
      <c r="F756" s="1" t="s">
        <v>7239</v>
      </c>
      <c r="G756" s="1" t="s">
        <v>14129</v>
      </c>
      <c r="H756" s="1" t="s">
        <v>14532</v>
      </c>
      <c r="I756" s="1" t="s">
        <v>14872</v>
      </c>
      <c r="J756" s="1" t="s">
        <v>23</v>
      </c>
      <c r="K756" s="1"/>
      <c r="L756" s="1" t="s">
        <v>6922</v>
      </c>
      <c r="M756" s="1" t="s">
        <v>6922</v>
      </c>
      <c r="N756" s="12" t="b">
        <f t="shared" si="55"/>
        <v>1</v>
      </c>
      <c r="O756" s="1" t="s">
        <v>7240</v>
      </c>
      <c r="P756" s="1" t="s">
        <v>7241</v>
      </c>
      <c r="Q756" s="1" t="s">
        <v>7242</v>
      </c>
      <c r="R756" s="1" t="s">
        <v>7243</v>
      </c>
      <c r="S756" s="1" t="s">
        <v>7244</v>
      </c>
      <c r="T756" s="1" t="s">
        <v>7245</v>
      </c>
      <c r="U756" s="1" t="s">
        <v>7246</v>
      </c>
      <c r="V756" s="13">
        <f>COUNTIF(L756:$M$1659,L756)</f>
        <v>2</v>
      </c>
      <c r="W756" s="1" t="s">
        <v>7247</v>
      </c>
      <c r="X756">
        <v>2241.2199999999998</v>
      </c>
      <c r="Y756">
        <v>36.64</v>
      </c>
      <c r="Z756">
        <v>16.554606</v>
      </c>
      <c r="AA756">
        <v>107.580668</v>
      </c>
      <c r="AB756">
        <v>2204.58</v>
      </c>
      <c r="AC756">
        <v>16.549901999999999</v>
      </c>
      <c r="AD756">
        <v>107.617518</v>
      </c>
      <c r="AE756" s="5">
        <f t="shared" si="56"/>
        <v>5.4960000000000002E-2</v>
      </c>
      <c r="AF756" s="5">
        <f t="shared" si="57"/>
        <v>3.30687</v>
      </c>
      <c r="AG756" s="1" t="str">
        <f>TRIM(LEFT(L756,FIND("-",L756)-1))</f>
        <v>Ring 7 Hóa Châu</v>
      </c>
      <c r="AH756" s="1" t="str">
        <f>TRIM(RIGHT(L756, LEN(L756) - FIND("-", L756)))</f>
        <v>Mỹ Thượng</v>
      </c>
      <c r="AJ756">
        <f t="shared" si="58"/>
        <v>3.6639999999999999E-2</v>
      </c>
      <c r="AK756">
        <f t="shared" si="59"/>
        <v>2.20458</v>
      </c>
      <c r="AL756" t="e">
        <f>VLOOKUP(L756,'[1]Tuyến cáp H04'!$B:$E,3,0)/1000</f>
        <v>#N/A</v>
      </c>
      <c r="AM756" t="e">
        <f>VLOOKUP(L756,'[1]Tuyến cáp H04'!$B:$E,4,0)</f>
        <v>#N/A</v>
      </c>
    </row>
    <row r="757" spans="1:39" x14ac:dyDescent="0.25">
      <c r="A757" s="1" t="s">
        <v>7248</v>
      </c>
      <c r="B757" s="1" t="s">
        <v>7249</v>
      </c>
      <c r="C757" s="1" t="s">
        <v>7250</v>
      </c>
      <c r="D757" s="1" t="s">
        <v>7251</v>
      </c>
      <c r="E757" s="1" t="s">
        <v>7252</v>
      </c>
      <c r="F757" s="1" t="s">
        <v>7253</v>
      </c>
      <c r="G757" s="1" t="s">
        <v>14129</v>
      </c>
      <c r="H757" s="1" t="s">
        <v>14532</v>
      </c>
      <c r="I757" s="1" t="s">
        <v>14850</v>
      </c>
      <c r="J757" s="1" t="s">
        <v>23</v>
      </c>
      <c r="K757" s="1"/>
      <c r="L757" s="1" t="s">
        <v>7254</v>
      </c>
      <c r="M757" s="1" t="s">
        <v>7254</v>
      </c>
      <c r="N757" s="12" t="b">
        <f t="shared" si="55"/>
        <v>1</v>
      </c>
      <c r="O757" s="1" t="s">
        <v>7255</v>
      </c>
      <c r="P757" s="1" t="s">
        <v>7256</v>
      </c>
      <c r="Q757" s="1" t="s">
        <v>7257</v>
      </c>
      <c r="R757" s="1" t="s">
        <v>7258</v>
      </c>
      <c r="S757" s="1" t="s">
        <v>7259</v>
      </c>
      <c r="T757" s="1" t="s">
        <v>7260</v>
      </c>
      <c r="U757" s="1" t="s">
        <v>7261</v>
      </c>
      <c r="V757" s="13">
        <f>COUNTIF(L757:$M$1659,L757)</f>
        <v>6</v>
      </c>
      <c r="W757" s="1" t="s">
        <v>7262</v>
      </c>
      <c r="X757">
        <v>2918.39</v>
      </c>
      <c r="Y757">
        <v>2714.13</v>
      </c>
      <c r="Z757">
        <v>16.487857999999999</v>
      </c>
      <c r="AA757">
        <v>107.644924</v>
      </c>
      <c r="AB757">
        <v>204.26</v>
      </c>
      <c r="AC757">
        <v>16.480132999999999</v>
      </c>
      <c r="AD757">
        <v>107.682886</v>
      </c>
      <c r="AE757" s="5">
        <f t="shared" si="56"/>
        <v>4.0711950000000003</v>
      </c>
      <c r="AF757" s="5">
        <f t="shared" si="57"/>
        <v>0.30639</v>
      </c>
      <c r="AG757" s="1" t="str">
        <f>TRIM(LEFT(L757,FIND("-",L757)-1))</f>
        <v>TTCMKV_Ring 1_CAT Huế mới</v>
      </c>
      <c r="AH757" s="1" t="str">
        <f>TRIM(RIGHT(L757, LEN(L757) - FIND("-", L757)))</f>
        <v>Phú Vang</v>
      </c>
      <c r="AJ757">
        <f t="shared" si="58"/>
        <v>2.7141299999999999</v>
      </c>
      <c r="AK757">
        <f t="shared" si="59"/>
        <v>0.20426</v>
      </c>
      <c r="AL757" t="e">
        <f>VLOOKUP(L757,'[1]Tuyến cáp H04'!$B:$E,3,0)/1000</f>
        <v>#N/A</v>
      </c>
      <c r="AM757" t="e">
        <f>VLOOKUP(L757,'[1]Tuyến cáp H04'!$B:$E,4,0)</f>
        <v>#N/A</v>
      </c>
    </row>
    <row r="758" spans="1:39" x14ac:dyDescent="0.25">
      <c r="A758" s="1" t="s">
        <v>7263</v>
      </c>
      <c r="B758" s="1" t="s">
        <v>7264</v>
      </c>
      <c r="C758" s="1" t="s">
        <v>7265</v>
      </c>
      <c r="D758" s="1" t="s">
        <v>7266</v>
      </c>
      <c r="E758" s="1" t="s">
        <v>7267</v>
      </c>
      <c r="F758" s="1" t="s">
        <v>7268</v>
      </c>
      <c r="G758" s="1" t="s">
        <v>14129</v>
      </c>
      <c r="H758" s="1" t="s">
        <v>14532</v>
      </c>
      <c r="I758" s="1" t="s">
        <v>14873</v>
      </c>
      <c r="J758" s="1" t="s">
        <v>23</v>
      </c>
      <c r="K758" s="1"/>
      <c r="L758" s="1" t="s">
        <v>7269</v>
      </c>
      <c r="M758" s="1" t="s">
        <v>7269</v>
      </c>
      <c r="N758" s="12" t="b">
        <f t="shared" si="55"/>
        <v>1</v>
      </c>
      <c r="O758" s="1" t="s">
        <v>7270</v>
      </c>
      <c r="P758" s="1" t="s">
        <v>7271</v>
      </c>
      <c r="Q758" s="1" t="s">
        <v>7272</v>
      </c>
      <c r="R758" s="1" t="s">
        <v>7273</v>
      </c>
      <c r="S758" s="1" t="s">
        <v>7274</v>
      </c>
      <c r="T758" s="1" t="s">
        <v>7275</v>
      </c>
      <c r="U758" s="1" t="s">
        <v>7276</v>
      </c>
      <c r="V758" s="13">
        <f>COUNTIF(L758:$M$1659,L758)</f>
        <v>6</v>
      </c>
      <c r="W758" s="1" t="s">
        <v>7277</v>
      </c>
      <c r="X758">
        <v>2010.03</v>
      </c>
      <c r="Y758">
        <v>14.74</v>
      </c>
      <c r="Z758">
        <v>16.512826</v>
      </c>
      <c r="AA758">
        <v>107.59974200000001</v>
      </c>
      <c r="AB758">
        <v>1995.28</v>
      </c>
      <c r="AC758">
        <v>16.529236999999998</v>
      </c>
      <c r="AD758">
        <v>107.616541</v>
      </c>
      <c r="AE758" s="5">
        <f t="shared" si="56"/>
        <v>2.2109999999999998E-2</v>
      </c>
      <c r="AF758" s="5">
        <f t="shared" si="57"/>
        <v>2.9929200000000002</v>
      </c>
      <c r="AG758" s="1" t="str">
        <f>TRIM(LEFT(L758,FIND("-",L758)-1))</f>
        <v>Ring 8 Dương Nỗ</v>
      </c>
      <c r="AH758" s="1" t="str">
        <f>TRIM(RIGHT(L758, LEN(L758) - FIND("-", L758)))</f>
        <v>Thuận An</v>
      </c>
      <c r="AJ758">
        <f t="shared" si="58"/>
        <v>1.474E-2</v>
      </c>
      <c r="AK758">
        <f t="shared" si="59"/>
        <v>1.9952799999999999</v>
      </c>
      <c r="AL758" t="e">
        <f>VLOOKUP(L758,'[1]Tuyến cáp H04'!$B:$E,3,0)/1000</f>
        <v>#N/A</v>
      </c>
      <c r="AM758" t="e">
        <f>VLOOKUP(L758,'[1]Tuyến cáp H04'!$B:$E,4,0)</f>
        <v>#N/A</v>
      </c>
    </row>
    <row r="759" spans="1:39" x14ac:dyDescent="0.25">
      <c r="A759" s="1" t="s">
        <v>7278</v>
      </c>
      <c r="B759" s="1" t="s">
        <v>7279</v>
      </c>
      <c r="C759" s="1" t="s">
        <v>7280</v>
      </c>
      <c r="D759" s="1" t="s">
        <v>7281</v>
      </c>
      <c r="E759" s="1" t="s">
        <v>7282</v>
      </c>
      <c r="F759" s="1" t="s">
        <v>7283</v>
      </c>
      <c r="G759" s="1" t="s">
        <v>14129</v>
      </c>
      <c r="H759" s="1" t="s">
        <v>14532</v>
      </c>
      <c r="I759" s="1" t="s">
        <v>14874</v>
      </c>
      <c r="J759" s="1" t="s">
        <v>23</v>
      </c>
      <c r="K759" s="1"/>
      <c r="L759" s="1" t="s">
        <v>7269</v>
      </c>
      <c r="M759" s="1" t="s">
        <v>7269</v>
      </c>
      <c r="N759" s="12" t="b">
        <f t="shared" si="55"/>
        <v>1</v>
      </c>
      <c r="O759" s="1" t="s">
        <v>7284</v>
      </c>
      <c r="P759" s="1" t="s">
        <v>1317</v>
      </c>
      <c r="Q759" s="1" t="s">
        <v>7285</v>
      </c>
      <c r="R759" s="1" t="s">
        <v>7286</v>
      </c>
      <c r="S759" s="1" t="s">
        <v>7287</v>
      </c>
      <c r="T759" s="1" t="s">
        <v>7288</v>
      </c>
      <c r="U759" s="1" t="s">
        <v>7289</v>
      </c>
      <c r="V759" s="13">
        <f>COUNTIF(L759:$M$1659,L759)</f>
        <v>4</v>
      </c>
      <c r="W759" s="1" t="s">
        <v>7277</v>
      </c>
      <c r="X759">
        <v>521.73</v>
      </c>
      <c r="Y759">
        <v>12.56</v>
      </c>
      <c r="Z759">
        <v>16.543879</v>
      </c>
      <c r="AA759">
        <v>107.636127</v>
      </c>
      <c r="AB759">
        <v>509.17</v>
      </c>
      <c r="AC759">
        <v>16.530933000000001</v>
      </c>
      <c r="AD759">
        <v>107.61888399999999</v>
      </c>
      <c r="AE759" s="5">
        <f t="shared" si="56"/>
        <v>1.8839999999999999E-2</v>
      </c>
      <c r="AF759" s="5">
        <f t="shared" si="57"/>
        <v>0.76375499999999996</v>
      </c>
      <c r="AG759" s="1" t="str">
        <f>TRIM(LEFT(L759,FIND("-",L759)-1))</f>
        <v>Ring 8 Dương Nỗ</v>
      </c>
      <c r="AH759" s="1" t="str">
        <f>TRIM(RIGHT(L759, LEN(L759) - FIND("-", L759)))</f>
        <v>Thuận An</v>
      </c>
      <c r="AJ759">
        <f t="shared" si="58"/>
        <v>1.256E-2</v>
      </c>
      <c r="AK759">
        <f t="shared" si="59"/>
        <v>0.50917000000000001</v>
      </c>
      <c r="AL759" t="e">
        <f>VLOOKUP(L759,'[1]Tuyến cáp H04'!$B:$E,3,0)/1000</f>
        <v>#N/A</v>
      </c>
      <c r="AM759" t="e">
        <f>VLOOKUP(L759,'[1]Tuyến cáp H04'!$B:$E,4,0)</f>
        <v>#N/A</v>
      </c>
    </row>
    <row r="760" spans="1:39" x14ac:dyDescent="0.25">
      <c r="A760" s="1" t="s">
        <v>7290</v>
      </c>
      <c r="B760" s="1" t="s">
        <v>7291</v>
      </c>
      <c r="C760" s="1" t="s">
        <v>7292</v>
      </c>
      <c r="D760" s="1" t="s">
        <v>7293</v>
      </c>
      <c r="E760" s="1" t="s">
        <v>7294</v>
      </c>
      <c r="F760" s="1" t="s">
        <v>7295</v>
      </c>
      <c r="G760" s="1" t="s">
        <v>14129</v>
      </c>
      <c r="H760" s="1" t="s">
        <v>14532</v>
      </c>
      <c r="I760" s="1" t="s">
        <v>14875</v>
      </c>
      <c r="J760" s="1" t="s">
        <v>23</v>
      </c>
      <c r="K760" s="1"/>
      <c r="L760" s="1" t="s">
        <v>7007</v>
      </c>
      <c r="M760" s="1" t="s">
        <v>7007</v>
      </c>
      <c r="N760" s="12" t="b">
        <f t="shared" si="55"/>
        <v>1</v>
      </c>
      <c r="O760" s="1" t="s">
        <v>7296</v>
      </c>
      <c r="P760" s="1" t="s">
        <v>7297</v>
      </c>
      <c r="Q760" s="1" t="s">
        <v>7298</v>
      </c>
      <c r="R760" s="1" t="s">
        <v>7299</v>
      </c>
      <c r="S760" s="1" t="s">
        <v>7300</v>
      </c>
      <c r="T760" s="1" t="s">
        <v>7301</v>
      </c>
      <c r="U760" s="1" t="s">
        <v>7302</v>
      </c>
      <c r="V760" s="13">
        <f>COUNTIF(L760:$M$1659,L760)</f>
        <v>2</v>
      </c>
      <c r="W760" s="1" t="s">
        <v>7303</v>
      </c>
      <c r="X760">
        <v>150.99</v>
      </c>
      <c r="Y760">
        <v>144.19</v>
      </c>
      <c r="Z760">
        <v>16.459177</v>
      </c>
      <c r="AA760">
        <v>107.607506</v>
      </c>
      <c r="AB760">
        <v>6.8</v>
      </c>
      <c r="AC760">
        <v>16.462240999999999</v>
      </c>
      <c r="AD760">
        <v>107.60086</v>
      </c>
      <c r="AE760" s="5">
        <f t="shared" si="56"/>
        <v>0.21628500000000001</v>
      </c>
      <c r="AF760" s="5">
        <f t="shared" si="57"/>
        <v>1.0199999999999999E-2</v>
      </c>
      <c r="AG760" s="1" t="str">
        <f>TRIM(LEFT(L760,FIND("-",L760)-1))</f>
        <v>Ring 1 CA TP Huế</v>
      </c>
      <c r="AH760" s="1" t="str">
        <f>TRIM(RIGHT(L760, LEN(L760) - FIND("-", L760)))</f>
        <v>PK02</v>
      </c>
      <c r="AJ760">
        <f t="shared" si="58"/>
        <v>0.14418999999999998</v>
      </c>
      <c r="AK760">
        <f t="shared" si="59"/>
        <v>6.7999999999999996E-3</v>
      </c>
      <c r="AL760" t="e">
        <f>VLOOKUP(L760,'[1]Tuyến cáp H04'!$B:$E,3,0)/1000</f>
        <v>#N/A</v>
      </c>
      <c r="AM760" t="e">
        <f>VLOOKUP(L760,'[1]Tuyến cáp H04'!$B:$E,4,0)</f>
        <v>#N/A</v>
      </c>
    </row>
    <row r="761" spans="1:39" x14ac:dyDescent="0.25">
      <c r="A761" s="1" t="s">
        <v>7304</v>
      </c>
      <c r="B761" s="1" t="s">
        <v>7305</v>
      </c>
      <c r="C761" s="1" t="s">
        <v>7306</v>
      </c>
      <c r="D761" s="1" t="s">
        <v>7307</v>
      </c>
      <c r="E761" s="1" t="s">
        <v>7308</v>
      </c>
      <c r="F761" s="1" t="s">
        <v>7309</v>
      </c>
      <c r="G761" s="1" t="s">
        <v>14129</v>
      </c>
      <c r="H761" s="1" t="s">
        <v>14532</v>
      </c>
      <c r="I761" s="1" t="s">
        <v>14876</v>
      </c>
      <c r="J761" s="1" t="s">
        <v>23</v>
      </c>
      <c r="K761" s="1"/>
      <c r="L761" s="1" t="s">
        <v>7310</v>
      </c>
      <c r="M761" s="1" t="s">
        <v>7310</v>
      </c>
      <c r="N761" s="12" t="b">
        <f t="shared" si="55"/>
        <v>1</v>
      </c>
      <c r="O761" s="1" t="s">
        <v>7311</v>
      </c>
      <c r="P761" s="1" t="s">
        <v>7312</v>
      </c>
      <c r="Q761" s="1" t="s">
        <v>7313</v>
      </c>
      <c r="R761" s="1" t="s">
        <v>7314</v>
      </c>
      <c r="S761" s="1" t="s">
        <v>7315</v>
      </c>
      <c r="T761" s="1" t="s">
        <v>7316</v>
      </c>
      <c r="U761" s="1" t="s">
        <v>7317</v>
      </c>
      <c r="V761" s="13">
        <f>COUNTIF(L761:$M$1659,L761)</f>
        <v>2</v>
      </c>
      <c r="W761" s="1" t="s">
        <v>7318</v>
      </c>
      <c r="X761">
        <v>1947.88</v>
      </c>
      <c r="Y761">
        <v>16.07</v>
      </c>
      <c r="Z761">
        <v>16.454187000000001</v>
      </c>
      <c r="AA761">
        <v>107.680341</v>
      </c>
      <c r="AB761">
        <v>1931.81</v>
      </c>
      <c r="AC761">
        <v>16.443624</v>
      </c>
      <c r="AD761">
        <v>107.66766699999999</v>
      </c>
      <c r="AE761" s="5">
        <f t="shared" si="56"/>
        <v>2.4105000000000001E-2</v>
      </c>
      <c r="AF761" s="5">
        <f t="shared" si="57"/>
        <v>2.8977150000000003</v>
      </c>
      <c r="AG761" s="1" t="str">
        <f>TRIM(LEFT(L761,FIND("-",L761)-1))</f>
        <v>Ring 9 An Cựu</v>
      </c>
      <c r="AH761" s="1" t="str">
        <f>TRIM(RIGHT(L761, LEN(L761) - FIND("-", L761)))</f>
        <v>Phú Hồ</v>
      </c>
      <c r="AJ761">
        <f t="shared" si="58"/>
        <v>1.6070000000000001E-2</v>
      </c>
      <c r="AK761">
        <f t="shared" si="59"/>
        <v>1.93181</v>
      </c>
      <c r="AL761" t="e">
        <f>VLOOKUP(L761,'[1]Tuyến cáp H04'!$B:$E,3,0)/1000</f>
        <v>#N/A</v>
      </c>
      <c r="AM761" t="e">
        <f>VLOOKUP(L761,'[1]Tuyến cáp H04'!$B:$E,4,0)</f>
        <v>#N/A</v>
      </c>
    </row>
    <row r="762" spans="1:39" x14ac:dyDescent="0.25">
      <c r="A762" s="1" t="s">
        <v>7319</v>
      </c>
      <c r="B762" s="1" t="s">
        <v>7320</v>
      </c>
      <c r="C762" s="1" t="s">
        <v>7321</v>
      </c>
      <c r="D762" s="1" t="s">
        <v>7322</v>
      </c>
      <c r="E762" s="1" t="s">
        <v>7323</v>
      </c>
      <c r="F762" s="1" t="s">
        <v>7324</v>
      </c>
      <c r="G762" s="1" t="s">
        <v>14129</v>
      </c>
      <c r="H762" s="1" t="s">
        <v>14532</v>
      </c>
      <c r="I762" s="1" t="s">
        <v>14877</v>
      </c>
      <c r="J762" s="1" t="s">
        <v>23</v>
      </c>
      <c r="K762" s="1"/>
      <c r="L762" s="1" t="s">
        <v>7119</v>
      </c>
      <c r="M762" s="1" t="s">
        <v>7119</v>
      </c>
      <c r="N762" s="12" t="b">
        <f t="shared" si="55"/>
        <v>1</v>
      </c>
      <c r="O762" s="1" t="s">
        <v>7325</v>
      </c>
      <c r="P762" s="1" t="s">
        <v>7326</v>
      </c>
      <c r="Q762" s="1" t="s">
        <v>7327</v>
      </c>
      <c r="R762" s="1" t="s">
        <v>7328</v>
      </c>
      <c r="S762" s="1" t="s">
        <v>7329</v>
      </c>
      <c r="T762" s="1" t="s">
        <v>7330</v>
      </c>
      <c r="U762" s="1" t="s">
        <v>7331</v>
      </c>
      <c r="V762" s="13">
        <f>COUNTIF(L762:$M$1659,L762)</f>
        <v>2</v>
      </c>
      <c r="W762" s="1" t="s">
        <v>7332</v>
      </c>
      <c r="X762">
        <v>491</v>
      </c>
      <c r="Y762">
        <v>314.14999999999998</v>
      </c>
      <c r="Z762">
        <v>16.479894999999999</v>
      </c>
      <c r="AA762">
        <v>107.601732</v>
      </c>
      <c r="AB762">
        <v>176.85</v>
      </c>
      <c r="AC762">
        <v>16.471789000000001</v>
      </c>
      <c r="AD762">
        <v>107.600525</v>
      </c>
      <c r="AE762" s="5">
        <f t="shared" si="56"/>
        <v>0.47122499999999995</v>
      </c>
      <c r="AF762" s="5">
        <f t="shared" si="57"/>
        <v>0.26527499999999998</v>
      </c>
      <c r="AG762" s="1" t="str">
        <f>TRIM(LEFT(L762,FIND("-",L762)-1))</f>
        <v>PC07 (52 Hùng Vương)</v>
      </c>
      <c r="AH762" s="1" t="str">
        <f>TRIM(RIGHT(L762, LEN(L762) - FIND("-", L762)))</f>
        <v>TT Huế</v>
      </c>
      <c r="AJ762">
        <f t="shared" si="58"/>
        <v>0.31414999999999998</v>
      </c>
      <c r="AK762">
        <f t="shared" si="59"/>
        <v>0.17685000000000001</v>
      </c>
      <c r="AL762">
        <f>VLOOKUP(L762,'[1]Tuyến cáp H04'!$B:$E,3,0)/1000</f>
        <v>6.2</v>
      </c>
      <c r="AM762" t="str">
        <f>VLOOKUP(L762,'[1]Tuyến cáp H04'!$B:$E,4,0)</f>
        <v>Mạng cấp 3</v>
      </c>
    </row>
    <row r="763" spans="1:39" x14ac:dyDescent="0.25">
      <c r="A763" s="1" t="s">
        <v>7333</v>
      </c>
      <c r="B763" s="1" t="s">
        <v>7334</v>
      </c>
      <c r="C763" s="1" t="s">
        <v>7335</v>
      </c>
      <c r="D763" s="1" t="s">
        <v>7336</v>
      </c>
      <c r="E763" s="1" t="s">
        <v>7337</v>
      </c>
      <c r="F763" s="1" t="s">
        <v>7338</v>
      </c>
      <c r="G763" s="1" t="s">
        <v>14129</v>
      </c>
      <c r="H763" s="1" t="s">
        <v>14532</v>
      </c>
      <c r="I763" s="1" t="s">
        <v>14878</v>
      </c>
      <c r="J763" s="1" t="s">
        <v>23</v>
      </c>
      <c r="K763" s="1"/>
      <c r="L763" s="1" t="s">
        <v>7065</v>
      </c>
      <c r="M763" s="1" t="s">
        <v>7065</v>
      </c>
      <c r="N763" s="12" t="b">
        <f t="shared" si="55"/>
        <v>1</v>
      </c>
      <c r="O763" s="1" t="s">
        <v>7339</v>
      </c>
      <c r="P763" s="1" t="s">
        <v>7340</v>
      </c>
      <c r="Q763" s="1" t="s">
        <v>7341</v>
      </c>
      <c r="R763" s="1" t="s">
        <v>7342</v>
      </c>
      <c r="S763" s="1" t="s">
        <v>7343</v>
      </c>
      <c r="T763" s="1" t="s">
        <v>7344</v>
      </c>
      <c r="U763" s="1" t="s">
        <v>7345</v>
      </c>
      <c r="V763" s="13">
        <f>COUNTIF(L763:$M$1659,L763)</f>
        <v>10</v>
      </c>
      <c r="W763" s="1" t="s">
        <v>7073</v>
      </c>
      <c r="X763">
        <v>1256.68</v>
      </c>
      <c r="Y763">
        <v>814.52</v>
      </c>
      <c r="Z763">
        <v>16.450233000000001</v>
      </c>
      <c r="AA763">
        <v>107.61814</v>
      </c>
      <c r="AB763">
        <v>442.16</v>
      </c>
      <c r="AC763">
        <v>16.460460999999999</v>
      </c>
      <c r="AD763">
        <v>107.624076</v>
      </c>
      <c r="AE763" s="5">
        <f t="shared" si="56"/>
        <v>1.2217799999999999</v>
      </c>
      <c r="AF763" s="5">
        <f t="shared" si="57"/>
        <v>0.66324000000000005</v>
      </c>
      <c r="AG763" s="1" t="str">
        <f>TRIM(LEFT(L763,FIND("-",L763)-1))</f>
        <v>TTCMKV_Ring 2_Phong Điền</v>
      </c>
      <c r="AH763" s="1" t="str">
        <f>TRIM(RIGHT(L763, LEN(L763) - FIND("-", L763)))</f>
        <v>CAT Huế mới</v>
      </c>
      <c r="AJ763">
        <f t="shared" si="58"/>
        <v>0.81452000000000002</v>
      </c>
      <c r="AK763">
        <f t="shared" si="59"/>
        <v>0.44216</v>
      </c>
      <c r="AL763" t="e">
        <f>VLOOKUP(L763,'[1]Tuyến cáp H04'!$B:$E,3,0)/1000</f>
        <v>#N/A</v>
      </c>
      <c r="AM763" t="e">
        <f>VLOOKUP(L763,'[1]Tuyến cáp H04'!$B:$E,4,0)</f>
        <v>#N/A</v>
      </c>
    </row>
    <row r="764" spans="1:39" x14ac:dyDescent="0.25">
      <c r="A764" s="1" t="s">
        <v>7346</v>
      </c>
      <c r="B764" s="1" t="s">
        <v>6962</v>
      </c>
      <c r="C764" s="1" t="s">
        <v>6963</v>
      </c>
      <c r="D764" s="1" t="s">
        <v>7347</v>
      </c>
      <c r="E764" s="1" t="s">
        <v>7348</v>
      </c>
      <c r="F764" s="1" t="s">
        <v>7349</v>
      </c>
      <c r="G764" s="1" t="s">
        <v>14129</v>
      </c>
      <c r="H764" s="1" t="s">
        <v>14532</v>
      </c>
      <c r="I764" s="1" t="s">
        <v>14879</v>
      </c>
      <c r="J764" s="1" t="s">
        <v>23</v>
      </c>
      <c r="K764" s="1"/>
      <c r="L764" s="1" t="s">
        <v>7350</v>
      </c>
      <c r="M764" s="1" t="s">
        <v>7350</v>
      </c>
      <c r="N764" s="12" t="b">
        <f t="shared" si="55"/>
        <v>1</v>
      </c>
      <c r="O764" s="1" t="s">
        <v>7351</v>
      </c>
      <c r="P764" s="1" t="s">
        <v>7352</v>
      </c>
      <c r="Q764" s="1" t="s">
        <v>7353</v>
      </c>
      <c r="R764" s="1" t="s">
        <v>7354</v>
      </c>
      <c r="S764" s="1" t="s">
        <v>7355</v>
      </c>
      <c r="T764" s="1" t="s">
        <v>7356</v>
      </c>
      <c r="U764" s="1" t="s">
        <v>7357</v>
      </c>
      <c r="V764" s="13">
        <f>COUNTIF(L764:$M$1659,L764)</f>
        <v>4</v>
      </c>
      <c r="W764" s="1" t="s">
        <v>7358</v>
      </c>
      <c r="X764">
        <v>669.52</v>
      </c>
      <c r="Y764">
        <v>68.680000000000007</v>
      </c>
      <c r="Z764">
        <v>16.408670999999998</v>
      </c>
      <c r="AA764">
        <v>107.681068</v>
      </c>
      <c r="AB764">
        <v>600.84</v>
      </c>
      <c r="AC764">
        <v>16.434963</v>
      </c>
      <c r="AD764">
        <v>107.611178</v>
      </c>
      <c r="AE764" s="5">
        <f t="shared" si="56"/>
        <v>0.10302000000000001</v>
      </c>
      <c r="AF764" s="5">
        <f t="shared" si="57"/>
        <v>0.90125999999999995</v>
      </c>
      <c r="AG764" s="1" t="str">
        <f>TRIM(LEFT(L764,FIND("-",L764)-1))</f>
        <v>Ring 11 "Thủy Xuân</v>
      </c>
      <c r="AH764" s="1" t="str">
        <f>TRIM(RIGHT(L764, LEN(L764) - FIND("-", L764)))</f>
        <v>TTCMKV TX Hương
Thủy"</v>
      </c>
      <c r="AJ764">
        <f t="shared" si="58"/>
        <v>6.8680000000000005E-2</v>
      </c>
      <c r="AK764">
        <f t="shared" si="59"/>
        <v>0.60084000000000004</v>
      </c>
      <c r="AL764" t="e">
        <f>VLOOKUP(L764,'[1]Tuyến cáp H04'!$B:$E,3,0)/1000</f>
        <v>#N/A</v>
      </c>
      <c r="AM764" t="e">
        <f>VLOOKUP(L764,'[1]Tuyến cáp H04'!$B:$E,4,0)</f>
        <v>#N/A</v>
      </c>
    </row>
    <row r="765" spans="1:39" x14ac:dyDescent="0.25">
      <c r="A765" s="1" t="s">
        <v>7359</v>
      </c>
      <c r="B765" s="1" t="s">
        <v>7360</v>
      </c>
      <c r="C765" s="1" t="s">
        <v>7361</v>
      </c>
      <c r="D765" s="1" t="s">
        <v>7004</v>
      </c>
      <c r="E765" s="1" t="s">
        <v>7005</v>
      </c>
      <c r="F765" s="1" t="s">
        <v>7362</v>
      </c>
      <c r="G765" s="1" t="s">
        <v>14129</v>
      </c>
      <c r="H765" s="1" t="s">
        <v>14532</v>
      </c>
      <c r="I765" s="1" t="s">
        <v>14880</v>
      </c>
      <c r="J765" s="1" t="s">
        <v>23</v>
      </c>
      <c r="K765" s="1"/>
      <c r="L765" s="1" t="s">
        <v>7363</v>
      </c>
      <c r="M765" s="1" t="s">
        <v>7363</v>
      </c>
      <c r="N765" s="12" t="b">
        <f t="shared" si="55"/>
        <v>1</v>
      </c>
      <c r="O765" s="1" t="s">
        <v>7364</v>
      </c>
      <c r="P765" s="1" t="s">
        <v>7365</v>
      </c>
      <c r="Q765" s="1" t="s">
        <v>7366</v>
      </c>
      <c r="R765" s="1" t="s">
        <v>7367</v>
      </c>
      <c r="S765" s="1" t="s">
        <v>7368</v>
      </c>
      <c r="T765" s="1" t="s">
        <v>7369</v>
      </c>
      <c r="U765" s="1" t="s">
        <v>7370</v>
      </c>
      <c r="V765" s="13">
        <f>COUNTIF(L765:$M$1659,L765)</f>
        <v>12</v>
      </c>
      <c r="W765" s="1" t="s">
        <v>7371</v>
      </c>
      <c r="X765">
        <v>3150.34</v>
      </c>
      <c r="Y765">
        <v>459.56</v>
      </c>
      <c r="Z765">
        <v>16.442993000000001</v>
      </c>
      <c r="AA765">
        <v>107.540175</v>
      </c>
      <c r="AB765">
        <v>2690.77</v>
      </c>
      <c r="AC765">
        <v>16.439699999999998</v>
      </c>
      <c r="AD765">
        <v>107.58576100000001</v>
      </c>
      <c r="AE765" s="5">
        <f t="shared" si="56"/>
        <v>0.68934000000000006</v>
      </c>
      <c r="AF765" s="5">
        <f t="shared" si="57"/>
        <v>4.0361549999999999</v>
      </c>
      <c r="AG765" s="1" t="str">
        <f>TRIM(LEFT(L765,FIND("-",L765)-1))</f>
        <v>Ring 11 CAT Thừa Thiên Huế</v>
      </c>
      <c r="AH765" s="1" t="str">
        <f>TRIM(RIGHT(L765, LEN(L765) - FIND("-", L765)))</f>
        <v>Thủy Xuân</v>
      </c>
      <c r="AJ765">
        <f t="shared" si="58"/>
        <v>0.45956000000000002</v>
      </c>
      <c r="AK765">
        <f t="shared" si="59"/>
        <v>2.6907700000000001</v>
      </c>
      <c r="AL765" t="e">
        <f>VLOOKUP(L765,'[1]Tuyến cáp H04'!$B:$E,3,0)/1000</f>
        <v>#N/A</v>
      </c>
      <c r="AM765" t="e">
        <f>VLOOKUP(L765,'[1]Tuyến cáp H04'!$B:$E,4,0)</f>
        <v>#N/A</v>
      </c>
    </row>
    <row r="766" spans="1:39" x14ac:dyDescent="0.25">
      <c r="A766" s="1" t="s">
        <v>7372</v>
      </c>
      <c r="B766" s="1" t="s">
        <v>7373</v>
      </c>
      <c r="C766" s="1" t="s">
        <v>7374</v>
      </c>
      <c r="D766" s="1" t="s">
        <v>7375</v>
      </c>
      <c r="E766" s="1" t="s">
        <v>7376</v>
      </c>
      <c r="F766" s="1" t="s">
        <v>7377</v>
      </c>
      <c r="G766" s="1" t="s">
        <v>14129</v>
      </c>
      <c r="H766" s="1" t="s">
        <v>14532</v>
      </c>
      <c r="I766" s="1" t="s">
        <v>14881</v>
      </c>
      <c r="J766" s="1" t="s">
        <v>23</v>
      </c>
      <c r="K766" s="1"/>
      <c r="L766" s="1" t="s">
        <v>7378</v>
      </c>
      <c r="M766" s="1" t="s">
        <v>7378</v>
      </c>
      <c r="N766" s="12" t="b">
        <f t="shared" si="55"/>
        <v>1</v>
      </c>
      <c r="O766" s="1" t="s">
        <v>7379</v>
      </c>
      <c r="P766" s="1" t="s">
        <v>7380</v>
      </c>
      <c r="Q766" s="1" t="s">
        <v>7381</v>
      </c>
      <c r="R766" s="1" t="s">
        <v>7382</v>
      </c>
      <c r="S766" s="1" t="s">
        <v>7383</v>
      </c>
      <c r="T766" s="1" t="s">
        <v>7384</v>
      </c>
      <c r="U766" s="1" t="s">
        <v>7385</v>
      </c>
      <c r="V766" s="13">
        <f>COUNTIF(L766:$M$1659,L766)</f>
        <v>2</v>
      </c>
      <c r="W766" s="1" t="s">
        <v>7386</v>
      </c>
      <c r="X766">
        <v>6002.95</v>
      </c>
      <c r="Y766">
        <v>53.04</v>
      </c>
      <c r="Z766">
        <v>16.349126999999999</v>
      </c>
      <c r="AA766">
        <v>107.504623</v>
      </c>
      <c r="AB766">
        <v>5949.91</v>
      </c>
      <c r="AC766">
        <v>16.396788000000001</v>
      </c>
      <c r="AD766">
        <v>107.56425400000001</v>
      </c>
      <c r="AE766" s="5">
        <f t="shared" si="56"/>
        <v>7.9560000000000006E-2</v>
      </c>
      <c r="AF766" s="5">
        <f t="shared" si="57"/>
        <v>8.9248650000000005</v>
      </c>
      <c r="AG766" s="1" t="str">
        <f>TRIM(LEFT(L766,FIND("-",L766)-1))</f>
        <v>Ring 12_CAT Huế mới</v>
      </c>
      <c r="AH766" s="1" t="str">
        <f>TRIM(RIGHT(L766, LEN(L766) - FIND("-", L766)))</f>
        <v>Bình Điền</v>
      </c>
      <c r="AJ766">
        <f t="shared" si="58"/>
        <v>5.3039999999999997E-2</v>
      </c>
      <c r="AK766">
        <f t="shared" si="59"/>
        <v>5.94991</v>
      </c>
      <c r="AL766" t="e">
        <f>VLOOKUP(L766,'[1]Tuyến cáp H04'!$B:$E,3,0)/1000</f>
        <v>#N/A</v>
      </c>
      <c r="AM766" t="e">
        <f>VLOOKUP(L766,'[1]Tuyến cáp H04'!$B:$E,4,0)</f>
        <v>#N/A</v>
      </c>
    </row>
    <row r="767" spans="1:39" x14ac:dyDescent="0.25">
      <c r="A767" s="1" t="s">
        <v>7387</v>
      </c>
      <c r="B767" s="1" t="s">
        <v>7388</v>
      </c>
      <c r="C767" s="1" t="s">
        <v>7389</v>
      </c>
      <c r="D767" s="1" t="s">
        <v>7390</v>
      </c>
      <c r="E767" s="1" t="s">
        <v>7391</v>
      </c>
      <c r="F767" s="1" t="s">
        <v>7392</v>
      </c>
      <c r="G767" s="1" t="s">
        <v>14129</v>
      </c>
      <c r="H767" s="1" t="s">
        <v>14532</v>
      </c>
      <c r="I767" s="1" t="s">
        <v>14882</v>
      </c>
      <c r="J767" s="1" t="s">
        <v>23</v>
      </c>
      <c r="K767" s="1"/>
      <c r="L767" s="1" t="s">
        <v>7393</v>
      </c>
      <c r="M767" s="1" t="s">
        <v>7393</v>
      </c>
      <c r="N767" s="12" t="b">
        <f t="shared" si="55"/>
        <v>1</v>
      </c>
      <c r="O767" s="1" t="s">
        <v>7394</v>
      </c>
      <c r="P767" s="1" t="s">
        <v>7395</v>
      </c>
      <c r="Q767" s="1" t="s">
        <v>7396</v>
      </c>
      <c r="R767" s="1" t="s">
        <v>7397</v>
      </c>
      <c r="S767" s="1" t="s">
        <v>7398</v>
      </c>
      <c r="T767" s="1" t="s">
        <v>7399</v>
      </c>
      <c r="U767" s="1" t="s">
        <v>7400</v>
      </c>
      <c r="V767" s="13">
        <f>COUNTIF(L767:$M$1659,L767)</f>
        <v>4</v>
      </c>
      <c r="W767" s="1" t="s">
        <v>7401</v>
      </c>
      <c r="X767">
        <v>172.6</v>
      </c>
      <c r="Y767">
        <v>117.37</v>
      </c>
      <c r="Z767">
        <v>16.444255999999999</v>
      </c>
      <c r="AA767">
        <v>107.620498</v>
      </c>
      <c r="AB767">
        <v>55.23</v>
      </c>
      <c r="AC767">
        <v>16.449210999999998</v>
      </c>
      <c r="AD767">
        <v>107.607276</v>
      </c>
      <c r="AE767" s="5">
        <f t="shared" si="56"/>
        <v>0.17605500000000002</v>
      </c>
      <c r="AF767" s="5">
        <f t="shared" si="57"/>
        <v>8.2845000000000002E-2</v>
      </c>
      <c r="AG767" s="1" t="str">
        <f>TRIM(LEFT(L767,FIND("-",L767)-1))</f>
        <v>Ring 2 Phú Xuân</v>
      </c>
      <c r="AH767" s="1" t="str">
        <f>TRIM(RIGHT(L767, LEN(L767) - FIND("-", L767)))</f>
        <v>Hương Thủy</v>
      </c>
      <c r="AJ767">
        <f t="shared" si="58"/>
        <v>0.11737</v>
      </c>
      <c r="AK767">
        <f t="shared" si="59"/>
        <v>5.5229999999999994E-2</v>
      </c>
      <c r="AL767" t="e">
        <f>VLOOKUP(L767,'[1]Tuyến cáp H04'!$B:$E,3,0)/1000</f>
        <v>#N/A</v>
      </c>
      <c r="AM767" t="e">
        <f>VLOOKUP(L767,'[1]Tuyến cáp H04'!$B:$E,4,0)</f>
        <v>#N/A</v>
      </c>
    </row>
    <row r="768" spans="1:39" x14ac:dyDescent="0.25">
      <c r="A768" s="1" t="s">
        <v>7402</v>
      </c>
      <c r="B768" s="1" t="s">
        <v>7403</v>
      </c>
      <c r="C768" s="1" t="s">
        <v>7404</v>
      </c>
      <c r="D768" s="1" t="s">
        <v>6917</v>
      </c>
      <c r="E768" s="1" t="s">
        <v>6918</v>
      </c>
      <c r="F768" s="1" t="s">
        <v>7405</v>
      </c>
      <c r="G768" s="1" t="s">
        <v>14129</v>
      </c>
      <c r="H768" s="1" t="s">
        <v>14532</v>
      </c>
      <c r="I768" s="1" t="s">
        <v>14883</v>
      </c>
      <c r="J768" s="1" t="s">
        <v>23</v>
      </c>
      <c r="K768" s="1"/>
      <c r="L768" s="1" t="s">
        <v>7406</v>
      </c>
      <c r="M768" s="1" t="s">
        <v>7406</v>
      </c>
      <c r="N768" s="12" t="b">
        <f t="shared" si="55"/>
        <v>1</v>
      </c>
      <c r="O768" s="1" t="s">
        <v>7407</v>
      </c>
      <c r="P768" s="1" t="s">
        <v>7408</v>
      </c>
      <c r="Q768" s="1" t="s">
        <v>7409</v>
      </c>
      <c r="R768" s="1" t="s">
        <v>7410</v>
      </c>
      <c r="S768" s="1" t="s">
        <v>7411</v>
      </c>
      <c r="T768" s="1" t="s">
        <v>7412</v>
      </c>
      <c r="U768" s="1" t="s">
        <v>7413</v>
      </c>
      <c r="V768" s="13">
        <f>COUNTIF(L768:$M$1659,L768)</f>
        <v>22</v>
      </c>
      <c r="W768" s="1" t="s">
        <v>7414</v>
      </c>
      <c r="X768">
        <v>3057.31</v>
      </c>
      <c r="Y768">
        <v>2854.68</v>
      </c>
      <c r="Z768">
        <v>16.493091</v>
      </c>
      <c r="AA768">
        <v>107.594409</v>
      </c>
      <c r="AB768">
        <v>202.64</v>
      </c>
      <c r="AC768">
        <v>16.478172000000001</v>
      </c>
      <c r="AD768">
        <v>107.624154</v>
      </c>
      <c r="AE768" s="5">
        <f t="shared" si="56"/>
        <v>4.2820199999999993</v>
      </c>
      <c r="AF768" s="5">
        <f t="shared" si="57"/>
        <v>0.30395999999999995</v>
      </c>
      <c r="AG768" s="1" t="str">
        <f>TRIM(LEFT(L768,FIND("-",L768)-1))</f>
        <v>Ring 1 Phú Xuân</v>
      </c>
      <c r="AH768" s="1" t="str">
        <f>TRIM(RIGHT(L768, LEN(L768) - FIND("-", L768)))</f>
        <v>CAT TT Huế</v>
      </c>
      <c r="AJ768">
        <f t="shared" si="58"/>
        <v>2.8546799999999997</v>
      </c>
      <c r="AK768">
        <f t="shared" si="59"/>
        <v>0.20263999999999999</v>
      </c>
      <c r="AL768" t="e">
        <f>VLOOKUP(L768,'[1]Tuyến cáp H04'!$B:$E,3,0)/1000</f>
        <v>#N/A</v>
      </c>
      <c r="AM768" t="e">
        <f>VLOOKUP(L768,'[1]Tuyến cáp H04'!$B:$E,4,0)</f>
        <v>#N/A</v>
      </c>
    </row>
    <row r="769" spans="1:39" x14ac:dyDescent="0.25">
      <c r="A769" s="1" t="s">
        <v>7415</v>
      </c>
      <c r="B769" s="1" t="s">
        <v>7416</v>
      </c>
      <c r="C769" s="1" t="s">
        <v>7417</v>
      </c>
      <c r="D769" s="1" t="s">
        <v>7237</v>
      </c>
      <c r="E769" s="1" t="s">
        <v>7238</v>
      </c>
      <c r="F769" s="1" t="s">
        <v>7418</v>
      </c>
      <c r="G769" s="1" t="s">
        <v>14129</v>
      </c>
      <c r="H769" s="1" t="s">
        <v>14532</v>
      </c>
      <c r="I769" s="1" t="s">
        <v>14884</v>
      </c>
      <c r="J769" s="1" t="s">
        <v>23</v>
      </c>
      <c r="K769" s="1"/>
      <c r="L769" s="1" t="s">
        <v>7419</v>
      </c>
      <c r="M769" s="1" t="s">
        <v>7419</v>
      </c>
      <c r="N769" s="12" t="b">
        <f t="shared" si="55"/>
        <v>1</v>
      </c>
      <c r="O769" s="1" t="s">
        <v>7420</v>
      </c>
      <c r="P769" s="1" t="s">
        <v>7421</v>
      </c>
      <c r="Q769" s="1" t="s">
        <v>7422</v>
      </c>
      <c r="R769" s="1" t="s">
        <v>7423</v>
      </c>
      <c r="S769" s="1" t="s">
        <v>7424</v>
      </c>
      <c r="T769" s="1" t="s">
        <v>7425</v>
      </c>
      <c r="U769" s="1" t="s">
        <v>7426</v>
      </c>
      <c r="V769" s="13">
        <f>COUNTIF(L769:$M$1659,L769)</f>
        <v>8</v>
      </c>
      <c r="W769" s="1" t="s">
        <v>7427</v>
      </c>
      <c r="X769">
        <v>6923.49</v>
      </c>
      <c r="Y769">
        <v>6905.29</v>
      </c>
      <c r="Z769">
        <v>16.537220000000001</v>
      </c>
      <c r="AA769">
        <v>107.56147900000001</v>
      </c>
      <c r="AB769">
        <v>18.2</v>
      </c>
      <c r="AC769">
        <v>16.554478</v>
      </c>
      <c r="AD769">
        <v>107.58055</v>
      </c>
      <c r="AE769" s="5">
        <f t="shared" si="56"/>
        <v>10.357934999999999</v>
      </c>
      <c r="AF769" s="5">
        <f t="shared" si="57"/>
        <v>2.7299999999999998E-2</v>
      </c>
      <c r="AG769" s="1" t="str">
        <f>TRIM(LEFT(L769,FIND("-",L769)-1))</f>
        <v>Ring 7 TTCMKV Quảng Điền</v>
      </c>
      <c r="AH769" s="1" t="str">
        <f>TRIM(RIGHT(L769, LEN(L769) - FIND("-", L769)))</f>
        <v>Hóa Châu</v>
      </c>
      <c r="AJ769">
        <f t="shared" si="58"/>
        <v>6.9052899999999999</v>
      </c>
      <c r="AK769">
        <f t="shared" si="59"/>
        <v>1.8200000000000001E-2</v>
      </c>
      <c r="AL769" t="e">
        <f>VLOOKUP(L769,'[1]Tuyến cáp H04'!$B:$E,3,0)/1000</f>
        <v>#N/A</v>
      </c>
      <c r="AM769" t="e">
        <f>VLOOKUP(L769,'[1]Tuyến cáp H04'!$B:$E,4,0)</f>
        <v>#N/A</v>
      </c>
    </row>
    <row r="770" spans="1:39" x14ac:dyDescent="0.25">
      <c r="A770" s="1" t="s">
        <v>7428</v>
      </c>
      <c r="B770" s="1" t="s">
        <v>7047</v>
      </c>
      <c r="C770" s="1" t="s">
        <v>7048</v>
      </c>
      <c r="D770" s="1" t="s">
        <v>7045</v>
      </c>
      <c r="E770" s="1" t="s">
        <v>7046</v>
      </c>
      <c r="F770" s="1" t="s">
        <v>7429</v>
      </c>
      <c r="G770" s="1" t="s">
        <v>14129</v>
      </c>
      <c r="H770" s="1" t="s">
        <v>14532</v>
      </c>
      <c r="I770" s="1" t="s">
        <v>14885</v>
      </c>
      <c r="J770" s="1" t="s">
        <v>23</v>
      </c>
      <c r="K770" s="1"/>
      <c r="L770" s="1" t="s">
        <v>7050</v>
      </c>
      <c r="M770" s="1" t="s">
        <v>7050</v>
      </c>
      <c r="N770" s="12" t="b">
        <f t="shared" si="55"/>
        <v>1</v>
      </c>
      <c r="O770" s="1" t="s">
        <v>7051</v>
      </c>
      <c r="P770" s="1" t="s">
        <v>7055</v>
      </c>
      <c r="Q770" s="1" t="s">
        <v>7056</v>
      </c>
      <c r="R770" s="1" t="s">
        <v>7057</v>
      </c>
      <c r="S770" s="1" t="s">
        <v>7052</v>
      </c>
      <c r="T770" s="1" t="s">
        <v>7053</v>
      </c>
      <c r="U770" s="1" t="s">
        <v>7054</v>
      </c>
      <c r="V770" s="13">
        <f>COUNTIF(L770:$M$1659,L770)</f>
        <v>10</v>
      </c>
      <c r="W770" s="1" t="s">
        <v>7058</v>
      </c>
      <c r="X770">
        <v>346.19</v>
      </c>
      <c r="Y770">
        <v>332.22</v>
      </c>
      <c r="Z770">
        <v>16.475852</v>
      </c>
      <c r="AA770">
        <v>107.603185</v>
      </c>
      <c r="AB770">
        <v>13.97</v>
      </c>
      <c r="AC770">
        <v>16.475570999999999</v>
      </c>
      <c r="AD770">
        <v>107.60319</v>
      </c>
      <c r="AE770" s="5">
        <f t="shared" si="56"/>
        <v>0.49833000000000005</v>
      </c>
      <c r="AF770" s="5">
        <f t="shared" si="57"/>
        <v>2.0955000000000001E-2</v>
      </c>
      <c r="AG770" s="1" t="str">
        <f>TRIM(LEFT(L770,FIND("-",L770)-1))</f>
        <v>Ring 3 PA07</v>
      </c>
      <c r="AH770" s="1" t="str">
        <f>TRIM(RIGHT(L770, LEN(L770) - FIND("-", L770)))</f>
        <v>PC01</v>
      </c>
      <c r="AJ770">
        <f t="shared" si="58"/>
        <v>0.33222000000000002</v>
      </c>
      <c r="AK770">
        <f t="shared" si="59"/>
        <v>1.397E-2</v>
      </c>
      <c r="AL770" t="e">
        <f>VLOOKUP(L770,'[1]Tuyến cáp H04'!$B:$E,3,0)/1000</f>
        <v>#N/A</v>
      </c>
      <c r="AM770" t="e">
        <f>VLOOKUP(L770,'[1]Tuyến cáp H04'!$B:$E,4,0)</f>
        <v>#N/A</v>
      </c>
    </row>
    <row r="771" spans="1:39" x14ac:dyDescent="0.25">
      <c r="A771" s="1" t="s">
        <v>7428</v>
      </c>
      <c r="B771" s="1" t="s">
        <v>7047</v>
      </c>
      <c r="C771" s="1" t="s">
        <v>7048</v>
      </c>
      <c r="D771" s="1" t="s">
        <v>7045</v>
      </c>
      <c r="E771" s="1" t="s">
        <v>7046</v>
      </c>
      <c r="F771" s="1" t="s">
        <v>7430</v>
      </c>
      <c r="G771" s="1" t="s">
        <v>14129</v>
      </c>
      <c r="H771" s="1" t="s">
        <v>14532</v>
      </c>
      <c r="I771" s="1" t="s">
        <v>14886</v>
      </c>
      <c r="J771" s="1" t="s">
        <v>23</v>
      </c>
      <c r="K771" s="1"/>
      <c r="L771" s="1" t="s">
        <v>7050</v>
      </c>
      <c r="M771" s="1" t="s">
        <v>7050</v>
      </c>
      <c r="N771" s="12" t="b">
        <f t="shared" ref="N771:N834" si="60">L771=M771</f>
        <v>1</v>
      </c>
      <c r="O771" s="1" t="s">
        <v>7051</v>
      </c>
      <c r="P771" s="1" t="s">
        <v>7055</v>
      </c>
      <c r="Q771" s="1" t="s">
        <v>7056</v>
      </c>
      <c r="R771" s="1" t="s">
        <v>7057</v>
      </c>
      <c r="S771" s="1" t="s">
        <v>7052</v>
      </c>
      <c r="T771" s="1" t="s">
        <v>7053</v>
      </c>
      <c r="U771" s="1" t="s">
        <v>7054</v>
      </c>
      <c r="V771" s="13">
        <f>COUNTIF(L771:$M$1659,L771)</f>
        <v>8</v>
      </c>
      <c r="W771" s="1" t="s">
        <v>7058</v>
      </c>
      <c r="X771">
        <v>346.19</v>
      </c>
      <c r="Y771">
        <v>332.22</v>
      </c>
      <c r="Z771">
        <v>16.475852</v>
      </c>
      <c r="AA771">
        <v>107.603185</v>
      </c>
      <c r="AB771">
        <v>13.97</v>
      </c>
      <c r="AC771">
        <v>16.475570999999999</v>
      </c>
      <c r="AD771">
        <v>107.60319</v>
      </c>
      <c r="AE771" s="5">
        <f t="shared" ref="AE771:AE834" si="61">Y771*1.5/1000</f>
        <v>0.49833000000000005</v>
      </c>
      <c r="AF771" s="5">
        <f t="shared" ref="AF771:AF834" si="62">AB771*1.5/1000</f>
        <v>2.0955000000000001E-2</v>
      </c>
      <c r="AG771" s="1" t="str">
        <f>TRIM(LEFT(L771,FIND("-",L771)-1))</f>
        <v>Ring 3 PA07</v>
      </c>
      <c r="AH771" s="1" t="str">
        <f>TRIM(RIGHT(L771, LEN(L771) - FIND("-", L771)))</f>
        <v>PC01</v>
      </c>
      <c r="AJ771">
        <f t="shared" ref="AJ771:AJ834" si="63">Y771/1000</f>
        <v>0.33222000000000002</v>
      </c>
      <c r="AK771">
        <f t="shared" ref="AK771:AK834" si="64">AB771/1000</f>
        <v>1.397E-2</v>
      </c>
      <c r="AL771" t="e">
        <f>VLOOKUP(L771,'[1]Tuyến cáp H04'!$B:$E,3,0)/1000</f>
        <v>#N/A</v>
      </c>
      <c r="AM771" t="e">
        <f>VLOOKUP(L771,'[1]Tuyến cáp H04'!$B:$E,4,0)</f>
        <v>#N/A</v>
      </c>
    </row>
    <row r="772" spans="1:39" x14ac:dyDescent="0.25">
      <c r="A772" s="1" t="s">
        <v>7431</v>
      </c>
      <c r="B772" s="1" t="s">
        <v>7375</v>
      </c>
      <c r="C772" s="1" t="s">
        <v>7376</v>
      </c>
      <c r="D772" s="1" t="s">
        <v>7360</v>
      </c>
      <c r="E772" s="1" t="s">
        <v>7361</v>
      </c>
      <c r="F772" s="1" t="s">
        <v>7432</v>
      </c>
      <c r="G772" s="1" t="s">
        <v>14129</v>
      </c>
      <c r="H772" s="1" t="s">
        <v>14532</v>
      </c>
      <c r="I772" s="1" t="s">
        <v>14887</v>
      </c>
      <c r="J772" s="1" t="s">
        <v>23</v>
      </c>
      <c r="K772" s="1"/>
      <c r="L772" s="1" t="s">
        <v>7363</v>
      </c>
      <c r="M772" s="1" t="s">
        <v>7363</v>
      </c>
      <c r="N772" s="12" t="b">
        <f t="shared" si="60"/>
        <v>1</v>
      </c>
      <c r="O772" s="1" t="s">
        <v>7433</v>
      </c>
      <c r="P772" s="1" t="s">
        <v>7434</v>
      </c>
      <c r="Q772" s="1" t="s">
        <v>7435</v>
      </c>
      <c r="R772" s="1" t="s">
        <v>7436</v>
      </c>
      <c r="S772" s="1" t="s">
        <v>7365</v>
      </c>
      <c r="T772" s="1" t="s">
        <v>7366</v>
      </c>
      <c r="U772" s="1" t="s">
        <v>7367</v>
      </c>
      <c r="V772" s="13">
        <f>COUNTIF(L772:$M$1659,L772)</f>
        <v>10</v>
      </c>
      <c r="W772" s="1" t="s">
        <v>7371</v>
      </c>
      <c r="X772">
        <v>827.83</v>
      </c>
      <c r="Y772">
        <v>368.27</v>
      </c>
      <c r="Z772">
        <v>16.435271</v>
      </c>
      <c r="AA772">
        <v>107.600075</v>
      </c>
      <c r="AB772">
        <v>459.56</v>
      </c>
      <c r="AC772">
        <v>16.442993000000001</v>
      </c>
      <c r="AD772">
        <v>107.540175</v>
      </c>
      <c r="AE772" s="5">
        <f t="shared" si="61"/>
        <v>0.55240499999999992</v>
      </c>
      <c r="AF772" s="5">
        <f t="shared" si="62"/>
        <v>0.68934000000000006</v>
      </c>
      <c r="AG772" s="1" t="str">
        <f>TRIM(LEFT(L772,FIND("-",L772)-1))</f>
        <v>Ring 11 CAT Thừa Thiên Huế</v>
      </c>
      <c r="AH772" s="1" t="str">
        <f>TRIM(RIGHT(L772, LEN(L772) - FIND("-", L772)))</f>
        <v>Thủy Xuân</v>
      </c>
      <c r="AJ772">
        <f t="shared" si="63"/>
        <v>0.36826999999999999</v>
      </c>
      <c r="AK772">
        <f t="shared" si="64"/>
        <v>0.45956000000000002</v>
      </c>
      <c r="AL772" t="e">
        <f>VLOOKUP(L772,'[1]Tuyến cáp H04'!$B:$E,3,0)/1000</f>
        <v>#N/A</v>
      </c>
      <c r="AM772" t="e">
        <f>VLOOKUP(L772,'[1]Tuyến cáp H04'!$B:$E,4,0)</f>
        <v>#N/A</v>
      </c>
    </row>
    <row r="773" spans="1:39" x14ac:dyDescent="0.25">
      <c r="A773" s="1" t="s">
        <v>7437</v>
      </c>
      <c r="B773" s="1" t="s">
        <v>7438</v>
      </c>
      <c r="C773" s="1" t="s">
        <v>7439</v>
      </c>
      <c r="D773" s="1" t="s">
        <v>6917</v>
      </c>
      <c r="E773" s="1" t="s">
        <v>6918</v>
      </c>
      <c r="F773" s="1" t="s">
        <v>7440</v>
      </c>
      <c r="G773" s="1" t="s">
        <v>14129</v>
      </c>
      <c r="H773" s="1" t="s">
        <v>14532</v>
      </c>
      <c r="I773" s="1" t="s">
        <v>14888</v>
      </c>
      <c r="J773" s="1" t="s">
        <v>23</v>
      </c>
      <c r="K773" s="1"/>
      <c r="L773" s="1" t="s">
        <v>7065</v>
      </c>
      <c r="M773" s="1" t="s">
        <v>7065</v>
      </c>
      <c r="N773" s="12" t="b">
        <f t="shared" si="60"/>
        <v>1</v>
      </c>
      <c r="O773" s="1" t="s">
        <v>7441</v>
      </c>
      <c r="P773" s="1" t="s">
        <v>7442</v>
      </c>
      <c r="Q773" s="1" t="s">
        <v>7443</v>
      </c>
      <c r="R773" s="1" t="s">
        <v>7444</v>
      </c>
      <c r="S773" s="1" t="s">
        <v>7445</v>
      </c>
      <c r="T773" s="1" t="s">
        <v>7446</v>
      </c>
      <c r="U773" s="1" t="s">
        <v>7447</v>
      </c>
      <c r="V773" s="13">
        <f>COUNTIF(L773:$M$1659,L773)</f>
        <v>8</v>
      </c>
      <c r="W773" s="1" t="s">
        <v>7073</v>
      </c>
      <c r="X773">
        <v>2170.08</v>
      </c>
      <c r="Y773">
        <v>345.85</v>
      </c>
      <c r="Z773">
        <v>16.456904999999999</v>
      </c>
      <c r="AA773">
        <v>107.606543</v>
      </c>
      <c r="AB773">
        <v>1824.23</v>
      </c>
      <c r="AC773">
        <v>16.460649</v>
      </c>
      <c r="AD773">
        <v>107.624078</v>
      </c>
      <c r="AE773" s="5">
        <f t="shared" si="61"/>
        <v>0.5187750000000001</v>
      </c>
      <c r="AF773" s="5">
        <f t="shared" si="62"/>
        <v>2.7363450000000005</v>
      </c>
      <c r="AG773" s="1" t="str">
        <f>TRIM(LEFT(L773,FIND("-",L773)-1))</f>
        <v>TTCMKV_Ring 2_Phong Điền</v>
      </c>
      <c r="AH773" s="1" t="str">
        <f>TRIM(RIGHT(L773, LEN(L773) - FIND("-", L773)))</f>
        <v>CAT Huế mới</v>
      </c>
      <c r="AJ773">
        <f t="shared" si="63"/>
        <v>0.34585000000000005</v>
      </c>
      <c r="AK773">
        <f t="shared" si="64"/>
        <v>1.82423</v>
      </c>
      <c r="AL773" t="e">
        <f>VLOOKUP(L773,'[1]Tuyến cáp H04'!$B:$E,3,0)/1000</f>
        <v>#N/A</v>
      </c>
      <c r="AM773" t="e">
        <f>VLOOKUP(L773,'[1]Tuyến cáp H04'!$B:$E,4,0)</f>
        <v>#N/A</v>
      </c>
    </row>
    <row r="774" spans="1:39" x14ac:dyDescent="0.25">
      <c r="A774" s="1" t="s">
        <v>7448</v>
      </c>
      <c r="B774" s="1" t="s">
        <v>7449</v>
      </c>
      <c r="C774" s="1" t="s">
        <v>7450</v>
      </c>
      <c r="D774" s="1" t="s">
        <v>7449</v>
      </c>
      <c r="E774" s="1" t="s">
        <v>7450</v>
      </c>
      <c r="F774" s="1" t="s">
        <v>7451</v>
      </c>
      <c r="G774" s="1" t="s">
        <v>14129</v>
      </c>
      <c r="H774" s="1" t="s">
        <v>14532</v>
      </c>
      <c r="I774" s="1" t="s">
        <v>14889</v>
      </c>
      <c r="J774" s="1" t="s">
        <v>23</v>
      </c>
      <c r="K774" s="1"/>
      <c r="L774" s="1" t="s">
        <v>7452</v>
      </c>
      <c r="M774" s="1" t="s">
        <v>7452</v>
      </c>
      <c r="N774" s="12" t="b">
        <f t="shared" si="60"/>
        <v>1</v>
      </c>
      <c r="O774" s="1" t="s">
        <v>7453</v>
      </c>
      <c r="P774" s="1" t="s">
        <v>985</v>
      </c>
      <c r="Q774" s="1" t="s">
        <v>7454</v>
      </c>
      <c r="R774" s="1" t="s">
        <v>7455</v>
      </c>
      <c r="S774" s="1" t="s">
        <v>985</v>
      </c>
      <c r="T774" s="1" t="s">
        <v>7454</v>
      </c>
      <c r="U774" s="1" t="s">
        <v>7455</v>
      </c>
      <c r="V774" s="13">
        <f>COUNTIF(L774:$M$1659,L774)</f>
        <v>12</v>
      </c>
      <c r="W774" s="1" t="s">
        <v>7456</v>
      </c>
      <c r="X774">
        <v>39.700000000000003</v>
      </c>
      <c r="Y774">
        <v>19.850000000000001</v>
      </c>
      <c r="Z774">
        <v>16.423393999999998</v>
      </c>
      <c r="AA774">
        <v>107.588523</v>
      </c>
      <c r="AB774">
        <v>19.850000000000001</v>
      </c>
      <c r="AC774">
        <v>16.423393999999998</v>
      </c>
      <c r="AD774">
        <v>107.588523</v>
      </c>
      <c r="AE774" s="5">
        <f t="shared" si="61"/>
        <v>2.9775000000000003E-2</v>
      </c>
      <c r="AF774" s="5">
        <f t="shared" si="62"/>
        <v>2.9775000000000003E-2</v>
      </c>
      <c r="AG774" s="1" t="str">
        <f>TRIM(LEFT(L774,FIND("-",L774)-1))</f>
        <v>Ring 3 PC10</v>
      </c>
      <c r="AH774" s="1" t="str">
        <f>TRIM(RIGHT(L774, LEN(L774) - FIND("-", L774)))</f>
        <v>PC11</v>
      </c>
      <c r="AJ774">
        <f t="shared" si="63"/>
        <v>1.9850000000000003E-2</v>
      </c>
      <c r="AK774">
        <f t="shared" si="64"/>
        <v>1.9850000000000003E-2</v>
      </c>
      <c r="AL774" t="e">
        <f>VLOOKUP(L774,'[1]Tuyến cáp H04'!$B:$E,3,0)/1000</f>
        <v>#N/A</v>
      </c>
      <c r="AM774" t="e">
        <f>VLOOKUP(L774,'[1]Tuyến cáp H04'!$B:$E,4,0)</f>
        <v>#N/A</v>
      </c>
    </row>
    <row r="775" spans="1:39" x14ac:dyDescent="0.25">
      <c r="A775" s="1" t="s">
        <v>7457</v>
      </c>
      <c r="B775" s="1" t="s">
        <v>6989</v>
      </c>
      <c r="C775" s="1" t="s">
        <v>6990</v>
      </c>
      <c r="D775" s="1" t="s">
        <v>7153</v>
      </c>
      <c r="E775" s="1" t="s">
        <v>7154</v>
      </c>
      <c r="F775" s="1" t="s">
        <v>7155</v>
      </c>
      <c r="G775" s="1" t="s">
        <v>14129</v>
      </c>
      <c r="H775" s="1" t="s">
        <v>14532</v>
      </c>
      <c r="I775" s="1" t="s">
        <v>14866</v>
      </c>
      <c r="J775" s="1" t="s">
        <v>23</v>
      </c>
      <c r="K775" s="1"/>
      <c r="L775" s="1" t="s">
        <v>7156</v>
      </c>
      <c r="M775" s="1" t="s">
        <v>7156</v>
      </c>
      <c r="N775" s="12" t="b">
        <f t="shared" si="60"/>
        <v>1</v>
      </c>
      <c r="O775" s="1" t="s">
        <v>7458</v>
      </c>
      <c r="P775" s="1" t="s">
        <v>7459</v>
      </c>
      <c r="Q775" s="1" t="s">
        <v>7460</v>
      </c>
      <c r="R775" s="1" t="s">
        <v>7461</v>
      </c>
      <c r="S775" s="1" t="s">
        <v>7462</v>
      </c>
      <c r="T775" s="1" t="s">
        <v>7463</v>
      </c>
      <c r="U775" s="1" t="s">
        <v>7464</v>
      </c>
      <c r="V775" s="13">
        <f>COUNTIF(L775:$M$1659,L775)</f>
        <v>2</v>
      </c>
      <c r="W775" s="1" t="s">
        <v>7465</v>
      </c>
      <c r="X775">
        <v>2328.67</v>
      </c>
      <c r="Y775">
        <v>126.69</v>
      </c>
      <c r="Z775">
        <v>16.569879</v>
      </c>
      <c r="AA775">
        <v>107.513603</v>
      </c>
      <c r="AB775">
        <v>2201.98</v>
      </c>
      <c r="AC775">
        <v>16.579502999999999</v>
      </c>
      <c r="AD775">
        <v>107.587335</v>
      </c>
      <c r="AE775" s="5">
        <f t="shared" si="61"/>
        <v>0.19003500000000001</v>
      </c>
      <c r="AF775" s="5">
        <f t="shared" si="62"/>
        <v>3.3029700000000002</v>
      </c>
      <c r="AG775" s="1" t="str">
        <f>TRIM(LEFT(L775,FIND("-",L775)-1))</f>
        <v>Ring 4 Phong Quảng</v>
      </c>
      <c r="AH775" s="1" t="str">
        <f>TRIM(RIGHT(L775, LEN(L775) - FIND("-", L775)))</f>
        <v>TTCMKV Quảng
Điền</v>
      </c>
      <c r="AJ775">
        <f t="shared" si="63"/>
        <v>0.12669</v>
      </c>
      <c r="AK775">
        <f t="shared" si="64"/>
        <v>2.2019799999999998</v>
      </c>
      <c r="AL775" t="e">
        <f>VLOOKUP(L775,'[1]Tuyến cáp H04'!$B:$E,3,0)/1000</f>
        <v>#N/A</v>
      </c>
      <c r="AM775" t="e">
        <f>VLOOKUP(L775,'[1]Tuyến cáp H04'!$B:$E,4,0)</f>
        <v>#N/A</v>
      </c>
    </row>
    <row r="776" spans="1:39" x14ac:dyDescent="0.25">
      <c r="A776" s="1" t="s">
        <v>7466</v>
      </c>
      <c r="B776" s="1" t="s">
        <v>7360</v>
      </c>
      <c r="C776" s="1" t="s">
        <v>7361</v>
      </c>
      <c r="D776" s="1" t="s">
        <v>7467</v>
      </c>
      <c r="E776" s="1" t="s">
        <v>7468</v>
      </c>
      <c r="F776" s="1" t="s">
        <v>7469</v>
      </c>
      <c r="G776" s="1" t="s">
        <v>14129</v>
      </c>
      <c r="H776" s="1" t="s">
        <v>14532</v>
      </c>
      <c r="I776" s="1" t="s">
        <v>14890</v>
      </c>
      <c r="J776" s="1" t="s">
        <v>23</v>
      </c>
      <c r="K776" s="1"/>
      <c r="L776" s="1" t="s">
        <v>7363</v>
      </c>
      <c r="M776" s="1" t="s">
        <v>7363</v>
      </c>
      <c r="N776" s="12" t="b">
        <f t="shared" si="60"/>
        <v>1</v>
      </c>
      <c r="O776" s="1" t="s">
        <v>7470</v>
      </c>
      <c r="P776" s="1" t="s">
        <v>7365</v>
      </c>
      <c r="Q776" s="1" t="s">
        <v>7366</v>
      </c>
      <c r="R776" s="1" t="s">
        <v>7367</v>
      </c>
      <c r="S776" s="1" t="s">
        <v>7471</v>
      </c>
      <c r="T776" s="1" t="s">
        <v>7472</v>
      </c>
      <c r="U776" s="1" t="s">
        <v>7473</v>
      </c>
      <c r="V776" s="13">
        <f>COUNTIF(L776:$M$1659,L776)</f>
        <v>8</v>
      </c>
      <c r="W776" s="1" t="s">
        <v>7371</v>
      </c>
      <c r="X776">
        <v>560.17999999999995</v>
      </c>
      <c r="Y776">
        <v>459.56</v>
      </c>
      <c r="Z776">
        <v>16.442993000000001</v>
      </c>
      <c r="AA776">
        <v>107.540175</v>
      </c>
      <c r="AB776">
        <v>100.62</v>
      </c>
      <c r="AC776">
        <v>16.434708000000001</v>
      </c>
      <c r="AD776">
        <v>107.565218</v>
      </c>
      <c r="AE776" s="5">
        <f t="shared" si="61"/>
        <v>0.68934000000000006</v>
      </c>
      <c r="AF776" s="5">
        <f t="shared" si="62"/>
        <v>0.15093000000000001</v>
      </c>
      <c r="AG776" s="1" t="str">
        <f>TRIM(LEFT(L776,FIND("-",L776)-1))</f>
        <v>Ring 11 CAT Thừa Thiên Huế</v>
      </c>
      <c r="AH776" s="1" t="str">
        <f>TRIM(RIGHT(L776, LEN(L776) - FIND("-", L776)))</f>
        <v>Thủy Xuân</v>
      </c>
      <c r="AJ776">
        <f t="shared" si="63"/>
        <v>0.45956000000000002</v>
      </c>
      <c r="AK776">
        <f t="shared" si="64"/>
        <v>0.10062</v>
      </c>
      <c r="AL776" t="e">
        <f>VLOOKUP(L776,'[1]Tuyến cáp H04'!$B:$E,3,0)/1000</f>
        <v>#N/A</v>
      </c>
      <c r="AM776" t="e">
        <f>VLOOKUP(L776,'[1]Tuyến cáp H04'!$B:$E,4,0)</f>
        <v>#N/A</v>
      </c>
    </row>
    <row r="777" spans="1:39" x14ac:dyDescent="0.25">
      <c r="A777" s="1" t="s">
        <v>7474</v>
      </c>
      <c r="B777" s="1" t="s">
        <v>6917</v>
      </c>
      <c r="C777" s="1" t="s">
        <v>6918</v>
      </c>
      <c r="D777" s="1" t="s">
        <v>7475</v>
      </c>
      <c r="E777" s="1" t="s">
        <v>7476</v>
      </c>
      <c r="F777" s="1" t="s">
        <v>7477</v>
      </c>
      <c r="G777" s="1" t="s">
        <v>14129</v>
      </c>
      <c r="H777" s="1" t="s">
        <v>14532</v>
      </c>
      <c r="I777" s="1" t="s">
        <v>14891</v>
      </c>
      <c r="J777" s="1" t="s">
        <v>23</v>
      </c>
      <c r="K777" s="1"/>
      <c r="L777" s="1" t="s">
        <v>7478</v>
      </c>
      <c r="M777" s="1" t="s">
        <v>7478</v>
      </c>
      <c r="N777" s="12" t="b">
        <f t="shared" si="60"/>
        <v>1</v>
      </c>
      <c r="O777" s="1" t="s">
        <v>7479</v>
      </c>
      <c r="P777" s="1" t="s">
        <v>7480</v>
      </c>
      <c r="Q777" s="1" t="s">
        <v>7481</v>
      </c>
      <c r="R777" s="1" t="s">
        <v>7482</v>
      </c>
      <c r="S777" s="1" t="s">
        <v>7483</v>
      </c>
      <c r="T777" s="1" t="s">
        <v>7484</v>
      </c>
      <c r="U777" s="1" t="s">
        <v>7485</v>
      </c>
      <c r="V777" s="13">
        <f>COUNTIF(L777:$M$1659,L777)</f>
        <v>10</v>
      </c>
      <c r="W777" s="1" t="s">
        <v>7486</v>
      </c>
      <c r="X777">
        <v>4689.78</v>
      </c>
      <c r="Y777">
        <v>3828.14</v>
      </c>
      <c r="Z777">
        <v>16.478936999999998</v>
      </c>
      <c r="AA777">
        <v>107.58975599999999</v>
      </c>
      <c r="AB777">
        <v>861.64</v>
      </c>
      <c r="AC777">
        <v>16.460554999999999</v>
      </c>
      <c r="AD777">
        <v>107.569109</v>
      </c>
      <c r="AE777" s="5">
        <f t="shared" si="61"/>
        <v>5.74221</v>
      </c>
      <c r="AF777" s="5">
        <f t="shared" si="62"/>
        <v>1.2924599999999999</v>
      </c>
      <c r="AG777" s="1" t="str">
        <f>TRIM(LEFT(L777,FIND("-",L777)-1))</f>
        <v>PC04 (trung tâm cái nghiện)</v>
      </c>
      <c r="AH777" s="1" t="str">
        <f>TRIM(RIGHT(L777, LEN(L777) - FIND("-", L777)))</f>
        <v>Phú Xuân</v>
      </c>
      <c r="AJ777">
        <f t="shared" si="63"/>
        <v>3.8281399999999999</v>
      </c>
      <c r="AK777">
        <f t="shared" si="64"/>
        <v>0.86163999999999996</v>
      </c>
      <c r="AL777">
        <f>VLOOKUP(L777,'[1]Tuyến cáp H04'!$B:$E,3,0)/1000</f>
        <v>13.4</v>
      </c>
      <c r="AM777" t="str">
        <f>VLOOKUP(L777,'[1]Tuyến cáp H04'!$B:$E,4,0)</f>
        <v>Mạng cấp 3</v>
      </c>
    </row>
    <row r="778" spans="1:39" x14ac:dyDescent="0.25">
      <c r="A778" s="1" t="s">
        <v>7487</v>
      </c>
      <c r="B778" s="1" t="s">
        <v>6917</v>
      </c>
      <c r="C778" s="1" t="s">
        <v>6918</v>
      </c>
      <c r="D778" s="1" t="s">
        <v>7488</v>
      </c>
      <c r="E778" s="1" t="s">
        <v>7489</v>
      </c>
      <c r="F778" s="1" t="s">
        <v>7490</v>
      </c>
      <c r="G778" s="1" t="s">
        <v>14129</v>
      </c>
      <c r="H778" s="1" t="s">
        <v>14532</v>
      </c>
      <c r="I778" s="1" t="s">
        <v>14892</v>
      </c>
      <c r="J778" s="1" t="s">
        <v>23</v>
      </c>
      <c r="K778" s="1"/>
      <c r="L778" s="1" t="s">
        <v>7406</v>
      </c>
      <c r="M778" s="1" t="s">
        <v>7406</v>
      </c>
      <c r="N778" s="12" t="b">
        <f t="shared" si="60"/>
        <v>1</v>
      </c>
      <c r="O778" s="1" t="s">
        <v>7491</v>
      </c>
      <c r="P778" s="1" t="s">
        <v>7411</v>
      </c>
      <c r="Q778" s="1" t="s">
        <v>7412</v>
      </c>
      <c r="R778" s="1" t="s">
        <v>7413</v>
      </c>
      <c r="S778" s="1" t="s">
        <v>7492</v>
      </c>
      <c r="T778" s="1" t="s">
        <v>7409</v>
      </c>
      <c r="U778" s="1" t="s">
        <v>7410</v>
      </c>
      <c r="V778" s="13">
        <f>COUNTIF(L778:$M$1659,L778)</f>
        <v>20</v>
      </c>
      <c r="W778" s="1" t="s">
        <v>7414</v>
      </c>
      <c r="X778">
        <v>3845.7</v>
      </c>
      <c r="Y778">
        <v>202.64</v>
      </c>
      <c r="Z778">
        <v>16.478172000000001</v>
      </c>
      <c r="AA778">
        <v>107.624154</v>
      </c>
      <c r="AB778">
        <v>3643.07</v>
      </c>
      <c r="AC778">
        <v>16.493091</v>
      </c>
      <c r="AD778">
        <v>107.594409</v>
      </c>
      <c r="AE778" s="5">
        <f t="shared" si="61"/>
        <v>0.30395999999999995</v>
      </c>
      <c r="AF778" s="5">
        <f t="shared" si="62"/>
        <v>5.4646050000000006</v>
      </c>
      <c r="AG778" s="1" t="str">
        <f>TRIM(LEFT(L778,FIND("-",L778)-1))</f>
        <v>Ring 1 Phú Xuân</v>
      </c>
      <c r="AH778" s="1" t="str">
        <f>TRIM(RIGHT(L778, LEN(L778) - FIND("-", L778)))</f>
        <v>CAT TT Huế</v>
      </c>
      <c r="AJ778">
        <f t="shared" si="63"/>
        <v>0.20263999999999999</v>
      </c>
      <c r="AK778">
        <f t="shared" si="64"/>
        <v>3.6430700000000003</v>
      </c>
      <c r="AL778" t="e">
        <f>VLOOKUP(L778,'[1]Tuyến cáp H04'!$B:$E,3,0)/1000</f>
        <v>#N/A</v>
      </c>
      <c r="AM778" t="e">
        <f>VLOOKUP(L778,'[1]Tuyến cáp H04'!$B:$E,4,0)</f>
        <v>#N/A</v>
      </c>
    </row>
    <row r="779" spans="1:39" x14ac:dyDescent="0.25">
      <c r="A779" s="1" t="s">
        <v>7493</v>
      </c>
      <c r="B779" s="1" t="s">
        <v>7017</v>
      </c>
      <c r="C779" s="1" t="s">
        <v>7018</v>
      </c>
      <c r="D779" s="1" t="s">
        <v>7494</v>
      </c>
      <c r="E779" s="1" t="s">
        <v>7495</v>
      </c>
      <c r="F779" s="1" t="s">
        <v>7496</v>
      </c>
      <c r="G779" s="1" t="s">
        <v>14129</v>
      </c>
      <c r="H779" s="1" t="s">
        <v>14532</v>
      </c>
      <c r="I779" s="1" t="s">
        <v>14893</v>
      </c>
      <c r="J779" s="1" t="s">
        <v>23</v>
      </c>
      <c r="K779" s="1"/>
      <c r="L779" s="1" t="s">
        <v>7478</v>
      </c>
      <c r="M779" s="1" t="s">
        <v>7478</v>
      </c>
      <c r="N779" s="12" t="b">
        <f t="shared" si="60"/>
        <v>1</v>
      </c>
      <c r="O779" s="1" t="s">
        <v>7497</v>
      </c>
      <c r="P779" s="1" t="s">
        <v>7498</v>
      </c>
      <c r="Q779" s="1" t="s">
        <v>7499</v>
      </c>
      <c r="R779" s="1" t="s">
        <v>7500</v>
      </c>
      <c r="S779" s="1" t="s">
        <v>7501</v>
      </c>
      <c r="T779" s="1" t="s">
        <v>7502</v>
      </c>
      <c r="U779" s="1" t="s">
        <v>7503</v>
      </c>
      <c r="V779" s="13">
        <f>COUNTIF(L779:$M$1659,L779)</f>
        <v>8</v>
      </c>
      <c r="W779" s="1" t="s">
        <v>7504</v>
      </c>
      <c r="X779">
        <v>812.4</v>
      </c>
      <c r="Y779">
        <v>21.39</v>
      </c>
      <c r="Z779">
        <v>16.487358</v>
      </c>
      <c r="AA779">
        <v>107.587509</v>
      </c>
      <c r="AB779">
        <v>791.01</v>
      </c>
      <c r="AC779">
        <v>16.479980000000001</v>
      </c>
      <c r="AD779">
        <v>107.585702</v>
      </c>
      <c r="AE779" s="5">
        <f t="shared" si="61"/>
        <v>3.2085000000000002E-2</v>
      </c>
      <c r="AF779" s="5">
        <f t="shared" si="62"/>
        <v>1.1865149999999998</v>
      </c>
      <c r="AG779" s="1" t="str">
        <f>TRIM(LEFT(L779,FIND("-",L779)-1))</f>
        <v>PC04 (trung tâm cái nghiện)</v>
      </c>
      <c r="AH779" s="1" t="str">
        <f>TRIM(RIGHT(L779, LEN(L779) - FIND("-", L779)))</f>
        <v>Phú Xuân</v>
      </c>
      <c r="AJ779">
        <f t="shared" si="63"/>
        <v>2.1389999999999999E-2</v>
      </c>
      <c r="AK779">
        <f t="shared" si="64"/>
        <v>0.79100999999999999</v>
      </c>
      <c r="AL779">
        <f>VLOOKUP(L779,'[1]Tuyến cáp H04'!$B:$E,3,0)/1000</f>
        <v>13.4</v>
      </c>
      <c r="AM779" t="str">
        <f>VLOOKUP(L779,'[1]Tuyến cáp H04'!$B:$E,4,0)</f>
        <v>Mạng cấp 3</v>
      </c>
    </row>
    <row r="780" spans="1:39" x14ac:dyDescent="0.25">
      <c r="A780" s="1" t="s">
        <v>7505</v>
      </c>
      <c r="B780" s="1" t="s">
        <v>7506</v>
      </c>
      <c r="C780" s="1" t="s">
        <v>7507</v>
      </c>
      <c r="D780" s="1" t="s">
        <v>6989</v>
      </c>
      <c r="E780" s="1" t="s">
        <v>6990</v>
      </c>
      <c r="F780" s="1" t="s">
        <v>7508</v>
      </c>
      <c r="G780" s="1" t="s">
        <v>14129</v>
      </c>
      <c r="H780" s="1" t="s">
        <v>14532</v>
      </c>
      <c r="I780" s="1" t="s">
        <v>14894</v>
      </c>
      <c r="J780" s="1" t="s">
        <v>23</v>
      </c>
      <c r="K780" s="1"/>
      <c r="L780" s="1" t="s">
        <v>7509</v>
      </c>
      <c r="M780" s="1" t="s">
        <v>7509</v>
      </c>
      <c r="N780" s="12" t="b">
        <f t="shared" si="60"/>
        <v>1</v>
      </c>
      <c r="O780" s="1" t="s">
        <v>7510</v>
      </c>
      <c r="P780" s="1" t="s">
        <v>7511</v>
      </c>
      <c r="Q780" s="1" t="s">
        <v>7512</v>
      </c>
      <c r="R780" s="1" t="s">
        <v>7513</v>
      </c>
      <c r="S780" s="1" t="s">
        <v>7514</v>
      </c>
      <c r="T780" s="1" t="s">
        <v>7515</v>
      </c>
      <c r="U780" s="1" t="s">
        <v>7516</v>
      </c>
      <c r="V780" s="13">
        <f>COUNTIF(L780:$M$1659,L780)</f>
        <v>12</v>
      </c>
      <c r="W780" s="1" t="s">
        <v>7517</v>
      </c>
      <c r="X780">
        <v>5064.17</v>
      </c>
      <c r="Y780">
        <v>5010.4399999999996</v>
      </c>
      <c r="Z780">
        <v>16.579530999999999</v>
      </c>
      <c r="AA780">
        <v>107.513243</v>
      </c>
      <c r="AB780">
        <v>53.73</v>
      </c>
      <c r="AC780">
        <v>16.569082999999999</v>
      </c>
      <c r="AD780">
        <v>107.513955</v>
      </c>
      <c r="AE780" s="5">
        <f t="shared" si="61"/>
        <v>7.5156599999999996</v>
      </c>
      <c r="AF780" s="5">
        <f t="shared" si="62"/>
        <v>8.0595E-2</v>
      </c>
      <c r="AG780" s="1" t="str">
        <f>TRIM(LEFT(L780,FIND("-",L780)-1))</f>
        <v>Ring 3_Phong Dinh</v>
      </c>
      <c r="AH780" s="1" t="str">
        <f>TRIM(RIGHT(L780, LEN(L780) - FIND("-", L780)))</f>
        <v>TTCMKV Quảng Điền</v>
      </c>
      <c r="AJ780">
        <f t="shared" si="63"/>
        <v>5.01044</v>
      </c>
      <c r="AK780">
        <f t="shared" si="64"/>
        <v>5.373E-2</v>
      </c>
      <c r="AL780" t="e">
        <f>VLOOKUP(L780,'[1]Tuyến cáp H04'!$B:$E,3,0)/1000</f>
        <v>#N/A</v>
      </c>
      <c r="AM780" t="e">
        <f>VLOOKUP(L780,'[1]Tuyến cáp H04'!$B:$E,4,0)</f>
        <v>#N/A</v>
      </c>
    </row>
    <row r="781" spans="1:39" x14ac:dyDescent="0.25">
      <c r="A781" s="1" t="s">
        <v>7518</v>
      </c>
      <c r="B781" s="1" t="s">
        <v>7519</v>
      </c>
      <c r="C781" s="1" t="s">
        <v>7520</v>
      </c>
      <c r="D781" s="1" t="s">
        <v>7521</v>
      </c>
      <c r="E781" s="1" t="s">
        <v>7522</v>
      </c>
      <c r="F781" s="1" t="s">
        <v>7523</v>
      </c>
      <c r="G781" s="1" t="s">
        <v>14129</v>
      </c>
      <c r="H781" s="1" t="s">
        <v>14532</v>
      </c>
      <c r="I781" s="1" t="s">
        <v>14895</v>
      </c>
      <c r="J781" s="1" t="s">
        <v>23</v>
      </c>
      <c r="K781" s="1"/>
      <c r="L781" s="1" t="s">
        <v>7524</v>
      </c>
      <c r="M781" s="1" t="s">
        <v>7524</v>
      </c>
      <c r="N781" s="12" t="b">
        <f t="shared" si="60"/>
        <v>1</v>
      </c>
      <c r="O781" s="1" t="s">
        <v>7525</v>
      </c>
      <c r="P781" s="1" t="s">
        <v>7526</v>
      </c>
      <c r="Q781" s="1" t="s">
        <v>7527</v>
      </c>
      <c r="R781" s="1" t="s">
        <v>7528</v>
      </c>
      <c r="S781" s="1" t="s">
        <v>7529</v>
      </c>
      <c r="T781" s="1" t="s">
        <v>7530</v>
      </c>
      <c r="U781" s="1" t="s">
        <v>7531</v>
      </c>
      <c r="V781" s="13">
        <f>COUNTIF(L781:$M$1659,L781)</f>
        <v>2</v>
      </c>
      <c r="W781" s="1" t="s">
        <v>7532</v>
      </c>
      <c r="X781">
        <v>190.52</v>
      </c>
      <c r="Y781">
        <v>157.80000000000001</v>
      </c>
      <c r="Z781">
        <v>16.452960999999998</v>
      </c>
      <c r="AA781">
        <v>107.592315</v>
      </c>
      <c r="AB781">
        <v>32.72</v>
      </c>
      <c r="AC781">
        <v>16.45111</v>
      </c>
      <c r="AD781">
        <v>107.589151</v>
      </c>
      <c r="AE781" s="5">
        <f t="shared" si="61"/>
        <v>0.23670000000000002</v>
      </c>
      <c r="AF781" s="5">
        <f t="shared" si="62"/>
        <v>4.9079999999999999E-2</v>
      </c>
      <c r="AG781" s="1" t="str">
        <f>TRIM(LEFT(L781,FIND("-",L781)-1))</f>
        <v>Ring 9 CAT Thừa Thiên Huế</v>
      </c>
      <c r="AH781" s="1" t="str">
        <f>TRIM(RIGHT(L781, LEN(L781) - FIND("-", L781)))</f>
        <v>Thuận Hóa</v>
      </c>
      <c r="AJ781">
        <f t="shared" si="63"/>
        <v>0.15780000000000002</v>
      </c>
      <c r="AK781">
        <f t="shared" si="64"/>
        <v>3.2719999999999999E-2</v>
      </c>
      <c r="AL781" t="e">
        <f>VLOOKUP(L781,'[1]Tuyến cáp H04'!$B:$E,3,0)/1000</f>
        <v>#N/A</v>
      </c>
      <c r="AM781" t="e">
        <f>VLOOKUP(L781,'[1]Tuyến cáp H04'!$B:$E,4,0)</f>
        <v>#N/A</v>
      </c>
    </row>
    <row r="782" spans="1:39" x14ac:dyDescent="0.25">
      <c r="A782" s="1" t="s">
        <v>7431</v>
      </c>
      <c r="B782" s="1" t="s">
        <v>7375</v>
      </c>
      <c r="C782" s="1" t="s">
        <v>7376</v>
      </c>
      <c r="D782" s="1" t="s">
        <v>7360</v>
      </c>
      <c r="E782" s="1" t="s">
        <v>7361</v>
      </c>
      <c r="F782" s="1" t="s">
        <v>7533</v>
      </c>
      <c r="G782" s="1" t="s">
        <v>14129</v>
      </c>
      <c r="H782" s="1" t="s">
        <v>14532</v>
      </c>
      <c r="I782" s="1" t="s">
        <v>14896</v>
      </c>
      <c r="J782" s="1" t="s">
        <v>23</v>
      </c>
      <c r="K782" s="1"/>
      <c r="L782" s="1" t="s">
        <v>7363</v>
      </c>
      <c r="M782" s="1" t="s">
        <v>7363</v>
      </c>
      <c r="N782" s="12" t="b">
        <f t="shared" si="60"/>
        <v>1</v>
      </c>
      <c r="O782" s="1" t="s">
        <v>7433</v>
      </c>
      <c r="P782" s="1" t="s">
        <v>7434</v>
      </c>
      <c r="Q782" s="1" t="s">
        <v>7435</v>
      </c>
      <c r="R782" s="1" t="s">
        <v>7436</v>
      </c>
      <c r="S782" s="1" t="s">
        <v>7365</v>
      </c>
      <c r="T782" s="1" t="s">
        <v>7366</v>
      </c>
      <c r="U782" s="1" t="s">
        <v>7367</v>
      </c>
      <c r="V782" s="13">
        <f>COUNTIF(L782:$M$1659,L782)</f>
        <v>6</v>
      </c>
      <c r="W782" s="1" t="s">
        <v>7371</v>
      </c>
      <c r="X782">
        <v>827.83</v>
      </c>
      <c r="Y782">
        <v>368.27</v>
      </c>
      <c r="Z782">
        <v>16.435271</v>
      </c>
      <c r="AA782">
        <v>107.600075</v>
      </c>
      <c r="AB782">
        <v>459.56</v>
      </c>
      <c r="AC782">
        <v>16.442993000000001</v>
      </c>
      <c r="AD782">
        <v>107.540175</v>
      </c>
      <c r="AE782" s="5">
        <f t="shared" si="61"/>
        <v>0.55240499999999992</v>
      </c>
      <c r="AF782" s="5">
        <f t="shared" si="62"/>
        <v>0.68934000000000006</v>
      </c>
      <c r="AG782" s="1" t="str">
        <f>TRIM(LEFT(L782,FIND("-",L782)-1))</f>
        <v>Ring 11 CAT Thừa Thiên Huế</v>
      </c>
      <c r="AH782" s="1" t="str">
        <f>TRIM(RIGHT(L782, LEN(L782) - FIND("-", L782)))</f>
        <v>Thủy Xuân</v>
      </c>
      <c r="AJ782">
        <f t="shared" si="63"/>
        <v>0.36826999999999999</v>
      </c>
      <c r="AK782">
        <f t="shared" si="64"/>
        <v>0.45956000000000002</v>
      </c>
      <c r="AL782" t="e">
        <f>VLOOKUP(L782,'[1]Tuyến cáp H04'!$B:$E,3,0)/1000</f>
        <v>#N/A</v>
      </c>
      <c r="AM782" t="e">
        <f>VLOOKUP(L782,'[1]Tuyến cáp H04'!$B:$E,4,0)</f>
        <v>#N/A</v>
      </c>
    </row>
    <row r="783" spans="1:39" x14ac:dyDescent="0.25">
      <c r="A783" s="1" t="s">
        <v>7534</v>
      </c>
      <c r="B783" s="1" t="s">
        <v>7535</v>
      </c>
      <c r="C783" s="1" t="s">
        <v>7536</v>
      </c>
      <c r="D783" s="1" t="s">
        <v>7449</v>
      </c>
      <c r="E783" s="1" t="s">
        <v>7450</v>
      </c>
      <c r="F783" s="1" t="s">
        <v>7537</v>
      </c>
      <c r="G783" s="1" t="s">
        <v>14129</v>
      </c>
      <c r="H783" s="1" t="s">
        <v>14532</v>
      </c>
      <c r="I783" s="1" t="s">
        <v>14897</v>
      </c>
      <c r="J783" s="1" t="s">
        <v>23</v>
      </c>
      <c r="K783" s="1"/>
      <c r="L783" s="1" t="s">
        <v>7452</v>
      </c>
      <c r="M783" s="1" t="s">
        <v>7452</v>
      </c>
      <c r="N783" s="12" t="b">
        <f t="shared" si="60"/>
        <v>1</v>
      </c>
      <c r="O783" s="1" t="s">
        <v>7538</v>
      </c>
      <c r="P783" s="1" t="s">
        <v>7539</v>
      </c>
      <c r="Q783" s="1" t="s">
        <v>7540</v>
      </c>
      <c r="R783" s="1" t="s">
        <v>7541</v>
      </c>
      <c r="S783" s="1" t="s">
        <v>7542</v>
      </c>
      <c r="T783" s="1" t="s">
        <v>7543</v>
      </c>
      <c r="U783" s="1" t="s">
        <v>7544</v>
      </c>
      <c r="V783" s="13">
        <f>COUNTIF(L783:$M$1659,L783)</f>
        <v>10</v>
      </c>
      <c r="W783" s="1" t="s">
        <v>7545</v>
      </c>
      <c r="X783">
        <v>2596.1</v>
      </c>
      <c r="Y783">
        <v>1787.78</v>
      </c>
      <c r="Z783">
        <v>16.451485000000002</v>
      </c>
      <c r="AA783">
        <v>107.57438</v>
      </c>
      <c r="AB783">
        <v>808.32</v>
      </c>
      <c r="AC783">
        <v>16.430464000000001</v>
      </c>
      <c r="AD783">
        <v>107.58719000000001</v>
      </c>
      <c r="AE783" s="5">
        <f t="shared" si="61"/>
        <v>2.68167</v>
      </c>
      <c r="AF783" s="5">
        <f t="shared" si="62"/>
        <v>1.21248</v>
      </c>
      <c r="AG783" s="1" t="str">
        <f>TRIM(LEFT(L783,FIND("-",L783)-1))</f>
        <v>Ring 3 PC10</v>
      </c>
      <c r="AH783" s="1" t="str">
        <f>TRIM(RIGHT(L783, LEN(L783) - FIND("-", L783)))</f>
        <v>PC11</v>
      </c>
      <c r="AJ783">
        <f t="shared" si="63"/>
        <v>1.7877799999999999</v>
      </c>
      <c r="AK783">
        <f t="shared" si="64"/>
        <v>0.80832000000000004</v>
      </c>
      <c r="AL783" t="e">
        <f>VLOOKUP(L783,'[1]Tuyến cáp H04'!$B:$E,3,0)/1000</f>
        <v>#N/A</v>
      </c>
      <c r="AM783" t="e">
        <f>VLOOKUP(L783,'[1]Tuyến cáp H04'!$B:$E,4,0)</f>
        <v>#N/A</v>
      </c>
    </row>
    <row r="784" spans="1:39" x14ac:dyDescent="0.25">
      <c r="A784" s="1" t="s">
        <v>7546</v>
      </c>
      <c r="B784" s="1" t="s">
        <v>7467</v>
      </c>
      <c r="C784" s="1" t="s">
        <v>7468</v>
      </c>
      <c r="D784" s="1" t="s">
        <v>7360</v>
      </c>
      <c r="E784" s="1" t="s">
        <v>7361</v>
      </c>
      <c r="F784" s="1" t="s">
        <v>7547</v>
      </c>
      <c r="G784" s="1" t="s">
        <v>14129</v>
      </c>
      <c r="H784" s="1" t="s">
        <v>14532</v>
      </c>
      <c r="I784" s="1" t="s">
        <v>14898</v>
      </c>
      <c r="J784" s="1" t="s">
        <v>23</v>
      </c>
      <c r="K784" s="1"/>
      <c r="L784" s="1" t="s">
        <v>7363</v>
      </c>
      <c r="M784" s="1" t="s">
        <v>7363</v>
      </c>
      <c r="N784" s="12" t="b">
        <f t="shared" si="60"/>
        <v>1</v>
      </c>
      <c r="O784" s="1" t="s">
        <v>7470</v>
      </c>
      <c r="P784" s="1" t="s">
        <v>7471</v>
      </c>
      <c r="Q784" s="1" t="s">
        <v>7472</v>
      </c>
      <c r="R784" s="1" t="s">
        <v>7473</v>
      </c>
      <c r="S784" s="1" t="s">
        <v>7365</v>
      </c>
      <c r="T784" s="1" t="s">
        <v>7366</v>
      </c>
      <c r="U784" s="1" t="s">
        <v>7367</v>
      </c>
      <c r="V784" s="13">
        <f>COUNTIF(L784:$M$1659,L784)</f>
        <v>4</v>
      </c>
      <c r="W784" s="1" t="s">
        <v>7371</v>
      </c>
      <c r="X784">
        <v>560.17999999999995</v>
      </c>
      <c r="Y784">
        <v>100.62</v>
      </c>
      <c r="Z784">
        <v>16.434708000000001</v>
      </c>
      <c r="AA784">
        <v>107.565218</v>
      </c>
      <c r="AB784">
        <v>459.56</v>
      </c>
      <c r="AC784">
        <v>16.442993000000001</v>
      </c>
      <c r="AD784">
        <v>107.540175</v>
      </c>
      <c r="AE784" s="5">
        <f t="shared" si="61"/>
        <v>0.15093000000000001</v>
      </c>
      <c r="AF784" s="5">
        <f t="shared" si="62"/>
        <v>0.68934000000000006</v>
      </c>
      <c r="AG784" s="1" t="str">
        <f>TRIM(LEFT(L784,FIND("-",L784)-1))</f>
        <v>Ring 11 CAT Thừa Thiên Huế</v>
      </c>
      <c r="AH784" s="1" t="str">
        <f>TRIM(RIGHT(L784, LEN(L784) - FIND("-", L784)))</f>
        <v>Thủy Xuân</v>
      </c>
      <c r="AJ784">
        <f t="shared" si="63"/>
        <v>0.10062</v>
      </c>
      <c r="AK784">
        <f t="shared" si="64"/>
        <v>0.45956000000000002</v>
      </c>
      <c r="AL784" t="e">
        <f>VLOOKUP(L784,'[1]Tuyến cáp H04'!$B:$E,3,0)/1000</f>
        <v>#N/A</v>
      </c>
      <c r="AM784" t="e">
        <f>VLOOKUP(L784,'[1]Tuyến cáp H04'!$B:$E,4,0)</f>
        <v>#N/A</v>
      </c>
    </row>
    <row r="785" spans="1:39" x14ac:dyDescent="0.25">
      <c r="A785" s="1" t="s">
        <v>7402</v>
      </c>
      <c r="B785" s="1" t="s">
        <v>7416</v>
      </c>
      <c r="C785" s="1" t="s">
        <v>7417</v>
      </c>
      <c r="D785" s="1" t="s">
        <v>6917</v>
      </c>
      <c r="E785" s="1" t="s">
        <v>6918</v>
      </c>
      <c r="F785" s="1" t="s">
        <v>7548</v>
      </c>
      <c r="G785" s="1" t="s">
        <v>14129</v>
      </c>
      <c r="H785" s="1" t="s">
        <v>14532</v>
      </c>
      <c r="I785" s="1" t="s">
        <v>14899</v>
      </c>
      <c r="J785" s="1" t="s">
        <v>23</v>
      </c>
      <c r="K785" s="1"/>
      <c r="L785" s="1" t="s">
        <v>7406</v>
      </c>
      <c r="M785" s="1" t="s">
        <v>7406</v>
      </c>
      <c r="N785" s="12" t="b">
        <f t="shared" si="60"/>
        <v>1</v>
      </c>
      <c r="O785" s="1" t="s">
        <v>7549</v>
      </c>
      <c r="P785" s="1" t="s">
        <v>7550</v>
      </c>
      <c r="Q785" s="1" t="s">
        <v>7409</v>
      </c>
      <c r="R785" s="1" t="s">
        <v>7410</v>
      </c>
      <c r="S785" s="1" t="s">
        <v>7411</v>
      </c>
      <c r="T785" s="1" t="s">
        <v>7412</v>
      </c>
      <c r="U785" s="1" t="s">
        <v>7413</v>
      </c>
      <c r="V785" s="13">
        <f>COUNTIF(L785:$M$1659,L785)</f>
        <v>18</v>
      </c>
      <c r="W785" s="1" t="s">
        <v>7414</v>
      </c>
      <c r="X785">
        <v>4278.71</v>
      </c>
      <c r="Y785">
        <v>4076.07</v>
      </c>
      <c r="Z785">
        <v>16.493091</v>
      </c>
      <c r="AA785">
        <v>107.594409</v>
      </c>
      <c r="AB785">
        <v>202.64</v>
      </c>
      <c r="AC785">
        <v>16.478172000000001</v>
      </c>
      <c r="AD785">
        <v>107.624154</v>
      </c>
      <c r="AE785" s="5">
        <f t="shared" si="61"/>
        <v>6.1141050000000003</v>
      </c>
      <c r="AF785" s="5">
        <f t="shared" si="62"/>
        <v>0.30395999999999995</v>
      </c>
      <c r="AG785" s="1" t="str">
        <f>TRIM(LEFT(L785,FIND("-",L785)-1))</f>
        <v>Ring 1 Phú Xuân</v>
      </c>
      <c r="AH785" s="1" t="str">
        <f>TRIM(RIGHT(L785, LEN(L785) - FIND("-", L785)))</f>
        <v>CAT TT Huế</v>
      </c>
      <c r="AJ785">
        <f t="shared" si="63"/>
        <v>4.0760700000000005</v>
      </c>
      <c r="AK785">
        <f t="shared" si="64"/>
        <v>0.20263999999999999</v>
      </c>
      <c r="AL785" t="e">
        <f>VLOOKUP(L785,'[1]Tuyến cáp H04'!$B:$E,3,0)/1000</f>
        <v>#N/A</v>
      </c>
      <c r="AM785" t="e">
        <f>VLOOKUP(L785,'[1]Tuyến cáp H04'!$B:$E,4,0)</f>
        <v>#N/A</v>
      </c>
    </row>
    <row r="786" spans="1:39" x14ac:dyDescent="0.25">
      <c r="A786" s="1" t="s">
        <v>7551</v>
      </c>
      <c r="B786" s="1" t="s">
        <v>7552</v>
      </c>
      <c r="C786" s="1" t="s">
        <v>7553</v>
      </c>
      <c r="D786" s="1" t="s">
        <v>7449</v>
      </c>
      <c r="E786" s="1" t="s">
        <v>7450</v>
      </c>
      <c r="F786" s="1" t="s">
        <v>7554</v>
      </c>
      <c r="G786" s="1" t="s">
        <v>14129</v>
      </c>
      <c r="H786" s="1" t="s">
        <v>14532</v>
      </c>
      <c r="I786" s="1" t="s">
        <v>14900</v>
      </c>
      <c r="J786" s="1" t="s">
        <v>23</v>
      </c>
      <c r="K786" s="1"/>
      <c r="L786" s="1" t="s">
        <v>7452</v>
      </c>
      <c r="M786" s="1" t="s">
        <v>7452</v>
      </c>
      <c r="N786" s="12" t="b">
        <f t="shared" si="60"/>
        <v>1</v>
      </c>
      <c r="O786" s="1" t="s">
        <v>7555</v>
      </c>
      <c r="P786" s="1" t="s">
        <v>7556</v>
      </c>
      <c r="Q786" s="1" t="s">
        <v>7540</v>
      </c>
      <c r="R786" s="1" t="s">
        <v>7541</v>
      </c>
      <c r="S786" s="1" t="s">
        <v>7542</v>
      </c>
      <c r="T786" s="1" t="s">
        <v>7543</v>
      </c>
      <c r="U786" s="1" t="s">
        <v>7544</v>
      </c>
      <c r="V786" s="13">
        <f>COUNTIF(L786:$M$1659,L786)</f>
        <v>8</v>
      </c>
      <c r="W786" s="1" t="s">
        <v>7545</v>
      </c>
      <c r="X786">
        <v>1195.21</v>
      </c>
      <c r="Y786">
        <v>386.89</v>
      </c>
      <c r="Z786">
        <v>16.451485000000002</v>
      </c>
      <c r="AA786">
        <v>107.57438</v>
      </c>
      <c r="AB786">
        <v>808.32</v>
      </c>
      <c r="AC786">
        <v>16.430464000000001</v>
      </c>
      <c r="AD786">
        <v>107.58719000000001</v>
      </c>
      <c r="AE786" s="5">
        <f t="shared" si="61"/>
        <v>0.58033500000000005</v>
      </c>
      <c r="AF786" s="5">
        <f t="shared" si="62"/>
        <v>1.21248</v>
      </c>
      <c r="AG786" s="1" t="str">
        <f>TRIM(LEFT(L786,FIND("-",L786)-1))</f>
        <v>Ring 3 PC10</v>
      </c>
      <c r="AH786" s="1" t="str">
        <f>TRIM(RIGHT(L786, LEN(L786) - FIND("-", L786)))</f>
        <v>PC11</v>
      </c>
      <c r="AJ786">
        <f t="shared" si="63"/>
        <v>0.38689000000000001</v>
      </c>
      <c r="AK786">
        <f t="shared" si="64"/>
        <v>0.80832000000000004</v>
      </c>
      <c r="AL786" t="e">
        <f>VLOOKUP(L786,'[1]Tuyến cáp H04'!$B:$E,3,0)/1000</f>
        <v>#N/A</v>
      </c>
      <c r="AM786" t="e">
        <f>VLOOKUP(L786,'[1]Tuyến cáp H04'!$B:$E,4,0)</f>
        <v>#N/A</v>
      </c>
    </row>
    <row r="787" spans="1:39" x14ac:dyDescent="0.25">
      <c r="A787" s="1" t="s">
        <v>7557</v>
      </c>
      <c r="B787" s="1" t="s">
        <v>7558</v>
      </c>
      <c r="C787" s="1" t="s">
        <v>7404</v>
      </c>
      <c r="D787" s="1" t="s">
        <v>6917</v>
      </c>
      <c r="E787" s="1" t="s">
        <v>6918</v>
      </c>
      <c r="F787" s="1" t="s">
        <v>7559</v>
      </c>
      <c r="G787" s="1" t="s">
        <v>14129</v>
      </c>
      <c r="H787" s="1" t="s">
        <v>14532</v>
      </c>
      <c r="I787" s="1" t="s">
        <v>14901</v>
      </c>
      <c r="J787" s="1" t="s">
        <v>23</v>
      </c>
      <c r="K787" s="1"/>
      <c r="L787" s="1" t="s">
        <v>7406</v>
      </c>
      <c r="M787" s="1" t="s">
        <v>7406</v>
      </c>
      <c r="N787" s="12" t="b">
        <f t="shared" si="60"/>
        <v>1</v>
      </c>
      <c r="O787" s="1" t="s">
        <v>7560</v>
      </c>
      <c r="P787" s="1" t="s">
        <v>7561</v>
      </c>
      <c r="Q787" s="1" t="s">
        <v>7409</v>
      </c>
      <c r="R787" s="1" t="s">
        <v>7410</v>
      </c>
      <c r="S787" s="1" t="s">
        <v>7411</v>
      </c>
      <c r="T787" s="1" t="s">
        <v>7412</v>
      </c>
      <c r="U787" s="1" t="s">
        <v>7413</v>
      </c>
      <c r="V787" s="13">
        <f>COUNTIF(L787:$M$1659,L787)</f>
        <v>16</v>
      </c>
      <c r="W787" s="1" t="s">
        <v>7414</v>
      </c>
      <c r="X787">
        <v>4315.8500000000004</v>
      </c>
      <c r="Y787">
        <v>4113.21</v>
      </c>
      <c r="Z787">
        <v>16.493091</v>
      </c>
      <c r="AA787">
        <v>107.594409</v>
      </c>
      <c r="AB787">
        <v>202.64</v>
      </c>
      <c r="AC787">
        <v>16.478172000000001</v>
      </c>
      <c r="AD787">
        <v>107.624154</v>
      </c>
      <c r="AE787" s="5">
        <f t="shared" si="61"/>
        <v>6.1698150000000007</v>
      </c>
      <c r="AF787" s="5">
        <f t="shared" si="62"/>
        <v>0.30395999999999995</v>
      </c>
      <c r="AG787" s="1" t="str">
        <f>TRIM(LEFT(L787,FIND("-",L787)-1))</f>
        <v>Ring 1 Phú Xuân</v>
      </c>
      <c r="AH787" s="1" t="str">
        <f>TRIM(RIGHT(L787, LEN(L787) - FIND("-", L787)))</f>
        <v>CAT TT Huế</v>
      </c>
      <c r="AJ787">
        <f t="shared" si="63"/>
        <v>4.1132100000000005</v>
      </c>
      <c r="AK787">
        <f t="shared" si="64"/>
        <v>0.20263999999999999</v>
      </c>
      <c r="AL787" t="e">
        <f>VLOOKUP(L787,'[1]Tuyến cáp H04'!$B:$E,3,0)/1000</f>
        <v>#N/A</v>
      </c>
      <c r="AM787" t="e">
        <f>VLOOKUP(L787,'[1]Tuyến cáp H04'!$B:$E,4,0)</f>
        <v>#N/A</v>
      </c>
    </row>
    <row r="788" spans="1:39" x14ac:dyDescent="0.25">
      <c r="A788" s="1" t="s">
        <v>7562</v>
      </c>
      <c r="B788" s="1" t="s">
        <v>7403</v>
      </c>
      <c r="C788" s="1" t="s">
        <v>7404</v>
      </c>
      <c r="D788" s="1" t="s">
        <v>6989</v>
      </c>
      <c r="E788" s="1" t="s">
        <v>6990</v>
      </c>
      <c r="F788" s="1" t="s">
        <v>7563</v>
      </c>
      <c r="G788" s="1" t="s">
        <v>14129</v>
      </c>
      <c r="H788" s="1" t="s">
        <v>14532</v>
      </c>
      <c r="I788" s="1" t="s">
        <v>14902</v>
      </c>
      <c r="J788" s="1" t="s">
        <v>23</v>
      </c>
      <c r="K788" s="1"/>
      <c r="L788" s="1" t="s">
        <v>6980</v>
      </c>
      <c r="M788" s="1" t="s">
        <v>6980</v>
      </c>
      <c r="N788" s="12" t="b">
        <f t="shared" si="60"/>
        <v>1</v>
      </c>
      <c r="O788" s="1" t="s">
        <v>7564</v>
      </c>
      <c r="P788" s="1" t="s">
        <v>7565</v>
      </c>
      <c r="Q788" s="1" t="s">
        <v>7201</v>
      </c>
      <c r="R788" s="1" t="s">
        <v>7202</v>
      </c>
      <c r="S788" s="1" t="s">
        <v>7566</v>
      </c>
      <c r="T788" s="1" t="s">
        <v>7567</v>
      </c>
      <c r="U788" s="1" t="s">
        <v>7568</v>
      </c>
      <c r="V788" s="13">
        <f>COUNTIF(L788:$M$1659,L788)</f>
        <v>8</v>
      </c>
      <c r="W788" s="1" t="s">
        <v>6985</v>
      </c>
      <c r="X788">
        <v>5227.7</v>
      </c>
      <c r="Y788">
        <v>5158.09</v>
      </c>
      <c r="Z788">
        <v>16.491365999999999</v>
      </c>
      <c r="AA788">
        <v>107.521095</v>
      </c>
      <c r="AB788">
        <v>69.61</v>
      </c>
      <c r="AC788">
        <v>16.568549999999998</v>
      </c>
      <c r="AD788">
        <v>107.514222</v>
      </c>
      <c r="AE788" s="5">
        <f t="shared" si="61"/>
        <v>7.7371350000000003</v>
      </c>
      <c r="AF788" s="5">
        <f t="shared" si="62"/>
        <v>0.10441499999999999</v>
      </c>
      <c r="AG788" s="1" t="str">
        <f>TRIM(LEFT(L788,FIND("-",L788)-1))</f>
        <v>Ring 6 TTCMKV Quảng Điền</v>
      </c>
      <c r="AH788" s="1" t="str">
        <f>TRIM(RIGHT(L788, LEN(L788) - FIND("-", L788)))</f>
        <v>Kim Trà</v>
      </c>
      <c r="AJ788">
        <f t="shared" si="63"/>
        <v>5.1580900000000005</v>
      </c>
      <c r="AK788">
        <f t="shared" si="64"/>
        <v>6.9610000000000005E-2</v>
      </c>
      <c r="AL788" t="e">
        <f>VLOOKUP(L788,'[1]Tuyến cáp H04'!$B:$E,3,0)/1000</f>
        <v>#N/A</v>
      </c>
      <c r="AM788" t="e">
        <f>VLOOKUP(L788,'[1]Tuyến cáp H04'!$B:$E,4,0)</f>
        <v>#N/A</v>
      </c>
    </row>
    <row r="789" spans="1:39" x14ac:dyDescent="0.25">
      <c r="A789" s="1" t="s">
        <v>7402</v>
      </c>
      <c r="B789" s="1" t="s">
        <v>7416</v>
      </c>
      <c r="C789" s="1" t="s">
        <v>7417</v>
      </c>
      <c r="D789" s="1" t="s">
        <v>6917</v>
      </c>
      <c r="E789" s="1" t="s">
        <v>6918</v>
      </c>
      <c r="F789" s="1" t="s">
        <v>7569</v>
      </c>
      <c r="G789" s="1" t="s">
        <v>14129</v>
      </c>
      <c r="H789" s="1" t="s">
        <v>14532</v>
      </c>
      <c r="I789" s="1" t="s">
        <v>14903</v>
      </c>
      <c r="J789" s="1" t="s">
        <v>23</v>
      </c>
      <c r="K789" s="1"/>
      <c r="L789" s="1" t="s">
        <v>7406</v>
      </c>
      <c r="M789" s="1" t="s">
        <v>7406</v>
      </c>
      <c r="N789" s="12" t="b">
        <f t="shared" si="60"/>
        <v>1</v>
      </c>
      <c r="O789" s="1" t="s">
        <v>7549</v>
      </c>
      <c r="P789" s="1" t="s">
        <v>7550</v>
      </c>
      <c r="Q789" s="1" t="s">
        <v>7409</v>
      </c>
      <c r="R789" s="1" t="s">
        <v>7410</v>
      </c>
      <c r="S789" s="1" t="s">
        <v>7411</v>
      </c>
      <c r="T789" s="1" t="s">
        <v>7412</v>
      </c>
      <c r="U789" s="1" t="s">
        <v>7413</v>
      </c>
      <c r="V789" s="13">
        <f>COUNTIF(L789:$M$1659,L789)</f>
        <v>14</v>
      </c>
      <c r="W789" s="1" t="s">
        <v>7414</v>
      </c>
      <c r="X789">
        <v>4278.71</v>
      </c>
      <c r="Y789">
        <v>4076.07</v>
      </c>
      <c r="Z789">
        <v>16.493091</v>
      </c>
      <c r="AA789">
        <v>107.594409</v>
      </c>
      <c r="AB789">
        <v>202.64</v>
      </c>
      <c r="AC789">
        <v>16.478172000000001</v>
      </c>
      <c r="AD789">
        <v>107.624154</v>
      </c>
      <c r="AE789" s="5">
        <f t="shared" si="61"/>
        <v>6.1141050000000003</v>
      </c>
      <c r="AF789" s="5">
        <f t="shared" si="62"/>
        <v>0.30395999999999995</v>
      </c>
      <c r="AG789" s="1" t="str">
        <f>TRIM(LEFT(L789,FIND("-",L789)-1))</f>
        <v>Ring 1 Phú Xuân</v>
      </c>
      <c r="AH789" s="1" t="str">
        <f>TRIM(RIGHT(L789, LEN(L789) - FIND("-", L789)))</f>
        <v>CAT TT Huế</v>
      </c>
      <c r="AJ789">
        <f t="shared" si="63"/>
        <v>4.0760700000000005</v>
      </c>
      <c r="AK789">
        <f t="shared" si="64"/>
        <v>0.20263999999999999</v>
      </c>
      <c r="AL789" t="e">
        <f>VLOOKUP(L789,'[1]Tuyến cáp H04'!$B:$E,3,0)/1000</f>
        <v>#N/A</v>
      </c>
      <c r="AM789" t="e">
        <f>VLOOKUP(L789,'[1]Tuyến cáp H04'!$B:$E,4,0)</f>
        <v>#N/A</v>
      </c>
    </row>
    <row r="790" spans="1:39" x14ac:dyDescent="0.25">
      <c r="A790" s="1" t="s">
        <v>7570</v>
      </c>
      <c r="B790" s="1" t="s">
        <v>6989</v>
      </c>
      <c r="C790" s="1" t="s">
        <v>6990</v>
      </c>
      <c r="D790" s="1" t="s">
        <v>7571</v>
      </c>
      <c r="E790" s="1" t="s">
        <v>7572</v>
      </c>
      <c r="F790" s="1" t="s">
        <v>7573</v>
      </c>
      <c r="G790" s="1" t="s">
        <v>14129</v>
      </c>
      <c r="H790" s="1" t="s">
        <v>14532</v>
      </c>
      <c r="I790" s="1" t="s">
        <v>14904</v>
      </c>
      <c r="J790" s="1" t="s">
        <v>23</v>
      </c>
      <c r="K790" s="1"/>
      <c r="L790" s="1" t="s">
        <v>7419</v>
      </c>
      <c r="M790" s="1" t="s">
        <v>7419</v>
      </c>
      <c r="N790" s="12" t="b">
        <f t="shared" si="60"/>
        <v>1</v>
      </c>
      <c r="O790" s="1" t="s">
        <v>7574</v>
      </c>
      <c r="P790" s="1" t="s">
        <v>7575</v>
      </c>
      <c r="Q790" s="1" t="s">
        <v>7576</v>
      </c>
      <c r="R790" s="1" t="s">
        <v>7577</v>
      </c>
      <c r="S790" s="1" t="s">
        <v>7578</v>
      </c>
      <c r="T790" s="1" t="s">
        <v>7422</v>
      </c>
      <c r="U790" s="1" t="s">
        <v>7423</v>
      </c>
      <c r="V790" s="13">
        <f>COUNTIF(L790:$M$1659,L790)</f>
        <v>6</v>
      </c>
      <c r="W790" s="1" t="s">
        <v>7427</v>
      </c>
      <c r="X790">
        <v>4485.49</v>
      </c>
      <c r="Y790">
        <v>65.89</v>
      </c>
      <c r="Z790">
        <v>16.568567999999999</v>
      </c>
      <c r="AA790">
        <v>107.51419199999999</v>
      </c>
      <c r="AB790">
        <v>4419.6000000000004</v>
      </c>
      <c r="AC790">
        <v>16.537220000000001</v>
      </c>
      <c r="AD790">
        <v>107.56147900000001</v>
      </c>
      <c r="AE790" s="5">
        <f t="shared" si="61"/>
        <v>9.8835000000000006E-2</v>
      </c>
      <c r="AF790" s="5">
        <f t="shared" si="62"/>
        <v>6.6294000000000004</v>
      </c>
      <c r="AG790" s="1" t="str">
        <f>TRIM(LEFT(L790,FIND("-",L790)-1))</f>
        <v>Ring 7 TTCMKV Quảng Điền</v>
      </c>
      <c r="AH790" s="1" t="str">
        <f>TRIM(RIGHT(L790, LEN(L790) - FIND("-", L790)))</f>
        <v>Hóa Châu</v>
      </c>
      <c r="AJ790">
        <f t="shared" si="63"/>
        <v>6.5890000000000004E-2</v>
      </c>
      <c r="AK790">
        <f t="shared" si="64"/>
        <v>4.4196</v>
      </c>
      <c r="AL790" t="e">
        <f>VLOOKUP(L790,'[1]Tuyến cáp H04'!$B:$E,3,0)/1000</f>
        <v>#N/A</v>
      </c>
      <c r="AM790" t="e">
        <f>VLOOKUP(L790,'[1]Tuyến cáp H04'!$B:$E,4,0)</f>
        <v>#N/A</v>
      </c>
    </row>
    <row r="791" spans="1:39" x14ac:dyDescent="0.25">
      <c r="A791" s="1" t="s">
        <v>7579</v>
      </c>
      <c r="B791" s="1" t="s">
        <v>7151</v>
      </c>
      <c r="C791" s="1" t="s">
        <v>7152</v>
      </c>
      <c r="D791" s="1" t="s">
        <v>7580</v>
      </c>
      <c r="E791" s="1" t="s">
        <v>7581</v>
      </c>
      <c r="F791" s="1" t="s">
        <v>7582</v>
      </c>
      <c r="G791" s="1" t="s">
        <v>14129</v>
      </c>
      <c r="H791" s="1" t="s">
        <v>14532</v>
      </c>
      <c r="I791" s="1" t="s">
        <v>14905</v>
      </c>
      <c r="J791" s="1" t="s">
        <v>23</v>
      </c>
      <c r="K791" s="1"/>
      <c r="L791" s="1" t="s">
        <v>7583</v>
      </c>
      <c r="M791" s="1" t="s">
        <v>7583</v>
      </c>
      <c r="N791" s="12" t="b">
        <f t="shared" si="60"/>
        <v>1</v>
      </c>
      <c r="O791" s="1" t="s">
        <v>7584</v>
      </c>
      <c r="P791" s="1" t="s">
        <v>7585</v>
      </c>
      <c r="Q791" s="1" t="s">
        <v>7586</v>
      </c>
      <c r="R791" s="1" t="s">
        <v>7587</v>
      </c>
      <c r="S791" s="1" t="s">
        <v>7588</v>
      </c>
      <c r="T791" s="1" t="s">
        <v>7589</v>
      </c>
      <c r="U791" s="1" t="s">
        <v>7590</v>
      </c>
      <c r="V791" s="13">
        <f>COUNTIF(L791:$M$1659,L791)</f>
        <v>2</v>
      </c>
      <c r="W791" s="1" t="s">
        <v>7591</v>
      </c>
      <c r="X791">
        <v>253.75</v>
      </c>
      <c r="Y791">
        <v>67.099999999999994</v>
      </c>
      <c r="Z791">
        <v>16.668462999999999</v>
      </c>
      <c r="AA791">
        <v>107.478875</v>
      </c>
      <c r="AB791">
        <v>186.65</v>
      </c>
      <c r="AC791">
        <v>16.684887</v>
      </c>
      <c r="AD791">
        <v>107.41278200000001</v>
      </c>
      <c r="AE791" s="5">
        <f t="shared" si="61"/>
        <v>0.10064999999999999</v>
      </c>
      <c r="AF791" s="5">
        <f t="shared" si="62"/>
        <v>0.27997500000000003</v>
      </c>
      <c r="AG791" s="1" t="str">
        <f>TRIM(LEFT(L791,FIND("-",L791)-1))</f>
        <v>Ring 4 Phong Phú</v>
      </c>
      <c r="AH791" s="1" t="str">
        <f>TRIM(RIGHT(L791, LEN(L791) - FIND("-", L791)))</f>
        <v>Phong Quảng</v>
      </c>
      <c r="AJ791">
        <f t="shared" si="63"/>
        <v>6.7099999999999993E-2</v>
      </c>
      <c r="AK791">
        <f t="shared" si="64"/>
        <v>0.18665000000000001</v>
      </c>
      <c r="AL791" t="e">
        <f>VLOOKUP(L791,'[1]Tuyến cáp H04'!$B:$E,3,0)/1000</f>
        <v>#N/A</v>
      </c>
      <c r="AM791" t="e">
        <f>VLOOKUP(L791,'[1]Tuyến cáp H04'!$B:$E,4,0)</f>
        <v>#N/A</v>
      </c>
    </row>
    <row r="792" spans="1:39" x14ac:dyDescent="0.25">
      <c r="A792" s="1" t="s">
        <v>7592</v>
      </c>
      <c r="B792" s="1" t="s">
        <v>6989</v>
      </c>
      <c r="C792" s="1" t="s">
        <v>6990</v>
      </c>
      <c r="D792" s="1" t="s">
        <v>7593</v>
      </c>
      <c r="E792" s="1" t="s">
        <v>7594</v>
      </c>
      <c r="F792" s="1" t="s">
        <v>7595</v>
      </c>
      <c r="G792" s="1" t="s">
        <v>14129</v>
      </c>
      <c r="H792" s="1" t="s">
        <v>14532</v>
      </c>
      <c r="I792" s="1" t="s">
        <v>14906</v>
      </c>
      <c r="J792" s="1" t="s">
        <v>23</v>
      </c>
      <c r="K792" s="1"/>
      <c r="L792" s="1" t="s">
        <v>7596</v>
      </c>
      <c r="M792" s="1" t="s">
        <v>7596</v>
      </c>
      <c r="N792" s="12" t="b">
        <f t="shared" si="60"/>
        <v>1</v>
      </c>
      <c r="O792" s="1" t="s">
        <v>7597</v>
      </c>
      <c r="P792" s="1" t="s">
        <v>7598</v>
      </c>
      <c r="Q792" s="1" t="s">
        <v>7599</v>
      </c>
      <c r="R792" s="1" t="s">
        <v>7600</v>
      </c>
      <c r="S792" s="1" t="s">
        <v>7601</v>
      </c>
      <c r="T792" s="1" t="s">
        <v>7602</v>
      </c>
      <c r="U792" s="1" t="s">
        <v>7603</v>
      </c>
      <c r="V792" s="13">
        <f>COUNTIF(L792:$M$1659,L792)</f>
        <v>8</v>
      </c>
      <c r="W792" s="1" t="s">
        <v>7604</v>
      </c>
      <c r="X792">
        <v>1022.75</v>
      </c>
      <c r="Y792">
        <v>93.33</v>
      </c>
      <c r="Z792">
        <v>16.569545999999999</v>
      </c>
      <c r="AA792">
        <v>107.513842</v>
      </c>
      <c r="AB792">
        <v>929.42</v>
      </c>
      <c r="AC792">
        <v>16.544543999999998</v>
      </c>
      <c r="AD792">
        <v>107.49599600000001</v>
      </c>
      <c r="AE792" s="5">
        <f t="shared" si="61"/>
        <v>0.13999500000000001</v>
      </c>
      <c r="AF792" s="5">
        <f t="shared" si="62"/>
        <v>1.3941299999999999</v>
      </c>
      <c r="AG792" s="1" t="str">
        <f>TRIM(LEFT(L792,FIND("-",L792)-1))</f>
        <v>Ring 5 Đan Điền</v>
      </c>
      <c r="AH792" s="1" t="str">
        <f>TRIM(RIGHT(L792, LEN(L792) - FIND("-", L792)))</f>
        <v>Quảng Điền</v>
      </c>
      <c r="AJ792">
        <f t="shared" si="63"/>
        <v>9.3329999999999996E-2</v>
      </c>
      <c r="AK792">
        <f t="shared" si="64"/>
        <v>0.92941999999999991</v>
      </c>
      <c r="AL792" t="e">
        <f>VLOOKUP(L792,'[1]Tuyến cáp H04'!$B:$E,3,0)/1000</f>
        <v>#N/A</v>
      </c>
      <c r="AM792" t="e">
        <f>VLOOKUP(L792,'[1]Tuyến cáp H04'!$B:$E,4,0)</f>
        <v>#N/A</v>
      </c>
    </row>
    <row r="793" spans="1:39" x14ac:dyDescent="0.25">
      <c r="A793" s="1" t="s">
        <v>7605</v>
      </c>
      <c r="B793" s="1" t="s">
        <v>6989</v>
      </c>
      <c r="C793" s="1" t="s">
        <v>6990</v>
      </c>
      <c r="D793" s="1" t="s">
        <v>7606</v>
      </c>
      <c r="E793" s="1" t="s">
        <v>7607</v>
      </c>
      <c r="F793" s="1" t="s">
        <v>7608</v>
      </c>
      <c r="G793" s="1" t="s">
        <v>14129</v>
      </c>
      <c r="H793" s="1" t="s">
        <v>14532</v>
      </c>
      <c r="I793" s="1" t="s">
        <v>14907</v>
      </c>
      <c r="J793" s="1" t="s">
        <v>23</v>
      </c>
      <c r="K793" s="1"/>
      <c r="L793" s="1" t="s">
        <v>7596</v>
      </c>
      <c r="M793" s="1" t="s">
        <v>7596</v>
      </c>
      <c r="N793" s="12" t="b">
        <f t="shared" si="60"/>
        <v>1</v>
      </c>
      <c r="O793" s="1" t="s">
        <v>7609</v>
      </c>
      <c r="P793" s="1" t="s">
        <v>7598</v>
      </c>
      <c r="Q793" s="1" t="s">
        <v>7599</v>
      </c>
      <c r="R793" s="1" t="s">
        <v>7600</v>
      </c>
      <c r="S793" s="1" t="s">
        <v>7610</v>
      </c>
      <c r="T793" s="1" t="s">
        <v>7611</v>
      </c>
      <c r="U793" s="1" t="s">
        <v>7612</v>
      </c>
      <c r="V793" s="13">
        <f>COUNTIF(L793:$M$1659,L793)</f>
        <v>6</v>
      </c>
      <c r="W793" s="1" t="s">
        <v>7604</v>
      </c>
      <c r="X793">
        <v>566.15</v>
      </c>
      <c r="Y793">
        <v>93.33</v>
      </c>
      <c r="Z793">
        <v>16.569545999999999</v>
      </c>
      <c r="AA793">
        <v>107.513842</v>
      </c>
      <c r="AB793">
        <v>472.82</v>
      </c>
      <c r="AC793">
        <v>16.542021999999999</v>
      </c>
      <c r="AD793">
        <v>107.497739</v>
      </c>
      <c r="AE793" s="5">
        <f t="shared" si="61"/>
        <v>0.13999500000000001</v>
      </c>
      <c r="AF793" s="5">
        <f t="shared" si="62"/>
        <v>0.70923000000000003</v>
      </c>
      <c r="AG793" s="1" t="str">
        <f>TRIM(LEFT(L793,FIND("-",L793)-1))</f>
        <v>Ring 5 Đan Điền</v>
      </c>
      <c r="AH793" s="1" t="str">
        <f>TRIM(RIGHT(L793, LEN(L793) - FIND("-", L793)))</f>
        <v>Quảng Điền</v>
      </c>
      <c r="AJ793">
        <f t="shared" si="63"/>
        <v>9.3329999999999996E-2</v>
      </c>
      <c r="AK793">
        <f t="shared" si="64"/>
        <v>0.47282000000000002</v>
      </c>
      <c r="AL793" t="e">
        <f>VLOOKUP(L793,'[1]Tuyến cáp H04'!$B:$E,3,0)/1000</f>
        <v>#N/A</v>
      </c>
      <c r="AM793" t="e">
        <f>VLOOKUP(L793,'[1]Tuyến cáp H04'!$B:$E,4,0)</f>
        <v>#N/A</v>
      </c>
    </row>
    <row r="794" spans="1:39" x14ac:dyDescent="0.25">
      <c r="A794" s="1" t="s">
        <v>7613</v>
      </c>
      <c r="B794" s="1" t="s">
        <v>6962</v>
      </c>
      <c r="C794" s="1" t="s">
        <v>6963</v>
      </c>
      <c r="D794" s="1" t="s">
        <v>7614</v>
      </c>
      <c r="E794" s="1" t="s">
        <v>7615</v>
      </c>
      <c r="F794" s="1" t="s">
        <v>7616</v>
      </c>
      <c r="G794" s="1" t="s">
        <v>14129</v>
      </c>
      <c r="H794" s="1" t="s">
        <v>14532</v>
      </c>
      <c r="I794" s="1" t="s">
        <v>14908</v>
      </c>
      <c r="J794" s="1" t="s">
        <v>23</v>
      </c>
      <c r="K794" s="1"/>
      <c r="L794" s="1" t="s">
        <v>7093</v>
      </c>
      <c r="M794" s="1" t="s">
        <v>7093</v>
      </c>
      <c r="N794" s="12" t="b">
        <f t="shared" si="60"/>
        <v>1</v>
      </c>
      <c r="O794" s="1" t="s">
        <v>7617</v>
      </c>
      <c r="P794" s="1" t="s">
        <v>7618</v>
      </c>
      <c r="Q794" s="1" t="s">
        <v>7132</v>
      </c>
      <c r="R794" s="1" t="s">
        <v>7133</v>
      </c>
      <c r="S794" s="1" t="s">
        <v>7619</v>
      </c>
      <c r="T794" s="1" t="s">
        <v>7620</v>
      </c>
      <c r="U794" s="1" t="s">
        <v>7621</v>
      </c>
      <c r="V794" s="13">
        <f>COUNTIF(L794:$M$1659,L794)</f>
        <v>4</v>
      </c>
      <c r="W794" s="1" t="s">
        <v>7101</v>
      </c>
      <c r="X794">
        <v>967.32</v>
      </c>
      <c r="Y794">
        <v>281.56</v>
      </c>
      <c r="Z794">
        <v>16.410385999999999</v>
      </c>
      <c r="AA794">
        <v>107.679068</v>
      </c>
      <c r="AB794">
        <v>685.77</v>
      </c>
      <c r="AC794">
        <v>16.400524000000001</v>
      </c>
      <c r="AD794">
        <v>107.620839</v>
      </c>
      <c r="AE794" s="5">
        <f t="shared" si="61"/>
        <v>0.42234000000000005</v>
      </c>
      <c r="AF794" s="5">
        <f t="shared" si="62"/>
        <v>1.0286549999999999</v>
      </c>
      <c r="AG794" s="1" t="str">
        <f>TRIM(LEFT(L794,FIND("-",L794)-1))</f>
        <v>Ring 12_Bình Điền</v>
      </c>
      <c r="AH794" s="1" t="str">
        <f>TRIM(RIGHT(L794, LEN(L794) - FIND("-", L794)))</f>
        <v>TTCMKV Hương Thủy</v>
      </c>
      <c r="AJ794">
        <f t="shared" si="63"/>
        <v>0.28155999999999998</v>
      </c>
      <c r="AK794">
        <f t="shared" si="64"/>
        <v>0.68576999999999999</v>
      </c>
      <c r="AL794" t="e">
        <f>VLOOKUP(L794,'[1]Tuyến cáp H04'!$B:$E,3,0)/1000</f>
        <v>#N/A</v>
      </c>
      <c r="AM794" t="e">
        <f>VLOOKUP(L794,'[1]Tuyến cáp H04'!$B:$E,4,0)</f>
        <v>#N/A</v>
      </c>
    </row>
    <row r="795" spans="1:39" x14ac:dyDescent="0.25">
      <c r="A795" s="1" t="s">
        <v>7622</v>
      </c>
      <c r="B795" s="1" t="s">
        <v>7623</v>
      </c>
      <c r="C795" s="1" t="s">
        <v>7624</v>
      </c>
      <c r="D795" s="1" t="s">
        <v>7017</v>
      </c>
      <c r="E795" s="1" t="s">
        <v>7018</v>
      </c>
      <c r="F795" s="1" t="s">
        <v>7625</v>
      </c>
      <c r="G795" s="1" t="s">
        <v>14129</v>
      </c>
      <c r="H795" s="1" t="s">
        <v>14532</v>
      </c>
      <c r="I795" s="1" t="s">
        <v>14909</v>
      </c>
      <c r="J795" s="1" t="s">
        <v>23</v>
      </c>
      <c r="K795" s="1"/>
      <c r="L795" s="1" t="s">
        <v>7478</v>
      </c>
      <c r="M795" s="1" t="s">
        <v>7478</v>
      </c>
      <c r="N795" s="12" t="b">
        <f t="shared" si="60"/>
        <v>1</v>
      </c>
      <c r="O795" s="1" t="s">
        <v>7626</v>
      </c>
      <c r="P795" s="1" t="s">
        <v>7627</v>
      </c>
      <c r="Q795" s="1" t="s">
        <v>7484</v>
      </c>
      <c r="R795" s="1" t="s">
        <v>7485</v>
      </c>
      <c r="S795" s="1" t="s">
        <v>7628</v>
      </c>
      <c r="T795" s="1" t="s">
        <v>7481</v>
      </c>
      <c r="U795" s="1" t="s">
        <v>7482</v>
      </c>
      <c r="V795" s="13">
        <f>COUNTIF(L795:$M$1659,L795)</f>
        <v>6</v>
      </c>
      <c r="W795" s="1" t="s">
        <v>7486</v>
      </c>
      <c r="X795">
        <v>2290.84</v>
      </c>
      <c r="Y795">
        <v>1335.43</v>
      </c>
      <c r="Z795">
        <v>16.460554999999999</v>
      </c>
      <c r="AA795">
        <v>107.569109</v>
      </c>
      <c r="AB795">
        <v>955.41</v>
      </c>
      <c r="AC795">
        <v>16.478936999999998</v>
      </c>
      <c r="AD795">
        <v>107.58975599999999</v>
      </c>
      <c r="AE795" s="5">
        <f t="shared" si="61"/>
        <v>2.003145</v>
      </c>
      <c r="AF795" s="5">
        <f t="shared" si="62"/>
        <v>1.4331149999999999</v>
      </c>
      <c r="AG795" s="1" t="str">
        <f>TRIM(LEFT(L795,FIND("-",L795)-1))</f>
        <v>PC04 (trung tâm cái nghiện)</v>
      </c>
      <c r="AH795" s="1" t="str">
        <f>TRIM(RIGHT(L795, LEN(L795) - FIND("-", L795)))</f>
        <v>Phú Xuân</v>
      </c>
      <c r="AJ795">
        <f t="shared" si="63"/>
        <v>1.3354300000000001</v>
      </c>
      <c r="AK795">
        <f t="shared" si="64"/>
        <v>0.95540999999999998</v>
      </c>
      <c r="AL795">
        <f>VLOOKUP(L795,'[1]Tuyến cáp H04'!$B:$E,3,0)/1000</f>
        <v>13.4</v>
      </c>
      <c r="AM795" t="str">
        <f>VLOOKUP(L795,'[1]Tuyến cáp H04'!$B:$E,4,0)</f>
        <v>Mạng cấp 3</v>
      </c>
    </row>
    <row r="796" spans="1:39" x14ac:dyDescent="0.25">
      <c r="A796" s="1" t="s">
        <v>7629</v>
      </c>
      <c r="B796" s="1" t="s">
        <v>6917</v>
      </c>
      <c r="C796" s="1" t="s">
        <v>6918</v>
      </c>
      <c r="D796" s="1" t="s">
        <v>7630</v>
      </c>
      <c r="E796" s="1" t="s">
        <v>7631</v>
      </c>
      <c r="F796" s="1" t="s">
        <v>7632</v>
      </c>
      <c r="G796" s="1" t="s">
        <v>14129</v>
      </c>
      <c r="H796" s="1" t="s">
        <v>14532</v>
      </c>
      <c r="I796" s="1" t="s">
        <v>14910</v>
      </c>
      <c r="J796" s="1" t="s">
        <v>23</v>
      </c>
      <c r="K796" s="1"/>
      <c r="L796" s="1" t="s">
        <v>7406</v>
      </c>
      <c r="M796" s="1" t="s">
        <v>7406</v>
      </c>
      <c r="N796" s="12" t="b">
        <f t="shared" si="60"/>
        <v>1</v>
      </c>
      <c r="O796" s="1" t="s">
        <v>7633</v>
      </c>
      <c r="P796" s="1" t="s">
        <v>7411</v>
      </c>
      <c r="Q796" s="1" t="s">
        <v>7412</v>
      </c>
      <c r="R796" s="1" t="s">
        <v>7413</v>
      </c>
      <c r="S796" s="1" t="s">
        <v>7634</v>
      </c>
      <c r="T796" s="1" t="s">
        <v>7409</v>
      </c>
      <c r="U796" s="1" t="s">
        <v>7410</v>
      </c>
      <c r="V796" s="13">
        <f>COUNTIF(L796:$M$1659,L796)</f>
        <v>12</v>
      </c>
      <c r="W796" s="1" t="s">
        <v>7414</v>
      </c>
      <c r="X796">
        <v>3916.26</v>
      </c>
      <c r="Y796">
        <v>202.64</v>
      </c>
      <c r="Z796">
        <v>16.478172000000001</v>
      </c>
      <c r="AA796">
        <v>107.624154</v>
      </c>
      <c r="AB796">
        <v>3713.62</v>
      </c>
      <c r="AC796">
        <v>16.493091</v>
      </c>
      <c r="AD796">
        <v>107.594409</v>
      </c>
      <c r="AE796" s="5">
        <f t="shared" si="61"/>
        <v>0.30395999999999995</v>
      </c>
      <c r="AF796" s="5">
        <f t="shared" si="62"/>
        <v>5.57043</v>
      </c>
      <c r="AG796" s="1" t="str">
        <f>TRIM(LEFT(L796,FIND("-",L796)-1))</f>
        <v>Ring 1 Phú Xuân</v>
      </c>
      <c r="AH796" s="1" t="str">
        <f>TRIM(RIGHT(L796, LEN(L796) - FIND("-", L796)))</f>
        <v>CAT TT Huế</v>
      </c>
      <c r="AJ796">
        <f t="shared" si="63"/>
        <v>0.20263999999999999</v>
      </c>
      <c r="AK796">
        <f t="shared" si="64"/>
        <v>3.7136199999999997</v>
      </c>
      <c r="AL796" t="e">
        <f>VLOOKUP(L796,'[1]Tuyến cáp H04'!$B:$E,3,0)/1000</f>
        <v>#N/A</v>
      </c>
      <c r="AM796" t="e">
        <f>VLOOKUP(L796,'[1]Tuyến cáp H04'!$B:$E,4,0)</f>
        <v>#N/A</v>
      </c>
    </row>
    <row r="797" spans="1:39" x14ac:dyDescent="0.25">
      <c r="A797" s="1" t="s">
        <v>7635</v>
      </c>
      <c r="B797" s="1" t="s">
        <v>6917</v>
      </c>
      <c r="C797" s="1" t="s">
        <v>6918</v>
      </c>
      <c r="D797" s="1" t="s">
        <v>7636</v>
      </c>
      <c r="E797" s="1" t="s">
        <v>7637</v>
      </c>
      <c r="F797" s="1" t="s">
        <v>7638</v>
      </c>
      <c r="G797" s="1" t="s">
        <v>14129</v>
      </c>
      <c r="H797" s="1" t="s">
        <v>14532</v>
      </c>
      <c r="I797" s="1" t="s">
        <v>14911</v>
      </c>
      <c r="J797" s="1" t="s">
        <v>23</v>
      </c>
      <c r="K797" s="1"/>
      <c r="L797" s="1" t="s">
        <v>7406</v>
      </c>
      <c r="M797" s="1" t="s">
        <v>7406</v>
      </c>
      <c r="N797" s="12" t="b">
        <f t="shared" si="60"/>
        <v>1</v>
      </c>
      <c r="O797" s="1" t="s">
        <v>7639</v>
      </c>
      <c r="P797" s="1" t="s">
        <v>7411</v>
      </c>
      <c r="Q797" s="1" t="s">
        <v>7412</v>
      </c>
      <c r="R797" s="1" t="s">
        <v>7413</v>
      </c>
      <c r="S797" s="1" t="s">
        <v>7640</v>
      </c>
      <c r="T797" s="1" t="s">
        <v>7409</v>
      </c>
      <c r="U797" s="1" t="s">
        <v>7410</v>
      </c>
      <c r="V797" s="13">
        <f>COUNTIF(L797:$M$1659,L797)</f>
        <v>10</v>
      </c>
      <c r="W797" s="1" t="s">
        <v>7414</v>
      </c>
      <c r="X797">
        <v>3529.71</v>
      </c>
      <c r="Y797">
        <v>202.64</v>
      </c>
      <c r="Z797">
        <v>16.478172000000001</v>
      </c>
      <c r="AA797">
        <v>107.624154</v>
      </c>
      <c r="AB797">
        <v>3327.08</v>
      </c>
      <c r="AC797">
        <v>16.493091</v>
      </c>
      <c r="AD797">
        <v>107.594409</v>
      </c>
      <c r="AE797" s="5">
        <f t="shared" si="61"/>
        <v>0.30395999999999995</v>
      </c>
      <c r="AF797" s="5">
        <f t="shared" si="62"/>
        <v>4.9906199999999998</v>
      </c>
      <c r="AG797" s="1" t="str">
        <f>TRIM(LEFT(L797,FIND("-",L797)-1))</f>
        <v>Ring 1 Phú Xuân</v>
      </c>
      <c r="AH797" s="1" t="str">
        <f>TRIM(RIGHT(L797, LEN(L797) - FIND("-", L797)))</f>
        <v>CAT TT Huế</v>
      </c>
      <c r="AJ797">
        <f t="shared" si="63"/>
        <v>0.20263999999999999</v>
      </c>
      <c r="AK797">
        <f t="shared" si="64"/>
        <v>3.32708</v>
      </c>
      <c r="AL797" t="e">
        <f>VLOOKUP(L797,'[1]Tuyến cáp H04'!$B:$E,3,0)/1000</f>
        <v>#N/A</v>
      </c>
      <c r="AM797" t="e">
        <f>VLOOKUP(L797,'[1]Tuyến cáp H04'!$B:$E,4,0)</f>
        <v>#N/A</v>
      </c>
    </row>
    <row r="798" spans="1:39" x14ac:dyDescent="0.25">
      <c r="A798" s="1" t="s">
        <v>7641</v>
      </c>
      <c r="B798" s="1" t="s">
        <v>6917</v>
      </c>
      <c r="C798" s="1" t="s">
        <v>6918</v>
      </c>
      <c r="D798" s="1" t="s">
        <v>7642</v>
      </c>
      <c r="E798" s="1" t="s">
        <v>7643</v>
      </c>
      <c r="F798" s="1" t="s">
        <v>7644</v>
      </c>
      <c r="G798" s="1" t="s">
        <v>14129</v>
      </c>
      <c r="H798" s="1" t="s">
        <v>14532</v>
      </c>
      <c r="I798" s="1" t="s">
        <v>14912</v>
      </c>
      <c r="J798" s="1" t="s">
        <v>23</v>
      </c>
      <c r="K798" s="1"/>
      <c r="L798" s="1" t="s">
        <v>7406</v>
      </c>
      <c r="M798" s="1" t="s">
        <v>7406</v>
      </c>
      <c r="N798" s="12" t="b">
        <f t="shared" si="60"/>
        <v>1</v>
      </c>
      <c r="O798" s="1" t="s">
        <v>7645</v>
      </c>
      <c r="P798" s="1" t="s">
        <v>7411</v>
      </c>
      <c r="Q798" s="1" t="s">
        <v>7412</v>
      </c>
      <c r="R798" s="1" t="s">
        <v>7413</v>
      </c>
      <c r="S798" s="1" t="s">
        <v>7646</v>
      </c>
      <c r="T798" s="1" t="s">
        <v>7409</v>
      </c>
      <c r="U798" s="1" t="s">
        <v>7410</v>
      </c>
      <c r="V798" s="13">
        <f>COUNTIF(L798:$M$1659,L798)</f>
        <v>8</v>
      </c>
      <c r="W798" s="1" t="s">
        <v>7414</v>
      </c>
      <c r="X798">
        <v>3558.91</v>
      </c>
      <c r="Y798">
        <v>202.64</v>
      </c>
      <c r="Z798">
        <v>16.478172000000001</v>
      </c>
      <c r="AA798">
        <v>107.624154</v>
      </c>
      <c r="AB798">
        <v>3356.28</v>
      </c>
      <c r="AC798">
        <v>16.493091</v>
      </c>
      <c r="AD798">
        <v>107.594409</v>
      </c>
      <c r="AE798" s="5">
        <f t="shared" si="61"/>
        <v>0.30395999999999995</v>
      </c>
      <c r="AF798" s="5">
        <f t="shared" si="62"/>
        <v>5.0344199999999999</v>
      </c>
      <c r="AG798" s="1" t="str">
        <f>TRIM(LEFT(L798,FIND("-",L798)-1))</f>
        <v>Ring 1 Phú Xuân</v>
      </c>
      <c r="AH798" s="1" t="str">
        <f>TRIM(RIGHT(L798, LEN(L798) - FIND("-", L798)))</f>
        <v>CAT TT Huế</v>
      </c>
      <c r="AJ798">
        <f t="shared" si="63"/>
        <v>0.20263999999999999</v>
      </c>
      <c r="AK798">
        <f t="shared" si="64"/>
        <v>3.3562800000000004</v>
      </c>
      <c r="AL798" t="e">
        <f>VLOOKUP(L798,'[1]Tuyến cáp H04'!$B:$E,3,0)/1000</f>
        <v>#N/A</v>
      </c>
      <c r="AM798" t="e">
        <f>VLOOKUP(L798,'[1]Tuyến cáp H04'!$B:$E,4,0)</f>
        <v>#N/A</v>
      </c>
    </row>
    <row r="799" spans="1:39" x14ac:dyDescent="0.25">
      <c r="A799" s="1" t="s">
        <v>7647</v>
      </c>
      <c r="B799" s="1" t="s">
        <v>7642</v>
      </c>
      <c r="C799" s="1" t="s">
        <v>7643</v>
      </c>
      <c r="D799" s="1" t="s">
        <v>6917</v>
      </c>
      <c r="E799" s="1" t="s">
        <v>6918</v>
      </c>
      <c r="F799" s="1" t="s">
        <v>7648</v>
      </c>
      <c r="G799" s="1" t="s">
        <v>14129</v>
      </c>
      <c r="H799" s="1" t="s">
        <v>14532</v>
      </c>
      <c r="I799" s="1" t="s">
        <v>14913</v>
      </c>
      <c r="J799" s="1" t="s">
        <v>23</v>
      </c>
      <c r="K799" s="1"/>
      <c r="L799" s="1" t="s">
        <v>7406</v>
      </c>
      <c r="M799" s="1" t="s">
        <v>7406</v>
      </c>
      <c r="N799" s="12" t="b">
        <f t="shared" si="60"/>
        <v>1</v>
      </c>
      <c r="O799" s="1" t="s">
        <v>7645</v>
      </c>
      <c r="P799" s="1" t="s">
        <v>7646</v>
      </c>
      <c r="Q799" s="1" t="s">
        <v>7409</v>
      </c>
      <c r="R799" s="1" t="s">
        <v>7410</v>
      </c>
      <c r="S799" s="1" t="s">
        <v>7411</v>
      </c>
      <c r="T799" s="1" t="s">
        <v>7412</v>
      </c>
      <c r="U799" s="1" t="s">
        <v>7413</v>
      </c>
      <c r="V799" s="13">
        <f>COUNTIF(L799:$M$1659,L799)</f>
        <v>6</v>
      </c>
      <c r="W799" s="1" t="s">
        <v>7414</v>
      </c>
      <c r="X799">
        <v>3558.91</v>
      </c>
      <c r="Y799">
        <v>3356.28</v>
      </c>
      <c r="Z799">
        <v>16.493091</v>
      </c>
      <c r="AA799">
        <v>107.594409</v>
      </c>
      <c r="AB799">
        <v>202.64</v>
      </c>
      <c r="AC799">
        <v>16.478172000000001</v>
      </c>
      <c r="AD799">
        <v>107.624154</v>
      </c>
      <c r="AE799" s="5">
        <f t="shared" si="61"/>
        <v>5.0344199999999999</v>
      </c>
      <c r="AF799" s="5">
        <f t="shared" si="62"/>
        <v>0.30395999999999995</v>
      </c>
      <c r="AG799" s="1" t="str">
        <f>TRIM(LEFT(L799,FIND("-",L799)-1))</f>
        <v>Ring 1 Phú Xuân</v>
      </c>
      <c r="AH799" s="1" t="str">
        <f>TRIM(RIGHT(L799, LEN(L799) - FIND("-", L799)))</f>
        <v>CAT TT Huế</v>
      </c>
      <c r="AJ799">
        <f t="shared" si="63"/>
        <v>3.3562800000000004</v>
      </c>
      <c r="AK799">
        <f t="shared" si="64"/>
        <v>0.20263999999999999</v>
      </c>
      <c r="AL799" t="e">
        <f>VLOOKUP(L799,'[1]Tuyến cáp H04'!$B:$E,3,0)/1000</f>
        <v>#N/A</v>
      </c>
      <c r="AM799" t="e">
        <f>VLOOKUP(L799,'[1]Tuyến cáp H04'!$B:$E,4,0)</f>
        <v>#N/A</v>
      </c>
    </row>
    <row r="800" spans="1:39" x14ac:dyDescent="0.25">
      <c r="A800" s="1" t="s">
        <v>7649</v>
      </c>
      <c r="B800" s="1" t="s">
        <v>7650</v>
      </c>
      <c r="C800" s="1" t="s">
        <v>7651</v>
      </c>
      <c r="D800" s="1" t="s">
        <v>6917</v>
      </c>
      <c r="E800" s="1" t="s">
        <v>6918</v>
      </c>
      <c r="F800" s="1" t="s">
        <v>7652</v>
      </c>
      <c r="G800" s="1" t="s">
        <v>14129</v>
      </c>
      <c r="H800" s="1" t="s">
        <v>14532</v>
      </c>
      <c r="I800" s="1" t="s">
        <v>14914</v>
      </c>
      <c r="J800" s="1" t="s">
        <v>23</v>
      </c>
      <c r="K800" s="1"/>
      <c r="L800" s="1" t="s">
        <v>7406</v>
      </c>
      <c r="M800" s="1" t="s">
        <v>7406</v>
      </c>
      <c r="N800" s="12" t="b">
        <f t="shared" si="60"/>
        <v>1</v>
      </c>
      <c r="O800" s="1" t="s">
        <v>7653</v>
      </c>
      <c r="P800" s="1" t="s">
        <v>7654</v>
      </c>
      <c r="Q800" s="1" t="s">
        <v>7409</v>
      </c>
      <c r="R800" s="1" t="s">
        <v>7410</v>
      </c>
      <c r="S800" s="1" t="s">
        <v>7411</v>
      </c>
      <c r="T800" s="1" t="s">
        <v>7412</v>
      </c>
      <c r="U800" s="1" t="s">
        <v>7413</v>
      </c>
      <c r="V800" s="13">
        <f>COUNTIF(L800:$M$1659,L800)</f>
        <v>4</v>
      </c>
      <c r="W800" s="1" t="s">
        <v>7414</v>
      </c>
      <c r="X800">
        <v>4023.15</v>
      </c>
      <c r="Y800">
        <v>3820.51</v>
      </c>
      <c r="Z800">
        <v>16.493091</v>
      </c>
      <c r="AA800">
        <v>107.594409</v>
      </c>
      <c r="AB800">
        <v>202.64</v>
      </c>
      <c r="AC800">
        <v>16.478172000000001</v>
      </c>
      <c r="AD800">
        <v>107.624154</v>
      </c>
      <c r="AE800" s="5">
        <f t="shared" si="61"/>
        <v>5.7307649999999999</v>
      </c>
      <c r="AF800" s="5">
        <f t="shared" si="62"/>
        <v>0.30395999999999995</v>
      </c>
      <c r="AG800" s="1" t="str">
        <f>TRIM(LEFT(L800,FIND("-",L800)-1))</f>
        <v>Ring 1 Phú Xuân</v>
      </c>
      <c r="AH800" s="1" t="str">
        <f>TRIM(RIGHT(L800, LEN(L800) - FIND("-", L800)))</f>
        <v>CAT TT Huế</v>
      </c>
      <c r="AJ800">
        <f t="shared" si="63"/>
        <v>3.8205100000000001</v>
      </c>
      <c r="AK800">
        <f t="shared" si="64"/>
        <v>0.20263999999999999</v>
      </c>
      <c r="AL800" t="e">
        <f>VLOOKUP(L800,'[1]Tuyến cáp H04'!$B:$E,3,0)/1000</f>
        <v>#N/A</v>
      </c>
      <c r="AM800" t="e">
        <f>VLOOKUP(L800,'[1]Tuyến cáp H04'!$B:$E,4,0)</f>
        <v>#N/A</v>
      </c>
    </row>
    <row r="801" spans="1:39" x14ac:dyDescent="0.25">
      <c r="A801" s="1" t="s">
        <v>7655</v>
      </c>
      <c r="B801" s="1" t="s">
        <v>7656</v>
      </c>
      <c r="C801" s="1" t="s">
        <v>7657</v>
      </c>
      <c r="D801" s="1" t="s">
        <v>7017</v>
      </c>
      <c r="E801" s="1" t="s">
        <v>7018</v>
      </c>
      <c r="F801" s="1" t="s">
        <v>7658</v>
      </c>
      <c r="G801" s="1" t="s">
        <v>14129</v>
      </c>
      <c r="H801" s="1" t="s">
        <v>14532</v>
      </c>
      <c r="I801" s="1" t="s">
        <v>14915</v>
      </c>
      <c r="J801" s="1" t="s">
        <v>23</v>
      </c>
      <c r="K801" s="1"/>
      <c r="L801" s="1" t="s">
        <v>7659</v>
      </c>
      <c r="M801" s="1" t="s">
        <v>7659</v>
      </c>
      <c r="N801" s="12" t="b">
        <f t="shared" si="60"/>
        <v>1</v>
      </c>
      <c r="O801" s="1" t="s">
        <v>7660</v>
      </c>
      <c r="P801" s="1" t="s">
        <v>7661</v>
      </c>
      <c r="Q801" s="1" t="s">
        <v>7662</v>
      </c>
      <c r="R801" s="1" t="s">
        <v>7663</v>
      </c>
      <c r="S801" s="1" t="s">
        <v>7664</v>
      </c>
      <c r="T801" s="1" t="s">
        <v>7665</v>
      </c>
      <c r="U801" s="1" t="s">
        <v>7666</v>
      </c>
      <c r="V801" s="13">
        <f>COUNTIF(L801:$M$1659,L801)</f>
        <v>4</v>
      </c>
      <c r="W801" s="1" t="s">
        <v>7667</v>
      </c>
      <c r="X801">
        <v>6264.39</v>
      </c>
      <c r="Y801">
        <v>4904.6099999999997</v>
      </c>
      <c r="Z801">
        <v>16.512765000000002</v>
      </c>
      <c r="AA801">
        <v>107.53493</v>
      </c>
      <c r="AB801">
        <v>1359.78</v>
      </c>
      <c r="AC801">
        <v>16.494384</v>
      </c>
      <c r="AD801">
        <v>107.577304</v>
      </c>
      <c r="AE801" s="5">
        <f t="shared" si="61"/>
        <v>7.356914999999999</v>
      </c>
      <c r="AF801" s="5">
        <f t="shared" si="62"/>
        <v>2.0396700000000001</v>
      </c>
      <c r="AG801" s="1" t="str">
        <f>TRIM(LEFT(L801,FIND("-",L801)-1))</f>
        <v>TTCMKV_Ring 2_CAT Huế mới</v>
      </c>
      <c r="AH801" s="1" t="str">
        <f>TRIM(RIGHT(L801, LEN(L801) - FIND("-", L801)))</f>
        <v>Quảng Điền</v>
      </c>
      <c r="AJ801">
        <f t="shared" si="63"/>
        <v>4.9046099999999999</v>
      </c>
      <c r="AK801">
        <f t="shared" si="64"/>
        <v>1.35978</v>
      </c>
      <c r="AL801" t="e">
        <f>VLOOKUP(L801,'[1]Tuyến cáp H04'!$B:$E,3,0)/1000</f>
        <v>#N/A</v>
      </c>
      <c r="AM801" t="e">
        <f>VLOOKUP(L801,'[1]Tuyến cáp H04'!$B:$E,4,0)</f>
        <v>#N/A</v>
      </c>
    </row>
    <row r="802" spans="1:39" x14ac:dyDescent="0.25">
      <c r="A802" s="1" t="s">
        <v>7668</v>
      </c>
      <c r="B802" s="1" t="s">
        <v>7669</v>
      </c>
      <c r="C802" s="1" t="s">
        <v>7670</v>
      </c>
      <c r="D802" s="1" t="s">
        <v>7237</v>
      </c>
      <c r="E802" s="1" t="s">
        <v>7238</v>
      </c>
      <c r="F802" s="1" t="s">
        <v>7671</v>
      </c>
      <c r="G802" s="1" t="s">
        <v>14129</v>
      </c>
      <c r="H802" s="1" t="s">
        <v>14532</v>
      </c>
      <c r="I802" s="1" t="s">
        <v>14916</v>
      </c>
      <c r="J802" s="1" t="s">
        <v>23</v>
      </c>
      <c r="K802" s="1"/>
      <c r="L802" s="1" t="s">
        <v>7672</v>
      </c>
      <c r="M802" s="1" t="s">
        <v>7672</v>
      </c>
      <c r="N802" s="12" t="b">
        <f t="shared" si="60"/>
        <v>1</v>
      </c>
      <c r="O802" s="1" t="s">
        <v>7673</v>
      </c>
      <c r="P802" s="1" t="s">
        <v>7674</v>
      </c>
      <c r="Q802" s="1" t="s">
        <v>7675</v>
      </c>
      <c r="R802" s="1" t="s">
        <v>7676</v>
      </c>
      <c r="S802" s="1" t="s">
        <v>7677</v>
      </c>
      <c r="T802" s="1" t="s">
        <v>7678</v>
      </c>
      <c r="U802" s="1" t="s">
        <v>7679</v>
      </c>
      <c r="V802" s="13">
        <f>COUNTIF(L802:$M$1659,L802)</f>
        <v>6</v>
      </c>
      <c r="W802" s="1" t="s">
        <v>7680</v>
      </c>
      <c r="X802">
        <v>18685.63</v>
      </c>
      <c r="Y802">
        <v>11240.1</v>
      </c>
      <c r="Z802">
        <v>16.432162999999999</v>
      </c>
      <c r="AA802">
        <v>107.776574</v>
      </c>
      <c r="AB802">
        <v>7445.52</v>
      </c>
      <c r="AC802">
        <v>16.556287999999999</v>
      </c>
      <c r="AD802">
        <v>107.650227</v>
      </c>
      <c r="AE802" s="5">
        <f t="shared" si="61"/>
        <v>16.860150000000001</v>
      </c>
      <c r="AF802" s="5">
        <f t="shared" si="62"/>
        <v>11.168280000000001</v>
      </c>
      <c r="AG802" s="1" t="str">
        <f>TRIM(LEFT(L802,FIND("-",L802)-1))</f>
        <v>Ring 8 Thuận An</v>
      </c>
      <c r="AH802" s="1" t="str">
        <f>TRIM(RIGHT(L802, LEN(L802) - FIND("-", L802)))</f>
        <v>TTCMKV Phú Vang</v>
      </c>
      <c r="AJ802">
        <f t="shared" si="63"/>
        <v>11.2401</v>
      </c>
      <c r="AK802">
        <f t="shared" si="64"/>
        <v>7.4455200000000001</v>
      </c>
      <c r="AL802" t="e">
        <f>VLOOKUP(L802,'[1]Tuyến cáp H04'!$B:$E,3,0)/1000</f>
        <v>#N/A</v>
      </c>
      <c r="AM802" t="e">
        <f>VLOOKUP(L802,'[1]Tuyến cáp H04'!$B:$E,4,0)</f>
        <v>#N/A</v>
      </c>
    </row>
    <row r="803" spans="1:39" x14ac:dyDescent="0.25">
      <c r="A803" s="1" t="s">
        <v>7681</v>
      </c>
      <c r="B803" s="1" t="s">
        <v>7682</v>
      </c>
      <c r="C803" s="1" t="s">
        <v>7683</v>
      </c>
      <c r="D803" s="1" t="s">
        <v>6947</v>
      </c>
      <c r="E803" s="1" t="s">
        <v>6948</v>
      </c>
      <c r="F803" s="1" t="s">
        <v>7684</v>
      </c>
      <c r="G803" s="1" t="s">
        <v>14129</v>
      </c>
      <c r="H803" s="1" t="s">
        <v>14532</v>
      </c>
      <c r="I803" s="1" t="s">
        <v>14917</v>
      </c>
      <c r="J803" s="1" t="s">
        <v>23</v>
      </c>
      <c r="K803" s="1"/>
      <c r="L803" s="1" t="s">
        <v>6937</v>
      </c>
      <c r="M803" s="1" t="s">
        <v>6937</v>
      </c>
      <c r="N803" s="12" t="b">
        <f t="shared" si="60"/>
        <v>1</v>
      </c>
      <c r="O803" s="1" t="s">
        <v>7685</v>
      </c>
      <c r="P803" s="1" t="s">
        <v>7686</v>
      </c>
      <c r="Q803" s="1" t="s">
        <v>7687</v>
      </c>
      <c r="R803" s="1" t="s">
        <v>7688</v>
      </c>
      <c r="S803" s="1" t="s">
        <v>7689</v>
      </c>
      <c r="T803" s="1" t="s">
        <v>7690</v>
      </c>
      <c r="U803" s="1" t="s">
        <v>7691</v>
      </c>
      <c r="V803" s="13">
        <f>COUNTIF(L803:$M$1659,L803)</f>
        <v>6</v>
      </c>
      <c r="W803" s="1" t="s">
        <v>6945</v>
      </c>
      <c r="X803">
        <v>5426.63</v>
      </c>
      <c r="Y803">
        <v>2372.0100000000002</v>
      </c>
      <c r="Z803">
        <v>16.349119999999999</v>
      </c>
      <c r="AA803">
        <v>107.918336</v>
      </c>
      <c r="AB803">
        <v>3054.62</v>
      </c>
      <c r="AC803">
        <v>16.263999999999999</v>
      </c>
      <c r="AD803">
        <v>107.88781</v>
      </c>
      <c r="AE803" s="5">
        <f t="shared" si="61"/>
        <v>3.5580150000000001</v>
      </c>
      <c r="AF803" s="5">
        <f t="shared" si="62"/>
        <v>4.5819300000000007</v>
      </c>
      <c r="AG803" s="1" t="str">
        <f>TRIM(LEFT(L803,FIND("-",L803)-1))</f>
        <v>TTCMKV_Ring 1_Phú Vang</v>
      </c>
      <c r="AH803" s="1" t="str">
        <f>TRIM(RIGHT(L803, LEN(L803) - FIND("-", L803)))</f>
        <v>Phú Lộc</v>
      </c>
      <c r="AJ803">
        <f t="shared" si="63"/>
        <v>2.3720100000000004</v>
      </c>
      <c r="AK803">
        <f t="shared" si="64"/>
        <v>3.0546199999999999</v>
      </c>
      <c r="AL803" t="e">
        <f>VLOOKUP(L803,'[1]Tuyến cáp H04'!$B:$E,3,0)/1000</f>
        <v>#N/A</v>
      </c>
      <c r="AM803" t="e">
        <f>VLOOKUP(L803,'[1]Tuyến cáp H04'!$B:$E,4,0)</f>
        <v>#N/A</v>
      </c>
    </row>
    <row r="804" spans="1:39" x14ac:dyDescent="0.25">
      <c r="A804" s="1" t="s">
        <v>7692</v>
      </c>
      <c r="B804" s="1" t="s">
        <v>7693</v>
      </c>
      <c r="C804" s="1" t="s">
        <v>7694</v>
      </c>
      <c r="D804" s="1" t="s">
        <v>6947</v>
      </c>
      <c r="E804" s="1" t="s">
        <v>6948</v>
      </c>
      <c r="F804" s="1" t="s">
        <v>7695</v>
      </c>
      <c r="G804" s="1" t="s">
        <v>14129</v>
      </c>
      <c r="H804" s="1" t="s">
        <v>14532</v>
      </c>
      <c r="I804" s="1" t="s">
        <v>14918</v>
      </c>
      <c r="J804" s="1" t="s">
        <v>23</v>
      </c>
      <c r="K804" s="1"/>
      <c r="L804" s="1" t="s">
        <v>7672</v>
      </c>
      <c r="M804" s="1" t="s">
        <v>7672</v>
      </c>
      <c r="N804" s="12" t="b">
        <f t="shared" si="60"/>
        <v>1</v>
      </c>
      <c r="O804" s="1" t="s">
        <v>7696</v>
      </c>
      <c r="P804" s="1" t="s">
        <v>7697</v>
      </c>
      <c r="Q804" s="1" t="s">
        <v>7678</v>
      </c>
      <c r="R804" s="1" t="s">
        <v>7679</v>
      </c>
      <c r="S804" s="1" t="s">
        <v>7698</v>
      </c>
      <c r="T804" s="1" t="s">
        <v>7675</v>
      </c>
      <c r="U804" s="1" t="s">
        <v>7676</v>
      </c>
      <c r="V804" s="13">
        <f>COUNTIF(L804:$M$1659,L804)</f>
        <v>4</v>
      </c>
      <c r="W804" s="1" t="s">
        <v>7680</v>
      </c>
      <c r="X804">
        <v>29450.85</v>
      </c>
      <c r="Y804">
        <v>9907.93</v>
      </c>
      <c r="Z804">
        <v>16.556287999999999</v>
      </c>
      <c r="AA804">
        <v>107.650227</v>
      </c>
      <c r="AB804">
        <v>19542.919999999998</v>
      </c>
      <c r="AC804">
        <v>16.432162999999999</v>
      </c>
      <c r="AD804">
        <v>107.776574</v>
      </c>
      <c r="AE804" s="5">
        <f t="shared" si="61"/>
        <v>14.861895000000001</v>
      </c>
      <c r="AF804" s="5">
        <f t="shared" si="62"/>
        <v>29.314379999999996</v>
      </c>
      <c r="AG804" s="1" t="str">
        <f>TRIM(LEFT(L804,FIND("-",L804)-1))</f>
        <v>Ring 8 Thuận An</v>
      </c>
      <c r="AH804" s="1" t="str">
        <f>TRIM(RIGHT(L804, LEN(L804) - FIND("-", L804)))</f>
        <v>TTCMKV Phú Vang</v>
      </c>
      <c r="AJ804">
        <f t="shared" si="63"/>
        <v>9.9079300000000003</v>
      </c>
      <c r="AK804">
        <f t="shared" si="64"/>
        <v>19.542919999999999</v>
      </c>
      <c r="AL804" t="e">
        <f>VLOOKUP(L804,'[1]Tuyến cáp H04'!$B:$E,3,0)/1000</f>
        <v>#N/A</v>
      </c>
      <c r="AM804" t="e">
        <f>VLOOKUP(L804,'[1]Tuyến cáp H04'!$B:$E,4,0)</f>
        <v>#N/A</v>
      </c>
    </row>
    <row r="805" spans="1:39" x14ac:dyDescent="0.25">
      <c r="A805" s="1" t="s">
        <v>7699</v>
      </c>
      <c r="B805" s="1" t="s">
        <v>6989</v>
      </c>
      <c r="C805" s="1" t="s">
        <v>6990</v>
      </c>
      <c r="D805" s="1" t="s">
        <v>6989</v>
      </c>
      <c r="E805" s="1" t="s">
        <v>6990</v>
      </c>
      <c r="F805" s="1" t="s">
        <v>7700</v>
      </c>
      <c r="G805" s="1" t="s">
        <v>14129</v>
      </c>
      <c r="H805" s="1" t="s">
        <v>14532</v>
      </c>
      <c r="I805" s="1" t="s">
        <v>14919</v>
      </c>
      <c r="J805" s="1" t="s">
        <v>23</v>
      </c>
      <c r="K805" s="1"/>
      <c r="L805" s="1" t="s">
        <v>7596</v>
      </c>
      <c r="M805" s="1" t="s">
        <v>7596</v>
      </c>
      <c r="N805" s="12" t="b">
        <f t="shared" si="60"/>
        <v>1</v>
      </c>
      <c r="O805" s="1" t="s">
        <v>7701</v>
      </c>
      <c r="P805" s="1" t="s">
        <v>7702</v>
      </c>
      <c r="Q805" s="1" t="s">
        <v>7703</v>
      </c>
      <c r="R805" s="1" t="s">
        <v>7704</v>
      </c>
      <c r="S805" s="1" t="s">
        <v>7702</v>
      </c>
      <c r="T805" s="1" t="s">
        <v>7703</v>
      </c>
      <c r="U805" s="1" t="s">
        <v>7704</v>
      </c>
      <c r="V805" s="13">
        <f>COUNTIF(L805:$M$1659,L805)</f>
        <v>4</v>
      </c>
      <c r="W805" s="1" t="s">
        <v>7705</v>
      </c>
      <c r="X805">
        <v>67.459999999999994</v>
      </c>
      <c r="Y805">
        <v>33.729999999999997</v>
      </c>
      <c r="Z805">
        <v>16.568541</v>
      </c>
      <c r="AA805">
        <v>107.513361</v>
      </c>
      <c r="AB805">
        <v>33.729999999999997</v>
      </c>
      <c r="AC805">
        <v>16.568541</v>
      </c>
      <c r="AD805">
        <v>107.513361</v>
      </c>
      <c r="AE805" s="5">
        <f t="shared" si="61"/>
        <v>5.0595000000000001E-2</v>
      </c>
      <c r="AF805" s="5">
        <f t="shared" si="62"/>
        <v>5.0595000000000001E-2</v>
      </c>
      <c r="AG805" s="1" t="str">
        <f>TRIM(LEFT(L805,FIND("-",L805)-1))</f>
        <v>Ring 5 Đan Điền</v>
      </c>
      <c r="AH805" s="1" t="str">
        <f>TRIM(RIGHT(L805, LEN(L805) - FIND("-", L805)))</f>
        <v>Quảng Điền</v>
      </c>
      <c r="AJ805">
        <f t="shared" si="63"/>
        <v>3.3729999999999996E-2</v>
      </c>
      <c r="AK805">
        <f t="shared" si="64"/>
        <v>3.3729999999999996E-2</v>
      </c>
      <c r="AL805" t="e">
        <f>VLOOKUP(L805,'[1]Tuyến cáp H04'!$B:$E,3,0)/1000</f>
        <v>#N/A</v>
      </c>
      <c r="AM805" t="e">
        <f>VLOOKUP(L805,'[1]Tuyến cáp H04'!$B:$E,4,0)</f>
        <v>#N/A</v>
      </c>
    </row>
    <row r="806" spans="1:39" x14ac:dyDescent="0.25">
      <c r="A806" s="1" t="s">
        <v>7706</v>
      </c>
      <c r="B806" s="1" t="s">
        <v>7194</v>
      </c>
      <c r="C806" s="1" t="s">
        <v>7195</v>
      </c>
      <c r="D806" s="1" t="s">
        <v>6977</v>
      </c>
      <c r="E806" s="1" t="s">
        <v>6978</v>
      </c>
      <c r="F806" s="1" t="s">
        <v>7707</v>
      </c>
      <c r="G806" s="1" t="s">
        <v>14129</v>
      </c>
      <c r="H806" s="1" t="s">
        <v>14532</v>
      </c>
      <c r="I806" s="1" t="s">
        <v>14920</v>
      </c>
      <c r="J806" s="1" t="s">
        <v>23</v>
      </c>
      <c r="K806" s="1"/>
      <c r="L806" s="1" t="s">
        <v>6980</v>
      </c>
      <c r="M806" s="1" t="s">
        <v>6980</v>
      </c>
      <c r="N806" s="12" t="b">
        <f t="shared" si="60"/>
        <v>1</v>
      </c>
      <c r="O806" s="1" t="s">
        <v>7708</v>
      </c>
      <c r="P806" s="1" t="s">
        <v>7200</v>
      </c>
      <c r="Q806" s="1" t="s">
        <v>7201</v>
      </c>
      <c r="R806" s="1" t="s">
        <v>7202</v>
      </c>
      <c r="S806" s="1" t="s">
        <v>6982</v>
      </c>
      <c r="T806" s="1" t="s">
        <v>6983</v>
      </c>
      <c r="U806" s="1" t="s">
        <v>6984</v>
      </c>
      <c r="V806" s="13">
        <f>COUNTIF(L806:$M$1659,L806)</f>
        <v>6</v>
      </c>
      <c r="W806" s="1" t="s">
        <v>6985</v>
      </c>
      <c r="X806">
        <v>1557.52</v>
      </c>
      <c r="Y806">
        <v>32.299999999999997</v>
      </c>
      <c r="Z806">
        <v>16.491365999999999</v>
      </c>
      <c r="AA806">
        <v>107.521095</v>
      </c>
      <c r="AB806">
        <v>1525.21</v>
      </c>
      <c r="AC806">
        <v>16.496891000000002</v>
      </c>
      <c r="AD806">
        <v>107.507471</v>
      </c>
      <c r="AE806" s="5">
        <f t="shared" si="61"/>
        <v>4.8449999999999993E-2</v>
      </c>
      <c r="AF806" s="5">
        <f t="shared" si="62"/>
        <v>2.2878150000000002</v>
      </c>
      <c r="AG806" s="1" t="str">
        <f>TRIM(LEFT(L806,FIND("-",L806)-1))</f>
        <v>Ring 6 TTCMKV Quảng Điền</v>
      </c>
      <c r="AH806" s="1" t="str">
        <f>TRIM(RIGHT(L806, LEN(L806) - FIND("-", L806)))</f>
        <v>Kim Trà</v>
      </c>
      <c r="AJ806">
        <f t="shared" si="63"/>
        <v>3.2299999999999995E-2</v>
      </c>
      <c r="AK806">
        <f t="shared" si="64"/>
        <v>1.52521</v>
      </c>
      <c r="AL806" t="e">
        <f>VLOOKUP(L806,'[1]Tuyến cáp H04'!$B:$E,3,0)/1000</f>
        <v>#N/A</v>
      </c>
      <c r="AM806" t="e">
        <f>VLOOKUP(L806,'[1]Tuyến cáp H04'!$B:$E,4,0)</f>
        <v>#N/A</v>
      </c>
    </row>
    <row r="807" spans="1:39" x14ac:dyDescent="0.25">
      <c r="A807" s="1" t="s">
        <v>7709</v>
      </c>
      <c r="B807" s="1" t="s">
        <v>7403</v>
      </c>
      <c r="C807" s="1" t="s">
        <v>7404</v>
      </c>
      <c r="D807" s="1" t="s">
        <v>7403</v>
      </c>
      <c r="E807" s="1" t="s">
        <v>7404</v>
      </c>
      <c r="F807" s="1" t="s">
        <v>7710</v>
      </c>
      <c r="G807" s="1" t="s">
        <v>14129</v>
      </c>
      <c r="H807" s="1" t="s">
        <v>14532</v>
      </c>
      <c r="I807" s="1" t="s">
        <v>14921</v>
      </c>
      <c r="J807" s="1" t="s">
        <v>23</v>
      </c>
      <c r="K807" s="1"/>
      <c r="L807" s="1" t="s">
        <v>7659</v>
      </c>
      <c r="M807" s="1" t="s">
        <v>7659</v>
      </c>
      <c r="N807" s="12" t="b">
        <f t="shared" si="60"/>
        <v>1</v>
      </c>
      <c r="O807" s="1" t="s">
        <v>7711</v>
      </c>
      <c r="P807" s="1" t="s">
        <v>7712</v>
      </c>
      <c r="Q807" s="1" t="s">
        <v>7713</v>
      </c>
      <c r="R807" s="1" t="s">
        <v>7714</v>
      </c>
      <c r="S807" s="1" t="s">
        <v>7712</v>
      </c>
      <c r="T807" s="1" t="s">
        <v>7713</v>
      </c>
      <c r="U807" s="1" t="s">
        <v>7714</v>
      </c>
      <c r="V807" s="13">
        <f>COUNTIF(L807:$M$1659,L807)</f>
        <v>2</v>
      </c>
      <c r="W807" s="1" t="s">
        <v>7667</v>
      </c>
      <c r="X807">
        <v>887.99</v>
      </c>
      <c r="Y807">
        <v>444</v>
      </c>
      <c r="Z807">
        <v>16.488939999999999</v>
      </c>
      <c r="AA807">
        <v>107.569457</v>
      </c>
      <c r="AB807">
        <v>444</v>
      </c>
      <c r="AC807">
        <v>16.488939999999999</v>
      </c>
      <c r="AD807">
        <v>107.569457</v>
      </c>
      <c r="AE807" s="5">
        <f t="shared" si="61"/>
        <v>0.66600000000000004</v>
      </c>
      <c r="AF807" s="5">
        <f t="shared" si="62"/>
        <v>0.66600000000000004</v>
      </c>
      <c r="AG807" s="1" t="str">
        <f>TRIM(LEFT(L807,FIND("-",L807)-1))</f>
        <v>TTCMKV_Ring 2_CAT Huế mới</v>
      </c>
      <c r="AH807" s="1" t="str">
        <f>TRIM(RIGHT(L807, LEN(L807) - FIND("-", L807)))</f>
        <v>Quảng Điền</v>
      </c>
      <c r="AJ807">
        <f t="shared" si="63"/>
        <v>0.44400000000000001</v>
      </c>
      <c r="AK807">
        <f t="shared" si="64"/>
        <v>0.44400000000000001</v>
      </c>
      <c r="AL807" t="e">
        <f>VLOOKUP(L807,'[1]Tuyến cáp H04'!$B:$E,3,0)/1000</f>
        <v>#N/A</v>
      </c>
      <c r="AM807" t="e">
        <f>VLOOKUP(L807,'[1]Tuyến cáp H04'!$B:$E,4,0)</f>
        <v>#N/A</v>
      </c>
    </row>
    <row r="808" spans="1:39" x14ac:dyDescent="0.25">
      <c r="A808" s="1" t="s">
        <v>7715</v>
      </c>
      <c r="B808" s="1" t="s">
        <v>7716</v>
      </c>
      <c r="C808" s="1" t="s">
        <v>7717</v>
      </c>
      <c r="D808" s="1" t="s">
        <v>7716</v>
      </c>
      <c r="E808" s="1" t="s">
        <v>7717</v>
      </c>
      <c r="F808" s="1" t="s">
        <v>7718</v>
      </c>
      <c r="G808" s="1" t="s">
        <v>14129</v>
      </c>
      <c r="H808" s="1" t="s">
        <v>14532</v>
      </c>
      <c r="I808" s="1" t="s">
        <v>14922</v>
      </c>
      <c r="J808" s="1" t="s">
        <v>23</v>
      </c>
      <c r="K808" s="1"/>
      <c r="L808" s="1" t="s">
        <v>7452</v>
      </c>
      <c r="M808" s="1" t="s">
        <v>7452</v>
      </c>
      <c r="N808" s="12" t="b">
        <f t="shared" si="60"/>
        <v>1</v>
      </c>
      <c r="O808" s="1" t="s">
        <v>7719</v>
      </c>
      <c r="P808" s="1" t="s">
        <v>7720</v>
      </c>
      <c r="Q808" s="1" t="s">
        <v>7721</v>
      </c>
      <c r="R808" s="1" t="s">
        <v>7722</v>
      </c>
      <c r="S808" s="1" t="s">
        <v>7720</v>
      </c>
      <c r="T808" s="1" t="s">
        <v>7721</v>
      </c>
      <c r="U808" s="1" t="s">
        <v>7722</v>
      </c>
      <c r="V808" s="13">
        <f>COUNTIF(L808:$M$1659,L808)</f>
        <v>6</v>
      </c>
      <c r="W808" s="1" t="s">
        <v>7545</v>
      </c>
      <c r="X808">
        <v>439.21</v>
      </c>
      <c r="Y808">
        <v>219.61</v>
      </c>
      <c r="Z808">
        <v>16.443131000000001</v>
      </c>
      <c r="AA808">
        <v>107.579831</v>
      </c>
      <c r="AB808">
        <v>219.61</v>
      </c>
      <c r="AC808">
        <v>16.443131000000001</v>
      </c>
      <c r="AD808">
        <v>107.579831</v>
      </c>
      <c r="AE808" s="5">
        <f t="shared" si="61"/>
        <v>0.32941500000000001</v>
      </c>
      <c r="AF808" s="5">
        <f t="shared" si="62"/>
        <v>0.32941500000000001</v>
      </c>
      <c r="AG808" s="1" t="str">
        <f>TRIM(LEFT(L808,FIND("-",L808)-1))</f>
        <v>Ring 3 PC10</v>
      </c>
      <c r="AH808" s="1" t="str">
        <f>TRIM(RIGHT(L808, LEN(L808) - FIND("-", L808)))</f>
        <v>PC11</v>
      </c>
      <c r="AJ808">
        <f t="shared" si="63"/>
        <v>0.21961000000000003</v>
      </c>
      <c r="AK808">
        <f t="shared" si="64"/>
        <v>0.21961000000000003</v>
      </c>
      <c r="AL808" t="e">
        <f>VLOOKUP(L808,'[1]Tuyến cáp H04'!$B:$E,3,0)/1000</f>
        <v>#N/A</v>
      </c>
      <c r="AM808" t="e">
        <f>VLOOKUP(L808,'[1]Tuyến cáp H04'!$B:$E,4,0)</f>
        <v>#N/A</v>
      </c>
    </row>
    <row r="809" spans="1:39" x14ac:dyDescent="0.25">
      <c r="A809" s="1" t="s">
        <v>7723</v>
      </c>
      <c r="B809" s="1" t="s">
        <v>7724</v>
      </c>
      <c r="C809" s="1" t="s">
        <v>7725</v>
      </c>
      <c r="D809" s="1" t="s">
        <v>7724</v>
      </c>
      <c r="E809" s="1" t="s">
        <v>7725</v>
      </c>
      <c r="F809" s="1" t="s">
        <v>7726</v>
      </c>
      <c r="G809" s="1" t="s">
        <v>14129</v>
      </c>
      <c r="H809" s="1" t="s">
        <v>14532</v>
      </c>
      <c r="I809" s="1" t="s">
        <v>14923</v>
      </c>
      <c r="J809" s="1" t="s">
        <v>23</v>
      </c>
      <c r="K809" s="1"/>
      <c r="L809" s="1" t="s">
        <v>7050</v>
      </c>
      <c r="M809" s="1" t="s">
        <v>7050</v>
      </c>
      <c r="N809" s="12" t="b">
        <f t="shared" si="60"/>
        <v>1</v>
      </c>
      <c r="O809" s="1" t="s">
        <v>7727</v>
      </c>
      <c r="P809" s="1" t="s">
        <v>7728</v>
      </c>
      <c r="Q809" s="1" t="s">
        <v>7729</v>
      </c>
      <c r="R809" s="1" t="s">
        <v>7730</v>
      </c>
      <c r="S809" s="1" t="s">
        <v>7728</v>
      </c>
      <c r="T809" s="1" t="s">
        <v>7729</v>
      </c>
      <c r="U809" s="1" t="s">
        <v>7730</v>
      </c>
      <c r="V809" s="13">
        <f>COUNTIF(L809:$M$1659,L809)</f>
        <v>6</v>
      </c>
      <c r="W809" s="1" t="s">
        <v>7058</v>
      </c>
      <c r="X809">
        <v>412.51</v>
      </c>
      <c r="Y809">
        <v>206.26</v>
      </c>
      <c r="Z809">
        <v>16.478684000000001</v>
      </c>
      <c r="AA809">
        <v>107.598051</v>
      </c>
      <c r="AB809">
        <v>206.26</v>
      </c>
      <c r="AC809">
        <v>16.478684000000001</v>
      </c>
      <c r="AD809">
        <v>107.598051</v>
      </c>
      <c r="AE809" s="5">
        <f t="shared" si="61"/>
        <v>0.30939</v>
      </c>
      <c r="AF809" s="5">
        <f t="shared" si="62"/>
        <v>0.30939</v>
      </c>
      <c r="AG809" s="1" t="str">
        <f>TRIM(LEFT(L809,FIND("-",L809)-1))</f>
        <v>Ring 3 PA07</v>
      </c>
      <c r="AH809" s="1" t="str">
        <f>TRIM(RIGHT(L809, LEN(L809) - FIND("-", L809)))</f>
        <v>PC01</v>
      </c>
      <c r="AJ809">
        <f t="shared" si="63"/>
        <v>0.20626</v>
      </c>
      <c r="AK809">
        <f t="shared" si="64"/>
        <v>0.20626</v>
      </c>
      <c r="AL809" t="e">
        <f>VLOOKUP(L809,'[1]Tuyến cáp H04'!$B:$E,3,0)/1000</f>
        <v>#N/A</v>
      </c>
      <c r="AM809" t="e">
        <f>VLOOKUP(L809,'[1]Tuyến cáp H04'!$B:$E,4,0)</f>
        <v>#N/A</v>
      </c>
    </row>
    <row r="810" spans="1:39" x14ac:dyDescent="0.25">
      <c r="A810" s="1" t="s">
        <v>7731</v>
      </c>
      <c r="B810" s="1" t="s">
        <v>7732</v>
      </c>
      <c r="C810" s="1" t="s">
        <v>7733</v>
      </c>
      <c r="D810" s="1" t="s">
        <v>7732</v>
      </c>
      <c r="E810" s="1" t="s">
        <v>7733</v>
      </c>
      <c r="F810" s="1" t="s">
        <v>7734</v>
      </c>
      <c r="G810" s="1" t="s">
        <v>14129</v>
      </c>
      <c r="H810" s="1" t="s">
        <v>14532</v>
      </c>
      <c r="I810" s="1" t="s">
        <v>14924</v>
      </c>
      <c r="J810" s="1" t="s">
        <v>23</v>
      </c>
      <c r="K810" s="1"/>
      <c r="L810" s="1" t="s">
        <v>7065</v>
      </c>
      <c r="M810" s="1" t="s">
        <v>7065</v>
      </c>
      <c r="N810" s="12" t="b">
        <f t="shared" si="60"/>
        <v>1</v>
      </c>
      <c r="O810" s="1" t="s">
        <v>7735</v>
      </c>
      <c r="P810" s="1" t="s">
        <v>7736</v>
      </c>
      <c r="Q810" s="1" t="s">
        <v>7737</v>
      </c>
      <c r="R810" s="1" t="s">
        <v>7738</v>
      </c>
      <c r="S810" s="1" t="s">
        <v>7736</v>
      </c>
      <c r="T810" s="1" t="s">
        <v>7737</v>
      </c>
      <c r="U810" s="1" t="s">
        <v>7738</v>
      </c>
      <c r="V810" s="13">
        <f>COUNTIF(L810:$M$1659,L810)</f>
        <v>6</v>
      </c>
      <c r="W810" s="1" t="s">
        <v>7114</v>
      </c>
      <c r="X810">
        <v>22.42</v>
      </c>
      <c r="Y810">
        <v>11.21</v>
      </c>
      <c r="Z810">
        <v>16.481582</v>
      </c>
      <c r="AA810">
        <v>107.555908</v>
      </c>
      <c r="AB810">
        <v>11.21</v>
      </c>
      <c r="AC810">
        <v>16.481582</v>
      </c>
      <c r="AD810">
        <v>107.555908</v>
      </c>
      <c r="AE810" s="5">
        <f t="shared" si="61"/>
        <v>1.6815E-2</v>
      </c>
      <c r="AF810" s="5">
        <f t="shared" si="62"/>
        <v>1.6815E-2</v>
      </c>
      <c r="AG810" s="1" t="str">
        <f>TRIM(LEFT(L810,FIND("-",L810)-1))</f>
        <v>TTCMKV_Ring 2_Phong Điền</v>
      </c>
      <c r="AH810" s="1" t="str">
        <f>TRIM(RIGHT(L810, LEN(L810) - FIND("-", L810)))</f>
        <v>CAT Huế mới</v>
      </c>
      <c r="AJ810">
        <f t="shared" si="63"/>
        <v>1.1210000000000001E-2</v>
      </c>
      <c r="AK810">
        <f t="shared" si="64"/>
        <v>1.1210000000000001E-2</v>
      </c>
      <c r="AL810" t="e">
        <f>VLOOKUP(L810,'[1]Tuyến cáp H04'!$B:$E,3,0)/1000</f>
        <v>#N/A</v>
      </c>
      <c r="AM810" t="e">
        <f>VLOOKUP(L810,'[1]Tuyến cáp H04'!$B:$E,4,0)</f>
        <v>#N/A</v>
      </c>
    </row>
    <row r="811" spans="1:39" x14ac:dyDescent="0.25">
      <c r="A811" s="1" t="s">
        <v>7739</v>
      </c>
      <c r="B811" s="1" t="s">
        <v>7535</v>
      </c>
      <c r="C811" s="1" t="s">
        <v>7536</v>
      </c>
      <c r="D811" s="1" t="s">
        <v>7535</v>
      </c>
      <c r="E811" s="1" t="s">
        <v>7536</v>
      </c>
      <c r="F811" s="1" t="s">
        <v>7740</v>
      </c>
      <c r="G811" s="1" t="s">
        <v>14129</v>
      </c>
      <c r="H811" s="1" t="s">
        <v>14532</v>
      </c>
      <c r="I811" s="1" t="s">
        <v>14925</v>
      </c>
      <c r="J811" s="1" t="s">
        <v>23</v>
      </c>
      <c r="K811" s="1"/>
      <c r="L811" s="1" t="s">
        <v>7452</v>
      </c>
      <c r="M811" s="1" t="s">
        <v>7452</v>
      </c>
      <c r="N811" s="12" t="b">
        <f t="shared" si="60"/>
        <v>1</v>
      </c>
      <c r="O811" s="1" t="s">
        <v>7741</v>
      </c>
      <c r="P811" s="1" t="s">
        <v>7742</v>
      </c>
      <c r="Q811" s="1" t="s">
        <v>7743</v>
      </c>
      <c r="R811" s="1" t="s">
        <v>7744</v>
      </c>
      <c r="S811" s="1" t="s">
        <v>7742</v>
      </c>
      <c r="T811" s="1" t="s">
        <v>7743</v>
      </c>
      <c r="U811" s="1" t="s">
        <v>7744</v>
      </c>
      <c r="V811" s="13">
        <f>COUNTIF(L811:$M$1659,L811)</f>
        <v>4</v>
      </c>
      <c r="W811" s="1" t="s">
        <v>7745</v>
      </c>
      <c r="X811">
        <v>816.87</v>
      </c>
      <c r="Y811">
        <v>408.43</v>
      </c>
      <c r="Z811">
        <v>16.463816999999999</v>
      </c>
      <c r="AA811">
        <v>107.586459</v>
      </c>
      <c r="AB811">
        <v>408.43</v>
      </c>
      <c r="AC811">
        <v>16.463816999999999</v>
      </c>
      <c r="AD811">
        <v>107.586459</v>
      </c>
      <c r="AE811" s="5">
        <f t="shared" si="61"/>
        <v>0.612645</v>
      </c>
      <c r="AF811" s="5">
        <f t="shared" si="62"/>
        <v>0.612645</v>
      </c>
      <c r="AG811" s="1" t="str">
        <f>TRIM(LEFT(L811,FIND("-",L811)-1))</f>
        <v>Ring 3 PC10</v>
      </c>
      <c r="AH811" s="1" t="str">
        <f>TRIM(RIGHT(L811, LEN(L811) - FIND("-", L811)))</f>
        <v>PC11</v>
      </c>
      <c r="AJ811">
        <f t="shared" si="63"/>
        <v>0.40843000000000002</v>
      </c>
      <c r="AK811">
        <f t="shared" si="64"/>
        <v>0.40843000000000002</v>
      </c>
      <c r="AL811" t="e">
        <f>VLOOKUP(L811,'[1]Tuyến cáp H04'!$B:$E,3,0)/1000</f>
        <v>#N/A</v>
      </c>
      <c r="AM811" t="e">
        <f>VLOOKUP(L811,'[1]Tuyến cáp H04'!$B:$E,4,0)</f>
        <v>#N/A</v>
      </c>
    </row>
    <row r="812" spans="1:39" x14ac:dyDescent="0.25">
      <c r="A812" s="1" t="s">
        <v>7746</v>
      </c>
      <c r="B812" s="1" t="s">
        <v>7438</v>
      </c>
      <c r="C812" s="1" t="s">
        <v>7439</v>
      </c>
      <c r="D812" s="1" t="s">
        <v>7438</v>
      </c>
      <c r="E812" s="1" t="s">
        <v>7439</v>
      </c>
      <c r="F812" s="1" t="s">
        <v>7747</v>
      </c>
      <c r="G812" s="1" t="s">
        <v>14129</v>
      </c>
      <c r="H812" s="1" t="s">
        <v>14532</v>
      </c>
      <c r="I812" s="1" t="s">
        <v>14926</v>
      </c>
      <c r="J812" s="1" t="s">
        <v>23</v>
      </c>
      <c r="K812" s="1"/>
      <c r="L812" s="1" t="s">
        <v>7748</v>
      </c>
      <c r="M812" s="1" t="s">
        <v>7748</v>
      </c>
      <c r="N812" s="12" t="b">
        <f t="shared" si="60"/>
        <v>1</v>
      </c>
      <c r="O812" s="1" t="s">
        <v>7749</v>
      </c>
      <c r="P812" s="1" t="s">
        <v>7750</v>
      </c>
      <c r="Q812" s="1" t="s">
        <v>7751</v>
      </c>
      <c r="R812" s="1" t="s">
        <v>7752</v>
      </c>
      <c r="S812" s="1" t="s">
        <v>7750</v>
      </c>
      <c r="T812" s="1" t="s">
        <v>7751</v>
      </c>
      <c r="U812" s="1" t="s">
        <v>7752</v>
      </c>
      <c r="V812" s="13">
        <f>COUNTIF(L812:$M$1659,L812)</f>
        <v>2</v>
      </c>
      <c r="W812" s="1" t="s">
        <v>7753</v>
      </c>
      <c r="X812">
        <v>35.35</v>
      </c>
      <c r="Y812">
        <v>17.670000000000002</v>
      </c>
      <c r="Z812">
        <v>16.459883999999999</v>
      </c>
      <c r="AA812">
        <v>107.605284</v>
      </c>
      <c r="AB812">
        <v>17.670000000000002</v>
      </c>
      <c r="AC812">
        <v>16.459883999999999</v>
      </c>
      <c r="AD812">
        <v>107.605284</v>
      </c>
      <c r="AE812" s="5">
        <f t="shared" si="61"/>
        <v>2.6505000000000004E-2</v>
      </c>
      <c r="AF812" s="5">
        <f t="shared" si="62"/>
        <v>2.6505000000000004E-2</v>
      </c>
      <c r="AG812" s="1" t="str">
        <f>TRIM(LEFT(L812,FIND("-",L812)-1))</f>
        <v>PC06 (54 Hùng Vương)</v>
      </c>
      <c r="AH812" s="1" t="str">
        <f>TRIM(RIGHT(L812, LEN(L812) - FIND("-", L812)))</f>
        <v>TT Huế</v>
      </c>
      <c r="AJ812">
        <f t="shared" si="63"/>
        <v>1.7670000000000002E-2</v>
      </c>
      <c r="AK812">
        <f t="shared" si="64"/>
        <v>1.7670000000000002E-2</v>
      </c>
      <c r="AL812">
        <f>VLOOKUP(L812,'[1]Tuyến cáp H04'!$B:$E,3,0)/1000</f>
        <v>6.71</v>
      </c>
      <c r="AM812" t="str">
        <f>VLOOKUP(L812,'[1]Tuyến cáp H04'!$B:$E,4,0)</f>
        <v>Mạng cấp 3</v>
      </c>
    </row>
    <row r="813" spans="1:39" x14ac:dyDescent="0.25">
      <c r="A813" s="1" t="s">
        <v>7754</v>
      </c>
      <c r="B813" s="1" t="s">
        <v>7755</v>
      </c>
      <c r="C813" s="1" t="s">
        <v>7756</v>
      </c>
      <c r="D813" s="1" t="s">
        <v>7017</v>
      </c>
      <c r="E813" s="1" t="s">
        <v>7018</v>
      </c>
      <c r="F813" s="1" t="s">
        <v>7757</v>
      </c>
      <c r="G813" s="1" t="s">
        <v>14129</v>
      </c>
      <c r="H813" s="1" t="s">
        <v>14532</v>
      </c>
      <c r="I813" s="1" t="s">
        <v>14927</v>
      </c>
      <c r="J813" s="1" t="s">
        <v>23</v>
      </c>
      <c r="K813" s="1"/>
      <c r="L813" s="1" t="s">
        <v>7022</v>
      </c>
      <c r="M813" s="1" t="s">
        <v>7022</v>
      </c>
      <c r="N813" s="12" t="b">
        <f t="shared" si="60"/>
        <v>1</v>
      </c>
      <c r="O813" s="1" t="s">
        <v>7758</v>
      </c>
      <c r="P813" s="1" t="s">
        <v>7759</v>
      </c>
      <c r="Q813" s="1" t="s">
        <v>7760</v>
      </c>
      <c r="R813" s="1" t="s">
        <v>7761</v>
      </c>
      <c r="S813" s="1" t="s">
        <v>7762</v>
      </c>
      <c r="T813" s="1" t="s">
        <v>7763</v>
      </c>
      <c r="U813" s="1" t="s">
        <v>7764</v>
      </c>
      <c r="V813" s="13">
        <f>COUNTIF(L813:$M$1659,L813)</f>
        <v>2</v>
      </c>
      <c r="W813" s="1" t="s">
        <v>7765</v>
      </c>
      <c r="X813">
        <v>743.01</v>
      </c>
      <c r="Y813">
        <v>92.14</v>
      </c>
      <c r="Z813">
        <v>16.470611999999999</v>
      </c>
      <c r="AA813">
        <v>107.587018</v>
      </c>
      <c r="AB813">
        <v>650.87</v>
      </c>
      <c r="AC813">
        <v>16.481928</v>
      </c>
      <c r="AD813">
        <v>107.590125</v>
      </c>
      <c r="AE813" s="5">
        <f t="shared" si="61"/>
        <v>0.13821</v>
      </c>
      <c r="AF813" s="5">
        <f t="shared" si="62"/>
        <v>0.97630500000000009</v>
      </c>
      <c r="AG813" s="1" t="str">
        <f>TRIM(LEFT(L813,FIND("-",L813)-1))</f>
        <v>Ring 1 Nguyễn Thái Học</v>
      </c>
      <c r="AH813" s="1" t="str">
        <f>TRIM(RIGHT(L813, LEN(L813) - FIND("-", L813)))</f>
        <v>Phú Xuân</v>
      </c>
      <c r="AJ813">
        <f t="shared" si="63"/>
        <v>9.214E-2</v>
      </c>
      <c r="AK813">
        <f t="shared" si="64"/>
        <v>0.65087000000000006</v>
      </c>
      <c r="AL813" t="e">
        <f>VLOOKUP(L813,'[1]Tuyến cáp H04'!$B:$E,3,0)/1000</f>
        <v>#N/A</v>
      </c>
      <c r="AM813" t="e">
        <f>VLOOKUP(L813,'[1]Tuyến cáp H04'!$B:$E,4,0)</f>
        <v>#N/A</v>
      </c>
    </row>
    <row r="814" spans="1:39" x14ac:dyDescent="0.25">
      <c r="A814" s="1" t="s">
        <v>7766</v>
      </c>
      <c r="B814" s="1" t="s">
        <v>7767</v>
      </c>
      <c r="C814" s="1" t="s">
        <v>7768</v>
      </c>
      <c r="D814" s="1" t="s">
        <v>7769</v>
      </c>
      <c r="E814" s="1" t="s">
        <v>7770</v>
      </c>
      <c r="F814" s="1" t="s">
        <v>7771</v>
      </c>
      <c r="G814" s="1" t="s">
        <v>14129</v>
      </c>
      <c r="H814" s="1" t="s">
        <v>14532</v>
      </c>
      <c r="I814" s="1" t="s">
        <v>14928</v>
      </c>
      <c r="J814" s="1" t="s">
        <v>23</v>
      </c>
      <c r="K814" s="1"/>
      <c r="L814" s="1" t="s">
        <v>7772</v>
      </c>
      <c r="M814" s="1" t="s">
        <v>7772</v>
      </c>
      <c r="N814" s="12" t="b">
        <f t="shared" si="60"/>
        <v>1</v>
      </c>
      <c r="O814" s="1" t="s">
        <v>7773</v>
      </c>
      <c r="P814" s="1" t="s">
        <v>7774</v>
      </c>
      <c r="Q814" s="1" t="s">
        <v>7775</v>
      </c>
      <c r="R814" s="1" t="s">
        <v>7776</v>
      </c>
      <c r="S814" s="1" t="s">
        <v>7777</v>
      </c>
      <c r="T814" s="1" t="s">
        <v>4958</v>
      </c>
      <c r="U814" s="1" t="s">
        <v>7778</v>
      </c>
      <c r="V814" s="13">
        <f>COUNTIF(L814:$M$1659,L814)</f>
        <v>2</v>
      </c>
      <c r="W814" s="1" t="s">
        <v>7779</v>
      </c>
      <c r="X814">
        <v>1322.43</v>
      </c>
      <c r="Y814">
        <v>1095.6500000000001</v>
      </c>
      <c r="Z814">
        <v>16.272387999999999</v>
      </c>
      <c r="AA814">
        <v>107.972993</v>
      </c>
      <c r="AB814">
        <v>226.78</v>
      </c>
      <c r="AC814">
        <v>16.242723999999999</v>
      </c>
      <c r="AD814">
        <v>108.077697</v>
      </c>
      <c r="AE814" s="5">
        <f t="shared" si="61"/>
        <v>1.6434750000000002</v>
      </c>
      <c r="AF814" s="5">
        <f t="shared" si="62"/>
        <v>0.34017000000000003</v>
      </c>
      <c r="AG814" s="1" t="str">
        <f>TRIM(LEFT(L814,FIND("-",L814)-1))</f>
        <v>Ring 1 Vinh Lộc</v>
      </c>
      <c r="AH814" s="1" t="str">
        <f>TRIM(RIGHT(L814, LEN(L814) - FIND("-", L814)))</f>
        <v>Chân Mây_Lăng Cô</v>
      </c>
      <c r="AJ814">
        <f t="shared" si="63"/>
        <v>1.09565</v>
      </c>
      <c r="AK814">
        <f t="shared" si="64"/>
        <v>0.22678000000000001</v>
      </c>
      <c r="AL814" t="e">
        <f>VLOOKUP(L814,'[1]Tuyến cáp H04'!$B:$E,3,0)/1000</f>
        <v>#N/A</v>
      </c>
      <c r="AM814" t="e">
        <f>VLOOKUP(L814,'[1]Tuyến cáp H04'!$B:$E,4,0)</f>
        <v>#N/A</v>
      </c>
    </row>
    <row r="815" spans="1:39" x14ac:dyDescent="0.25">
      <c r="A815" s="1" t="s">
        <v>7780</v>
      </c>
      <c r="B815" s="1" t="s">
        <v>7781</v>
      </c>
      <c r="C815" s="1" t="s">
        <v>7782</v>
      </c>
      <c r="D815" s="1" t="s">
        <v>7279</v>
      </c>
      <c r="E815" s="1" t="s">
        <v>7280</v>
      </c>
      <c r="F815" s="1" t="s">
        <v>7783</v>
      </c>
      <c r="G815" s="1" t="s">
        <v>14129</v>
      </c>
      <c r="H815" s="1" t="s">
        <v>14532</v>
      </c>
      <c r="I815" s="1" t="s">
        <v>14929</v>
      </c>
      <c r="J815" s="1" t="s">
        <v>23</v>
      </c>
      <c r="K815" s="1"/>
      <c r="L815" s="1" t="s">
        <v>7269</v>
      </c>
      <c r="M815" s="1" t="s">
        <v>7269</v>
      </c>
      <c r="N815" s="12" t="b">
        <f t="shared" si="60"/>
        <v>1</v>
      </c>
      <c r="O815" s="1" t="s">
        <v>7784</v>
      </c>
      <c r="P815" s="1" t="s">
        <v>7785</v>
      </c>
      <c r="Q815" s="1" t="s">
        <v>7272</v>
      </c>
      <c r="R815" s="1" t="s">
        <v>7273</v>
      </c>
      <c r="S815" s="1" t="s">
        <v>1317</v>
      </c>
      <c r="T815" s="1" t="s">
        <v>7285</v>
      </c>
      <c r="U815" s="1" t="s">
        <v>7286</v>
      </c>
      <c r="V815" s="13">
        <f>COUNTIF(L815:$M$1659,L815)</f>
        <v>2</v>
      </c>
      <c r="W815" s="1" t="s">
        <v>7277</v>
      </c>
      <c r="X815">
        <v>975.75</v>
      </c>
      <c r="Y815">
        <v>963.19</v>
      </c>
      <c r="Z815">
        <v>16.512826</v>
      </c>
      <c r="AA815">
        <v>107.59974200000001</v>
      </c>
      <c r="AB815">
        <v>12.56</v>
      </c>
      <c r="AC815">
        <v>16.543879</v>
      </c>
      <c r="AD815">
        <v>107.636127</v>
      </c>
      <c r="AE815" s="5">
        <f t="shared" si="61"/>
        <v>1.444785</v>
      </c>
      <c r="AF815" s="5">
        <f t="shared" si="62"/>
        <v>1.8839999999999999E-2</v>
      </c>
      <c r="AG815" s="1" t="str">
        <f>TRIM(LEFT(L815,FIND("-",L815)-1))</f>
        <v>Ring 8 Dương Nỗ</v>
      </c>
      <c r="AH815" s="1" t="str">
        <f>TRIM(RIGHT(L815, LEN(L815) - FIND("-", L815)))</f>
        <v>Thuận An</v>
      </c>
      <c r="AJ815">
        <f t="shared" si="63"/>
        <v>0.9631900000000001</v>
      </c>
      <c r="AK815">
        <f t="shared" si="64"/>
        <v>1.256E-2</v>
      </c>
      <c r="AL815" t="e">
        <f>VLOOKUP(L815,'[1]Tuyến cáp H04'!$B:$E,3,0)/1000</f>
        <v>#N/A</v>
      </c>
      <c r="AM815" t="e">
        <f>VLOOKUP(L815,'[1]Tuyến cáp H04'!$B:$E,4,0)</f>
        <v>#N/A</v>
      </c>
    </row>
    <row r="816" spans="1:39" x14ac:dyDescent="0.25">
      <c r="A816" s="1" t="s">
        <v>7786</v>
      </c>
      <c r="B816" s="1" t="s">
        <v>7787</v>
      </c>
      <c r="C816" s="1" t="s">
        <v>7788</v>
      </c>
      <c r="D816" s="1" t="s">
        <v>6932</v>
      </c>
      <c r="E816" s="1" t="s">
        <v>6933</v>
      </c>
      <c r="F816" s="1" t="s">
        <v>7789</v>
      </c>
      <c r="G816" s="1" t="s">
        <v>14129</v>
      </c>
      <c r="H816" s="1" t="s">
        <v>14532</v>
      </c>
      <c r="I816" s="1" t="s">
        <v>14930</v>
      </c>
      <c r="J816" s="1" t="s">
        <v>23</v>
      </c>
      <c r="K816" s="1"/>
      <c r="L816" s="1" t="s">
        <v>7254</v>
      </c>
      <c r="M816" s="1" t="s">
        <v>7254</v>
      </c>
      <c r="N816" s="12" t="b">
        <f t="shared" si="60"/>
        <v>1</v>
      </c>
      <c r="O816" s="1" t="s">
        <v>7790</v>
      </c>
      <c r="P816" s="1" t="s">
        <v>7791</v>
      </c>
      <c r="Q816" s="1" t="s">
        <v>7257</v>
      </c>
      <c r="R816" s="1" t="s">
        <v>7258</v>
      </c>
      <c r="S816" s="1" t="s">
        <v>7792</v>
      </c>
      <c r="T816" s="1" t="s">
        <v>7793</v>
      </c>
      <c r="U816" s="1" t="s">
        <v>7794</v>
      </c>
      <c r="V816" s="13">
        <f>COUNTIF(L816:$M$1659,L816)</f>
        <v>4</v>
      </c>
      <c r="W816" s="1" t="s">
        <v>7262</v>
      </c>
      <c r="X816">
        <v>783.8</v>
      </c>
      <c r="Y816">
        <v>726.09</v>
      </c>
      <c r="Z816">
        <v>16.487857999999999</v>
      </c>
      <c r="AA816">
        <v>107.644924</v>
      </c>
      <c r="AB816">
        <v>57.71</v>
      </c>
      <c r="AC816">
        <v>16.439834000000001</v>
      </c>
      <c r="AD816">
        <v>107.715987</v>
      </c>
      <c r="AE816" s="5">
        <f t="shared" si="61"/>
        <v>1.089135</v>
      </c>
      <c r="AF816" s="5">
        <f t="shared" si="62"/>
        <v>8.6565000000000003E-2</v>
      </c>
      <c r="AG816" s="1" t="str">
        <f>TRIM(LEFT(L816,FIND("-",L816)-1))</f>
        <v>TTCMKV_Ring 1_CAT Huế mới</v>
      </c>
      <c r="AH816" s="1" t="str">
        <f>TRIM(RIGHT(L816, LEN(L816) - FIND("-", L816)))</f>
        <v>Phú Vang</v>
      </c>
      <c r="AJ816">
        <f t="shared" si="63"/>
        <v>0.72609000000000001</v>
      </c>
      <c r="AK816">
        <f t="shared" si="64"/>
        <v>5.7709999999999997E-2</v>
      </c>
      <c r="AL816" t="e">
        <f>VLOOKUP(L816,'[1]Tuyến cáp H04'!$B:$E,3,0)/1000</f>
        <v>#N/A</v>
      </c>
      <c r="AM816" t="e">
        <f>VLOOKUP(L816,'[1]Tuyến cáp H04'!$B:$E,4,0)</f>
        <v>#N/A</v>
      </c>
    </row>
    <row r="817" spans="1:39" x14ac:dyDescent="0.25">
      <c r="A817" s="1" t="s">
        <v>7795</v>
      </c>
      <c r="B817" s="1" t="s">
        <v>7796</v>
      </c>
      <c r="C817" s="1" t="s">
        <v>7797</v>
      </c>
      <c r="D817" s="1" t="s">
        <v>6989</v>
      </c>
      <c r="E817" s="1" t="s">
        <v>6990</v>
      </c>
      <c r="F817" s="1" t="s">
        <v>7798</v>
      </c>
      <c r="G817" s="1" t="s">
        <v>14129</v>
      </c>
      <c r="H817" s="1" t="s">
        <v>14532</v>
      </c>
      <c r="I817" s="1" t="s">
        <v>14931</v>
      </c>
      <c r="J817" s="1" t="s">
        <v>23</v>
      </c>
      <c r="K817" s="1"/>
      <c r="L817" s="1" t="s">
        <v>7596</v>
      </c>
      <c r="M817" s="1" t="s">
        <v>7596</v>
      </c>
      <c r="N817" s="12" t="b">
        <f t="shared" si="60"/>
        <v>1</v>
      </c>
      <c r="O817" s="1" t="s">
        <v>7799</v>
      </c>
      <c r="P817" s="1" t="s">
        <v>7800</v>
      </c>
      <c r="Q817" s="1" t="s">
        <v>7801</v>
      </c>
      <c r="R817" s="1" t="s">
        <v>7802</v>
      </c>
      <c r="S817" s="1" t="s">
        <v>7598</v>
      </c>
      <c r="T817" s="1" t="s">
        <v>7599</v>
      </c>
      <c r="U817" s="1" t="s">
        <v>7600</v>
      </c>
      <c r="V817" s="13">
        <f>COUNTIF(L817:$M$1659,L817)</f>
        <v>2</v>
      </c>
      <c r="W817" s="1" t="s">
        <v>7604</v>
      </c>
      <c r="X817">
        <v>478.44</v>
      </c>
      <c r="Y817">
        <v>385.11</v>
      </c>
      <c r="Z817">
        <v>16.566452999999999</v>
      </c>
      <c r="AA817">
        <v>107.498831</v>
      </c>
      <c r="AB817">
        <v>93.33</v>
      </c>
      <c r="AC817">
        <v>16.569545999999999</v>
      </c>
      <c r="AD817">
        <v>107.513842</v>
      </c>
      <c r="AE817" s="5">
        <f t="shared" si="61"/>
        <v>0.57766499999999998</v>
      </c>
      <c r="AF817" s="5">
        <f t="shared" si="62"/>
        <v>0.13999500000000001</v>
      </c>
      <c r="AG817" s="1" t="str">
        <f>TRIM(LEFT(L817,FIND("-",L817)-1))</f>
        <v>Ring 5 Đan Điền</v>
      </c>
      <c r="AH817" s="1" t="str">
        <f>TRIM(RIGHT(L817, LEN(L817) - FIND("-", L817)))</f>
        <v>Quảng Điền</v>
      </c>
      <c r="AJ817">
        <f t="shared" si="63"/>
        <v>0.38511000000000001</v>
      </c>
      <c r="AK817">
        <f t="shared" si="64"/>
        <v>9.3329999999999996E-2</v>
      </c>
      <c r="AL817" t="e">
        <f>VLOOKUP(L817,'[1]Tuyến cáp H04'!$B:$E,3,0)/1000</f>
        <v>#N/A</v>
      </c>
      <c r="AM817" t="e">
        <f>VLOOKUP(L817,'[1]Tuyến cáp H04'!$B:$E,4,0)</f>
        <v>#N/A</v>
      </c>
    </row>
    <row r="818" spans="1:39" x14ac:dyDescent="0.25">
      <c r="A818" s="1" t="s">
        <v>7803</v>
      </c>
      <c r="B818" s="1" t="s">
        <v>7804</v>
      </c>
      <c r="C818" s="1" t="s">
        <v>7805</v>
      </c>
      <c r="D818" s="1" t="s">
        <v>6989</v>
      </c>
      <c r="E818" s="1" t="s">
        <v>6990</v>
      </c>
      <c r="F818" s="1" t="s">
        <v>7806</v>
      </c>
      <c r="G818" s="1" t="s">
        <v>14129</v>
      </c>
      <c r="H818" s="1" t="s">
        <v>14532</v>
      </c>
      <c r="I818" s="1" t="s">
        <v>14932</v>
      </c>
      <c r="J818" s="1" t="s">
        <v>23</v>
      </c>
      <c r="K818" s="1"/>
      <c r="L818" s="1" t="s">
        <v>7509</v>
      </c>
      <c r="M818" s="1" t="s">
        <v>7509</v>
      </c>
      <c r="N818" s="12" t="b">
        <f t="shared" si="60"/>
        <v>1</v>
      </c>
      <c r="O818" s="1" t="s">
        <v>7807</v>
      </c>
      <c r="P818" s="1" t="s">
        <v>7808</v>
      </c>
      <c r="Q818" s="1" t="s">
        <v>7809</v>
      </c>
      <c r="R818" s="1" t="s">
        <v>7810</v>
      </c>
      <c r="S818" s="1" t="s">
        <v>7811</v>
      </c>
      <c r="T818" s="1" t="s">
        <v>7812</v>
      </c>
      <c r="U818" s="1" t="s">
        <v>7813</v>
      </c>
      <c r="V818" s="13">
        <f>COUNTIF(L818:$M$1659,L818)</f>
        <v>10</v>
      </c>
      <c r="W818" s="1" t="s">
        <v>7517</v>
      </c>
      <c r="X818">
        <v>6198.63</v>
      </c>
      <c r="Y818">
        <v>4938.2299999999996</v>
      </c>
      <c r="Z818">
        <v>16.596872999999999</v>
      </c>
      <c r="AA818">
        <v>107.50172499999999</v>
      </c>
      <c r="AB818">
        <v>1260.4000000000001</v>
      </c>
      <c r="AC818">
        <v>16.580074</v>
      </c>
      <c r="AD818">
        <v>107.513431</v>
      </c>
      <c r="AE818" s="5">
        <f t="shared" si="61"/>
        <v>7.4073449999999994</v>
      </c>
      <c r="AF818" s="5">
        <f t="shared" si="62"/>
        <v>1.8906000000000001</v>
      </c>
      <c r="AG818" s="1" t="str">
        <f>TRIM(LEFT(L818,FIND("-",L818)-1))</f>
        <v>Ring 3_Phong Dinh</v>
      </c>
      <c r="AH818" s="1" t="str">
        <f>TRIM(RIGHT(L818, LEN(L818) - FIND("-", L818)))</f>
        <v>TTCMKV Quảng Điền</v>
      </c>
      <c r="AJ818">
        <f t="shared" si="63"/>
        <v>4.9382299999999999</v>
      </c>
      <c r="AK818">
        <f t="shared" si="64"/>
        <v>1.2604000000000002</v>
      </c>
      <c r="AL818" t="e">
        <f>VLOOKUP(L818,'[1]Tuyến cáp H04'!$B:$E,3,0)/1000</f>
        <v>#N/A</v>
      </c>
      <c r="AM818" t="e">
        <f>VLOOKUP(L818,'[1]Tuyến cáp H04'!$B:$E,4,0)</f>
        <v>#N/A</v>
      </c>
    </row>
    <row r="819" spans="1:39" x14ac:dyDescent="0.25">
      <c r="A819" s="1" t="s">
        <v>7814</v>
      </c>
      <c r="B819" s="1" t="s">
        <v>7815</v>
      </c>
      <c r="C819" s="1" t="s">
        <v>7816</v>
      </c>
      <c r="D819" s="1" t="s">
        <v>7017</v>
      </c>
      <c r="E819" s="1" t="s">
        <v>7018</v>
      </c>
      <c r="F819" s="1" t="s">
        <v>7817</v>
      </c>
      <c r="G819" s="1" t="s">
        <v>14129</v>
      </c>
      <c r="H819" s="1" t="s">
        <v>14532</v>
      </c>
      <c r="I819" s="1" t="s">
        <v>14933</v>
      </c>
      <c r="J819" s="1" t="s">
        <v>23</v>
      </c>
      <c r="K819" s="1"/>
      <c r="L819" s="1" t="s">
        <v>7478</v>
      </c>
      <c r="M819" s="1" t="s">
        <v>7478</v>
      </c>
      <c r="N819" s="12" t="b">
        <f t="shared" si="60"/>
        <v>1</v>
      </c>
      <c r="O819" s="1" t="s">
        <v>7818</v>
      </c>
      <c r="P819" s="1" t="s">
        <v>7819</v>
      </c>
      <c r="Q819" s="1" t="s">
        <v>7484</v>
      </c>
      <c r="R819" s="1" t="s">
        <v>7485</v>
      </c>
      <c r="S819" s="1" t="s">
        <v>7628</v>
      </c>
      <c r="T819" s="1" t="s">
        <v>7481</v>
      </c>
      <c r="U819" s="1" t="s">
        <v>7482</v>
      </c>
      <c r="V819" s="13">
        <f>COUNTIF(L819:$M$1659,L819)</f>
        <v>4</v>
      </c>
      <c r="W819" s="1" t="s">
        <v>7486</v>
      </c>
      <c r="X819">
        <v>1854.24</v>
      </c>
      <c r="Y819">
        <v>898.82</v>
      </c>
      <c r="Z819">
        <v>16.460554999999999</v>
      </c>
      <c r="AA819">
        <v>107.569109</v>
      </c>
      <c r="AB819">
        <v>955.41</v>
      </c>
      <c r="AC819">
        <v>16.478936999999998</v>
      </c>
      <c r="AD819">
        <v>107.58975599999999</v>
      </c>
      <c r="AE819" s="5">
        <f t="shared" si="61"/>
        <v>1.34823</v>
      </c>
      <c r="AF819" s="5">
        <f t="shared" si="62"/>
        <v>1.4331149999999999</v>
      </c>
      <c r="AG819" s="1" t="str">
        <f>TRIM(LEFT(L819,FIND("-",L819)-1))</f>
        <v>PC04 (trung tâm cái nghiện)</v>
      </c>
      <c r="AH819" s="1" t="str">
        <f>TRIM(RIGHT(L819, LEN(L819) - FIND("-", L819)))</f>
        <v>Phú Xuân</v>
      </c>
      <c r="AJ819">
        <f t="shared" si="63"/>
        <v>0.89882000000000006</v>
      </c>
      <c r="AK819">
        <f t="shared" si="64"/>
        <v>0.95540999999999998</v>
      </c>
      <c r="AL819">
        <f>VLOOKUP(L819,'[1]Tuyến cáp H04'!$B:$E,3,0)/1000</f>
        <v>13.4</v>
      </c>
      <c r="AM819" t="str">
        <f>VLOOKUP(L819,'[1]Tuyến cáp H04'!$B:$E,4,0)</f>
        <v>Mạng cấp 3</v>
      </c>
    </row>
    <row r="820" spans="1:39" x14ac:dyDescent="0.25">
      <c r="A820" s="1" t="s">
        <v>7820</v>
      </c>
      <c r="B820" s="1" t="s">
        <v>7821</v>
      </c>
      <c r="C820" s="1" t="s">
        <v>7822</v>
      </c>
      <c r="D820" s="1" t="s">
        <v>7449</v>
      </c>
      <c r="E820" s="1" t="s">
        <v>7450</v>
      </c>
      <c r="F820" s="1" t="s">
        <v>7823</v>
      </c>
      <c r="G820" s="1" t="s">
        <v>14129</v>
      </c>
      <c r="H820" s="1" t="s">
        <v>14532</v>
      </c>
      <c r="I820" s="1" t="s">
        <v>14934</v>
      </c>
      <c r="J820" s="1" t="s">
        <v>23</v>
      </c>
      <c r="K820" s="1"/>
      <c r="L820" s="1" t="s">
        <v>7452</v>
      </c>
      <c r="M820" s="1" t="s">
        <v>7452</v>
      </c>
      <c r="N820" s="12" t="b">
        <f t="shared" si="60"/>
        <v>1</v>
      </c>
      <c r="O820" s="1" t="s">
        <v>7824</v>
      </c>
      <c r="P820" s="1" t="s">
        <v>7825</v>
      </c>
      <c r="Q820" s="1" t="s">
        <v>7540</v>
      </c>
      <c r="R820" s="1" t="s">
        <v>7541</v>
      </c>
      <c r="S820" s="1" t="s">
        <v>7542</v>
      </c>
      <c r="T820" s="1" t="s">
        <v>7543</v>
      </c>
      <c r="U820" s="1" t="s">
        <v>7544</v>
      </c>
      <c r="V820" s="13">
        <f>COUNTIF(L820:$M$1659,L820)</f>
        <v>2</v>
      </c>
      <c r="W820" s="1" t="s">
        <v>7545</v>
      </c>
      <c r="X820">
        <v>2594.86</v>
      </c>
      <c r="Y820">
        <v>1786.54</v>
      </c>
      <c r="Z820">
        <v>16.451485000000002</v>
      </c>
      <c r="AA820">
        <v>107.57438</v>
      </c>
      <c r="AB820">
        <v>808.32</v>
      </c>
      <c r="AC820">
        <v>16.430464000000001</v>
      </c>
      <c r="AD820">
        <v>107.58719000000001</v>
      </c>
      <c r="AE820" s="5">
        <f t="shared" si="61"/>
        <v>2.6798099999999998</v>
      </c>
      <c r="AF820" s="5">
        <f t="shared" si="62"/>
        <v>1.21248</v>
      </c>
      <c r="AG820" s="1" t="str">
        <f>TRIM(LEFT(L820,FIND("-",L820)-1))</f>
        <v>Ring 3 PC10</v>
      </c>
      <c r="AH820" s="1" t="str">
        <f>TRIM(RIGHT(L820, LEN(L820) - FIND("-", L820)))</f>
        <v>PC11</v>
      </c>
      <c r="AJ820">
        <f t="shared" si="63"/>
        <v>1.78654</v>
      </c>
      <c r="AK820">
        <f t="shared" si="64"/>
        <v>0.80832000000000004</v>
      </c>
      <c r="AL820" t="e">
        <f>VLOOKUP(L820,'[1]Tuyến cáp H04'!$B:$E,3,0)/1000</f>
        <v>#N/A</v>
      </c>
      <c r="AM820" t="e">
        <f>VLOOKUP(L820,'[1]Tuyến cáp H04'!$B:$E,4,0)</f>
        <v>#N/A</v>
      </c>
    </row>
    <row r="821" spans="1:39" x14ac:dyDescent="0.25">
      <c r="A821" s="1" t="s">
        <v>7505</v>
      </c>
      <c r="B821" s="1" t="s">
        <v>7506</v>
      </c>
      <c r="C821" s="1" t="s">
        <v>7507</v>
      </c>
      <c r="D821" s="1" t="s">
        <v>6989</v>
      </c>
      <c r="E821" s="1" t="s">
        <v>6990</v>
      </c>
      <c r="F821" s="1" t="s">
        <v>7826</v>
      </c>
      <c r="G821" s="1" t="s">
        <v>14129</v>
      </c>
      <c r="H821" s="1" t="s">
        <v>14532</v>
      </c>
      <c r="I821" s="1" t="s">
        <v>14935</v>
      </c>
      <c r="J821" s="1" t="s">
        <v>23</v>
      </c>
      <c r="K821" s="1"/>
      <c r="L821" s="1" t="s">
        <v>7509</v>
      </c>
      <c r="M821" s="1" t="s">
        <v>7509</v>
      </c>
      <c r="N821" s="12" t="b">
        <f t="shared" si="60"/>
        <v>1</v>
      </c>
      <c r="O821" s="1" t="s">
        <v>7510</v>
      </c>
      <c r="P821" s="1" t="s">
        <v>7511</v>
      </c>
      <c r="Q821" s="1" t="s">
        <v>7512</v>
      </c>
      <c r="R821" s="1" t="s">
        <v>7513</v>
      </c>
      <c r="S821" s="1" t="s">
        <v>7514</v>
      </c>
      <c r="T821" s="1" t="s">
        <v>7515</v>
      </c>
      <c r="U821" s="1" t="s">
        <v>7516</v>
      </c>
      <c r="V821" s="13">
        <f>COUNTIF(L821:$M$1659,L821)</f>
        <v>8</v>
      </c>
      <c r="W821" s="1" t="s">
        <v>7517</v>
      </c>
      <c r="X821">
        <v>5064.17</v>
      </c>
      <c r="Y821">
        <v>5010.4399999999996</v>
      </c>
      <c r="Z821">
        <v>16.579530999999999</v>
      </c>
      <c r="AA821">
        <v>107.513243</v>
      </c>
      <c r="AB821">
        <v>53.73</v>
      </c>
      <c r="AC821">
        <v>16.569082999999999</v>
      </c>
      <c r="AD821">
        <v>107.513955</v>
      </c>
      <c r="AE821" s="5">
        <f t="shared" si="61"/>
        <v>7.5156599999999996</v>
      </c>
      <c r="AF821" s="5">
        <f t="shared" si="62"/>
        <v>8.0595E-2</v>
      </c>
      <c r="AG821" s="1" t="str">
        <f>TRIM(LEFT(L821,FIND("-",L821)-1))</f>
        <v>Ring 3_Phong Dinh</v>
      </c>
      <c r="AH821" s="1" t="str">
        <f>TRIM(RIGHT(L821, LEN(L821) - FIND("-", L821)))</f>
        <v>TTCMKV Quảng Điền</v>
      </c>
      <c r="AJ821">
        <f t="shared" si="63"/>
        <v>5.01044</v>
      </c>
      <c r="AK821">
        <f t="shared" si="64"/>
        <v>5.373E-2</v>
      </c>
      <c r="AL821" t="e">
        <f>VLOOKUP(L821,'[1]Tuyến cáp H04'!$B:$E,3,0)/1000</f>
        <v>#N/A</v>
      </c>
      <c r="AM821" t="e">
        <f>VLOOKUP(L821,'[1]Tuyến cáp H04'!$B:$E,4,0)</f>
        <v>#N/A</v>
      </c>
    </row>
    <row r="822" spans="1:39" x14ac:dyDescent="0.25">
      <c r="A822" s="1" t="s">
        <v>7827</v>
      </c>
      <c r="B822" s="1" t="s">
        <v>7828</v>
      </c>
      <c r="C822" s="1" t="s">
        <v>7829</v>
      </c>
      <c r="D822" s="1" t="s">
        <v>6962</v>
      </c>
      <c r="E822" s="1" t="s">
        <v>6963</v>
      </c>
      <c r="F822" s="1" t="s">
        <v>7830</v>
      </c>
      <c r="G822" s="1" t="s">
        <v>14129</v>
      </c>
      <c r="H822" s="1" t="s">
        <v>14532</v>
      </c>
      <c r="I822" s="1" t="s">
        <v>14936</v>
      </c>
      <c r="J822" s="1" t="s">
        <v>23</v>
      </c>
      <c r="K822" s="1"/>
      <c r="L822" s="1" t="s">
        <v>7093</v>
      </c>
      <c r="M822" s="1" t="s">
        <v>7093</v>
      </c>
      <c r="N822" s="12" t="b">
        <f t="shared" si="60"/>
        <v>1</v>
      </c>
      <c r="O822" s="1" t="s">
        <v>7831</v>
      </c>
      <c r="P822" s="1" t="s">
        <v>7832</v>
      </c>
      <c r="Q822" s="1" t="s">
        <v>7135</v>
      </c>
      <c r="R822" s="1" t="s">
        <v>7136</v>
      </c>
      <c r="S822" s="1" t="s">
        <v>7618</v>
      </c>
      <c r="T822" s="1" t="s">
        <v>7132</v>
      </c>
      <c r="U822" s="1" t="s">
        <v>7133</v>
      </c>
      <c r="V822" s="13">
        <f>COUNTIF(L822:$M$1659,L822)</f>
        <v>2</v>
      </c>
      <c r="W822" s="1" t="s">
        <v>7101</v>
      </c>
      <c r="X822">
        <v>3946.6</v>
      </c>
      <c r="Y822">
        <v>3665.05</v>
      </c>
      <c r="Z822">
        <v>16.398534999999999</v>
      </c>
      <c r="AA822">
        <v>107.617428</v>
      </c>
      <c r="AB822">
        <v>281.56</v>
      </c>
      <c r="AC822">
        <v>16.410385999999999</v>
      </c>
      <c r="AD822">
        <v>107.679068</v>
      </c>
      <c r="AE822" s="5">
        <f t="shared" si="61"/>
        <v>5.4975750000000003</v>
      </c>
      <c r="AF822" s="5">
        <f t="shared" si="62"/>
        <v>0.42234000000000005</v>
      </c>
      <c r="AG822" s="1" t="str">
        <f>TRIM(LEFT(L822,FIND("-",L822)-1))</f>
        <v>Ring 12_Bình Điền</v>
      </c>
      <c r="AH822" s="1" t="str">
        <f>TRIM(RIGHT(L822, LEN(L822) - FIND("-", L822)))</f>
        <v>TTCMKV Hương Thủy</v>
      </c>
      <c r="AJ822">
        <f t="shared" si="63"/>
        <v>3.6650500000000004</v>
      </c>
      <c r="AK822">
        <f t="shared" si="64"/>
        <v>0.28155999999999998</v>
      </c>
      <c r="AL822" t="e">
        <f>VLOOKUP(L822,'[1]Tuyến cáp H04'!$B:$E,3,0)/1000</f>
        <v>#N/A</v>
      </c>
      <c r="AM822" t="e">
        <f>VLOOKUP(L822,'[1]Tuyến cáp H04'!$B:$E,4,0)</f>
        <v>#N/A</v>
      </c>
    </row>
    <row r="823" spans="1:39" x14ac:dyDescent="0.25">
      <c r="A823" s="1" t="s">
        <v>7833</v>
      </c>
      <c r="B823" s="1" t="s">
        <v>7834</v>
      </c>
      <c r="C823" s="1" t="s">
        <v>7835</v>
      </c>
      <c r="D823" s="1" t="s">
        <v>7017</v>
      </c>
      <c r="E823" s="1" t="s">
        <v>7018</v>
      </c>
      <c r="F823" s="1" t="s">
        <v>7836</v>
      </c>
      <c r="G823" s="1" t="s">
        <v>14129</v>
      </c>
      <c r="H823" s="1" t="s">
        <v>14532</v>
      </c>
      <c r="I823" s="1" t="s">
        <v>14937</v>
      </c>
      <c r="J823" s="1" t="s">
        <v>23</v>
      </c>
      <c r="K823" s="1"/>
      <c r="L823" s="1" t="s">
        <v>7478</v>
      </c>
      <c r="M823" s="1" t="s">
        <v>7478</v>
      </c>
      <c r="N823" s="12" t="b">
        <f t="shared" si="60"/>
        <v>1</v>
      </c>
      <c r="O823" s="1" t="s">
        <v>7837</v>
      </c>
      <c r="P823" s="1" t="s">
        <v>7838</v>
      </c>
      <c r="Q823" s="1" t="s">
        <v>7502</v>
      </c>
      <c r="R823" s="1" t="s">
        <v>7503</v>
      </c>
      <c r="S823" s="1" t="s">
        <v>7498</v>
      </c>
      <c r="T823" s="1" t="s">
        <v>7499</v>
      </c>
      <c r="U823" s="1" t="s">
        <v>7500</v>
      </c>
      <c r="V823" s="13">
        <f>COUNTIF(L823:$M$1659,L823)</f>
        <v>2</v>
      </c>
      <c r="W823" s="1" t="s">
        <v>7504</v>
      </c>
      <c r="X823">
        <v>1134.9000000000001</v>
      </c>
      <c r="Y823">
        <v>1113.51</v>
      </c>
      <c r="Z823">
        <v>16.479980000000001</v>
      </c>
      <c r="AA823">
        <v>107.585702</v>
      </c>
      <c r="AB823">
        <v>21.39</v>
      </c>
      <c r="AC823">
        <v>16.487358</v>
      </c>
      <c r="AD823">
        <v>107.587509</v>
      </c>
      <c r="AE823" s="5">
        <f t="shared" si="61"/>
        <v>1.6702649999999999</v>
      </c>
      <c r="AF823" s="5">
        <f t="shared" si="62"/>
        <v>3.2085000000000002E-2</v>
      </c>
      <c r="AG823" s="1" t="str">
        <f>TRIM(LEFT(L823,FIND("-",L823)-1))</f>
        <v>PC04 (trung tâm cái nghiện)</v>
      </c>
      <c r="AH823" s="1" t="str">
        <f>TRIM(RIGHT(L823, LEN(L823) - FIND("-", L823)))</f>
        <v>Phú Xuân</v>
      </c>
      <c r="AJ823">
        <f t="shared" si="63"/>
        <v>1.11351</v>
      </c>
      <c r="AK823">
        <f t="shared" si="64"/>
        <v>2.1389999999999999E-2</v>
      </c>
      <c r="AL823">
        <f>VLOOKUP(L823,'[1]Tuyến cáp H04'!$B:$E,3,0)/1000</f>
        <v>13.4</v>
      </c>
      <c r="AM823" t="str">
        <f>VLOOKUP(L823,'[1]Tuyến cáp H04'!$B:$E,4,0)</f>
        <v>Mạng cấp 3</v>
      </c>
    </row>
    <row r="824" spans="1:39" x14ac:dyDescent="0.25">
      <c r="A824" s="1" t="s">
        <v>7839</v>
      </c>
      <c r="B824" s="1" t="s">
        <v>7840</v>
      </c>
      <c r="C824" s="1" t="s">
        <v>7841</v>
      </c>
      <c r="D824" s="1" t="s">
        <v>6989</v>
      </c>
      <c r="E824" s="1" t="s">
        <v>6990</v>
      </c>
      <c r="F824" s="1" t="s">
        <v>7842</v>
      </c>
      <c r="G824" s="1" t="s">
        <v>14129</v>
      </c>
      <c r="H824" s="1" t="s">
        <v>14532</v>
      </c>
      <c r="I824" s="1" t="s">
        <v>14938</v>
      </c>
      <c r="J824" s="1" t="s">
        <v>23</v>
      </c>
      <c r="K824" s="1"/>
      <c r="L824" s="1" t="s">
        <v>7509</v>
      </c>
      <c r="M824" s="1" t="s">
        <v>7509</v>
      </c>
      <c r="N824" s="12" t="b">
        <f t="shared" si="60"/>
        <v>1</v>
      </c>
      <c r="O824" s="1" t="s">
        <v>7843</v>
      </c>
      <c r="P824" s="1" t="s">
        <v>7844</v>
      </c>
      <c r="Q824" s="1" t="s">
        <v>7845</v>
      </c>
      <c r="R824" s="1" t="s">
        <v>7846</v>
      </c>
      <c r="S824" s="1" t="s">
        <v>7811</v>
      </c>
      <c r="T824" s="1" t="s">
        <v>7812</v>
      </c>
      <c r="U824" s="1" t="s">
        <v>7813</v>
      </c>
      <c r="V824" s="13">
        <f>COUNTIF(L824:$M$1659,L824)</f>
        <v>6</v>
      </c>
      <c r="W824" s="1" t="s">
        <v>7517</v>
      </c>
      <c r="X824">
        <v>1446.38</v>
      </c>
      <c r="Y824">
        <v>185.98</v>
      </c>
      <c r="Z824">
        <v>16.612981000000001</v>
      </c>
      <c r="AA824">
        <v>107.465622</v>
      </c>
      <c r="AB824">
        <v>1260.4000000000001</v>
      </c>
      <c r="AC824">
        <v>16.580074</v>
      </c>
      <c r="AD824">
        <v>107.513431</v>
      </c>
      <c r="AE824" s="5">
        <f t="shared" si="61"/>
        <v>0.27897</v>
      </c>
      <c r="AF824" s="5">
        <f t="shared" si="62"/>
        <v>1.8906000000000001</v>
      </c>
      <c r="AG824" s="1" t="str">
        <f>TRIM(LEFT(L824,FIND("-",L824)-1))</f>
        <v>Ring 3_Phong Dinh</v>
      </c>
      <c r="AH824" s="1" t="str">
        <f>TRIM(RIGHT(L824, LEN(L824) - FIND("-", L824)))</f>
        <v>TTCMKV Quảng Điền</v>
      </c>
      <c r="AJ824">
        <f t="shared" si="63"/>
        <v>0.18597999999999998</v>
      </c>
      <c r="AK824">
        <f t="shared" si="64"/>
        <v>1.2604000000000002</v>
      </c>
      <c r="AL824" t="e">
        <f>VLOOKUP(L824,'[1]Tuyến cáp H04'!$B:$E,3,0)/1000</f>
        <v>#N/A</v>
      </c>
      <c r="AM824" t="e">
        <f>VLOOKUP(L824,'[1]Tuyến cáp H04'!$B:$E,4,0)</f>
        <v>#N/A</v>
      </c>
    </row>
    <row r="825" spans="1:39" x14ac:dyDescent="0.25">
      <c r="A825" s="1" t="s">
        <v>7847</v>
      </c>
      <c r="B825" s="1" t="s">
        <v>7848</v>
      </c>
      <c r="C825" s="1" t="s">
        <v>7849</v>
      </c>
      <c r="D825" s="1" t="s">
        <v>7166</v>
      </c>
      <c r="E825" s="1" t="s">
        <v>7167</v>
      </c>
      <c r="F825" s="1" t="s">
        <v>7850</v>
      </c>
      <c r="G825" s="1" t="s">
        <v>14129</v>
      </c>
      <c r="H825" s="1" t="s">
        <v>14532</v>
      </c>
      <c r="I825" s="1" t="s">
        <v>14939</v>
      </c>
      <c r="J825" s="1" t="s">
        <v>23</v>
      </c>
      <c r="K825" s="1"/>
      <c r="L825" s="1" t="s">
        <v>7171</v>
      </c>
      <c r="M825" s="1" t="s">
        <v>7171</v>
      </c>
      <c r="N825" s="12" t="b">
        <f t="shared" si="60"/>
        <v>1</v>
      </c>
      <c r="O825" s="1" t="s">
        <v>7851</v>
      </c>
      <c r="P825" s="1" t="s">
        <v>7852</v>
      </c>
      <c r="Q825" s="1" t="s">
        <v>7853</v>
      </c>
      <c r="R825" s="1" t="s">
        <v>7854</v>
      </c>
      <c r="S825" s="1" t="s">
        <v>7173</v>
      </c>
      <c r="T825" s="1" t="s">
        <v>7174</v>
      </c>
      <c r="U825" s="1" t="s">
        <v>7175</v>
      </c>
      <c r="V825" s="13">
        <f>COUNTIF(L825:$M$1659,L825)</f>
        <v>2</v>
      </c>
      <c r="W825" s="1" t="s">
        <v>7179</v>
      </c>
      <c r="X825">
        <v>2398.4299999999998</v>
      </c>
      <c r="Y825">
        <v>2322.56</v>
      </c>
      <c r="Z825">
        <v>16.527670000000001</v>
      </c>
      <c r="AA825">
        <v>107.465991</v>
      </c>
      <c r="AB825">
        <v>75.87</v>
      </c>
      <c r="AC825">
        <v>16.523371000000001</v>
      </c>
      <c r="AD825">
        <v>107.47460100000001</v>
      </c>
      <c r="AE825" s="5">
        <f t="shared" si="61"/>
        <v>3.4838400000000003</v>
      </c>
      <c r="AF825" s="5">
        <f t="shared" si="62"/>
        <v>0.113805</v>
      </c>
      <c r="AG825" s="1" t="str">
        <f>TRIM(LEFT(L825,FIND("-",L825)-1))</f>
        <v>Ring 5 Phong Thái</v>
      </c>
      <c r="AH825" s="1" t="str">
        <f>TRIM(RIGHT(L825, LEN(L825) - FIND("-", L825)))</f>
        <v>Hương Trà</v>
      </c>
      <c r="AJ825">
        <f t="shared" si="63"/>
        <v>2.3225599999999997</v>
      </c>
      <c r="AK825">
        <f t="shared" si="64"/>
        <v>7.5870000000000007E-2</v>
      </c>
      <c r="AL825" t="e">
        <f>VLOOKUP(L825,'[1]Tuyến cáp H04'!$B:$E,3,0)/1000</f>
        <v>#N/A</v>
      </c>
      <c r="AM825" t="e">
        <f>VLOOKUP(L825,'[1]Tuyến cáp H04'!$B:$E,4,0)</f>
        <v>#N/A</v>
      </c>
    </row>
    <row r="826" spans="1:39" x14ac:dyDescent="0.25">
      <c r="A826" s="1" t="s">
        <v>7855</v>
      </c>
      <c r="B826" s="1" t="s">
        <v>7856</v>
      </c>
      <c r="C826" s="1" t="s">
        <v>7857</v>
      </c>
      <c r="D826" s="1" t="s">
        <v>7360</v>
      </c>
      <c r="E826" s="1" t="s">
        <v>7361</v>
      </c>
      <c r="F826" s="1" t="s">
        <v>7858</v>
      </c>
      <c r="G826" s="1" t="s">
        <v>14129</v>
      </c>
      <c r="H826" s="1" t="s">
        <v>14532</v>
      </c>
      <c r="I826" s="1" t="s">
        <v>14940</v>
      </c>
      <c r="J826" s="1" t="s">
        <v>23</v>
      </c>
      <c r="K826" s="1"/>
      <c r="L826" s="1" t="s">
        <v>7363</v>
      </c>
      <c r="M826" s="1" t="s">
        <v>7363</v>
      </c>
      <c r="N826" s="12" t="b">
        <f t="shared" si="60"/>
        <v>1</v>
      </c>
      <c r="O826" s="1" t="s">
        <v>7859</v>
      </c>
      <c r="P826" s="1" t="s">
        <v>7860</v>
      </c>
      <c r="Q826" s="1" t="s">
        <v>7861</v>
      </c>
      <c r="R826" s="1" t="s">
        <v>7862</v>
      </c>
      <c r="S826" s="1" t="s">
        <v>7365</v>
      </c>
      <c r="T826" s="1" t="s">
        <v>7366</v>
      </c>
      <c r="U826" s="1" t="s">
        <v>7367</v>
      </c>
      <c r="V826" s="13">
        <f>COUNTIF(L826:$M$1659,L826)</f>
        <v>2</v>
      </c>
      <c r="W826" s="1" t="s">
        <v>7371</v>
      </c>
      <c r="X826">
        <v>1649.43</v>
      </c>
      <c r="Y826">
        <v>1189.8699999999999</v>
      </c>
      <c r="Z826">
        <v>16.433596999999999</v>
      </c>
      <c r="AA826">
        <v>107.57081700000001</v>
      </c>
      <c r="AB826">
        <v>459.56</v>
      </c>
      <c r="AC826">
        <v>16.442993000000001</v>
      </c>
      <c r="AD826">
        <v>107.540175</v>
      </c>
      <c r="AE826" s="5">
        <f t="shared" si="61"/>
        <v>1.7848049999999998</v>
      </c>
      <c r="AF826" s="5">
        <f t="shared" si="62"/>
        <v>0.68934000000000006</v>
      </c>
      <c r="AG826" s="1" t="str">
        <f>TRIM(LEFT(L826,FIND("-",L826)-1))</f>
        <v>Ring 11 CAT Thừa Thiên Huế</v>
      </c>
      <c r="AH826" s="1" t="str">
        <f>TRIM(RIGHT(L826, LEN(L826) - FIND("-", L826)))</f>
        <v>Thủy Xuân</v>
      </c>
      <c r="AJ826">
        <f t="shared" si="63"/>
        <v>1.18987</v>
      </c>
      <c r="AK826">
        <f t="shared" si="64"/>
        <v>0.45956000000000002</v>
      </c>
      <c r="AL826" t="e">
        <f>VLOOKUP(L826,'[1]Tuyến cáp H04'!$B:$E,3,0)/1000</f>
        <v>#N/A</v>
      </c>
      <c r="AM826" t="e">
        <f>VLOOKUP(L826,'[1]Tuyến cáp H04'!$B:$E,4,0)</f>
        <v>#N/A</v>
      </c>
    </row>
    <row r="827" spans="1:39" x14ac:dyDescent="0.25">
      <c r="A827" s="1" t="s">
        <v>7863</v>
      </c>
      <c r="B827" s="1" t="s">
        <v>7864</v>
      </c>
      <c r="C827" s="1" t="s">
        <v>7865</v>
      </c>
      <c r="D827" s="1" t="s">
        <v>6989</v>
      </c>
      <c r="E827" s="1" t="s">
        <v>6990</v>
      </c>
      <c r="F827" s="1" t="s">
        <v>7866</v>
      </c>
      <c r="G827" s="1" t="s">
        <v>14129</v>
      </c>
      <c r="H827" s="1" t="s">
        <v>14532</v>
      </c>
      <c r="I827" s="1" t="s">
        <v>14941</v>
      </c>
      <c r="J827" s="1" t="s">
        <v>23</v>
      </c>
      <c r="K827" s="1"/>
      <c r="L827" s="1" t="s">
        <v>6980</v>
      </c>
      <c r="M827" s="1" t="s">
        <v>6980</v>
      </c>
      <c r="N827" s="12" t="b">
        <f t="shared" si="60"/>
        <v>1</v>
      </c>
      <c r="O827" s="1" t="s">
        <v>7867</v>
      </c>
      <c r="P827" s="1" t="s">
        <v>7868</v>
      </c>
      <c r="Q827" s="1" t="s">
        <v>7201</v>
      </c>
      <c r="R827" s="1" t="s">
        <v>7202</v>
      </c>
      <c r="S827" s="1" t="s">
        <v>7566</v>
      </c>
      <c r="T827" s="1" t="s">
        <v>7567</v>
      </c>
      <c r="U827" s="1" t="s">
        <v>7568</v>
      </c>
      <c r="V827" s="13">
        <f>COUNTIF(L827:$M$1659,L827)</f>
        <v>4</v>
      </c>
      <c r="W827" s="1" t="s">
        <v>6985</v>
      </c>
      <c r="X827">
        <v>5727.86</v>
      </c>
      <c r="Y827">
        <v>5658.25</v>
      </c>
      <c r="Z827">
        <v>16.491365999999999</v>
      </c>
      <c r="AA827">
        <v>107.521095</v>
      </c>
      <c r="AB827">
        <v>69.61</v>
      </c>
      <c r="AC827">
        <v>16.568549999999998</v>
      </c>
      <c r="AD827">
        <v>107.514222</v>
      </c>
      <c r="AE827" s="5">
        <f t="shared" si="61"/>
        <v>8.4873750000000001</v>
      </c>
      <c r="AF827" s="5">
        <f t="shared" si="62"/>
        <v>0.10441499999999999</v>
      </c>
      <c r="AG827" s="1" t="str">
        <f>TRIM(LEFT(L827,FIND("-",L827)-1))</f>
        <v>Ring 6 TTCMKV Quảng Điền</v>
      </c>
      <c r="AH827" s="1" t="str">
        <f>TRIM(RIGHT(L827, LEN(L827) - FIND("-", L827)))</f>
        <v>Kim Trà</v>
      </c>
      <c r="AJ827">
        <f t="shared" si="63"/>
        <v>5.6582499999999998</v>
      </c>
      <c r="AK827">
        <f t="shared" si="64"/>
        <v>6.9610000000000005E-2</v>
      </c>
      <c r="AL827" t="e">
        <f>VLOOKUP(L827,'[1]Tuyến cáp H04'!$B:$E,3,0)/1000</f>
        <v>#N/A</v>
      </c>
      <c r="AM827" t="e">
        <f>VLOOKUP(L827,'[1]Tuyến cáp H04'!$B:$E,4,0)</f>
        <v>#N/A</v>
      </c>
    </row>
    <row r="828" spans="1:39" x14ac:dyDescent="0.25">
      <c r="A828" s="1" t="s">
        <v>7869</v>
      </c>
      <c r="B828" s="1" t="s">
        <v>7870</v>
      </c>
      <c r="C828" s="1" t="s">
        <v>7871</v>
      </c>
      <c r="D828" s="1" t="s">
        <v>6962</v>
      </c>
      <c r="E828" s="1" t="s">
        <v>6963</v>
      </c>
      <c r="F828" s="1" t="s">
        <v>7872</v>
      </c>
      <c r="G828" s="1" t="s">
        <v>14129</v>
      </c>
      <c r="H828" s="1" t="s">
        <v>14532</v>
      </c>
      <c r="I828" s="1" t="s">
        <v>14942</v>
      </c>
      <c r="J828" s="1" t="s">
        <v>23</v>
      </c>
      <c r="K828" s="1"/>
      <c r="L828" s="1" t="s">
        <v>7350</v>
      </c>
      <c r="M828" s="1" t="s">
        <v>7350</v>
      </c>
      <c r="N828" s="12" t="b">
        <f t="shared" si="60"/>
        <v>1</v>
      </c>
      <c r="O828" s="1" t="s">
        <v>7873</v>
      </c>
      <c r="P828" s="1" t="s">
        <v>7874</v>
      </c>
      <c r="Q828" s="1" t="s">
        <v>7875</v>
      </c>
      <c r="R828" s="1" t="s">
        <v>7876</v>
      </c>
      <c r="S828" s="1" t="s">
        <v>7352</v>
      </c>
      <c r="T828" s="1" t="s">
        <v>7353</v>
      </c>
      <c r="U828" s="1" t="s">
        <v>7354</v>
      </c>
      <c r="V828" s="13">
        <f>COUNTIF(L828:$M$1659,L828)</f>
        <v>2</v>
      </c>
      <c r="W828" s="1" t="s">
        <v>7358</v>
      </c>
      <c r="X828">
        <v>1843.49</v>
      </c>
      <c r="Y828">
        <v>1774.82</v>
      </c>
      <c r="Z828">
        <v>16.436325</v>
      </c>
      <c r="AA828">
        <v>107.608712</v>
      </c>
      <c r="AB828">
        <v>68.680000000000007</v>
      </c>
      <c r="AC828">
        <v>16.408670999999998</v>
      </c>
      <c r="AD828">
        <v>107.681068</v>
      </c>
      <c r="AE828" s="5">
        <f t="shared" si="61"/>
        <v>2.6622300000000001</v>
      </c>
      <c r="AF828" s="5">
        <f t="shared" si="62"/>
        <v>0.10302000000000001</v>
      </c>
      <c r="AG828" s="1" t="str">
        <f>TRIM(LEFT(L828,FIND("-",L828)-1))</f>
        <v>Ring 11 "Thủy Xuân</v>
      </c>
      <c r="AH828" s="1" t="str">
        <f>TRIM(RIGHT(L828, LEN(L828) - FIND("-", L828)))</f>
        <v>TTCMKV TX Hương
Thủy"</v>
      </c>
      <c r="AJ828">
        <f t="shared" si="63"/>
        <v>1.7748199999999998</v>
      </c>
      <c r="AK828">
        <f t="shared" si="64"/>
        <v>6.8680000000000005E-2</v>
      </c>
      <c r="AL828" t="e">
        <f>VLOOKUP(L828,'[1]Tuyến cáp H04'!$B:$E,3,0)/1000</f>
        <v>#N/A</v>
      </c>
      <c r="AM828" t="e">
        <f>VLOOKUP(L828,'[1]Tuyến cáp H04'!$B:$E,4,0)</f>
        <v>#N/A</v>
      </c>
    </row>
    <row r="829" spans="1:39" x14ac:dyDescent="0.25">
      <c r="A829" s="1" t="s">
        <v>7877</v>
      </c>
      <c r="B829" s="1" t="s">
        <v>7878</v>
      </c>
      <c r="C829" s="1" t="s">
        <v>7879</v>
      </c>
      <c r="D829" s="1" t="s">
        <v>6989</v>
      </c>
      <c r="E829" s="1" t="s">
        <v>6990</v>
      </c>
      <c r="F829" s="1" t="s">
        <v>7880</v>
      </c>
      <c r="G829" s="1" t="s">
        <v>14129</v>
      </c>
      <c r="H829" s="1" t="s">
        <v>14532</v>
      </c>
      <c r="I829" s="1" t="s">
        <v>14943</v>
      </c>
      <c r="J829" s="1" t="s">
        <v>23</v>
      </c>
      <c r="K829" s="1"/>
      <c r="L829" s="1" t="s">
        <v>6980</v>
      </c>
      <c r="M829" s="1" t="s">
        <v>6980</v>
      </c>
      <c r="N829" s="12" t="b">
        <f t="shared" si="60"/>
        <v>1</v>
      </c>
      <c r="O829" s="1" t="s">
        <v>7881</v>
      </c>
      <c r="P829" s="1" t="s">
        <v>7882</v>
      </c>
      <c r="Q829" s="1" t="s">
        <v>7201</v>
      </c>
      <c r="R829" s="1" t="s">
        <v>7202</v>
      </c>
      <c r="S829" s="1" t="s">
        <v>7566</v>
      </c>
      <c r="T829" s="1" t="s">
        <v>7567</v>
      </c>
      <c r="U829" s="1" t="s">
        <v>7568</v>
      </c>
      <c r="V829" s="13">
        <f>COUNTIF(L829:$M$1659,L829)</f>
        <v>2</v>
      </c>
      <c r="W829" s="1" t="s">
        <v>6985</v>
      </c>
      <c r="X829">
        <v>5398.5</v>
      </c>
      <c r="Y829">
        <v>5328.89</v>
      </c>
      <c r="Z829">
        <v>16.491365999999999</v>
      </c>
      <c r="AA829">
        <v>107.521095</v>
      </c>
      <c r="AB829">
        <v>69.61</v>
      </c>
      <c r="AC829">
        <v>16.568549999999998</v>
      </c>
      <c r="AD829">
        <v>107.514222</v>
      </c>
      <c r="AE829" s="5">
        <f t="shared" si="61"/>
        <v>7.993335000000001</v>
      </c>
      <c r="AF829" s="5">
        <f t="shared" si="62"/>
        <v>0.10441499999999999</v>
      </c>
      <c r="AG829" s="1" t="str">
        <f>TRIM(LEFT(L829,FIND("-",L829)-1))</f>
        <v>Ring 6 TTCMKV Quảng Điền</v>
      </c>
      <c r="AH829" s="1" t="str">
        <f>TRIM(RIGHT(L829, LEN(L829) - FIND("-", L829)))</f>
        <v>Kim Trà</v>
      </c>
      <c r="AJ829">
        <f t="shared" si="63"/>
        <v>5.3288900000000003</v>
      </c>
      <c r="AK829">
        <f t="shared" si="64"/>
        <v>6.9610000000000005E-2</v>
      </c>
      <c r="AL829" t="e">
        <f>VLOOKUP(L829,'[1]Tuyến cáp H04'!$B:$E,3,0)/1000</f>
        <v>#N/A</v>
      </c>
      <c r="AM829" t="e">
        <f>VLOOKUP(L829,'[1]Tuyến cáp H04'!$B:$E,4,0)</f>
        <v>#N/A</v>
      </c>
    </row>
    <row r="830" spans="1:39" x14ac:dyDescent="0.25">
      <c r="A830" s="1" t="s">
        <v>7883</v>
      </c>
      <c r="B830" s="1" t="s">
        <v>7884</v>
      </c>
      <c r="C830" s="1" t="s">
        <v>7885</v>
      </c>
      <c r="D830" s="1" t="s">
        <v>7045</v>
      </c>
      <c r="E830" s="1" t="s">
        <v>7046</v>
      </c>
      <c r="F830" s="1" t="s">
        <v>7886</v>
      </c>
      <c r="G830" s="1" t="s">
        <v>14129</v>
      </c>
      <c r="H830" s="1" t="s">
        <v>14532</v>
      </c>
      <c r="I830" s="1" t="s">
        <v>14944</v>
      </c>
      <c r="J830" s="1" t="s">
        <v>23</v>
      </c>
      <c r="K830" s="1"/>
      <c r="L830" s="1" t="s">
        <v>7050</v>
      </c>
      <c r="M830" s="1" t="s">
        <v>7050</v>
      </c>
      <c r="N830" s="12" t="b">
        <f t="shared" si="60"/>
        <v>1</v>
      </c>
      <c r="O830" s="1" t="s">
        <v>7887</v>
      </c>
      <c r="P830" s="1" t="s">
        <v>7888</v>
      </c>
      <c r="Q830" s="1" t="s">
        <v>7889</v>
      </c>
      <c r="R830" s="1" t="s">
        <v>7890</v>
      </c>
      <c r="S830" s="1" t="s">
        <v>7052</v>
      </c>
      <c r="T830" s="1" t="s">
        <v>7053</v>
      </c>
      <c r="U830" s="1" t="s">
        <v>7054</v>
      </c>
      <c r="V830" s="13">
        <f>COUNTIF(L830:$M$1659,L830)</f>
        <v>4</v>
      </c>
      <c r="W830" s="1" t="s">
        <v>7058</v>
      </c>
      <c r="X830">
        <v>146.82</v>
      </c>
      <c r="Y830">
        <v>132.85</v>
      </c>
      <c r="Z830">
        <v>16.481052999999999</v>
      </c>
      <c r="AA830">
        <v>107.598243</v>
      </c>
      <c r="AB830">
        <v>13.97</v>
      </c>
      <c r="AC830">
        <v>16.475570999999999</v>
      </c>
      <c r="AD830">
        <v>107.60319</v>
      </c>
      <c r="AE830" s="5">
        <f t="shared" si="61"/>
        <v>0.19927499999999998</v>
      </c>
      <c r="AF830" s="5">
        <f t="shared" si="62"/>
        <v>2.0955000000000001E-2</v>
      </c>
      <c r="AG830" s="1" t="str">
        <f>TRIM(LEFT(L830,FIND("-",L830)-1))</f>
        <v>Ring 3 PA07</v>
      </c>
      <c r="AH830" s="1" t="str">
        <f>TRIM(RIGHT(L830, LEN(L830) - FIND("-", L830)))</f>
        <v>PC01</v>
      </c>
      <c r="AJ830">
        <f t="shared" si="63"/>
        <v>0.13285</v>
      </c>
      <c r="AK830">
        <f t="shared" si="64"/>
        <v>1.397E-2</v>
      </c>
      <c r="AL830" t="e">
        <f>VLOOKUP(L830,'[1]Tuyến cáp H04'!$B:$E,3,0)/1000</f>
        <v>#N/A</v>
      </c>
      <c r="AM830" t="e">
        <f>VLOOKUP(L830,'[1]Tuyến cáp H04'!$B:$E,4,0)</f>
        <v>#N/A</v>
      </c>
    </row>
    <row r="831" spans="1:39" x14ac:dyDescent="0.25">
      <c r="A831" s="1" t="s">
        <v>7891</v>
      </c>
      <c r="B831" s="1" t="s">
        <v>7892</v>
      </c>
      <c r="C831" s="1" t="s">
        <v>7893</v>
      </c>
      <c r="D831" s="1" t="s">
        <v>6917</v>
      </c>
      <c r="E831" s="1" t="s">
        <v>6918</v>
      </c>
      <c r="F831" s="1" t="s">
        <v>7894</v>
      </c>
      <c r="G831" s="1" t="s">
        <v>14129</v>
      </c>
      <c r="H831" s="1" t="s">
        <v>14532</v>
      </c>
      <c r="I831" s="1" t="s">
        <v>14945</v>
      </c>
      <c r="J831" s="1" t="s">
        <v>23</v>
      </c>
      <c r="K831" s="1"/>
      <c r="L831" s="1" t="s">
        <v>7065</v>
      </c>
      <c r="M831" s="1" t="s">
        <v>7065</v>
      </c>
      <c r="N831" s="12" t="b">
        <f t="shared" si="60"/>
        <v>1</v>
      </c>
      <c r="O831" s="1" t="s">
        <v>7895</v>
      </c>
      <c r="P831" s="1" t="s">
        <v>7896</v>
      </c>
      <c r="Q831" s="1" t="s">
        <v>7071</v>
      </c>
      <c r="R831" s="1" t="s">
        <v>7072</v>
      </c>
      <c r="S831" s="1" t="s">
        <v>7445</v>
      </c>
      <c r="T831" s="1" t="s">
        <v>7446</v>
      </c>
      <c r="U831" s="1" t="s">
        <v>7447</v>
      </c>
      <c r="V831" s="13">
        <f>COUNTIF(L831:$M$1659,L831)</f>
        <v>4</v>
      </c>
      <c r="W831" s="1" t="s">
        <v>7073</v>
      </c>
      <c r="X831">
        <v>2614.8200000000002</v>
      </c>
      <c r="Y831">
        <v>790.6</v>
      </c>
      <c r="Z831">
        <v>16.457075</v>
      </c>
      <c r="AA831">
        <v>107.600076</v>
      </c>
      <c r="AB831">
        <v>1824.23</v>
      </c>
      <c r="AC831">
        <v>16.460649</v>
      </c>
      <c r="AD831">
        <v>107.624078</v>
      </c>
      <c r="AE831" s="5">
        <f t="shared" si="61"/>
        <v>1.1859000000000002</v>
      </c>
      <c r="AF831" s="5">
        <f t="shared" si="62"/>
        <v>2.7363450000000005</v>
      </c>
      <c r="AG831" s="1" t="str">
        <f>TRIM(LEFT(L831,FIND("-",L831)-1))</f>
        <v>TTCMKV_Ring 2_Phong Điền</v>
      </c>
      <c r="AH831" s="1" t="str">
        <f>TRIM(RIGHT(L831, LEN(L831) - FIND("-", L831)))</f>
        <v>CAT Huế mới</v>
      </c>
      <c r="AJ831">
        <f t="shared" si="63"/>
        <v>0.79059999999999997</v>
      </c>
      <c r="AK831">
        <f t="shared" si="64"/>
        <v>1.82423</v>
      </c>
      <c r="AL831" t="e">
        <f>VLOOKUP(L831,'[1]Tuyến cáp H04'!$B:$E,3,0)/1000</f>
        <v>#N/A</v>
      </c>
      <c r="AM831" t="e">
        <f>VLOOKUP(L831,'[1]Tuyến cáp H04'!$B:$E,4,0)</f>
        <v>#N/A</v>
      </c>
    </row>
    <row r="832" spans="1:39" x14ac:dyDescent="0.25">
      <c r="A832" s="1" t="s">
        <v>7897</v>
      </c>
      <c r="B832" s="1" t="s">
        <v>7898</v>
      </c>
      <c r="C832" s="1" t="s">
        <v>7899</v>
      </c>
      <c r="D832" s="1" t="s">
        <v>7045</v>
      </c>
      <c r="E832" s="1" t="s">
        <v>7046</v>
      </c>
      <c r="F832" s="1" t="s">
        <v>7900</v>
      </c>
      <c r="G832" s="1" t="s">
        <v>14129</v>
      </c>
      <c r="H832" s="1" t="s">
        <v>14532</v>
      </c>
      <c r="I832" s="1" t="s">
        <v>14946</v>
      </c>
      <c r="J832" s="1" t="s">
        <v>23</v>
      </c>
      <c r="K832" s="1"/>
      <c r="L832" s="1" t="s">
        <v>7050</v>
      </c>
      <c r="M832" s="1" t="s">
        <v>7050</v>
      </c>
      <c r="N832" s="12" t="b">
        <f t="shared" si="60"/>
        <v>1</v>
      </c>
      <c r="O832" s="1" t="s">
        <v>7901</v>
      </c>
      <c r="P832" s="1" t="s">
        <v>7902</v>
      </c>
      <c r="Q832" s="1" t="s">
        <v>7729</v>
      </c>
      <c r="R832" s="1" t="s">
        <v>7730</v>
      </c>
      <c r="S832" s="1" t="s">
        <v>7052</v>
      </c>
      <c r="T832" s="1" t="s">
        <v>7053</v>
      </c>
      <c r="U832" s="1" t="s">
        <v>7054</v>
      </c>
      <c r="V832" s="13">
        <f>COUNTIF(L832:$M$1659,L832)</f>
        <v>2</v>
      </c>
      <c r="W832" s="1" t="s">
        <v>7058</v>
      </c>
      <c r="X832">
        <v>436.6</v>
      </c>
      <c r="Y832">
        <v>422.63</v>
      </c>
      <c r="Z832">
        <v>16.478684000000001</v>
      </c>
      <c r="AA832">
        <v>107.598051</v>
      </c>
      <c r="AB832">
        <v>13.97</v>
      </c>
      <c r="AC832">
        <v>16.475570999999999</v>
      </c>
      <c r="AD832">
        <v>107.60319</v>
      </c>
      <c r="AE832" s="5">
        <f t="shared" si="61"/>
        <v>0.63394499999999998</v>
      </c>
      <c r="AF832" s="5">
        <f t="shared" si="62"/>
        <v>2.0955000000000001E-2</v>
      </c>
      <c r="AG832" s="1" t="str">
        <f>TRIM(LEFT(L832,FIND("-",L832)-1))</f>
        <v>Ring 3 PA07</v>
      </c>
      <c r="AH832" s="1" t="str">
        <f>TRIM(RIGHT(L832, LEN(L832) - FIND("-", L832)))</f>
        <v>PC01</v>
      </c>
      <c r="AJ832">
        <f t="shared" si="63"/>
        <v>0.42263000000000001</v>
      </c>
      <c r="AK832">
        <f t="shared" si="64"/>
        <v>1.397E-2</v>
      </c>
      <c r="AL832" t="e">
        <f>VLOOKUP(L832,'[1]Tuyến cáp H04'!$B:$E,3,0)/1000</f>
        <v>#N/A</v>
      </c>
      <c r="AM832" t="e">
        <f>VLOOKUP(L832,'[1]Tuyến cáp H04'!$B:$E,4,0)</f>
        <v>#N/A</v>
      </c>
    </row>
    <row r="833" spans="1:39" x14ac:dyDescent="0.25">
      <c r="A833" s="1" t="s">
        <v>7903</v>
      </c>
      <c r="B833" s="1" t="s">
        <v>7904</v>
      </c>
      <c r="C833" s="1" t="s">
        <v>7905</v>
      </c>
      <c r="D833" s="1" t="s">
        <v>6962</v>
      </c>
      <c r="E833" s="1" t="s">
        <v>6963</v>
      </c>
      <c r="F833" s="1" t="s">
        <v>7906</v>
      </c>
      <c r="G833" s="1" t="s">
        <v>14129</v>
      </c>
      <c r="H833" s="1" t="s">
        <v>14532</v>
      </c>
      <c r="I833" s="1" t="s">
        <v>14947</v>
      </c>
      <c r="J833" s="1" t="s">
        <v>23</v>
      </c>
      <c r="K833" s="1"/>
      <c r="L833" s="1" t="s">
        <v>7907</v>
      </c>
      <c r="M833" s="1" t="s">
        <v>7907</v>
      </c>
      <c r="N833" s="12" t="b">
        <f t="shared" si="60"/>
        <v>1</v>
      </c>
      <c r="O833" s="1" t="s">
        <v>7908</v>
      </c>
      <c r="P833" s="1" t="s">
        <v>7909</v>
      </c>
      <c r="Q833" s="1" t="s">
        <v>7910</v>
      </c>
      <c r="R833" s="1" t="s">
        <v>7911</v>
      </c>
      <c r="S833" s="1" t="s">
        <v>7912</v>
      </c>
      <c r="T833" s="1" t="s">
        <v>7913</v>
      </c>
      <c r="U833" s="1" t="s">
        <v>7914</v>
      </c>
      <c r="V833" s="13">
        <f>COUNTIF(L833:$M$1659,L833)</f>
        <v>2</v>
      </c>
      <c r="W833" s="1" t="s">
        <v>7915</v>
      </c>
      <c r="X833">
        <v>5061.25</v>
      </c>
      <c r="Y833">
        <v>5002</v>
      </c>
      <c r="Z833">
        <v>16.335578000000002</v>
      </c>
      <c r="AA833">
        <v>107.73928100000001</v>
      </c>
      <c r="AB833">
        <v>59.25</v>
      </c>
      <c r="AC833">
        <v>16.408867000000001</v>
      </c>
      <c r="AD833">
        <v>107.680966</v>
      </c>
      <c r="AE833" s="5">
        <f t="shared" si="61"/>
        <v>7.5030000000000001</v>
      </c>
      <c r="AF833" s="5">
        <f t="shared" si="62"/>
        <v>8.8874999999999996E-2</v>
      </c>
      <c r="AG833" s="1" t="e">
        <f>TRIM(LEFT(L833,FIND("-",L833)-1))</f>
        <v>#VALUE!</v>
      </c>
      <c r="AH833" s="1" t="e">
        <f>TRIM(RIGHT(L833, LEN(L833) - FIND("-", L833)))</f>
        <v>#VALUE!</v>
      </c>
      <c r="AJ833">
        <f t="shared" si="63"/>
        <v>5.0019999999999998</v>
      </c>
      <c r="AK833">
        <f t="shared" si="64"/>
        <v>5.9249999999999997E-2</v>
      </c>
      <c r="AL833" t="e">
        <f>VLOOKUP(L833,'[1]Tuyến cáp H04'!$B:$E,3,0)/1000</f>
        <v>#N/A</v>
      </c>
      <c r="AM833" t="e">
        <f>VLOOKUP(L833,'[1]Tuyến cáp H04'!$B:$E,4,0)</f>
        <v>#N/A</v>
      </c>
    </row>
    <row r="834" spans="1:39" x14ac:dyDescent="0.25">
      <c r="A834" s="1" t="s">
        <v>7916</v>
      </c>
      <c r="B834" s="1" t="s">
        <v>7917</v>
      </c>
      <c r="C834" s="1" t="s">
        <v>7918</v>
      </c>
      <c r="D834" s="1" t="s">
        <v>6947</v>
      </c>
      <c r="E834" s="1" t="s">
        <v>6948</v>
      </c>
      <c r="F834" s="1" t="s">
        <v>7919</v>
      </c>
      <c r="G834" s="1" t="s">
        <v>14129</v>
      </c>
      <c r="H834" s="1" t="s">
        <v>14532</v>
      </c>
      <c r="I834" s="1" t="s">
        <v>14948</v>
      </c>
      <c r="J834" s="1" t="s">
        <v>23</v>
      </c>
      <c r="K834" s="1"/>
      <c r="L834" s="1" t="s">
        <v>6937</v>
      </c>
      <c r="M834" s="1" t="s">
        <v>6937</v>
      </c>
      <c r="N834" s="12" t="b">
        <f t="shared" si="60"/>
        <v>1</v>
      </c>
      <c r="O834" s="1" t="s">
        <v>7920</v>
      </c>
      <c r="P834" s="1" t="s">
        <v>7921</v>
      </c>
      <c r="Q834" s="1" t="s">
        <v>7922</v>
      </c>
      <c r="R834" s="1" t="s">
        <v>7923</v>
      </c>
      <c r="S834" s="1" t="s">
        <v>7924</v>
      </c>
      <c r="T834" s="1" t="s">
        <v>7925</v>
      </c>
      <c r="U834" s="1" t="s">
        <v>7926</v>
      </c>
      <c r="V834" s="13">
        <f>COUNTIF(L834:$M$1659,L834)</f>
        <v>4</v>
      </c>
      <c r="W834" s="1" t="s">
        <v>6945</v>
      </c>
      <c r="X834">
        <v>10224.049999999999</v>
      </c>
      <c r="Y834">
        <v>1722.27</v>
      </c>
      <c r="Z834">
        <v>16.387333000000002</v>
      </c>
      <c r="AA834">
        <v>107.835729</v>
      </c>
      <c r="AB834">
        <v>8501.7800000000007</v>
      </c>
      <c r="AC834">
        <v>16.346129000000001</v>
      </c>
      <c r="AD834">
        <v>107.896635</v>
      </c>
      <c r="AE834" s="5">
        <f t="shared" si="61"/>
        <v>2.583405</v>
      </c>
      <c r="AF834" s="5">
        <f t="shared" si="62"/>
        <v>12.752670000000002</v>
      </c>
      <c r="AG834" s="1" t="str">
        <f>TRIM(LEFT(L834,FIND("-",L834)-1))</f>
        <v>TTCMKV_Ring 1_Phú Vang</v>
      </c>
      <c r="AH834" s="1" t="str">
        <f>TRIM(RIGHT(L834, LEN(L834) - FIND("-", L834)))</f>
        <v>Phú Lộc</v>
      </c>
      <c r="AJ834">
        <f t="shared" si="63"/>
        <v>1.72227</v>
      </c>
      <c r="AK834">
        <f t="shared" si="64"/>
        <v>8.5017800000000001</v>
      </c>
      <c r="AL834" t="e">
        <f>VLOOKUP(L834,'[1]Tuyến cáp H04'!$B:$E,3,0)/1000</f>
        <v>#N/A</v>
      </c>
      <c r="AM834" t="e">
        <f>VLOOKUP(L834,'[1]Tuyến cáp H04'!$B:$E,4,0)</f>
        <v>#N/A</v>
      </c>
    </row>
    <row r="835" spans="1:39" x14ac:dyDescent="0.25">
      <c r="A835" s="1" t="s">
        <v>7927</v>
      </c>
      <c r="B835" s="1" t="s">
        <v>7928</v>
      </c>
      <c r="C835" s="1" t="s">
        <v>7929</v>
      </c>
      <c r="D835" s="1" t="s">
        <v>6932</v>
      </c>
      <c r="E835" s="1" t="s">
        <v>6933</v>
      </c>
      <c r="F835" s="1" t="s">
        <v>7930</v>
      </c>
      <c r="G835" s="1" t="s">
        <v>14129</v>
      </c>
      <c r="H835" s="1" t="s">
        <v>14532</v>
      </c>
      <c r="I835" s="1" t="s">
        <v>14949</v>
      </c>
      <c r="J835" s="1" t="s">
        <v>23</v>
      </c>
      <c r="K835" s="1"/>
      <c r="L835" s="1" t="s">
        <v>7254</v>
      </c>
      <c r="M835" s="1" t="s">
        <v>7254</v>
      </c>
      <c r="N835" s="12" t="b">
        <f t="shared" ref="N835:N898" si="65">L835=M835</f>
        <v>1</v>
      </c>
      <c r="O835" s="1" t="s">
        <v>7931</v>
      </c>
      <c r="P835" s="1" t="s">
        <v>7932</v>
      </c>
      <c r="Q835" s="1" t="s">
        <v>7933</v>
      </c>
      <c r="R835" s="1" t="s">
        <v>7934</v>
      </c>
      <c r="S835" s="1" t="s">
        <v>7792</v>
      </c>
      <c r="T835" s="1" t="s">
        <v>7793</v>
      </c>
      <c r="U835" s="1" t="s">
        <v>7794</v>
      </c>
      <c r="V835" s="13">
        <f>COUNTIF(L835:$M$1659,L835)</f>
        <v>2</v>
      </c>
      <c r="W835" s="1" t="s">
        <v>7262</v>
      </c>
      <c r="X835">
        <v>80.319999999999993</v>
      </c>
      <c r="Y835">
        <v>22.61</v>
      </c>
      <c r="Z835">
        <v>16.484102</v>
      </c>
      <c r="AA835">
        <v>107.668222</v>
      </c>
      <c r="AB835">
        <v>57.71</v>
      </c>
      <c r="AC835">
        <v>16.439834000000001</v>
      </c>
      <c r="AD835">
        <v>107.715987</v>
      </c>
      <c r="AE835" s="5">
        <f t="shared" ref="AE835:AE898" si="66">Y835*1.5/1000</f>
        <v>3.3915000000000001E-2</v>
      </c>
      <c r="AF835" s="5">
        <f t="shared" ref="AF835:AF898" si="67">AB835*1.5/1000</f>
        <v>8.6565000000000003E-2</v>
      </c>
      <c r="AG835" s="1" t="str">
        <f>TRIM(LEFT(L835,FIND("-",L835)-1))</f>
        <v>TTCMKV_Ring 1_CAT Huế mới</v>
      </c>
      <c r="AH835" s="1" t="str">
        <f>TRIM(RIGHT(L835, LEN(L835) - FIND("-", L835)))</f>
        <v>Phú Vang</v>
      </c>
      <c r="AJ835">
        <f t="shared" ref="AJ835:AJ898" si="68">Y835/1000</f>
        <v>2.2609999999999998E-2</v>
      </c>
      <c r="AK835">
        <f t="shared" ref="AK835:AK898" si="69">AB835/1000</f>
        <v>5.7709999999999997E-2</v>
      </c>
      <c r="AL835" t="e">
        <f>VLOOKUP(L835,'[1]Tuyến cáp H04'!$B:$E,3,0)/1000</f>
        <v>#N/A</v>
      </c>
      <c r="AM835" t="e">
        <f>VLOOKUP(L835,'[1]Tuyến cáp H04'!$B:$E,4,0)</f>
        <v>#N/A</v>
      </c>
    </row>
    <row r="836" spans="1:39" x14ac:dyDescent="0.25">
      <c r="A836" s="1" t="s">
        <v>7935</v>
      </c>
      <c r="B836" s="1" t="s">
        <v>7936</v>
      </c>
      <c r="C836" s="1" t="s">
        <v>7937</v>
      </c>
      <c r="D836" s="1" t="s">
        <v>6989</v>
      </c>
      <c r="E836" s="1" t="s">
        <v>6990</v>
      </c>
      <c r="F836" s="1" t="s">
        <v>7938</v>
      </c>
      <c r="G836" s="1" t="s">
        <v>14129</v>
      </c>
      <c r="H836" s="1" t="s">
        <v>14532</v>
      </c>
      <c r="I836" s="1" t="s">
        <v>14950</v>
      </c>
      <c r="J836" s="1" t="s">
        <v>23</v>
      </c>
      <c r="K836" s="1"/>
      <c r="L836" s="1" t="s">
        <v>7509</v>
      </c>
      <c r="M836" s="1" t="s">
        <v>7509</v>
      </c>
      <c r="N836" s="12" t="b">
        <f t="shared" si="65"/>
        <v>1</v>
      </c>
      <c r="O836" s="1" t="s">
        <v>7939</v>
      </c>
      <c r="P836" s="1" t="s">
        <v>7940</v>
      </c>
      <c r="Q836" s="1" t="s">
        <v>7512</v>
      </c>
      <c r="R836" s="1" t="s">
        <v>7513</v>
      </c>
      <c r="S836" s="1" t="s">
        <v>7514</v>
      </c>
      <c r="T836" s="1" t="s">
        <v>7515</v>
      </c>
      <c r="U836" s="1" t="s">
        <v>7516</v>
      </c>
      <c r="V836" s="13">
        <f>COUNTIF(L836:$M$1659,L836)</f>
        <v>4</v>
      </c>
      <c r="W836" s="1" t="s">
        <v>7517</v>
      </c>
      <c r="X836">
        <v>5041.82</v>
      </c>
      <c r="Y836">
        <v>4988.09</v>
      </c>
      <c r="Z836">
        <v>16.579530999999999</v>
      </c>
      <c r="AA836">
        <v>107.513243</v>
      </c>
      <c r="AB836">
        <v>53.73</v>
      </c>
      <c r="AC836">
        <v>16.569082999999999</v>
      </c>
      <c r="AD836">
        <v>107.513955</v>
      </c>
      <c r="AE836" s="5">
        <f t="shared" si="66"/>
        <v>7.4821350000000004</v>
      </c>
      <c r="AF836" s="5">
        <f t="shared" si="67"/>
        <v>8.0595E-2</v>
      </c>
      <c r="AG836" s="1" t="str">
        <f>TRIM(LEFT(L836,FIND("-",L836)-1))</f>
        <v>Ring 3_Phong Dinh</v>
      </c>
      <c r="AH836" s="1" t="str">
        <f>TRIM(RIGHT(L836, LEN(L836) - FIND("-", L836)))</f>
        <v>TTCMKV Quảng Điền</v>
      </c>
      <c r="AJ836">
        <f t="shared" si="68"/>
        <v>4.9880900000000006</v>
      </c>
      <c r="AK836">
        <f t="shared" si="69"/>
        <v>5.373E-2</v>
      </c>
      <c r="AL836" t="e">
        <f>VLOOKUP(L836,'[1]Tuyến cáp H04'!$B:$E,3,0)/1000</f>
        <v>#N/A</v>
      </c>
      <c r="AM836" t="e">
        <f>VLOOKUP(L836,'[1]Tuyến cáp H04'!$B:$E,4,0)</f>
        <v>#N/A</v>
      </c>
    </row>
    <row r="837" spans="1:39" x14ac:dyDescent="0.25">
      <c r="A837" s="1" t="s">
        <v>7941</v>
      </c>
      <c r="B837" s="1" t="s">
        <v>7942</v>
      </c>
      <c r="C837" s="1" t="s">
        <v>7943</v>
      </c>
      <c r="D837" s="1" t="s">
        <v>6989</v>
      </c>
      <c r="E837" s="1" t="s">
        <v>6990</v>
      </c>
      <c r="F837" s="1" t="s">
        <v>7944</v>
      </c>
      <c r="G837" s="1" t="s">
        <v>14129</v>
      </c>
      <c r="H837" s="1" t="s">
        <v>14532</v>
      </c>
      <c r="I837" s="1" t="s">
        <v>14951</v>
      </c>
      <c r="J837" s="1" t="s">
        <v>23</v>
      </c>
      <c r="K837" s="1"/>
      <c r="L837" s="1" t="s">
        <v>7509</v>
      </c>
      <c r="M837" s="1" t="s">
        <v>7509</v>
      </c>
      <c r="N837" s="12" t="b">
        <f t="shared" si="65"/>
        <v>1</v>
      </c>
      <c r="O837" s="1" t="s">
        <v>7945</v>
      </c>
      <c r="P837" s="1" t="s">
        <v>7946</v>
      </c>
      <c r="Q837" s="1" t="s">
        <v>7809</v>
      </c>
      <c r="R837" s="1" t="s">
        <v>7810</v>
      </c>
      <c r="S837" s="1" t="s">
        <v>7811</v>
      </c>
      <c r="T837" s="1" t="s">
        <v>7812</v>
      </c>
      <c r="U837" s="1" t="s">
        <v>7813</v>
      </c>
      <c r="V837" s="13">
        <f>COUNTIF(L837:$M$1659,L837)</f>
        <v>2</v>
      </c>
      <c r="W837" s="1" t="s">
        <v>7517</v>
      </c>
      <c r="X837">
        <v>5586.14</v>
      </c>
      <c r="Y837">
        <v>4325.74</v>
      </c>
      <c r="Z837">
        <v>16.596872999999999</v>
      </c>
      <c r="AA837">
        <v>107.50172499999999</v>
      </c>
      <c r="AB837">
        <v>1260.4000000000001</v>
      </c>
      <c r="AC837">
        <v>16.580074</v>
      </c>
      <c r="AD837">
        <v>107.513431</v>
      </c>
      <c r="AE837" s="5">
        <f t="shared" si="66"/>
        <v>6.4886099999999995</v>
      </c>
      <c r="AF837" s="5">
        <f t="shared" si="67"/>
        <v>1.8906000000000001</v>
      </c>
      <c r="AG837" s="1" t="str">
        <f>TRIM(LEFT(L837,FIND("-",L837)-1))</f>
        <v>Ring 3_Phong Dinh</v>
      </c>
      <c r="AH837" s="1" t="str">
        <f>TRIM(RIGHT(L837, LEN(L837) - FIND("-", L837)))</f>
        <v>TTCMKV Quảng Điền</v>
      </c>
      <c r="AJ837">
        <f t="shared" si="68"/>
        <v>4.3257399999999997</v>
      </c>
      <c r="AK837">
        <f t="shared" si="69"/>
        <v>1.2604000000000002</v>
      </c>
      <c r="AL837" t="e">
        <f>VLOOKUP(L837,'[1]Tuyến cáp H04'!$B:$E,3,0)/1000</f>
        <v>#N/A</v>
      </c>
      <c r="AM837" t="e">
        <f>VLOOKUP(L837,'[1]Tuyến cáp H04'!$B:$E,4,0)</f>
        <v>#N/A</v>
      </c>
    </row>
    <row r="838" spans="1:39" x14ac:dyDescent="0.25">
      <c r="A838" s="1" t="s">
        <v>7947</v>
      </c>
      <c r="B838" s="1" t="s">
        <v>7948</v>
      </c>
      <c r="C838" s="1" t="s">
        <v>7949</v>
      </c>
      <c r="D838" s="1" t="s">
        <v>7950</v>
      </c>
      <c r="E838" s="1" t="s">
        <v>7951</v>
      </c>
      <c r="F838" s="1" t="s">
        <v>7952</v>
      </c>
      <c r="G838" s="1" t="s">
        <v>14129</v>
      </c>
      <c r="H838" s="1" t="s">
        <v>14532</v>
      </c>
      <c r="I838" s="1" t="s">
        <v>14952</v>
      </c>
      <c r="J838" s="1" t="s">
        <v>23</v>
      </c>
      <c r="K838" s="1"/>
      <c r="L838" s="1" t="s">
        <v>7953</v>
      </c>
      <c r="M838" s="1" t="s">
        <v>7953</v>
      </c>
      <c r="N838" s="12" t="b">
        <f t="shared" si="65"/>
        <v>1</v>
      </c>
      <c r="O838" s="1" t="s">
        <v>7954</v>
      </c>
      <c r="P838" s="1" t="s">
        <v>7955</v>
      </c>
      <c r="Q838" s="1" t="s">
        <v>7956</v>
      </c>
      <c r="R838" s="1" t="s">
        <v>7957</v>
      </c>
      <c r="S838" s="1" t="s">
        <v>7958</v>
      </c>
      <c r="T838" s="1" t="s">
        <v>7959</v>
      </c>
      <c r="U838" s="1" t="s">
        <v>7960</v>
      </c>
      <c r="V838" s="13">
        <f>COUNTIF(L838:$M$1659,L838)</f>
        <v>4</v>
      </c>
      <c r="W838" s="1" t="s">
        <v>7961</v>
      </c>
      <c r="X838">
        <v>2697.99</v>
      </c>
      <c r="Y838">
        <v>2498.12</v>
      </c>
      <c r="Z838">
        <v>16.595790000000001</v>
      </c>
      <c r="AA838">
        <v>107.357463</v>
      </c>
      <c r="AB838">
        <v>199.86</v>
      </c>
      <c r="AC838">
        <v>16.661760000000001</v>
      </c>
      <c r="AD838">
        <v>107.381658</v>
      </c>
      <c r="AE838" s="5">
        <f t="shared" si="66"/>
        <v>3.7471799999999997</v>
      </c>
      <c r="AF838" s="5">
        <f t="shared" si="67"/>
        <v>0.29979</v>
      </c>
      <c r="AG838" s="1" t="str">
        <f>TRIM(LEFT(L838,FIND("-",L838)-1))</f>
        <v>Ring 4 TTCMKV Phong Điền</v>
      </c>
      <c r="AH838" s="1" t="str">
        <f>TRIM(RIGHT(L838, LEN(L838) - FIND("-", L838)))</f>
        <v>Phong Phú</v>
      </c>
      <c r="AJ838">
        <f t="shared" si="68"/>
        <v>2.4981199999999997</v>
      </c>
      <c r="AK838">
        <f t="shared" si="69"/>
        <v>0.19986000000000001</v>
      </c>
      <c r="AL838" t="e">
        <f>VLOOKUP(L838,'[1]Tuyến cáp H04'!$B:$E,3,0)/1000</f>
        <v>#N/A</v>
      </c>
      <c r="AM838" t="e">
        <f>VLOOKUP(L838,'[1]Tuyến cáp H04'!$B:$E,4,0)</f>
        <v>#N/A</v>
      </c>
    </row>
    <row r="839" spans="1:39" x14ac:dyDescent="0.25">
      <c r="A839" s="1" t="s">
        <v>7962</v>
      </c>
      <c r="B839" s="1" t="s">
        <v>7963</v>
      </c>
      <c r="C839" s="1" t="s">
        <v>7964</v>
      </c>
      <c r="D839" s="1" t="s">
        <v>6989</v>
      </c>
      <c r="E839" s="1" t="s">
        <v>6990</v>
      </c>
      <c r="F839" s="1" t="s">
        <v>7965</v>
      </c>
      <c r="G839" s="1" t="s">
        <v>14129</v>
      </c>
      <c r="H839" s="1" t="s">
        <v>14532</v>
      </c>
      <c r="I839" s="1" t="s">
        <v>14953</v>
      </c>
      <c r="J839" s="1" t="s">
        <v>23</v>
      </c>
      <c r="K839" s="1"/>
      <c r="L839" s="1" t="s">
        <v>7419</v>
      </c>
      <c r="M839" s="1" t="s">
        <v>7419</v>
      </c>
      <c r="N839" s="12" t="b">
        <f t="shared" si="65"/>
        <v>1</v>
      </c>
      <c r="O839" s="1" t="s">
        <v>7966</v>
      </c>
      <c r="P839" s="1" t="s">
        <v>7967</v>
      </c>
      <c r="Q839" s="1" t="s">
        <v>7968</v>
      </c>
      <c r="R839" s="1" t="s">
        <v>7969</v>
      </c>
      <c r="S839" s="1" t="s">
        <v>7575</v>
      </c>
      <c r="T839" s="1" t="s">
        <v>7576</v>
      </c>
      <c r="U839" s="1" t="s">
        <v>7577</v>
      </c>
      <c r="V839" s="13">
        <f>COUNTIF(L839:$M$1659,L839)</f>
        <v>4</v>
      </c>
      <c r="W839" s="1" t="s">
        <v>7427</v>
      </c>
      <c r="X839">
        <v>4815.21</v>
      </c>
      <c r="Y839">
        <v>4749.32</v>
      </c>
      <c r="Z839">
        <v>16.537596000000001</v>
      </c>
      <c r="AA839">
        <v>107.563883</v>
      </c>
      <c r="AB839">
        <v>65.89</v>
      </c>
      <c r="AC839">
        <v>16.568567999999999</v>
      </c>
      <c r="AD839">
        <v>107.51419199999999</v>
      </c>
      <c r="AE839" s="5">
        <f t="shared" si="66"/>
        <v>7.1239799999999995</v>
      </c>
      <c r="AF839" s="5">
        <f t="shared" si="67"/>
        <v>9.8835000000000006E-2</v>
      </c>
      <c r="AG839" s="1" t="str">
        <f>TRIM(LEFT(L839,FIND("-",L839)-1))</f>
        <v>Ring 7 TTCMKV Quảng Điền</v>
      </c>
      <c r="AH839" s="1" t="str">
        <f>TRIM(RIGHT(L839, LEN(L839) - FIND("-", L839)))</f>
        <v>Hóa Châu</v>
      </c>
      <c r="AJ839">
        <f t="shared" si="68"/>
        <v>4.74932</v>
      </c>
      <c r="AK839">
        <f t="shared" si="69"/>
        <v>6.5890000000000004E-2</v>
      </c>
      <c r="AL839" t="e">
        <f>VLOOKUP(L839,'[1]Tuyến cáp H04'!$B:$E,3,0)/1000</f>
        <v>#N/A</v>
      </c>
      <c r="AM839" t="e">
        <f>VLOOKUP(L839,'[1]Tuyến cáp H04'!$B:$E,4,0)</f>
        <v>#N/A</v>
      </c>
    </row>
    <row r="840" spans="1:39" x14ac:dyDescent="0.25">
      <c r="A840" s="1" t="s">
        <v>7970</v>
      </c>
      <c r="B840" s="1" t="s">
        <v>7971</v>
      </c>
      <c r="C840" s="1" t="s">
        <v>7972</v>
      </c>
      <c r="D840" s="1" t="s">
        <v>6947</v>
      </c>
      <c r="E840" s="1" t="s">
        <v>6948</v>
      </c>
      <c r="F840" s="1" t="s">
        <v>7973</v>
      </c>
      <c r="G840" s="1" t="s">
        <v>14129</v>
      </c>
      <c r="H840" s="1" t="s">
        <v>14532</v>
      </c>
      <c r="I840" s="1" t="s">
        <v>14954</v>
      </c>
      <c r="J840" s="1" t="s">
        <v>23</v>
      </c>
      <c r="K840" s="1"/>
      <c r="L840" s="1" t="s">
        <v>6937</v>
      </c>
      <c r="M840" s="1" t="s">
        <v>6937</v>
      </c>
      <c r="N840" s="12" t="b">
        <f t="shared" si="65"/>
        <v>1</v>
      </c>
      <c r="O840" s="1" t="s">
        <v>7974</v>
      </c>
      <c r="P840" s="1" t="s">
        <v>7975</v>
      </c>
      <c r="Q840" s="1" t="s">
        <v>7976</v>
      </c>
      <c r="R840" s="1" t="s">
        <v>7977</v>
      </c>
      <c r="S840" s="1" t="s">
        <v>7924</v>
      </c>
      <c r="T840" s="1" t="s">
        <v>7925</v>
      </c>
      <c r="U840" s="1" t="s">
        <v>7926</v>
      </c>
      <c r="V840" s="13">
        <f>COUNTIF(L840:$M$1659,L840)</f>
        <v>2</v>
      </c>
      <c r="W840" s="1" t="s">
        <v>6945</v>
      </c>
      <c r="X840">
        <v>8845.82</v>
      </c>
      <c r="Y840">
        <v>344.04</v>
      </c>
      <c r="Z840">
        <v>16.378900999999999</v>
      </c>
      <c r="AA840">
        <v>107.851676</v>
      </c>
      <c r="AB840">
        <v>8501.7800000000007</v>
      </c>
      <c r="AC840">
        <v>16.346129000000001</v>
      </c>
      <c r="AD840">
        <v>107.896635</v>
      </c>
      <c r="AE840" s="5">
        <f t="shared" si="66"/>
        <v>0.51606000000000007</v>
      </c>
      <c r="AF840" s="5">
        <f t="shared" si="67"/>
        <v>12.752670000000002</v>
      </c>
      <c r="AG840" s="1" t="str">
        <f>TRIM(LEFT(L840,FIND("-",L840)-1))</f>
        <v>TTCMKV_Ring 1_Phú Vang</v>
      </c>
      <c r="AH840" s="1" t="str">
        <f>TRIM(RIGHT(L840, LEN(L840) - FIND("-", L840)))</f>
        <v>Phú Lộc</v>
      </c>
      <c r="AJ840">
        <f t="shared" si="68"/>
        <v>0.34404000000000001</v>
      </c>
      <c r="AK840">
        <f t="shared" si="69"/>
        <v>8.5017800000000001</v>
      </c>
      <c r="AL840" t="e">
        <f>VLOOKUP(L840,'[1]Tuyến cáp H04'!$B:$E,3,0)/1000</f>
        <v>#N/A</v>
      </c>
      <c r="AM840" t="e">
        <f>VLOOKUP(L840,'[1]Tuyến cáp H04'!$B:$E,4,0)</f>
        <v>#N/A</v>
      </c>
    </row>
    <row r="841" spans="1:39" x14ac:dyDescent="0.25">
      <c r="A841" s="1" t="s">
        <v>7978</v>
      </c>
      <c r="B841" s="1" t="s">
        <v>7979</v>
      </c>
      <c r="C841" s="1" t="s">
        <v>7980</v>
      </c>
      <c r="D841" s="1" t="s">
        <v>7950</v>
      </c>
      <c r="E841" s="1" t="s">
        <v>7951</v>
      </c>
      <c r="F841" s="1" t="s">
        <v>7981</v>
      </c>
      <c r="G841" s="1" t="s">
        <v>14129</v>
      </c>
      <c r="H841" s="1" t="s">
        <v>14532</v>
      </c>
      <c r="I841" s="1" t="s">
        <v>14955</v>
      </c>
      <c r="J841" s="1" t="s">
        <v>23</v>
      </c>
      <c r="K841" s="1"/>
      <c r="L841" s="1" t="s">
        <v>7953</v>
      </c>
      <c r="M841" s="1" t="s">
        <v>7953</v>
      </c>
      <c r="N841" s="12" t="b">
        <f t="shared" si="65"/>
        <v>1</v>
      </c>
      <c r="O841" s="1" t="s">
        <v>7982</v>
      </c>
      <c r="P841" s="1" t="s">
        <v>7983</v>
      </c>
      <c r="Q841" s="1" t="s">
        <v>7984</v>
      </c>
      <c r="R841" s="1" t="s">
        <v>7985</v>
      </c>
      <c r="S841" s="1" t="s">
        <v>7958</v>
      </c>
      <c r="T841" s="1" t="s">
        <v>7959</v>
      </c>
      <c r="U841" s="1" t="s">
        <v>7960</v>
      </c>
      <c r="V841" s="13">
        <f>COUNTIF(L841:$M$1659,L841)</f>
        <v>2</v>
      </c>
      <c r="W841" s="1" t="s">
        <v>7961</v>
      </c>
      <c r="X841">
        <v>3937.89</v>
      </c>
      <c r="Y841">
        <v>3738.03</v>
      </c>
      <c r="Z841">
        <v>16.597567000000002</v>
      </c>
      <c r="AA841">
        <v>107.360275</v>
      </c>
      <c r="AB841">
        <v>199.86</v>
      </c>
      <c r="AC841">
        <v>16.661760000000001</v>
      </c>
      <c r="AD841">
        <v>107.381658</v>
      </c>
      <c r="AE841" s="5">
        <f t="shared" si="66"/>
        <v>5.6070450000000003</v>
      </c>
      <c r="AF841" s="5">
        <f t="shared" si="67"/>
        <v>0.29979</v>
      </c>
      <c r="AG841" s="1" t="str">
        <f>TRIM(LEFT(L841,FIND("-",L841)-1))</f>
        <v>Ring 4 TTCMKV Phong Điền</v>
      </c>
      <c r="AH841" s="1" t="str">
        <f>TRIM(RIGHT(L841, LEN(L841) - FIND("-", L841)))</f>
        <v>Phong Phú</v>
      </c>
      <c r="AJ841">
        <f t="shared" si="68"/>
        <v>3.7380300000000002</v>
      </c>
      <c r="AK841">
        <f t="shared" si="69"/>
        <v>0.19986000000000001</v>
      </c>
      <c r="AL841" t="e">
        <f>VLOOKUP(L841,'[1]Tuyến cáp H04'!$B:$E,3,0)/1000</f>
        <v>#N/A</v>
      </c>
      <c r="AM841" t="e">
        <f>VLOOKUP(L841,'[1]Tuyến cáp H04'!$B:$E,4,0)</f>
        <v>#N/A</v>
      </c>
    </row>
    <row r="842" spans="1:39" x14ac:dyDescent="0.25">
      <c r="A842" s="1" t="s">
        <v>7986</v>
      </c>
      <c r="B842" s="1" t="s">
        <v>7987</v>
      </c>
      <c r="C842" s="1" t="s">
        <v>7988</v>
      </c>
      <c r="D842" s="1" t="s">
        <v>6917</v>
      </c>
      <c r="E842" s="1" t="s">
        <v>6918</v>
      </c>
      <c r="F842" s="1" t="s">
        <v>7989</v>
      </c>
      <c r="G842" s="1" t="s">
        <v>14129</v>
      </c>
      <c r="H842" s="1" t="s">
        <v>14532</v>
      </c>
      <c r="I842" s="1" t="s">
        <v>14956</v>
      </c>
      <c r="J842" s="1" t="s">
        <v>23</v>
      </c>
      <c r="K842" s="1"/>
      <c r="L842" s="1" t="s">
        <v>7406</v>
      </c>
      <c r="M842" s="1" t="s">
        <v>7406</v>
      </c>
      <c r="N842" s="12" t="b">
        <f t="shared" si="65"/>
        <v>1</v>
      </c>
      <c r="O842" s="1" t="s">
        <v>7990</v>
      </c>
      <c r="P842" s="1" t="s">
        <v>7991</v>
      </c>
      <c r="Q842" s="1" t="s">
        <v>7409</v>
      </c>
      <c r="R842" s="1" t="s">
        <v>7410</v>
      </c>
      <c r="S842" s="1" t="s">
        <v>7411</v>
      </c>
      <c r="T842" s="1" t="s">
        <v>7412</v>
      </c>
      <c r="U842" s="1" t="s">
        <v>7413</v>
      </c>
      <c r="V842" s="13">
        <f>COUNTIF(L842:$M$1659,L842)</f>
        <v>2</v>
      </c>
      <c r="W842" s="1" t="s">
        <v>7414</v>
      </c>
      <c r="X842">
        <v>3443.02</v>
      </c>
      <c r="Y842">
        <v>3240.38</v>
      </c>
      <c r="Z842">
        <v>16.493091</v>
      </c>
      <c r="AA842">
        <v>107.594409</v>
      </c>
      <c r="AB842">
        <v>202.64</v>
      </c>
      <c r="AC842">
        <v>16.478172000000001</v>
      </c>
      <c r="AD842">
        <v>107.624154</v>
      </c>
      <c r="AE842" s="5">
        <f t="shared" si="66"/>
        <v>4.8605700000000001</v>
      </c>
      <c r="AF842" s="5">
        <f t="shared" si="67"/>
        <v>0.30395999999999995</v>
      </c>
      <c r="AG842" s="1" t="str">
        <f>TRIM(LEFT(L842,FIND("-",L842)-1))</f>
        <v>Ring 1 Phú Xuân</v>
      </c>
      <c r="AH842" s="1" t="str">
        <f>TRIM(RIGHT(L842, LEN(L842) - FIND("-", L842)))</f>
        <v>CAT TT Huế</v>
      </c>
      <c r="AJ842">
        <f t="shared" si="68"/>
        <v>3.24038</v>
      </c>
      <c r="AK842">
        <f t="shared" si="69"/>
        <v>0.20263999999999999</v>
      </c>
      <c r="AL842" t="e">
        <f>VLOOKUP(L842,'[1]Tuyến cáp H04'!$B:$E,3,0)/1000</f>
        <v>#N/A</v>
      </c>
      <c r="AM842" t="e">
        <f>VLOOKUP(L842,'[1]Tuyến cáp H04'!$B:$E,4,0)</f>
        <v>#N/A</v>
      </c>
    </row>
    <row r="843" spans="1:39" x14ac:dyDescent="0.25">
      <c r="A843" s="1" t="s">
        <v>7992</v>
      </c>
      <c r="B843" s="1" t="s">
        <v>7105</v>
      </c>
      <c r="C843" s="1" t="s">
        <v>7106</v>
      </c>
      <c r="D843" s="1" t="s">
        <v>6917</v>
      </c>
      <c r="E843" s="1" t="s">
        <v>6918</v>
      </c>
      <c r="F843" s="1" t="s">
        <v>7993</v>
      </c>
      <c r="G843" s="1" t="s">
        <v>14129</v>
      </c>
      <c r="H843" s="1" t="s">
        <v>14532</v>
      </c>
      <c r="I843" s="1" t="s">
        <v>14957</v>
      </c>
      <c r="J843" s="1" t="s">
        <v>23</v>
      </c>
      <c r="K843" s="1"/>
      <c r="L843" s="1" t="s">
        <v>7065</v>
      </c>
      <c r="M843" s="1" t="s">
        <v>7065</v>
      </c>
      <c r="N843" s="12" t="b">
        <f t="shared" si="65"/>
        <v>1</v>
      </c>
      <c r="O843" s="1" t="s">
        <v>7994</v>
      </c>
      <c r="P843" s="1" t="s">
        <v>1755</v>
      </c>
      <c r="Q843" s="1" t="s">
        <v>7112</v>
      </c>
      <c r="R843" s="1" t="s">
        <v>7113</v>
      </c>
      <c r="S843" s="1" t="s">
        <v>7995</v>
      </c>
      <c r="T843" s="1" t="s">
        <v>7996</v>
      </c>
      <c r="U843" s="1" t="s">
        <v>7997</v>
      </c>
      <c r="V843" s="13">
        <f>COUNTIF(L843:$M$1659,L843)</f>
        <v>2</v>
      </c>
      <c r="W843" s="1" t="s">
        <v>7114</v>
      </c>
      <c r="X843">
        <v>7950.65</v>
      </c>
      <c r="Y843">
        <v>560.76</v>
      </c>
      <c r="Z843">
        <v>16.523812</v>
      </c>
      <c r="AA843">
        <v>107.480937</v>
      </c>
      <c r="AB843">
        <v>7389.89</v>
      </c>
      <c r="AC843">
        <v>16.479613000000001</v>
      </c>
      <c r="AD843">
        <v>107.556349</v>
      </c>
      <c r="AE843" s="5">
        <f t="shared" si="66"/>
        <v>0.84114</v>
      </c>
      <c r="AF843" s="5">
        <f t="shared" si="67"/>
        <v>11.084835000000002</v>
      </c>
      <c r="AG843" s="1" t="str">
        <f>TRIM(LEFT(L843,FIND("-",L843)-1))</f>
        <v>TTCMKV_Ring 2_Phong Điền</v>
      </c>
      <c r="AH843" s="1" t="str">
        <f>TRIM(RIGHT(L843, LEN(L843) - FIND("-", L843)))</f>
        <v>CAT Huế mới</v>
      </c>
      <c r="AJ843">
        <f t="shared" si="68"/>
        <v>0.56076000000000004</v>
      </c>
      <c r="AK843">
        <f t="shared" si="69"/>
        <v>7.3898900000000003</v>
      </c>
      <c r="AL843" t="e">
        <f>VLOOKUP(L843,'[1]Tuyến cáp H04'!$B:$E,3,0)/1000</f>
        <v>#N/A</v>
      </c>
      <c r="AM843" t="e">
        <f>VLOOKUP(L843,'[1]Tuyến cáp H04'!$B:$E,4,0)</f>
        <v>#N/A</v>
      </c>
    </row>
    <row r="844" spans="1:39" x14ac:dyDescent="0.25">
      <c r="A844" s="1" t="s">
        <v>7998</v>
      </c>
      <c r="B844" s="1" t="s">
        <v>7999</v>
      </c>
      <c r="C844" s="1" t="s">
        <v>8000</v>
      </c>
      <c r="D844" s="1" t="s">
        <v>7222</v>
      </c>
      <c r="E844" s="1" t="s">
        <v>7223</v>
      </c>
      <c r="F844" s="1" t="s">
        <v>8001</v>
      </c>
      <c r="G844" s="1" t="s">
        <v>14129</v>
      </c>
      <c r="H844" s="1" t="s">
        <v>14532</v>
      </c>
      <c r="I844" s="1" t="s">
        <v>14958</v>
      </c>
      <c r="J844" s="1" t="s">
        <v>23</v>
      </c>
      <c r="K844" s="1"/>
      <c r="L844" s="1" t="s">
        <v>7227</v>
      </c>
      <c r="M844" s="1" t="s">
        <v>7227</v>
      </c>
      <c r="N844" s="12" t="b">
        <f t="shared" si="65"/>
        <v>1</v>
      </c>
      <c r="O844" s="1" t="s">
        <v>8002</v>
      </c>
      <c r="P844" s="1" t="s">
        <v>8003</v>
      </c>
      <c r="Q844" s="1" t="s">
        <v>7527</v>
      </c>
      <c r="R844" s="1" t="s">
        <v>8004</v>
      </c>
      <c r="S844" s="1" t="s">
        <v>7229</v>
      </c>
      <c r="T844" s="1" t="s">
        <v>7230</v>
      </c>
      <c r="U844" s="1" t="s">
        <v>7231</v>
      </c>
      <c r="V844" s="13">
        <f>COUNTIF(L844:$M$1659,L844)</f>
        <v>2</v>
      </c>
      <c r="W844" s="1" t="s">
        <v>7235</v>
      </c>
      <c r="X844">
        <v>248.1</v>
      </c>
      <c r="Y844">
        <v>181.92</v>
      </c>
      <c r="Z844">
        <v>16.452960999999998</v>
      </c>
      <c r="AA844">
        <v>107.52951899999999</v>
      </c>
      <c r="AB844">
        <v>66.180000000000007</v>
      </c>
      <c r="AC844">
        <v>16.439848000000001</v>
      </c>
      <c r="AD844">
        <v>107.52389700000001</v>
      </c>
      <c r="AE844" s="5">
        <f t="shared" si="66"/>
        <v>0.27288000000000001</v>
      </c>
      <c r="AF844" s="5">
        <f t="shared" si="67"/>
        <v>9.9270000000000011E-2</v>
      </c>
      <c r="AG844" s="1" t="str">
        <f>TRIM(LEFT(L844,FIND("-",L844)-1))</f>
        <v>Ring 6 Hương An</v>
      </c>
      <c r="AH844" s="1" t="str">
        <f>TRIM(RIGHT(L844, LEN(L844) - FIND("-", L844)))</f>
        <v>Kim Long</v>
      </c>
      <c r="AJ844">
        <f t="shared" si="68"/>
        <v>0.18192</v>
      </c>
      <c r="AK844">
        <f t="shared" si="69"/>
        <v>6.6180000000000003E-2</v>
      </c>
      <c r="AL844" t="e">
        <f>VLOOKUP(L844,'[1]Tuyến cáp H04'!$B:$E,3,0)/1000</f>
        <v>#N/A</v>
      </c>
      <c r="AM844" t="e">
        <f>VLOOKUP(L844,'[1]Tuyến cáp H04'!$B:$E,4,0)</f>
        <v>#N/A</v>
      </c>
    </row>
    <row r="845" spans="1:39" x14ac:dyDescent="0.25">
      <c r="A845" s="1" t="s">
        <v>8005</v>
      </c>
      <c r="B845" s="1" t="s">
        <v>8006</v>
      </c>
      <c r="C845" s="1" t="s">
        <v>8007</v>
      </c>
      <c r="D845" s="1" t="s">
        <v>6917</v>
      </c>
      <c r="E845" s="1" t="s">
        <v>6918</v>
      </c>
      <c r="F845" s="1" t="s">
        <v>8008</v>
      </c>
      <c r="G845" s="1" t="s">
        <v>14129</v>
      </c>
      <c r="H845" s="1" t="s">
        <v>14532</v>
      </c>
      <c r="I845" s="1" t="s">
        <v>14959</v>
      </c>
      <c r="J845" s="1" t="s">
        <v>23</v>
      </c>
      <c r="K845" s="1"/>
      <c r="L845" s="1" t="s">
        <v>6967</v>
      </c>
      <c r="M845" s="1" t="s">
        <v>6967</v>
      </c>
      <c r="N845" s="12" t="b">
        <f t="shared" si="65"/>
        <v>1</v>
      </c>
      <c r="O845" s="1" t="s">
        <v>8009</v>
      </c>
      <c r="P845" s="1" t="s">
        <v>8010</v>
      </c>
      <c r="Q845" s="1" t="s">
        <v>8011</v>
      </c>
      <c r="R845" s="1" t="s">
        <v>8012</v>
      </c>
      <c r="S845" s="1" t="s">
        <v>8013</v>
      </c>
      <c r="T845" s="1" t="s">
        <v>6973</v>
      </c>
      <c r="U845" s="1" t="s">
        <v>6974</v>
      </c>
      <c r="V845" s="13">
        <f>COUNTIF(L845:$M$1659,L845)</f>
        <v>2</v>
      </c>
      <c r="W845" s="1" t="s">
        <v>6975</v>
      </c>
      <c r="X845">
        <v>3373.19</v>
      </c>
      <c r="Y845">
        <v>304.64</v>
      </c>
      <c r="Z845">
        <v>16.426506</v>
      </c>
      <c r="AA845">
        <v>107.65190800000001</v>
      </c>
      <c r="AB845">
        <v>3068.55</v>
      </c>
      <c r="AC845">
        <v>16.449480999999999</v>
      </c>
      <c r="AD845">
        <v>107.62788500000001</v>
      </c>
      <c r="AE845" s="5">
        <f t="shared" si="66"/>
        <v>0.45695999999999998</v>
      </c>
      <c r="AF845" s="5">
        <f t="shared" si="67"/>
        <v>4.6028250000000011</v>
      </c>
      <c r="AG845" s="1" t="str">
        <f>TRIM(LEFT(L845,FIND("-",L845)-1))</f>
        <v>TTCMKV_Ring 1_Hương Thủy</v>
      </c>
      <c r="AH845" s="1" t="str">
        <f>TRIM(RIGHT(L845, LEN(L845) - FIND("-", L845)))</f>
        <v>CAT Huế mới</v>
      </c>
      <c r="AJ845">
        <f t="shared" si="68"/>
        <v>0.30463999999999997</v>
      </c>
      <c r="AK845">
        <f t="shared" si="69"/>
        <v>3.0685500000000001</v>
      </c>
      <c r="AL845" t="e">
        <f>VLOOKUP(L845,'[1]Tuyến cáp H04'!$B:$E,3,0)/1000</f>
        <v>#N/A</v>
      </c>
      <c r="AM845" t="e">
        <f>VLOOKUP(L845,'[1]Tuyến cáp H04'!$B:$E,4,0)</f>
        <v>#N/A</v>
      </c>
    </row>
    <row r="846" spans="1:39" x14ac:dyDescent="0.25">
      <c r="A846" s="1" t="s">
        <v>8014</v>
      </c>
      <c r="B846" s="1" t="s">
        <v>8015</v>
      </c>
      <c r="C846" s="1" t="s">
        <v>8016</v>
      </c>
      <c r="D846" s="1" t="s">
        <v>6962</v>
      </c>
      <c r="E846" s="1" t="s">
        <v>6963</v>
      </c>
      <c r="F846" s="1" t="s">
        <v>8017</v>
      </c>
      <c r="G846" s="1" t="s">
        <v>14129</v>
      </c>
      <c r="H846" s="1" t="s">
        <v>14532</v>
      </c>
      <c r="I846" s="1" t="s">
        <v>14960</v>
      </c>
      <c r="J846" s="1" t="s">
        <v>23</v>
      </c>
      <c r="K846" s="1"/>
      <c r="L846" s="1" t="s">
        <v>7393</v>
      </c>
      <c r="M846" s="1" t="s">
        <v>7393</v>
      </c>
      <c r="N846" s="12" t="b">
        <f t="shared" si="65"/>
        <v>1</v>
      </c>
      <c r="O846" s="1" t="s">
        <v>8018</v>
      </c>
      <c r="P846" s="1" t="s">
        <v>8019</v>
      </c>
      <c r="Q846" s="1" t="s">
        <v>8020</v>
      </c>
      <c r="R846" s="1" t="s">
        <v>8021</v>
      </c>
      <c r="S846" s="1" t="s">
        <v>8022</v>
      </c>
      <c r="T846" s="1" t="s">
        <v>8023</v>
      </c>
      <c r="U846" s="1" t="s">
        <v>8024</v>
      </c>
      <c r="V846" s="13">
        <f>COUNTIF(L846:$M$1659,L846)</f>
        <v>2</v>
      </c>
      <c r="W846" s="1" t="s">
        <v>8025</v>
      </c>
      <c r="X846">
        <v>207.23</v>
      </c>
      <c r="Y846">
        <v>132.15</v>
      </c>
      <c r="Z846">
        <v>16.412330000000001</v>
      </c>
      <c r="AA846">
        <v>107.673615</v>
      </c>
      <c r="AB846">
        <v>75.08</v>
      </c>
      <c r="AC846">
        <v>16.408631</v>
      </c>
      <c r="AD846">
        <v>107.68102</v>
      </c>
      <c r="AE846" s="5">
        <f t="shared" si="66"/>
        <v>0.19822500000000001</v>
      </c>
      <c r="AF846" s="5">
        <f t="shared" si="67"/>
        <v>0.11262</v>
      </c>
      <c r="AG846" s="1" t="str">
        <f>TRIM(LEFT(L846,FIND("-",L846)-1))</f>
        <v>Ring 2 Phú Xuân</v>
      </c>
      <c r="AH846" s="1" t="str">
        <f>TRIM(RIGHT(L846, LEN(L846) - FIND("-", L846)))</f>
        <v>Hương Thủy</v>
      </c>
      <c r="AJ846">
        <f t="shared" si="68"/>
        <v>0.13215000000000002</v>
      </c>
      <c r="AK846">
        <f t="shared" si="69"/>
        <v>7.5079999999999994E-2</v>
      </c>
      <c r="AL846" t="e">
        <f>VLOOKUP(L846,'[1]Tuyến cáp H04'!$B:$E,3,0)/1000</f>
        <v>#N/A</v>
      </c>
      <c r="AM846" t="e">
        <f>VLOOKUP(L846,'[1]Tuyến cáp H04'!$B:$E,4,0)</f>
        <v>#N/A</v>
      </c>
    </row>
    <row r="847" spans="1:39" x14ac:dyDescent="0.25">
      <c r="A847" s="1" t="s">
        <v>8026</v>
      </c>
      <c r="B847" s="1" t="s">
        <v>8027</v>
      </c>
      <c r="C847" s="1" t="s">
        <v>8028</v>
      </c>
      <c r="D847" s="1" t="s">
        <v>6932</v>
      </c>
      <c r="E847" s="1" t="s">
        <v>6933</v>
      </c>
      <c r="F847" s="1" t="s">
        <v>8029</v>
      </c>
      <c r="G847" s="1" t="s">
        <v>14129</v>
      </c>
      <c r="H847" s="1" t="s">
        <v>14532</v>
      </c>
      <c r="I847" s="1" t="s">
        <v>14961</v>
      </c>
      <c r="J847" s="1" t="s">
        <v>23</v>
      </c>
      <c r="K847" s="1"/>
      <c r="L847" s="1" t="s">
        <v>7672</v>
      </c>
      <c r="M847" s="1" t="s">
        <v>7672</v>
      </c>
      <c r="N847" s="12" t="b">
        <f t="shared" si="65"/>
        <v>1</v>
      </c>
      <c r="O847" s="1" t="s">
        <v>8030</v>
      </c>
      <c r="P847" s="1" t="s">
        <v>8031</v>
      </c>
      <c r="Q847" s="1" t="s">
        <v>8032</v>
      </c>
      <c r="R847" s="1" t="s">
        <v>8033</v>
      </c>
      <c r="S847" s="1" t="s">
        <v>8034</v>
      </c>
      <c r="T847" s="1" t="s">
        <v>8035</v>
      </c>
      <c r="U847" s="1" t="s">
        <v>8036</v>
      </c>
      <c r="V847" s="13">
        <f>COUNTIF(L847:$M$1659,L847)</f>
        <v>2</v>
      </c>
      <c r="W847" s="1" t="s">
        <v>7680</v>
      </c>
      <c r="X847">
        <v>5198.95</v>
      </c>
      <c r="Y847">
        <v>53.01</v>
      </c>
      <c r="Z847">
        <v>16.526153999999998</v>
      </c>
      <c r="AA847">
        <v>107.702167</v>
      </c>
      <c r="AB847">
        <v>5145.9399999999996</v>
      </c>
      <c r="AC847">
        <v>16.471926</v>
      </c>
      <c r="AD847">
        <v>107.751434</v>
      </c>
      <c r="AE847" s="5">
        <f t="shared" si="66"/>
        <v>7.9515000000000002E-2</v>
      </c>
      <c r="AF847" s="5">
        <f t="shared" si="67"/>
        <v>7.7189100000000002</v>
      </c>
      <c r="AG847" s="1" t="str">
        <f>TRIM(LEFT(L847,FIND("-",L847)-1))</f>
        <v>Ring 8 Thuận An</v>
      </c>
      <c r="AH847" s="1" t="str">
        <f>TRIM(RIGHT(L847, LEN(L847) - FIND("-", L847)))</f>
        <v>TTCMKV Phú Vang</v>
      </c>
      <c r="AJ847">
        <f t="shared" si="68"/>
        <v>5.3009999999999995E-2</v>
      </c>
      <c r="AK847">
        <f t="shared" si="69"/>
        <v>5.1459399999999995</v>
      </c>
      <c r="AL847" t="e">
        <f>VLOOKUP(L847,'[1]Tuyến cáp H04'!$B:$E,3,0)/1000</f>
        <v>#N/A</v>
      </c>
      <c r="AM847" t="e">
        <f>VLOOKUP(L847,'[1]Tuyến cáp H04'!$B:$E,4,0)</f>
        <v>#N/A</v>
      </c>
    </row>
    <row r="848" spans="1:39" x14ac:dyDescent="0.25">
      <c r="A848" s="1" t="s">
        <v>8037</v>
      </c>
      <c r="B848" s="1" t="s">
        <v>8038</v>
      </c>
      <c r="C848" s="1" t="s">
        <v>8039</v>
      </c>
      <c r="D848" s="1" t="s">
        <v>7264</v>
      </c>
      <c r="E848" s="1" t="s">
        <v>7265</v>
      </c>
      <c r="F848" s="1" t="s">
        <v>8040</v>
      </c>
      <c r="G848" s="1" t="s">
        <v>14129</v>
      </c>
      <c r="H848" s="1" t="s">
        <v>14532</v>
      </c>
      <c r="I848" s="1" t="s">
        <v>14962</v>
      </c>
      <c r="J848" s="1" t="s">
        <v>23</v>
      </c>
      <c r="K848" s="1"/>
      <c r="L848" s="1" t="s">
        <v>8041</v>
      </c>
      <c r="M848" s="1" t="s">
        <v>8041</v>
      </c>
      <c r="N848" s="12" t="b">
        <f t="shared" si="65"/>
        <v>1</v>
      </c>
      <c r="O848" s="1" t="s">
        <v>8042</v>
      </c>
      <c r="P848" s="1" t="s">
        <v>8043</v>
      </c>
      <c r="Q848" s="1" t="s">
        <v>8044</v>
      </c>
      <c r="R848" s="1" t="s">
        <v>8045</v>
      </c>
      <c r="S848" s="1" t="s">
        <v>8046</v>
      </c>
      <c r="T848" s="1" t="s">
        <v>8047</v>
      </c>
      <c r="U848" s="1" t="s">
        <v>8048</v>
      </c>
      <c r="V848" s="13">
        <f>COUNTIF(L848:$M$1659,L848)</f>
        <v>2</v>
      </c>
      <c r="W848" s="1" t="s">
        <v>8049</v>
      </c>
      <c r="X848">
        <v>108.71</v>
      </c>
      <c r="Y848">
        <v>94.82</v>
      </c>
      <c r="Z848">
        <v>16.492583</v>
      </c>
      <c r="AA848">
        <v>107.6056</v>
      </c>
      <c r="AB848">
        <v>13.89</v>
      </c>
      <c r="AC848">
        <v>16.512819</v>
      </c>
      <c r="AD848">
        <v>107.599738</v>
      </c>
      <c r="AE848" s="5">
        <f t="shared" si="66"/>
        <v>0.14223</v>
      </c>
      <c r="AF848" s="5">
        <f t="shared" si="67"/>
        <v>2.0834999999999999E-2</v>
      </c>
      <c r="AG848" s="1" t="str">
        <f>TRIM(LEFT(L848,FIND("-",L848)-1))</f>
        <v>Ring 8 CAT Thừa Thiên Huế</v>
      </c>
      <c r="AH848" s="1" t="str">
        <f>TRIM(RIGHT(L848, LEN(L848) - FIND("-", L848)))</f>
        <v>Dương Nỗ</v>
      </c>
      <c r="AJ848">
        <f t="shared" si="68"/>
        <v>9.4819999999999988E-2</v>
      </c>
      <c r="AK848">
        <f t="shared" si="69"/>
        <v>1.3890000000000001E-2</v>
      </c>
      <c r="AL848" t="e">
        <f>VLOOKUP(L848,'[1]Tuyến cáp H04'!$B:$E,3,0)/1000</f>
        <v>#N/A</v>
      </c>
      <c r="AM848" t="e">
        <f>VLOOKUP(L848,'[1]Tuyến cáp H04'!$B:$E,4,0)</f>
        <v>#N/A</v>
      </c>
    </row>
    <row r="849" spans="1:39" x14ac:dyDescent="0.25">
      <c r="A849" s="1" t="s">
        <v>8050</v>
      </c>
      <c r="B849" s="1" t="s">
        <v>8051</v>
      </c>
      <c r="C849" s="1" t="s">
        <v>8052</v>
      </c>
      <c r="D849" s="1" t="s">
        <v>7237</v>
      </c>
      <c r="E849" s="1" t="s">
        <v>7238</v>
      </c>
      <c r="F849" s="1" t="s">
        <v>8053</v>
      </c>
      <c r="G849" s="1" t="s">
        <v>14129</v>
      </c>
      <c r="H849" s="1" t="s">
        <v>14532</v>
      </c>
      <c r="I849" s="1" t="s">
        <v>14963</v>
      </c>
      <c r="J849" s="1" t="s">
        <v>23</v>
      </c>
      <c r="K849" s="1"/>
      <c r="L849" s="1" t="s">
        <v>7419</v>
      </c>
      <c r="M849" s="1" t="s">
        <v>7419</v>
      </c>
      <c r="N849" s="12" t="b">
        <f t="shared" si="65"/>
        <v>1</v>
      </c>
      <c r="O849" s="1" t="s">
        <v>8054</v>
      </c>
      <c r="P849" s="1" t="s">
        <v>8055</v>
      </c>
      <c r="Q849" s="1" t="s">
        <v>8056</v>
      </c>
      <c r="R849" s="1" t="s">
        <v>8057</v>
      </c>
      <c r="S849" s="1" t="s">
        <v>7424</v>
      </c>
      <c r="T849" s="1" t="s">
        <v>7425</v>
      </c>
      <c r="U849" s="1" t="s">
        <v>7426</v>
      </c>
      <c r="V849" s="13">
        <f>COUNTIF(L849:$M$1659,L849)</f>
        <v>2</v>
      </c>
      <c r="W849" s="1" t="s">
        <v>7427</v>
      </c>
      <c r="X849">
        <v>97.13</v>
      </c>
      <c r="Y849">
        <v>78.92</v>
      </c>
      <c r="Z849">
        <v>16.558935999999999</v>
      </c>
      <c r="AA849">
        <v>107.529976</v>
      </c>
      <c r="AB849">
        <v>18.2</v>
      </c>
      <c r="AC849">
        <v>16.554478</v>
      </c>
      <c r="AD849">
        <v>107.58055</v>
      </c>
      <c r="AE849" s="5">
        <f t="shared" si="66"/>
        <v>0.11838</v>
      </c>
      <c r="AF849" s="5">
        <f t="shared" si="67"/>
        <v>2.7299999999999998E-2</v>
      </c>
      <c r="AG849" s="1" t="str">
        <f>TRIM(LEFT(L849,FIND("-",L849)-1))</f>
        <v>Ring 7 TTCMKV Quảng Điền</v>
      </c>
      <c r="AH849" s="1" t="str">
        <f>TRIM(RIGHT(L849, LEN(L849) - FIND("-", L849)))</f>
        <v>Hóa Châu</v>
      </c>
      <c r="AJ849">
        <f t="shared" si="68"/>
        <v>7.8920000000000004E-2</v>
      </c>
      <c r="AK849">
        <f t="shared" si="69"/>
        <v>1.8200000000000001E-2</v>
      </c>
      <c r="AL849" t="e">
        <f>VLOOKUP(L849,'[1]Tuyến cáp H04'!$B:$E,3,0)/1000</f>
        <v>#N/A</v>
      </c>
      <c r="AM849" t="e">
        <f>VLOOKUP(L849,'[1]Tuyến cáp H04'!$B:$E,4,0)</f>
        <v>#N/A</v>
      </c>
    </row>
    <row r="850" spans="1:39" x14ac:dyDescent="0.25">
      <c r="A850" s="1" t="s">
        <v>8058</v>
      </c>
      <c r="B850" s="1" t="s">
        <v>8059</v>
      </c>
      <c r="C850" s="1" t="s">
        <v>8060</v>
      </c>
      <c r="D850" s="1" t="s">
        <v>8061</v>
      </c>
      <c r="E850" s="1" t="s">
        <v>8062</v>
      </c>
      <c r="F850" s="1" t="s">
        <v>8063</v>
      </c>
      <c r="G850" s="1" t="s">
        <v>14129</v>
      </c>
      <c r="H850" s="1" t="s">
        <v>14130</v>
      </c>
      <c r="I850" s="1" t="s">
        <v>14964</v>
      </c>
      <c r="J850" s="1" t="s">
        <v>23</v>
      </c>
      <c r="K850" s="1"/>
      <c r="L850" s="1" t="s">
        <v>8064</v>
      </c>
      <c r="M850" s="1" t="s">
        <v>8064</v>
      </c>
      <c r="N850" s="12" t="b">
        <f t="shared" si="65"/>
        <v>1</v>
      </c>
      <c r="O850" s="1" t="s">
        <v>8065</v>
      </c>
      <c r="P850" s="1" t="s">
        <v>8066</v>
      </c>
      <c r="Q850" s="1" t="s">
        <v>8067</v>
      </c>
      <c r="R850" s="1" t="s">
        <v>8068</v>
      </c>
      <c r="S850" s="1" t="s">
        <v>8069</v>
      </c>
      <c r="T850" s="1" t="s">
        <v>8070</v>
      </c>
      <c r="U850" s="1" t="s">
        <v>8071</v>
      </c>
      <c r="V850" s="13">
        <f>COUNTIF(L850:$M$1659,L850)</f>
        <v>10</v>
      </c>
      <c r="W850" s="1" t="s">
        <v>8072</v>
      </c>
      <c r="X850">
        <v>2472.34</v>
      </c>
      <c r="Y850">
        <v>2321.14</v>
      </c>
      <c r="Z850">
        <v>13.021641000000001</v>
      </c>
      <c r="AA850">
        <v>109.280637</v>
      </c>
      <c r="AB850">
        <v>151.21</v>
      </c>
      <c r="AC850">
        <v>12.983107</v>
      </c>
      <c r="AD850">
        <v>109.095792</v>
      </c>
      <c r="AE850" s="5">
        <f t="shared" si="66"/>
        <v>3.4817100000000001</v>
      </c>
      <c r="AF850" s="5">
        <f t="shared" si="67"/>
        <v>0.22681499999999999</v>
      </c>
      <c r="AG850" s="1" t="str">
        <f>TRIM(LEFT(L850,FIND("-",L850)-1))</f>
        <v>ILA Sơn Thành</v>
      </c>
      <c r="AH850" s="1" t="str">
        <f>TRIM(RIGHT(L850, LEN(L850) - FIND("-", L850)))</f>
        <v>TT2 Đăk Lăk (Tuy Hòa)</v>
      </c>
      <c r="AJ850">
        <f t="shared" si="68"/>
        <v>2.3211399999999998</v>
      </c>
      <c r="AK850">
        <f t="shared" si="69"/>
        <v>0.15121000000000001</v>
      </c>
      <c r="AL850" t="e">
        <f>VLOOKUP(L850,'[1]Tuyến cáp H04'!$B:$E,3,0)/1000</f>
        <v>#N/A</v>
      </c>
      <c r="AM850" t="e">
        <f>VLOOKUP(L850,'[1]Tuyến cáp H04'!$B:$E,4,0)</f>
        <v>#N/A</v>
      </c>
    </row>
    <row r="851" spans="1:39" x14ac:dyDescent="0.25">
      <c r="A851" s="1" t="s">
        <v>8073</v>
      </c>
      <c r="B851" s="1" t="s">
        <v>8061</v>
      </c>
      <c r="C851" s="1" t="s">
        <v>8062</v>
      </c>
      <c r="D851" s="1" t="s">
        <v>8074</v>
      </c>
      <c r="E851" s="1" t="s">
        <v>8075</v>
      </c>
      <c r="F851" s="1" t="s">
        <v>8076</v>
      </c>
      <c r="G851" s="1" t="s">
        <v>14129</v>
      </c>
      <c r="H851" s="1" t="s">
        <v>14130</v>
      </c>
      <c r="I851" s="1" t="s">
        <v>14965</v>
      </c>
      <c r="J851" s="1" t="s">
        <v>23</v>
      </c>
      <c r="K851" s="1"/>
      <c r="L851" s="1" t="s">
        <v>8064</v>
      </c>
      <c r="M851" s="1" t="s">
        <v>8064</v>
      </c>
      <c r="N851" s="12" t="b">
        <f t="shared" si="65"/>
        <v>1</v>
      </c>
      <c r="O851" s="1" t="s">
        <v>8077</v>
      </c>
      <c r="P851" s="1" t="s">
        <v>8069</v>
      </c>
      <c r="Q851" s="1" t="s">
        <v>8070</v>
      </c>
      <c r="R851" s="1" t="s">
        <v>8071</v>
      </c>
      <c r="S851" s="1" t="s">
        <v>8078</v>
      </c>
      <c r="T851" s="1" t="s">
        <v>8067</v>
      </c>
      <c r="U851" s="1" t="s">
        <v>8068</v>
      </c>
      <c r="V851" s="13">
        <f>COUNTIF(L851:$M$1659,L851)</f>
        <v>8</v>
      </c>
      <c r="W851" s="1" t="s">
        <v>8072</v>
      </c>
      <c r="X851">
        <v>8389.08</v>
      </c>
      <c r="Y851">
        <v>151.21</v>
      </c>
      <c r="Z851">
        <v>12.983107</v>
      </c>
      <c r="AA851">
        <v>109.095792</v>
      </c>
      <c r="AB851">
        <v>8237.8700000000008</v>
      </c>
      <c r="AC851">
        <v>13.021641000000001</v>
      </c>
      <c r="AD851">
        <v>109.280637</v>
      </c>
      <c r="AE851" s="5">
        <f t="shared" si="66"/>
        <v>0.22681499999999999</v>
      </c>
      <c r="AF851" s="5">
        <f t="shared" si="67"/>
        <v>12.356805</v>
      </c>
      <c r="AG851" s="1" t="str">
        <f>TRIM(LEFT(L851,FIND("-",L851)-1))</f>
        <v>ILA Sơn Thành</v>
      </c>
      <c r="AH851" s="1" t="str">
        <f>TRIM(RIGHT(L851, LEN(L851) - FIND("-", L851)))</f>
        <v>TT2 Đăk Lăk (Tuy Hòa)</v>
      </c>
      <c r="AJ851">
        <f t="shared" si="68"/>
        <v>0.15121000000000001</v>
      </c>
      <c r="AK851">
        <f t="shared" si="69"/>
        <v>8.2378700000000009</v>
      </c>
      <c r="AL851" t="e">
        <f>VLOOKUP(L851,'[1]Tuyến cáp H04'!$B:$E,3,0)/1000</f>
        <v>#N/A</v>
      </c>
      <c r="AM851" t="e">
        <f>VLOOKUP(L851,'[1]Tuyến cáp H04'!$B:$E,4,0)</f>
        <v>#N/A</v>
      </c>
    </row>
    <row r="852" spans="1:39" x14ac:dyDescent="0.25">
      <c r="A852" s="1" t="s">
        <v>8079</v>
      </c>
      <c r="B852" s="1" t="s">
        <v>8080</v>
      </c>
      <c r="C852" s="1" t="s">
        <v>8081</v>
      </c>
      <c r="D852" s="1" t="s">
        <v>8082</v>
      </c>
      <c r="E852" s="1" t="s">
        <v>8083</v>
      </c>
      <c r="F852" s="1" t="s">
        <v>8084</v>
      </c>
      <c r="G852" s="1" t="s">
        <v>14129</v>
      </c>
      <c r="H852" s="1" t="s">
        <v>14130</v>
      </c>
      <c r="I852" s="1" t="s">
        <v>14966</v>
      </c>
      <c r="J852" s="1" t="s">
        <v>23</v>
      </c>
      <c r="K852" s="1"/>
      <c r="L852" s="1" t="s">
        <v>8085</v>
      </c>
      <c r="M852" s="1" t="s">
        <v>8085</v>
      </c>
      <c r="N852" s="12" t="b">
        <f t="shared" si="65"/>
        <v>1</v>
      </c>
      <c r="O852" s="1" t="s">
        <v>8086</v>
      </c>
      <c r="P852" s="1" t="s">
        <v>8087</v>
      </c>
      <c r="Q852" s="1" t="s">
        <v>8088</v>
      </c>
      <c r="R852" s="1" t="s">
        <v>8089</v>
      </c>
      <c r="S852" s="1" t="s">
        <v>8090</v>
      </c>
      <c r="T852" s="1" t="s">
        <v>8091</v>
      </c>
      <c r="U852" s="1" t="s">
        <v>8092</v>
      </c>
      <c r="V852" s="13">
        <f>COUNTIF(L852:$M$1659,L852)</f>
        <v>4</v>
      </c>
      <c r="W852" s="1" t="s">
        <v>8093</v>
      </c>
      <c r="X852">
        <v>1023.35</v>
      </c>
      <c r="Y852">
        <v>196.77</v>
      </c>
      <c r="Z852">
        <v>13.064997</v>
      </c>
      <c r="AA852">
        <v>109.02645800000001</v>
      </c>
      <c r="AB852">
        <v>826.58</v>
      </c>
      <c r="AC852">
        <v>13.017182999999999</v>
      </c>
      <c r="AD852">
        <v>109.202381</v>
      </c>
      <c r="AE852" s="5">
        <f t="shared" si="66"/>
        <v>0.29515500000000006</v>
      </c>
      <c r="AF852" s="5">
        <f t="shared" si="67"/>
        <v>1.23987</v>
      </c>
      <c r="AG852" s="1" t="str">
        <f>TRIM(LEFT(L852,FIND("-",L852)-1))</f>
        <v>ILA Sông Hinh</v>
      </c>
      <c r="AH852" s="1" t="str">
        <f>TRIM(RIGHT(L852, LEN(L852) - FIND("-", L852)))</f>
        <v>TT2 Đăk Lăk (Tuy Hòa)</v>
      </c>
      <c r="AJ852">
        <f t="shared" si="68"/>
        <v>0.19677</v>
      </c>
      <c r="AK852">
        <f t="shared" si="69"/>
        <v>0.82658000000000009</v>
      </c>
      <c r="AL852" t="e">
        <f>VLOOKUP(L852,'[1]Tuyến cáp H04'!$B:$E,3,0)/1000</f>
        <v>#N/A</v>
      </c>
      <c r="AM852" t="e">
        <f>VLOOKUP(L852,'[1]Tuyến cáp H04'!$B:$E,4,0)</f>
        <v>#N/A</v>
      </c>
    </row>
    <row r="853" spans="1:39" x14ac:dyDescent="0.25">
      <c r="A853" s="1" t="s">
        <v>8094</v>
      </c>
      <c r="B853" s="1" t="s">
        <v>8082</v>
      </c>
      <c r="C853" s="1" t="s">
        <v>8083</v>
      </c>
      <c r="D853" s="1" t="s">
        <v>8074</v>
      </c>
      <c r="E853" s="1" t="s">
        <v>8075</v>
      </c>
      <c r="F853" s="1" t="s">
        <v>8095</v>
      </c>
      <c r="G853" s="1" t="s">
        <v>14129</v>
      </c>
      <c r="H853" s="1" t="s">
        <v>14130</v>
      </c>
      <c r="I853" s="1" t="s">
        <v>14967</v>
      </c>
      <c r="J853" s="1" t="s">
        <v>23</v>
      </c>
      <c r="K853" s="1"/>
      <c r="L853" s="1" t="s">
        <v>8096</v>
      </c>
      <c r="M853" s="1" t="s">
        <v>8096</v>
      </c>
      <c r="N853" s="12" t="b">
        <f t="shared" si="65"/>
        <v>1</v>
      </c>
      <c r="O853" s="1" t="s">
        <v>8097</v>
      </c>
      <c r="P853" s="1" t="s">
        <v>8098</v>
      </c>
      <c r="Q853" s="1" t="s">
        <v>8099</v>
      </c>
      <c r="R853" s="1" t="s">
        <v>8100</v>
      </c>
      <c r="S853" s="1" t="s">
        <v>8101</v>
      </c>
      <c r="T853" s="1" t="s">
        <v>8102</v>
      </c>
      <c r="U853" s="1" t="s">
        <v>8103</v>
      </c>
      <c r="V853" s="13">
        <f>COUNTIF(L853:$M$1659,L853)</f>
        <v>6</v>
      </c>
      <c r="W853" s="1" t="s">
        <v>8104</v>
      </c>
      <c r="X853">
        <v>5411.44</v>
      </c>
      <c r="Y853">
        <v>533.28</v>
      </c>
      <c r="Z853">
        <v>13.018408000000001</v>
      </c>
      <c r="AA853">
        <v>109.20801899999999</v>
      </c>
      <c r="AB853">
        <v>4878.16</v>
      </c>
      <c r="AC853">
        <v>13.063355</v>
      </c>
      <c r="AD853">
        <v>109.26153100000001</v>
      </c>
      <c r="AE853" s="5">
        <f t="shared" si="66"/>
        <v>0.79991999999999996</v>
      </c>
      <c r="AF853" s="5">
        <f t="shared" si="67"/>
        <v>7.31724</v>
      </c>
      <c r="AG853" s="1" t="str">
        <f>TRIM(LEFT(L853,FIND("-",L853)-1))</f>
        <v>Tuy Hòa</v>
      </c>
      <c r="AH853" s="1" t="str">
        <f>TRIM(RIGHT(L853, LEN(L853) - FIND("-", L853)))</f>
        <v>Sơn Hòa</v>
      </c>
      <c r="AJ853">
        <f t="shared" si="68"/>
        <v>0.53327999999999998</v>
      </c>
      <c r="AK853">
        <f t="shared" si="69"/>
        <v>4.8781600000000003</v>
      </c>
      <c r="AL853">
        <f>VLOOKUP(L853,'[1]Tuyến cáp H04'!$B:$E,3,0)/1000</f>
        <v>46.665999999999997</v>
      </c>
      <c r="AM853" t="str">
        <f>VLOOKUP(L853,'[1]Tuyến cáp H04'!$B:$E,4,0)</f>
        <v>Mạng cấp 3</v>
      </c>
    </row>
    <row r="854" spans="1:39" x14ac:dyDescent="0.25">
      <c r="A854" s="1" t="s">
        <v>8105</v>
      </c>
      <c r="B854" s="1" t="s">
        <v>8106</v>
      </c>
      <c r="C854" s="1" t="s">
        <v>8107</v>
      </c>
      <c r="D854" s="1" t="s">
        <v>8108</v>
      </c>
      <c r="E854" s="1" t="s">
        <v>8109</v>
      </c>
      <c r="F854" s="1" t="s">
        <v>8110</v>
      </c>
      <c r="G854" s="1" t="s">
        <v>14129</v>
      </c>
      <c r="H854" s="1" t="s">
        <v>14130</v>
      </c>
      <c r="I854" s="1" t="s">
        <v>14968</v>
      </c>
      <c r="J854" s="1" t="s">
        <v>23</v>
      </c>
      <c r="K854" s="1"/>
      <c r="L854" s="1" t="s">
        <v>8111</v>
      </c>
      <c r="M854" s="1" t="s">
        <v>8111</v>
      </c>
      <c r="N854" s="12" t="b">
        <f t="shared" si="65"/>
        <v>1</v>
      </c>
      <c r="O854" s="1" t="s">
        <v>8112</v>
      </c>
      <c r="P854" s="1" t="s">
        <v>8113</v>
      </c>
      <c r="Q854" s="1" t="s">
        <v>8114</v>
      </c>
      <c r="R854" s="1" t="s">
        <v>8115</v>
      </c>
      <c r="S854" s="1" t="s">
        <v>8116</v>
      </c>
      <c r="T854" s="1" t="s">
        <v>8117</v>
      </c>
      <c r="U854" s="1" t="s">
        <v>8118</v>
      </c>
      <c r="V854" s="13">
        <f>COUNTIF(L854:$M$1659,L854)</f>
        <v>22</v>
      </c>
      <c r="W854" s="1" t="s">
        <v>8119</v>
      </c>
      <c r="X854">
        <v>367.94</v>
      </c>
      <c r="Y854">
        <v>234.35</v>
      </c>
      <c r="Z854">
        <v>13.203866</v>
      </c>
      <c r="AA854">
        <v>109.269097</v>
      </c>
      <c r="AB854">
        <v>133.6</v>
      </c>
      <c r="AC854">
        <v>13.308895</v>
      </c>
      <c r="AD854">
        <v>109.214591</v>
      </c>
      <c r="AE854" s="5">
        <f t="shared" si="66"/>
        <v>0.35152499999999998</v>
      </c>
      <c r="AF854" s="5">
        <f t="shared" si="67"/>
        <v>0.20039999999999997</v>
      </c>
      <c r="AG854" s="1" t="str">
        <f>TRIM(LEFT(L854,FIND("-",L854)-1))</f>
        <v>Sông Cầu</v>
      </c>
      <c r="AH854" s="1" t="str">
        <f>TRIM(RIGHT(L854, LEN(L854) - FIND("-", L854)))</f>
        <v>TT2 Tuy Hòa</v>
      </c>
      <c r="AJ854">
        <f t="shared" si="68"/>
        <v>0.23435</v>
      </c>
      <c r="AK854">
        <f t="shared" si="69"/>
        <v>0.1336</v>
      </c>
      <c r="AL854">
        <f>VLOOKUP(L854,'[1]Tuyến cáp H04'!$B:$E,3,0)/1000</f>
        <v>48.265999999999998</v>
      </c>
      <c r="AM854" t="str">
        <f>VLOOKUP(L854,'[1]Tuyến cáp H04'!$B:$E,4,0)</f>
        <v>Mạng cấp 3</v>
      </c>
    </row>
    <row r="855" spans="1:39" x14ac:dyDescent="0.25">
      <c r="A855" s="1" t="s">
        <v>8120</v>
      </c>
      <c r="B855" s="1" t="s">
        <v>8108</v>
      </c>
      <c r="C855" s="1" t="s">
        <v>8109</v>
      </c>
      <c r="D855" s="1" t="s">
        <v>8121</v>
      </c>
      <c r="E855" s="1" t="s">
        <v>8122</v>
      </c>
      <c r="F855" s="1" t="s">
        <v>8123</v>
      </c>
      <c r="G855" s="1" t="s">
        <v>14129</v>
      </c>
      <c r="H855" s="1" t="s">
        <v>14130</v>
      </c>
      <c r="I855" s="1" t="s">
        <v>14969</v>
      </c>
      <c r="J855" s="1" t="s">
        <v>23</v>
      </c>
      <c r="K855" s="1"/>
      <c r="L855" s="1" t="s">
        <v>8124</v>
      </c>
      <c r="M855" s="1" t="s">
        <v>8124</v>
      </c>
      <c r="N855" s="12" t="b">
        <f t="shared" si="65"/>
        <v>1</v>
      </c>
      <c r="O855" s="1" t="s">
        <v>8125</v>
      </c>
      <c r="P855" s="1" t="s">
        <v>8126</v>
      </c>
      <c r="Q855" s="1" t="s">
        <v>8127</v>
      </c>
      <c r="R855" s="1" t="s">
        <v>8128</v>
      </c>
      <c r="S855" s="1" t="s">
        <v>8129</v>
      </c>
      <c r="T855" s="1" t="s">
        <v>8130</v>
      </c>
      <c r="U855" s="1" t="s">
        <v>8131</v>
      </c>
      <c r="V855" s="13">
        <f>COUNTIF(L855:$M$1659,L855)</f>
        <v>8</v>
      </c>
      <c r="W855" s="1" t="s">
        <v>8132</v>
      </c>
      <c r="X855">
        <v>3838.71</v>
      </c>
      <c r="Y855">
        <v>61.31</v>
      </c>
      <c r="Z855">
        <v>13.307845</v>
      </c>
      <c r="AA855">
        <v>109.215296</v>
      </c>
      <c r="AB855">
        <v>3777.4</v>
      </c>
      <c r="AC855">
        <v>13.366142</v>
      </c>
      <c r="AD855">
        <v>109.14108</v>
      </c>
      <c r="AE855" s="5">
        <f t="shared" si="66"/>
        <v>9.1965000000000005E-2</v>
      </c>
      <c r="AF855" s="5">
        <f t="shared" si="67"/>
        <v>5.6661000000000001</v>
      </c>
      <c r="AG855" s="1" t="str">
        <f>TRIM(LEFT(L855,FIND("-",L855)-1))</f>
        <v>Xuân Đài</v>
      </c>
      <c r="AH855" s="1" t="str">
        <f>TRIM(RIGHT(L855, LEN(L855) - FIND("-", L855)))</f>
        <v>Tuy An Bắc</v>
      </c>
      <c r="AJ855">
        <f t="shared" si="68"/>
        <v>6.1310000000000003E-2</v>
      </c>
      <c r="AK855">
        <f t="shared" si="69"/>
        <v>3.7774000000000001</v>
      </c>
      <c r="AL855" t="e">
        <f>VLOOKUP(L855,'[1]Tuyến cáp H04'!$B:$E,3,0)/1000</f>
        <v>#N/A</v>
      </c>
      <c r="AM855" t="e">
        <f>VLOOKUP(L855,'[1]Tuyến cáp H04'!$B:$E,4,0)</f>
        <v>#N/A</v>
      </c>
    </row>
    <row r="856" spans="1:39" x14ac:dyDescent="0.25">
      <c r="A856" s="1" t="s">
        <v>8133</v>
      </c>
      <c r="B856" s="1" t="s">
        <v>8121</v>
      </c>
      <c r="C856" s="1" t="s">
        <v>8122</v>
      </c>
      <c r="D856" s="1" t="s">
        <v>8134</v>
      </c>
      <c r="E856" s="1" t="s">
        <v>8135</v>
      </c>
      <c r="F856" s="1" t="s">
        <v>8136</v>
      </c>
      <c r="G856" s="1" t="s">
        <v>14129</v>
      </c>
      <c r="H856" s="1" t="s">
        <v>14130</v>
      </c>
      <c r="I856" s="1" t="s">
        <v>14970</v>
      </c>
      <c r="J856" s="1" t="s">
        <v>23</v>
      </c>
      <c r="K856" s="1"/>
      <c r="L856" s="1" t="s">
        <v>8137</v>
      </c>
      <c r="M856" s="1" t="s">
        <v>8137</v>
      </c>
      <c r="N856" s="12" t="b">
        <f t="shared" si="65"/>
        <v>1</v>
      </c>
      <c r="O856" s="1" t="s">
        <v>8138</v>
      </c>
      <c r="P856" s="1" t="s">
        <v>8139</v>
      </c>
      <c r="Q856" s="1" t="s">
        <v>8140</v>
      </c>
      <c r="R856" s="1" t="s">
        <v>8141</v>
      </c>
      <c r="S856" s="1" t="s">
        <v>8142</v>
      </c>
      <c r="T856" s="1" t="s">
        <v>8143</v>
      </c>
      <c r="U856" s="1" t="s">
        <v>8144</v>
      </c>
      <c r="V856" s="13">
        <f>COUNTIF(L856:$M$1659,L856)</f>
        <v>4</v>
      </c>
      <c r="W856" s="1" t="s">
        <v>8145</v>
      </c>
      <c r="X856">
        <v>12956.23</v>
      </c>
      <c r="Y856">
        <v>2136.63</v>
      </c>
      <c r="Z856">
        <v>13.361313000000001</v>
      </c>
      <c r="AA856">
        <v>109.097143</v>
      </c>
      <c r="AB856">
        <v>10819.6</v>
      </c>
      <c r="AC856">
        <v>13.301634999999999</v>
      </c>
      <c r="AD856">
        <v>109.07319</v>
      </c>
      <c r="AE856" s="5">
        <f t="shared" si="66"/>
        <v>3.2049450000000004</v>
      </c>
      <c r="AF856" s="5">
        <f t="shared" si="67"/>
        <v>16.229400000000002</v>
      </c>
      <c r="AG856" s="1" t="str">
        <f>TRIM(LEFT(L856,FIND("-",L856)-1))</f>
        <v>CAX Sơn Định (Sơn Hòa)</v>
      </c>
      <c r="AH856" s="1" t="str">
        <f>TRIM(RIGHT(L856, LEN(L856) - FIND("-", L856)))</f>
        <v>Đồng Xuân</v>
      </c>
      <c r="AJ856">
        <f t="shared" si="68"/>
        <v>2.1366300000000003</v>
      </c>
      <c r="AK856">
        <f t="shared" si="69"/>
        <v>10.819600000000001</v>
      </c>
      <c r="AL856">
        <f>VLOOKUP(L856,'[1]Tuyến cáp H04'!$B:$E,3,0)/1000</f>
        <v>26.63</v>
      </c>
      <c r="AM856" t="str">
        <f>VLOOKUP(L856,'[1]Tuyến cáp H04'!$B:$E,4,0)</f>
        <v>Mạng cấp 3</v>
      </c>
    </row>
    <row r="857" spans="1:39" x14ac:dyDescent="0.25">
      <c r="A857" s="1" t="s">
        <v>8146</v>
      </c>
      <c r="B857" s="1" t="s">
        <v>8134</v>
      </c>
      <c r="C857" s="1" t="s">
        <v>8135</v>
      </c>
      <c r="D857" s="1" t="s">
        <v>8074</v>
      </c>
      <c r="E857" s="1" t="s">
        <v>8075</v>
      </c>
      <c r="F857" s="1" t="s">
        <v>8147</v>
      </c>
      <c r="G857" s="1" t="s">
        <v>14129</v>
      </c>
      <c r="H857" s="1" t="s">
        <v>14130</v>
      </c>
      <c r="I857" s="1" t="s">
        <v>14971</v>
      </c>
      <c r="J857" s="1" t="s">
        <v>23</v>
      </c>
      <c r="K857" s="1"/>
      <c r="L857" s="1" t="s">
        <v>8148</v>
      </c>
      <c r="M857" s="1" t="s">
        <v>8148</v>
      </c>
      <c r="N857" s="12" t="b">
        <f t="shared" si="65"/>
        <v>1</v>
      </c>
      <c r="O857" s="1" t="s">
        <v>8149</v>
      </c>
      <c r="P857" s="1" t="s">
        <v>8150</v>
      </c>
      <c r="Q857" s="1" t="s">
        <v>8151</v>
      </c>
      <c r="R857" s="1" t="s">
        <v>8152</v>
      </c>
      <c r="S857" s="1" t="s">
        <v>8153</v>
      </c>
      <c r="T857" s="1" t="s">
        <v>8154</v>
      </c>
      <c r="U857" s="1" t="s">
        <v>8155</v>
      </c>
      <c r="V857" s="13">
        <f>COUNTIF(L857:$M$1659,L857)</f>
        <v>6</v>
      </c>
      <c r="W857" s="1" t="s">
        <v>8156</v>
      </c>
      <c r="X857">
        <v>19263.05</v>
      </c>
      <c r="Y857">
        <v>98.5</v>
      </c>
      <c r="Z857">
        <v>13.20501</v>
      </c>
      <c r="AA857">
        <v>109.064284</v>
      </c>
      <c r="AB857">
        <v>19164.55</v>
      </c>
      <c r="AC857">
        <v>13.163214</v>
      </c>
      <c r="AD857">
        <v>109.13059</v>
      </c>
      <c r="AE857" s="5">
        <f t="shared" si="66"/>
        <v>0.14774999999999999</v>
      </c>
      <c r="AF857" s="5">
        <f t="shared" si="67"/>
        <v>28.746824999999998</v>
      </c>
      <c r="AG857" s="1" t="str">
        <f>TRIM(LEFT(L857,FIND("-",L857)-1))</f>
        <v>Xuân Phước</v>
      </c>
      <c r="AH857" s="1" t="str">
        <f>TRIM(RIGHT(L857, LEN(L857) - FIND("-", L857)))</f>
        <v>Vân Hòa</v>
      </c>
      <c r="AJ857">
        <f t="shared" si="68"/>
        <v>9.8500000000000004E-2</v>
      </c>
      <c r="AK857">
        <f t="shared" si="69"/>
        <v>19.164549999999998</v>
      </c>
      <c r="AL857">
        <f>VLOOKUP(L857,'[1]Tuyến cáp H04'!$B:$E,3,0)/1000</f>
        <v>29.954000000000001</v>
      </c>
      <c r="AM857" t="str">
        <f>VLOOKUP(L857,'[1]Tuyến cáp H04'!$B:$E,4,0)</f>
        <v>Mạng cấp 4</v>
      </c>
    </row>
    <row r="858" spans="1:39" x14ac:dyDescent="0.25">
      <c r="A858" s="1" t="s">
        <v>8157</v>
      </c>
      <c r="B858" s="1" t="s">
        <v>8158</v>
      </c>
      <c r="C858" s="1" t="s">
        <v>8159</v>
      </c>
      <c r="D858" s="1" t="s">
        <v>8160</v>
      </c>
      <c r="E858" s="1" t="s">
        <v>8161</v>
      </c>
      <c r="F858" s="1" t="s">
        <v>8162</v>
      </c>
      <c r="G858" s="1" t="s">
        <v>14129</v>
      </c>
      <c r="H858" s="1" t="s">
        <v>14130</v>
      </c>
      <c r="I858" s="1" t="s">
        <v>14972</v>
      </c>
      <c r="J858" s="1" t="s">
        <v>23</v>
      </c>
      <c r="K858" s="1"/>
      <c r="L858" s="1" t="s">
        <v>8163</v>
      </c>
      <c r="M858" s="1" t="s">
        <v>8163</v>
      </c>
      <c r="N858" s="12" t="b">
        <f t="shared" si="65"/>
        <v>1</v>
      </c>
      <c r="O858" s="1" t="s">
        <v>8164</v>
      </c>
      <c r="P858" s="1" t="s">
        <v>8165</v>
      </c>
      <c r="Q858" s="1" t="s">
        <v>8166</v>
      </c>
      <c r="R858" s="1" t="s">
        <v>8167</v>
      </c>
      <c r="S858" s="1" t="s">
        <v>8168</v>
      </c>
      <c r="T858" s="1" t="s">
        <v>8169</v>
      </c>
      <c r="U858" s="1" t="s">
        <v>8170</v>
      </c>
      <c r="V858" s="13">
        <f>COUNTIF(L858:$M$1659,L858)</f>
        <v>16</v>
      </c>
      <c r="W858" s="1" t="s">
        <v>8171</v>
      </c>
      <c r="X858">
        <v>322.97000000000003</v>
      </c>
      <c r="Y858">
        <v>220.97</v>
      </c>
      <c r="Z858">
        <v>12.976203999999999</v>
      </c>
      <c r="AA858">
        <v>108.24108099999999</v>
      </c>
      <c r="AB858">
        <v>102</v>
      </c>
      <c r="AC858">
        <v>12.970822</v>
      </c>
      <c r="AD858">
        <v>108.244495</v>
      </c>
      <c r="AE858" s="5">
        <f t="shared" si="66"/>
        <v>0.331455</v>
      </c>
      <c r="AF858" s="5">
        <f t="shared" si="67"/>
        <v>0.153</v>
      </c>
      <c r="AG858" s="1" t="str">
        <f>TRIM(LEFT(L858,FIND("-",L858)-1))</f>
        <v>Buôn Hồ</v>
      </c>
      <c r="AH858" s="1" t="str">
        <f>TRIM(RIGHT(L858, LEN(L858) - FIND("-", L858)))</f>
        <v>Ea H'Leo</v>
      </c>
      <c r="AJ858">
        <f t="shared" si="68"/>
        <v>0.22097</v>
      </c>
      <c r="AK858">
        <f t="shared" si="69"/>
        <v>0.10199999999999999</v>
      </c>
      <c r="AL858">
        <f>VLOOKUP(L858,'[1]Tuyến cáp H04'!$B:$E,3,0)/1000</f>
        <v>36.590000000000003</v>
      </c>
      <c r="AM858" t="str">
        <f>VLOOKUP(L858,'[1]Tuyến cáp H04'!$B:$E,4,0)</f>
        <v>Mạng cấp 3</v>
      </c>
    </row>
    <row r="859" spans="1:39" x14ac:dyDescent="0.25">
      <c r="A859" s="1" t="s">
        <v>8172</v>
      </c>
      <c r="B859" s="1" t="s">
        <v>8173</v>
      </c>
      <c r="C859" s="1" t="s">
        <v>8174</v>
      </c>
      <c r="D859" s="1" t="s">
        <v>8175</v>
      </c>
      <c r="E859" s="1" t="s">
        <v>8176</v>
      </c>
      <c r="F859" s="1" t="s">
        <v>8177</v>
      </c>
      <c r="G859" s="1" t="s">
        <v>14129</v>
      </c>
      <c r="H859" s="1" t="s">
        <v>14130</v>
      </c>
      <c r="I859" s="1" t="s">
        <v>14973</v>
      </c>
      <c r="J859" s="1" t="s">
        <v>23</v>
      </c>
      <c r="K859" s="1"/>
      <c r="L859" s="1" t="s">
        <v>8178</v>
      </c>
      <c r="M859" s="1" t="s">
        <v>8178</v>
      </c>
      <c r="N859" s="12" t="b">
        <f t="shared" si="65"/>
        <v>1</v>
      </c>
      <c r="O859" s="1" t="s">
        <v>8179</v>
      </c>
      <c r="P859" s="1" t="s">
        <v>8180</v>
      </c>
      <c r="Q859" s="1" t="s">
        <v>8181</v>
      </c>
      <c r="R859" s="1" t="s">
        <v>8182</v>
      </c>
      <c r="S859" s="1" t="s">
        <v>8183</v>
      </c>
      <c r="T859" s="1" t="s">
        <v>8184</v>
      </c>
      <c r="U859" s="1" t="s">
        <v>8185</v>
      </c>
      <c r="V859" s="13">
        <f>COUNTIF(L859:$M$1659,L859)</f>
        <v>4</v>
      </c>
      <c r="W859" s="1" t="s">
        <v>8186</v>
      </c>
      <c r="X859">
        <v>2602.67</v>
      </c>
      <c r="Y859">
        <v>2478.59</v>
      </c>
      <c r="Z859">
        <v>12.651996</v>
      </c>
      <c r="AA859">
        <v>108.101606</v>
      </c>
      <c r="AB859">
        <v>124.09</v>
      </c>
      <c r="AC859">
        <v>12.653543000000001</v>
      </c>
      <c r="AD859">
        <v>108.107871</v>
      </c>
      <c r="AE859" s="5">
        <f t="shared" si="66"/>
        <v>3.7178850000000003</v>
      </c>
      <c r="AF859" s="5">
        <f t="shared" si="67"/>
        <v>0.18613499999999999</v>
      </c>
      <c r="AG859" s="1" t="str">
        <f>TRIM(LEFT(L859,FIND("-",L859)-1))</f>
        <v>CAT Đắk Lắk</v>
      </c>
      <c r="AH859" s="1" t="str">
        <f>TRIM(RIGHT(L859, LEN(L859) - FIND("-", L859)))</f>
        <v>Tân Lập</v>
      </c>
      <c r="AJ859">
        <f t="shared" si="68"/>
        <v>2.4785900000000001</v>
      </c>
      <c r="AK859">
        <f t="shared" si="69"/>
        <v>0.12409000000000001</v>
      </c>
      <c r="AL859">
        <f>VLOOKUP(L859,'[1]Tuyến cáp H04'!$B:$E,3,0)/1000</f>
        <v>12.103999999999999</v>
      </c>
      <c r="AM859" t="str">
        <f>VLOOKUP(L859,'[1]Tuyến cáp H04'!$B:$E,4,0)</f>
        <v>Mạng cấp 4</v>
      </c>
    </row>
    <row r="860" spans="1:39" x14ac:dyDescent="0.25">
      <c r="A860" s="1" t="s">
        <v>8187</v>
      </c>
      <c r="B860" s="1" t="s">
        <v>8188</v>
      </c>
      <c r="C860" s="1" t="s">
        <v>8189</v>
      </c>
      <c r="D860" s="1" t="s">
        <v>8190</v>
      </c>
      <c r="E860" s="1" t="s">
        <v>8191</v>
      </c>
      <c r="F860" s="1" t="s">
        <v>8192</v>
      </c>
      <c r="G860" s="1" t="s">
        <v>14129</v>
      </c>
      <c r="H860" s="1" t="s">
        <v>14130</v>
      </c>
      <c r="I860" s="1" t="s">
        <v>14974</v>
      </c>
      <c r="J860" s="1" t="s">
        <v>23</v>
      </c>
      <c r="K860" s="1"/>
      <c r="L860" s="1" t="s">
        <v>8193</v>
      </c>
      <c r="M860" s="1" t="s">
        <v>8193</v>
      </c>
      <c r="N860" s="12" t="b">
        <f t="shared" si="65"/>
        <v>1</v>
      </c>
      <c r="O860" s="1" t="s">
        <v>8194</v>
      </c>
      <c r="P860" s="1" t="s">
        <v>8195</v>
      </c>
      <c r="Q860" s="1" t="s">
        <v>8196</v>
      </c>
      <c r="R860" s="1" t="s">
        <v>8197</v>
      </c>
      <c r="S860" s="1" t="s">
        <v>8198</v>
      </c>
      <c r="T860" s="1" t="s">
        <v>8199</v>
      </c>
      <c r="U860" s="1" t="s">
        <v>8200</v>
      </c>
      <c r="V860" s="13">
        <f>COUNTIF(L860:$M$1659,L860)</f>
        <v>2</v>
      </c>
      <c r="W860" s="1" t="s">
        <v>8201</v>
      </c>
      <c r="X860">
        <v>41.73</v>
      </c>
      <c r="Y860">
        <v>20.57</v>
      </c>
      <c r="Z860">
        <v>12.697198999999999</v>
      </c>
      <c r="AA860">
        <v>108.072289</v>
      </c>
      <c r="AB860">
        <v>21.17</v>
      </c>
      <c r="AC860">
        <v>12.696991000000001</v>
      </c>
      <c r="AD860">
        <v>108.072281</v>
      </c>
      <c r="AE860" s="5">
        <f t="shared" si="66"/>
        <v>3.0855E-2</v>
      </c>
      <c r="AF860" s="5">
        <f t="shared" si="67"/>
        <v>3.1755000000000005E-2</v>
      </c>
      <c r="AG860" s="1" t="str">
        <f>TRIM(LEFT(L860,FIND("-",L860)-1))</f>
        <v>Tân An</v>
      </c>
      <c r="AH860" s="1" t="str">
        <f>TRIM(RIGHT(L860, LEN(L860) - FIND("-", L860)))</f>
        <v>Cuôr Đăng</v>
      </c>
      <c r="AJ860">
        <f t="shared" si="68"/>
        <v>2.0570000000000001E-2</v>
      </c>
      <c r="AK860">
        <f t="shared" si="69"/>
        <v>2.1170000000000001E-2</v>
      </c>
      <c r="AL860">
        <f>VLOOKUP(L860,'[1]Tuyến cáp H04'!$B:$E,3,0)/1000</f>
        <v>13.172000000000001</v>
      </c>
      <c r="AM860" t="str">
        <f>VLOOKUP(L860,'[1]Tuyến cáp H04'!$B:$E,4,0)</f>
        <v>Mạng cấp 4</v>
      </c>
    </row>
    <row r="861" spans="1:39" x14ac:dyDescent="0.25">
      <c r="A861" s="1" t="s">
        <v>8202</v>
      </c>
      <c r="B861" s="1" t="s">
        <v>8203</v>
      </c>
      <c r="C861" s="1" t="s">
        <v>8204</v>
      </c>
      <c r="D861" s="1" t="s">
        <v>8175</v>
      </c>
      <c r="E861" s="1" t="s">
        <v>8176</v>
      </c>
      <c r="F861" s="1" t="s">
        <v>8205</v>
      </c>
      <c r="G861" s="1" t="s">
        <v>14129</v>
      </c>
      <c r="H861" s="1" t="s">
        <v>14130</v>
      </c>
      <c r="I861" s="1" t="s">
        <v>14975</v>
      </c>
      <c r="J861" s="1" t="s">
        <v>23</v>
      </c>
      <c r="K861" s="1"/>
      <c r="L861" s="1" t="s">
        <v>8206</v>
      </c>
      <c r="M861" s="1" t="s">
        <v>8206</v>
      </c>
      <c r="N861" s="12" t="b">
        <f t="shared" si="65"/>
        <v>1</v>
      </c>
      <c r="O861" s="1" t="s">
        <v>8207</v>
      </c>
      <c r="P861" s="1" t="s">
        <v>8208</v>
      </c>
      <c r="Q861" s="1" t="s">
        <v>8209</v>
      </c>
      <c r="R861" s="1" t="s">
        <v>8210</v>
      </c>
      <c r="S861" s="1" t="s">
        <v>8211</v>
      </c>
      <c r="T861" s="1" t="s">
        <v>8212</v>
      </c>
      <c r="U861" s="1" t="s">
        <v>8213</v>
      </c>
      <c r="V861" s="13">
        <f>COUNTIF(L861:$M$1659,L861)</f>
        <v>6</v>
      </c>
      <c r="W861" s="1" t="s">
        <v>8214</v>
      </c>
      <c r="X861">
        <v>446.98</v>
      </c>
      <c r="Y861">
        <v>328</v>
      </c>
      <c r="Z861">
        <v>12.668918</v>
      </c>
      <c r="AA861">
        <v>108.097835</v>
      </c>
      <c r="AB861">
        <v>118.99</v>
      </c>
      <c r="AC861">
        <v>12.655568000000001</v>
      </c>
      <c r="AD861">
        <v>108.107465</v>
      </c>
      <c r="AE861" s="5">
        <f t="shared" si="66"/>
        <v>0.49199999999999999</v>
      </c>
      <c r="AF861" s="5">
        <f t="shared" si="67"/>
        <v>0.17848499999999998</v>
      </c>
      <c r="AG861" s="1" t="str">
        <f>TRIM(LEFT(L861,FIND("-",L861)-1))</f>
        <v>Tân Lập</v>
      </c>
      <c r="AH861" s="1" t="str">
        <f>TRIM(RIGHT(L861, LEN(L861) - FIND("-", L861)))</f>
        <v>Ea Knuec</v>
      </c>
      <c r="AJ861">
        <f t="shared" si="68"/>
        <v>0.32800000000000001</v>
      </c>
      <c r="AK861">
        <f t="shared" si="69"/>
        <v>0.11899</v>
      </c>
      <c r="AL861" t="e">
        <f>VLOOKUP(L861,'[1]Tuyến cáp H04'!$B:$E,3,0)/1000</f>
        <v>#N/A</v>
      </c>
      <c r="AM861" t="e">
        <f>VLOOKUP(L861,'[1]Tuyến cáp H04'!$B:$E,4,0)</f>
        <v>#N/A</v>
      </c>
    </row>
    <row r="862" spans="1:39" x14ac:dyDescent="0.25">
      <c r="A862" s="1" t="s">
        <v>8215</v>
      </c>
      <c r="B862" s="1" t="s">
        <v>8216</v>
      </c>
      <c r="C862" s="1" t="s">
        <v>8217</v>
      </c>
      <c r="D862" s="1" t="s">
        <v>8218</v>
      </c>
      <c r="E862" s="1" t="s">
        <v>8219</v>
      </c>
      <c r="F862" s="1" t="s">
        <v>8220</v>
      </c>
      <c r="G862" s="1" t="s">
        <v>14129</v>
      </c>
      <c r="H862" s="1" t="s">
        <v>14130</v>
      </c>
      <c r="I862" s="1" t="s">
        <v>14976</v>
      </c>
      <c r="J862" s="1" t="s">
        <v>23</v>
      </c>
      <c r="K862" s="1"/>
      <c r="L862" s="1" t="s">
        <v>8221</v>
      </c>
      <c r="M862" s="1" t="s">
        <v>8221</v>
      </c>
      <c r="N862" s="12" t="b">
        <f t="shared" si="65"/>
        <v>1</v>
      </c>
      <c r="O862" s="1" t="s">
        <v>8222</v>
      </c>
      <c r="P862" s="1" t="s">
        <v>8223</v>
      </c>
      <c r="Q862" s="1" t="s">
        <v>8224</v>
      </c>
      <c r="R862" s="1" t="s">
        <v>8225</v>
      </c>
      <c r="S862" s="1" t="s">
        <v>8226</v>
      </c>
      <c r="T862" s="1" t="s">
        <v>8227</v>
      </c>
      <c r="U862" s="1" t="s">
        <v>8228</v>
      </c>
      <c r="V862" s="13">
        <f>COUNTIF(L862:$M$1659,L862)</f>
        <v>6</v>
      </c>
      <c r="W862" s="1" t="s">
        <v>8229</v>
      </c>
      <c r="X862">
        <v>2604.9299999999998</v>
      </c>
      <c r="Y862">
        <v>2332.11</v>
      </c>
      <c r="Z862">
        <v>13.132066</v>
      </c>
      <c r="AA862">
        <v>108.325123</v>
      </c>
      <c r="AB862">
        <v>272.81</v>
      </c>
      <c r="AC862">
        <v>13.118876999999999</v>
      </c>
      <c r="AD862">
        <v>108.329477</v>
      </c>
      <c r="AE862" s="5">
        <f t="shared" si="66"/>
        <v>3.4981649999999997</v>
      </c>
      <c r="AF862" s="5">
        <f t="shared" si="67"/>
        <v>0.40921500000000005</v>
      </c>
      <c r="AG862" s="1" t="e">
        <f>TRIM(LEFT(L862,FIND("-",L862)-1))</f>
        <v>#VALUE!</v>
      </c>
      <c r="AH862" s="1" t="e">
        <f>TRIM(RIGHT(L862, LEN(L862) - FIND("-", L862)))</f>
        <v>#VALUE!</v>
      </c>
      <c r="AJ862">
        <f t="shared" si="68"/>
        <v>2.3321100000000001</v>
      </c>
      <c r="AK862">
        <f t="shared" si="69"/>
        <v>0.27281</v>
      </c>
      <c r="AL862" t="e">
        <f>VLOOKUP(L862,'[1]Tuyến cáp H04'!$B:$E,3,0)/1000</f>
        <v>#N/A</v>
      </c>
      <c r="AM862" t="e">
        <f>VLOOKUP(L862,'[1]Tuyến cáp H04'!$B:$E,4,0)</f>
        <v>#N/A</v>
      </c>
    </row>
    <row r="863" spans="1:39" x14ac:dyDescent="0.25">
      <c r="A863" s="1" t="s">
        <v>8230</v>
      </c>
      <c r="B863" s="1" t="s">
        <v>8231</v>
      </c>
      <c r="C863" s="1" t="s">
        <v>8232</v>
      </c>
      <c r="D863" s="1" t="s">
        <v>8233</v>
      </c>
      <c r="E863" s="1" t="s">
        <v>8234</v>
      </c>
      <c r="F863" s="1" t="s">
        <v>8235</v>
      </c>
      <c r="G863" s="1" t="s">
        <v>14129</v>
      </c>
      <c r="H863" s="1" t="s">
        <v>14130</v>
      </c>
      <c r="I863" s="1" t="s">
        <v>14977</v>
      </c>
      <c r="J863" s="1" t="s">
        <v>23</v>
      </c>
      <c r="K863" s="1"/>
      <c r="L863" s="1" t="s">
        <v>8236</v>
      </c>
      <c r="M863" s="1" t="s">
        <v>8236</v>
      </c>
      <c r="N863" s="12" t="b">
        <f t="shared" si="65"/>
        <v>1</v>
      </c>
      <c r="O863" s="1" t="s">
        <v>8237</v>
      </c>
      <c r="P863" s="1" t="s">
        <v>8238</v>
      </c>
      <c r="Q863" s="1" t="s">
        <v>8239</v>
      </c>
      <c r="R863" s="1" t="s">
        <v>8240</v>
      </c>
      <c r="S863" s="1" t="s">
        <v>8241</v>
      </c>
      <c r="T863" s="1" t="s">
        <v>8242</v>
      </c>
      <c r="U863" s="1" t="s">
        <v>8243</v>
      </c>
      <c r="V863" s="13">
        <f>COUNTIF(L863:$M$1659,L863)</f>
        <v>6</v>
      </c>
      <c r="W863" s="1" t="s">
        <v>8244</v>
      </c>
      <c r="X863">
        <v>865.89</v>
      </c>
      <c r="Y863">
        <v>39.79</v>
      </c>
      <c r="Z863">
        <v>13.043096</v>
      </c>
      <c r="AA863">
        <v>108.193259</v>
      </c>
      <c r="AB863">
        <v>826.1</v>
      </c>
      <c r="AC863">
        <v>13.043447</v>
      </c>
      <c r="AD863">
        <v>108.212785</v>
      </c>
      <c r="AE863" s="5">
        <f t="shared" si="66"/>
        <v>5.9685000000000002E-2</v>
      </c>
      <c r="AF863" s="5">
        <f t="shared" si="67"/>
        <v>1.2391500000000002</v>
      </c>
      <c r="AG863" s="1" t="e">
        <f>TRIM(LEFT(L863,FIND("-",L863)-1))</f>
        <v>#VALUE!</v>
      </c>
      <c r="AH863" s="1" t="e">
        <f>TRIM(RIGHT(L863, LEN(L863) - FIND("-", L863)))</f>
        <v>#VALUE!</v>
      </c>
      <c r="AJ863">
        <f t="shared" si="68"/>
        <v>3.9789999999999999E-2</v>
      </c>
      <c r="AK863">
        <f t="shared" si="69"/>
        <v>0.82610000000000006</v>
      </c>
      <c r="AL863" t="e">
        <f>VLOOKUP(L863,'[1]Tuyến cáp H04'!$B:$E,3,0)/1000</f>
        <v>#N/A</v>
      </c>
      <c r="AM863" t="e">
        <f>VLOOKUP(L863,'[1]Tuyến cáp H04'!$B:$E,4,0)</f>
        <v>#N/A</v>
      </c>
    </row>
    <row r="864" spans="1:39" x14ac:dyDescent="0.25">
      <c r="A864" s="1" t="s">
        <v>8245</v>
      </c>
      <c r="B864" s="1" t="s">
        <v>8246</v>
      </c>
      <c r="C864" s="1" t="s">
        <v>8247</v>
      </c>
      <c r="D864" s="1" t="s">
        <v>8175</v>
      </c>
      <c r="E864" s="1" t="s">
        <v>8176</v>
      </c>
      <c r="F864" s="1" t="s">
        <v>8248</v>
      </c>
      <c r="G864" s="1" t="s">
        <v>14129</v>
      </c>
      <c r="H864" s="1" t="s">
        <v>14130</v>
      </c>
      <c r="I864" s="1" t="s">
        <v>14978</v>
      </c>
      <c r="J864" s="1" t="s">
        <v>23</v>
      </c>
      <c r="K864" s="1"/>
      <c r="L864" s="1" t="s">
        <v>8178</v>
      </c>
      <c r="M864" s="1" t="s">
        <v>8178</v>
      </c>
      <c r="N864" s="12" t="b">
        <f t="shared" si="65"/>
        <v>1</v>
      </c>
      <c r="O864" s="1" t="s">
        <v>8249</v>
      </c>
      <c r="P864" s="1" t="s">
        <v>8250</v>
      </c>
      <c r="Q864" s="1" t="s">
        <v>8251</v>
      </c>
      <c r="R864" s="1" t="s">
        <v>8252</v>
      </c>
      <c r="S864" s="1" t="s">
        <v>8253</v>
      </c>
      <c r="T864" s="1" t="s">
        <v>8254</v>
      </c>
      <c r="U864" s="1" t="s">
        <v>8255</v>
      </c>
      <c r="V864" s="13">
        <f>COUNTIF(L864:$M$1659,L864)</f>
        <v>2</v>
      </c>
      <c r="W864" s="1" t="s">
        <v>8256</v>
      </c>
      <c r="X864">
        <v>1653.43</v>
      </c>
      <c r="Y864">
        <v>1644.17</v>
      </c>
      <c r="Z864">
        <v>12.654529</v>
      </c>
      <c r="AA864">
        <v>108.10768899999999</v>
      </c>
      <c r="AB864">
        <v>9.25</v>
      </c>
      <c r="AC864">
        <v>12.654432999999999</v>
      </c>
      <c r="AD864">
        <v>108.107332</v>
      </c>
      <c r="AE864" s="5">
        <f t="shared" si="66"/>
        <v>2.4662550000000003</v>
      </c>
      <c r="AF864" s="5">
        <f t="shared" si="67"/>
        <v>1.3875E-2</v>
      </c>
      <c r="AG864" s="1" t="str">
        <f>TRIM(LEFT(L864,FIND("-",L864)-1))</f>
        <v>CAT Đắk Lắk</v>
      </c>
      <c r="AH864" s="1" t="str">
        <f>TRIM(RIGHT(L864, LEN(L864) - FIND("-", L864)))</f>
        <v>Tân Lập</v>
      </c>
      <c r="AJ864">
        <f t="shared" si="68"/>
        <v>1.6441700000000001</v>
      </c>
      <c r="AK864">
        <f t="shared" si="69"/>
        <v>9.2499999999999995E-3</v>
      </c>
      <c r="AL864">
        <f>VLOOKUP(L864,'[1]Tuyến cáp H04'!$B:$E,3,0)/1000</f>
        <v>12.103999999999999</v>
      </c>
      <c r="AM864" t="str">
        <f>VLOOKUP(L864,'[1]Tuyến cáp H04'!$B:$E,4,0)</f>
        <v>Mạng cấp 4</v>
      </c>
    </row>
    <row r="865" spans="1:39" x14ac:dyDescent="0.25">
      <c r="A865" s="1" t="s">
        <v>8257</v>
      </c>
      <c r="B865" s="1" t="s">
        <v>8258</v>
      </c>
      <c r="C865" s="1" t="s">
        <v>8259</v>
      </c>
      <c r="D865" s="1" t="s">
        <v>8260</v>
      </c>
      <c r="E865" s="1" t="s">
        <v>8261</v>
      </c>
      <c r="F865" s="1" t="s">
        <v>8262</v>
      </c>
      <c r="G865" s="1" t="s">
        <v>14129</v>
      </c>
      <c r="H865" s="1" t="s">
        <v>14130</v>
      </c>
      <c r="I865" s="1" t="s">
        <v>14979</v>
      </c>
      <c r="J865" s="1" t="s">
        <v>23</v>
      </c>
      <c r="K865" s="1"/>
      <c r="L865" s="1" t="s">
        <v>8263</v>
      </c>
      <c r="M865" s="1" t="s">
        <v>8263</v>
      </c>
      <c r="N865" s="12" t="b">
        <f t="shared" si="65"/>
        <v>1</v>
      </c>
      <c r="O865" s="1" t="s">
        <v>8264</v>
      </c>
      <c r="P865" s="1" t="s">
        <v>8265</v>
      </c>
      <c r="Q865" s="1" t="s">
        <v>8266</v>
      </c>
      <c r="R865" s="1" t="s">
        <v>8267</v>
      </c>
      <c r="S865" s="1" t="s">
        <v>8268</v>
      </c>
      <c r="T865" s="1" t="s">
        <v>8269</v>
      </c>
      <c r="U865" s="1" t="s">
        <v>8270</v>
      </c>
      <c r="V865" s="13">
        <f>COUNTIF(L865:$M$1659,L865)</f>
        <v>8</v>
      </c>
      <c r="W865" s="1" t="s">
        <v>8271</v>
      </c>
      <c r="X865">
        <v>118.57</v>
      </c>
      <c r="Y865">
        <v>82.58</v>
      </c>
      <c r="Z865">
        <v>12.951738000000001</v>
      </c>
      <c r="AA865">
        <v>108.34278399999999</v>
      </c>
      <c r="AB865">
        <v>35.99</v>
      </c>
      <c r="AC865">
        <v>12.951675</v>
      </c>
      <c r="AD865">
        <v>108.344356</v>
      </c>
      <c r="AE865" s="5">
        <f t="shared" si="66"/>
        <v>0.12387000000000001</v>
      </c>
      <c r="AF865" s="5">
        <f t="shared" si="67"/>
        <v>5.3984999999999998E-2</v>
      </c>
      <c r="AG865" s="1" t="e">
        <f>TRIM(LEFT(L865,FIND("-",L865)-1))</f>
        <v>#VALUE!</v>
      </c>
      <c r="AH865" s="1" t="e">
        <f>TRIM(RIGHT(L865, LEN(L865) - FIND("-", L865)))</f>
        <v>#VALUE!</v>
      </c>
      <c r="AJ865">
        <f t="shared" si="68"/>
        <v>8.2580000000000001E-2</v>
      </c>
      <c r="AK865">
        <f t="shared" si="69"/>
        <v>3.5990000000000001E-2</v>
      </c>
      <c r="AL865" t="e">
        <f>VLOOKUP(L865,'[1]Tuyến cáp H04'!$B:$E,3,0)/1000</f>
        <v>#N/A</v>
      </c>
      <c r="AM865" t="e">
        <f>VLOOKUP(L865,'[1]Tuyến cáp H04'!$B:$E,4,0)</f>
        <v>#N/A</v>
      </c>
    </row>
    <row r="866" spans="1:39" x14ac:dyDescent="0.25">
      <c r="A866" s="1" t="s">
        <v>8272</v>
      </c>
      <c r="B866" s="1" t="s">
        <v>8273</v>
      </c>
      <c r="C866" s="1" t="s">
        <v>8274</v>
      </c>
      <c r="D866" s="1" t="s">
        <v>8275</v>
      </c>
      <c r="E866" s="1" t="s">
        <v>8276</v>
      </c>
      <c r="F866" s="1" t="s">
        <v>8277</v>
      </c>
      <c r="G866" s="1" t="s">
        <v>14129</v>
      </c>
      <c r="H866" s="1" t="s">
        <v>14130</v>
      </c>
      <c r="I866" s="1" t="s">
        <v>14980</v>
      </c>
      <c r="J866" s="1" t="s">
        <v>23</v>
      </c>
      <c r="K866" s="1"/>
      <c r="L866" s="1" t="s">
        <v>8278</v>
      </c>
      <c r="M866" s="1" t="s">
        <v>8278</v>
      </c>
      <c r="N866" s="12" t="b">
        <f t="shared" si="65"/>
        <v>1</v>
      </c>
      <c r="O866" s="1" t="s">
        <v>8279</v>
      </c>
      <c r="P866" s="1" t="s">
        <v>8280</v>
      </c>
      <c r="Q866" s="1" t="s">
        <v>8281</v>
      </c>
      <c r="R866" s="1" t="s">
        <v>8282</v>
      </c>
      <c r="S866" s="1" t="s">
        <v>8283</v>
      </c>
      <c r="T866" s="1" t="s">
        <v>8284</v>
      </c>
      <c r="U866" s="1" t="s">
        <v>8285</v>
      </c>
      <c r="V866" s="13">
        <f>COUNTIF(L866:$M$1659,L866)</f>
        <v>10</v>
      </c>
      <c r="W866" s="1" t="s">
        <v>8286</v>
      </c>
      <c r="X866">
        <v>3053.22</v>
      </c>
      <c r="Y866">
        <v>2975.67</v>
      </c>
      <c r="Z866">
        <v>12.858968000000001</v>
      </c>
      <c r="AA866">
        <v>107.96449200000001</v>
      </c>
      <c r="AB866">
        <v>77.55</v>
      </c>
      <c r="AC866">
        <v>12.860792</v>
      </c>
      <c r="AD866">
        <v>107.964518</v>
      </c>
      <c r="AE866" s="5">
        <f t="shared" si="66"/>
        <v>4.4635050000000005</v>
      </c>
      <c r="AF866" s="5">
        <f t="shared" si="67"/>
        <v>0.11632499999999998</v>
      </c>
      <c r="AG866" s="1" t="str">
        <f>TRIM(LEFT(L866,FIND("-",L866)-1))</f>
        <v>Quảng Phú</v>
      </c>
      <c r="AH866" s="1" t="str">
        <f>TRIM(RIGHT(L866, LEN(L866) - FIND("-", L866)))</f>
        <v>Ea M’Droh</v>
      </c>
      <c r="AJ866">
        <f t="shared" si="68"/>
        <v>2.97567</v>
      </c>
      <c r="AK866">
        <f t="shared" si="69"/>
        <v>7.7549999999999994E-2</v>
      </c>
      <c r="AL866">
        <f>VLOOKUP(L866,'[1]Tuyến cáp H04'!$B:$E,3,0)/1000</f>
        <v>14.443</v>
      </c>
      <c r="AM866" t="str">
        <f>VLOOKUP(L866,'[1]Tuyến cáp H04'!$B:$E,4,0)</f>
        <v>Mạng cấp 4</v>
      </c>
    </row>
    <row r="867" spans="1:39" x14ac:dyDescent="0.25">
      <c r="A867" s="1" t="s">
        <v>8287</v>
      </c>
      <c r="B867" s="1" t="s">
        <v>8288</v>
      </c>
      <c r="C867" s="1" t="s">
        <v>8289</v>
      </c>
      <c r="D867" s="1" t="s">
        <v>8290</v>
      </c>
      <c r="E867" s="1" t="s">
        <v>8291</v>
      </c>
      <c r="F867" s="1" t="s">
        <v>8292</v>
      </c>
      <c r="G867" s="1" t="s">
        <v>14129</v>
      </c>
      <c r="H867" s="1" t="s">
        <v>14130</v>
      </c>
      <c r="I867" s="1" t="s">
        <v>14981</v>
      </c>
      <c r="J867" s="1" t="s">
        <v>23</v>
      </c>
      <c r="K867" s="1"/>
      <c r="L867" s="1" t="s">
        <v>8293</v>
      </c>
      <c r="M867" s="1" t="s">
        <v>8293</v>
      </c>
      <c r="N867" s="12" t="b">
        <f t="shared" si="65"/>
        <v>1</v>
      </c>
      <c r="O867" s="1" t="s">
        <v>8294</v>
      </c>
      <c r="P867" s="1" t="s">
        <v>8295</v>
      </c>
      <c r="Q867" s="1" t="s">
        <v>8296</v>
      </c>
      <c r="R867" s="1" t="s">
        <v>8297</v>
      </c>
      <c r="S867" s="1" t="s">
        <v>8298</v>
      </c>
      <c r="T867" s="1" t="s">
        <v>8299</v>
      </c>
      <c r="U867" s="1" t="s">
        <v>8300</v>
      </c>
      <c r="V867" s="13">
        <f>COUNTIF(L867:$M$1659,L867)</f>
        <v>20</v>
      </c>
      <c r="W867" s="1" t="s">
        <v>8301</v>
      </c>
      <c r="X867">
        <v>1733.38</v>
      </c>
      <c r="Y867">
        <v>1616.38</v>
      </c>
      <c r="Z867">
        <v>12.861891999999999</v>
      </c>
      <c r="AA867">
        <v>108.106399</v>
      </c>
      <c r="AB867">
        <v>117.01</v>
      </c>
      <c r="AC867">
        <v>12.853419000000001</v>
      </c>
      <c r="AD867">
        <v>108.10435699999999</v>
      </c>
      <c r="AE867" s="5">
        <f t="shared" si="66"/>
        <v>2.4245700000000001</v>
      </c>
      <c r="AF867" s="5">
        <f t="shared" si="67"/>
        <v>0.175515</v>
      </c>
      <c r="AG867" s="1" t="str">
        <f>TRIM(LEFT(L867,FIND("-",L867)-1))</f>
        <v>Cư M'ga</v>
      </c>
      <c r="AH867" s="1" t="str">
        <f>TRIM(RIGHT(L867, LEN(L867) - FIND("-", L867)))</f>
        <v>Buôn Hồ</v>
      </c>
      <c r="AJ867">
        <f t="shared" si="68"/>
        <v>1.6163800000000001</v>
      </c>
      <c r="AK867">
        <f t="shared" si="69"/>
        <v>0.11701</v>
      </c>
      <c r="AL867">
        <f>VLOOKUP(L867,'[1]Tuyến cáp H04'!$B:$E,3,0)/1000</f>
        <v>38.145000000000003</v>
      </c>
      <c r="AM867" t="str">
        <f>VLOOKUP(L867,'[1]Tuyến cáp H04'!$B:$E,4,0)</f>
        <v>Mạng cấp 3</v>
      </c>
    </row>
    <row r="868" spans="1:39" x14ac:dyDescent="0.25">
      <c r="A868" s="1" t="s">
        <v>8302</v>
      </c>
      <c r="B868" s="1" t="s">
        <v>8303</v>
      </c>
      <c r="C868" s="1" t="s">
        <v>8304</v>
      </c>
      <c r="D868" s="1" t="s">
        <v>8305</v>
      </c>
      <c r="E868" s="1" t="s">
        <v>8306</v>
      </c>
      <c r="F868" s="1" t="s">
        <v>8307</v>
      </c>
      <c r="G868" s="1" t="s">
        <v>14129</v>
      </c>
      <c r="H868" s="1" t="s">
        <v>14130</v>
      </c>
      <c r="I868" s="1" t="s">
        <v>14982</v>
      </c>
      <c r="J868" s="1" t="s">
        <v>23</v>
      </c>
      <c r="K868" s="1"/>
      <c r="L868" s="1" t="s">
        <v>8308</v>
      </c>
      <c r="M868" s="1" t="s">
        <v>8308</v>
      </c>
      <c r="N868" s="12" t="b">
        <f t="shared" si="65"/>
        <v>1</v>
      </c>
      <c r="O868" s="1" t="s">
        <v>8309</v>
      </c>
      <c r="P868" s="1" t="s">
        <v>8310</v>
      </c>
      <c r="Q868" s="1" t="s">
        <v>8311</v>
      </c>
      <c r="R868" s="1" t="s">
        <v>8312</v>
      </c>
      <c r="S868" s="1" t="s">
        <v>8313</v>
      </c>
      <c r="T868" s="1" t="s">
        <v>8314</v>
      </c>
      <c r="U868" s="1" t="s">
        <v>8315</v>
      </c>
      <c r="V868" s="13">
        <f>COUNTIF(L868:$M$1659,L868)</f>
        <v>6</v>
      </c>
      <c r="W868" s="1" t="s">
        <v>8316</v>
      </c>
      <c r="X868">
        <v>1016.45</v>
      </c>
      <c r="Y868">
        <v>965.45</v>
      </c>
      <c r="Z868">
        <v>13.245972999999999</v>
      </c>
      <c r="AA868">
        <v>108.29644500000001</v>
      </c>
      <c r="AB868">
        <v>51</v>
      </c>
      <c r="AC868">
        <v>13.266173</v>
      </c>
      <c r="AD868">
        <v>108.28749500000001</v>
      </c>
      <c r="AE868" s="5">
        <f t="shared" si="66"/>
        <v>1.4481750000000002</v>
      </c>
      <c r="AF868" s="5">
        <f t="shared" si="67"/>
        <v>7.6499999999999999E-2</v>
      </c>
      <c r="AG868" s="1" t="e">
        <f>TRIM(LEFT(L868,FIND("-",L868)-1))</f>
        <v>#VALUE!</v>
      </c>
      <c r="AH868" s="1" t="e">
        <f>TRIM(RIGHT(L868, LEN(L868) - FIND("-", L868)))</f>
        <v>#VALUE!</v>
      </c>
      <c r="AJ868">
        <f t="shared" si="68"/>
        <v>0.96545000000000003</v>
      </c>
      <c r="AK868">
        <f t="shared" si="69"/>
        <v>5.0999999999999997E-2</v>
      </c>
      <c r="AL868" t="e">
        <f>VLOOKUP(L868,'[1]Tuyến cáp H04'!$B:$E,3,0)/1000</f>
        <v>#N/A</v>
      </c>
      <c r="AM868" t="e">
        <f>VLOOKUP(L868,'[1]Tuyến cáp H04'!$B:$E,4,0)</f>
        <v>#N/A</v>
      </c>
    </row>
    <row r="869" spans="1:39" x14ac:dyDescent="0.25">
      <c r="A869" s="1" t="s">
        <v>8317</v>
      </c>
      <c r="B869" s="1" t="s">
        <v>8318</v>
      </c>
      <c r="C869" s="1" t="s">
        <v>8319</v>
      </c>
      <c r="D869" s="1" t="s">
        <v>8275</v>
      </c>
      <c r="E869" s="1" t="s">
        <v>8276</v>
      </c>
      <c r="F869" s="1" t="s">
        <v>8320</v>
      </c>
      <c r="G869" s="1" t="s">
        <v>14129</v>
      </c>
      <c r="H869" s="1" t="s">
        <v>14130</v>
      </c>
      <c r="I869" s="1" t="s">
        <v>14983</v>
      </c>
      <c r="J869" s="1" t="s">
        <v>23</v>
      </c>
      <c r="K869" s="1"/>
      <c r="L869" s="1" t="s">
        <v>8278</v>
      </c>
      <c r="M869" s="1" t="s">
        <v>8278</v>
      </c>
      <c r="N869" s="12" t="b">
        <f t="shared" si="65"/>
        <v>1</v>
      </c>
      <c r="O869" s="1" t="s">
        <v>8321</v>
      </c>
      <c r="P869" s="1" t="s">
        <v>8322</v>
      </c>
      <c r="Q869" s="1" t="s">
        <v>8323</v>
      </c>
      <c r="R869" s="1" t="s">
        <v>8324</v>
      </c>
      <c r="S869" s="1" t="s">
        <v>8325</v>
      </c>
      <c r="T869" s="1" t="s">
        <v>8326</v>
      </c>
      <c r="U869" s="1" t="s">
        <v>8327</v>
      </c>
      <c r="V869" s="13">
        <f>COUNTIF(L869:$M$1659,L869)</f>
        <v>8</v>
      </c>
      <c r="W869" s="1" t="s">
        <v>8328</v>
      </c>
      <c r="X869">
        <v>4539.8599999999997</v>
      </c>
      <c r="Y869">
        <v>4491</v>
      </c>
      <c r="Z869">
        <v>12.861238</v>
      </c>
      <c r="AA869">
        <v>107.964528</v>
      </c>
      <c r="AB869">
        <v>48.86</v>
      </c>
      <c r="AC869">
        <v>12.861019000000001</v>
      </c>
      <c r="AD869">
        <v>107.96522299999999</v>
      </c>
      <c r="AE869" s="5">
        <f t="shared" si="66"/>
        <v>6.7365000000000004</v>
      </c>
      <c r="AF869" s="5">
        <f t="shared" si="67"/>
        <v>7.3289999999999994E-2</v>
      </c>
      <c r="AG869" s="1" t="str">
        <f>TRIM(LEFT(L869,FIND("-",L869)-1))</f>
        <v>Quảng Phú</v>
      </c>
      <c r="AH869" s="1" t="str">
        <f>TRIM(RIGHT(L869, LEN(L869) - FIND("-", L869)))</f>
        <v>Ea M’Droh</v>
      </c>
      <c r="AJ869">
        <f t="shared" si="68"/>
        <v>4.4909999999999997</v>
      </c>
      <c r="AK869">
        <f t="shared" si="69"/>
        <v>4.8860000000000001E-2</v>
      </c>
      <c r="AL869">
        <f>VLOOKUP(L869,'[1]Tuyến cáp H04'!$B:$E,3,0)/1000</f>
        <v>14.443</v>
      </c>
      <c r="AM869" t="str">
        <f>VLOOKUP(L869,'[1]Tuyến cáp H04'!$B:$E,4,0)</f>
        <v>Mạng cấp 4</v>
      </c>
    </row>
    <row r="870" spans="1:39" x14ac:dyDescent="0.25">
      <c r="A870" s="1" t="s">
        <v>8329</v>
      </c>
      <c r="B870" s="1" t="s">
        <v>8330</v>
      </c>
      <c r="C870" s="1" t="s">
        <v>8331</v>
      </c>
      <c r="D870" s="1" t="s">
        <v>8332</v>
      </c>
      <c r="E870" s="1" t="s">
        <v>8333</v>
      </c>
      <c r="F870" s="1" t="s">
        <v>8334</v>
      </c>
      <c r="G870" s="1" t="s">
        <v>14129</v>
      </c>
      <c r="H870" s="1" t="s">
        <v>14130</v>
      </c>
      <c r="I870" s="1" t="s">
        <v>14984</v>
      </c>
      <c r="J870" s="1" t="s">
        <v>23</v>
      </c>
      <c r="K870" s="1"/>
      <c r="L870" s="1" t="s">
        <v>8335</v>
      </c>
      <c r="M870" s="1" t="s">
        <v>8335</v>
      </c>
      <c r="N870" s="12" t="b">
        <f t="shared" si="65"/>
        <v>1</v>
      </c>
      <c r="O870" s="1" t="s">
        <v>8336</v>
      </c>
      <c r="P870" s="1" t="s">
        <v>8337</v>
      </c>
      <c r="Q870" s="1" t="s">
        <v>8338</v>
      </c>
      <c r="R870" s="1" t="s">
        <v>8339</v>
      </c>
      <c r="S870" s="1" t="s">
        <v>8340</v>
      </c>
      <c r="T870" s="1" t="s">
        <v>8341</v>
      </c>
      <c r="U870" s="1" t="s">
        <v>8342</v>
      </c>
      <c r="V870" s="13">
        <f>COUNTIF(L870:$M$1659,L870)</f>
        <v>8</v>
      </c>
      <c r="W870" s="1" t="s">
        <v>8343</v>
      </c>
      <c r="X870">
        <v>211.52</v>
      </c>
      <c r="Y870">
        <v>153.57</v>
      </c>
      <c r="Z870">
        <v>12.909005000000001</v>
      </c>
      <c r="AA870">
        <v>108.266229</v>
      </c>
      <c r="AB870">
        <v>57.95</v>
      </c>
      <c r="AC870">
        <v>12.916482999999999</v>
      </c>
      <c r="AD870">
        <v>108.26607</v>
      </c>
      <c r="AE870" s="5">
        <f t="shared" si="66"/>
        <v>0.23035499999999998</v>
      </c>
      <c r="AF870" s="5">
        <f t="shared" si="67"/>
        <v>8.6925000000000016E-2</v>
      </c>
      <c r="AG870" s="1" t="e">
        <f>TRIM(LEFT(L870,FIND("-",L870)-1))</f>
        <v>#VALUE!</v>
      </c>
      <c r="AH870" s="1" t="e">
        <f>TRIM(RIGHT(L870, LEN(L870) - FIND("-", L870)))</f>
        <v>#VALUE!</v>
      </c>
      <c r="AJ870">
        <f t="shared" si="68"/>
        <v>0.15356999999999998</v>
      </c>
      <c r="AK870">
        <f t="shared" si="69"/>
        <v>5.7950000000000002E-2</v>
      </c>
      <c r="AL870" t="e">
        <f>VLOOKUP(L870,'[1]Tuyến cáp H04'!$B:$E,3,0)/1000</f>
        <v>#N/A</v>
      </c>
      <c r="AM870" t="e">
        <f>VLOOKUP(L870,'[1]Tuyến cáp H04'!$B:$E,4,0)</f>
        <v>#N/A</v>
      </c>
    </row>
    <row r="871" spans="1:39" x14ac:dyDescent="0.25">
      <c r="A871" s="1" t="s">
        <v>8344</v>
      </c>
      <c r="B871" s="1" t="s">
        <v>8345</v>
      </c>
      <c r="C871" s="1" t="s">
        <v>8346</v>
      </c>
      <c r="D871" s="1" t="s">
        <v>8347</v>
      </c>
      <c r="E871" s="1" t="s">
        <v>8348</v>
      </c>
      <c r="F871" s="1" t="s">
        <v>8349</v>
      </c>
      <c r="G871" s="1" t="s">
        <v>14129</v>
      </c>
      <c r="H871" s="1" t="s">
        <v>14130</v>
      </c>
      <c r="I871" s="1" t="s">
        <v>14985</v>
      </c>
      <c r="J871" s="1" t="s">
        <v>23</v>
      </c>
      <c r="K871" s="1"/>
      <c r="L871" s="1" t="s">
        <v>8350</v>
      </c>
      <c r="M871" s="1" t="s">
        <v>8350</v>
      </c>
      <c r="N871" s="12" t="b">
        <f t="shared" si="65"/>
        <v>1</v>
      </c>
      <c r="O871" s="1" t="s">
        <v>8351</v>
      </c>
      <c r="P871" s="1" t="s">
        <v>8352</v>
      </c>
      <c r="Q871" s="1" t="s">
        <v>8353</v>
      </c>
      <c r="R871" s="1" t="s">
        <v>8354</v>
      </c>
      <c r="S871" s="1" t="s">
        <v>8355</v>
      </c>
      <c r="T871" s="1" t="s">
        <v>8356</v>
      </c>
      <c r="U871" s="1" t="s">
        <v>8357</v>
      </c>
      <c r="V871" s="13">
        <f>COUNTIF(L871:$M$1659,L871)</f>
        <v>52</v>
      </c>
      <c r="W871" s="1" t="s">
        <v>8358</v>
      </c>
      <c r="X871">
        <v>91981.11</v>
      </c>
      <c r="Y871">
        <v>1359.62</v>
      </c>
      <c r="Z871">
        <v>12.690893000000001</v>
      </c>
      <c r="AA871">
        <v>108.06744999999999</v>
      </c>
      <c r="AB871">
        <v>90621.49</v>
      </c>
      <c r="AC871">
        <v>12.811565999999999</v>
      </c>
      <c r="AD871">
        <v>108.483311</v>
      </c>
      <c r="AE871" s="5">
        <f t="shared" si="66"/>
        <v>2.0394299999999999</v>
      </c>
      <c r="AF871" s="5">
        <f t="shared" si="67"/>
        <v>135.93223500000002</v>
      </c>
      <c r="AG871" s="1" t="str">
        <f>TRIM(LEFT(L871,FIND("-",L871)-1))</f>
        <v>TT1 Đăk Lăk</v>
      </c>
      <c r="AH871" s="1" t="str">
        <f>TRIM(RIGHT(L871, LEN(L871) - FIND("-", L871)))</f>
        <v>ILA Ea Kar</v>
      </c>
      <c r="AJ871">
        <f t="shared" si="68"/>
        <v>1.3596199999999998</v>
      </c>
      <c r="AK871">
        <f t="shared" si="69"/>
        <v>90.621490000000009</v>
      </c>
      <c r="AL871" t="e">
        <f>VLOOKUP(L871,'[1]Tuyến cáp H04'!$B:$E,3,0)/1000</f>
        <v>#N/A</v>
      </c>
      <c r="AM871" t="e">
        <f>VLOOKUP(L871,'[1]Tuyến cáp H04'!$B:$E,4,0)</f>
        <v>#N/A</v>
      </c>
    </row>
    <row r="872" spans="1:39" x14ac:dyDescent="0.25">
      <c r="A872" s="1" t="s">
        <v>8359</v>
      </c>
      <c r="B872" s="1" t="s">
        <v>8360</v>
      </c>
      <c r="C872" s="1" t="s">
        <v>8361</v>
      </c>
      <c r="D872" s="1" t="s">
        <v>8362</v>
      </c>
      <c r="E872" s="1" t="s">
        <v>8363</v>
      </c>
      <c r="F872" s="1" t="s">
        <v>8364</v>
      </c>
      <c r="G872" s="1" t="s">
        <v>14129</v>
      </c>
      <c r="H872" s="1" t="s">
        <v>14130</v>
      </c>
      <c r="I872" s="1" t="s">
        <v>14986</v>
      </c>
      <c r="J872" s="1" t="s">
        <v>23</v>
      </c>
      <c r="K872" s="1"/>
      <c r="L872" s="1" t="s">
        <v>8365</v>
      </c>
      <c r="M872" s="1" t="s">
        <v>8365</v>
      </c>
      <c r="N872" s="12" t="b">
        <f t="shared" si="65"/>
        <v>1</v>
      </c>
      <c r="O872" s="1" t="s">
        <v>8366</v>
      </c>
      <c r="P872" s="1" t="s">
        <v>8367</v>
      </c>
      <c r="Q872" s="1" t="s">
        <v>8368</v>
      </c>
      <c r="R872" s="1" t="s">
        <v>8369</v>
      </c>
      <c r="S872" s="1" t="s">
        <v>8370</v>
      </c>
      <c r="T872" s="1" t="s">
        <v>8371</v>
      </c>
      <c r="U872" s="1" t="s">
        <v>8372</v>
      </c>
      <c r="V872" s="13">
        <f>COUNTIF(L872:$M$1659,L872)</f>
        <v>6</v>
      </c>
      <c r="W872" s="1" t="s">
        <v>8373</v>
      </c>
      <c r="X872">
        <v>844.35</v>
      </c>
      <c r="Y872">
        <v>775.9</v>
      </c>
      <c r="Z872">
        <v>12.682520999999999</v>
      </c>
      <c r="AA872">
        <v>108.01187</v>
      </c>
      <c r="AB872">
        <v>68.45</v>
      </c>
      <c r="AC872">
        <v>12.682445</v>
      </c>
      <c r="AD872">
        <v>108.016256</v>
      </c>
      <c r="AE872" s="5">
        <f t="shared" si="66"/>
        <v>1.1638499999999998</v>
      </c>
      <c r="AF872" s="5">
        <f t="shared" si="67"/>
        <v>0.10267500000000002</v>
      </c>
      <c r="AG872" s="1" t="str">
        <f>TRIM(LEFT(L872,FIND("-",L872)-1))</f>
        <v>Thành Nhất</v>
      </c>
      <c r="AH872" s="1" t="str">
        <f>TRIM(RIGHT(L872, LEN(L872) - FIND("-", L872)))</f>
        <v>Ea Nuôl</v>
      </c>
      <c r="AJ872">
        <f t="shared" si="68"/>
        <v>0.77589999999999992</v>
      </c>
      <c r="AK872">
        <f t="shared" si="69"/>
        <v>6.8449999999999997E-2</v>
      </c>
      <c r="AL872">
        <f>VLOOKUP(L872,'[1]Tuyến cáp H04'!$B:$E,3,0)/1000</f>
        <v>7.931</v>
      </c>
      <c r="AM872" t="str">
        <f>VLOOKUP(L872,'[1]Tuyến cáp H04'!$B:$E,4,0)</f>
        <v>Mạng cấp 4</v>
      </c>
    </row>
    <row r="873" spans="1:39" x14ac:dyDescent="0.25">
      <c r="A873" s="1" t="s">
        <v>8374</v>
      </c>
      <c r="B873" s="1" t="s">
        <v>8375</v>
      </c>
      <c r="C873" s="1" t="s">
        <v>8376</v>
      </c>
      <c r="D873" s="1" t="s">
        <v>8377</v>
      </c>
      <c r="E873" s="1" t="s">
        <v>8378</v>
      </c>
      <c r="F873" s="1" t="s">
        <v>8379</v>
      </c>
      <c r="G873" s="1" t="s">
        <v>14129</v>
      </c>
      <c r="H873" s="1" t="s">
        <v>14130</v>
      </c>
      <c r="I873" s="1" t="s">
        <v>14987</v>
      </c>
      <c r="J873" s="1" t="s">
        <v>23</v>
      </c>
      <c r="K873" s="1"/>
      <c r="L873" s="1" t="s">
        <v>8350</v>
      </c>
      <c r="M873" s="1" t="s">
        <v>8350</v>
      </c>
      <c r="N873" s="12" t="b">
        <f t="shared" si="65"/>
        <v>1</v>
      </c>
      <c r="O873" s="1" t="s">
        <v>8380</v>
      </c>
      <c r="P873" s="1" t="s">
        <v>8381</v>
      </c>
      <c r="Q873" s="1" t="s">
        <v>8353</v>
      </c>
      <c r="R873" s="1" t="s">
        <v>8354</v>
      </c>
      <c r="S873" s="1" t="s">
        <v>8382</v>
      </c>
      <c r="T873" s="1" t="s">
        <v>8356</v>
      </c>
      <c r="U873" s="1" t="s">
        <v>8357</v>
      </c>
      <c r="V873" s="13">
        <f>COUNTIF(L873:$M$1659,L873)</f>
        <v>50</v>
      </c>
      <c r="W873" s="1" t="s">
        <v>8358</v>
      </c>
      <c r="X873">
        <v>97510.54</v>
      </c>
      <c r="Y873">
        <v>3004.72</v>
      </c>
      <c r="Z873">
        <v>12.690893000000001</v>
      </c>
      <c r="AA873">
        <v>108.06744999999999</v>
      </c>
      <c r="AB873">
        <v>94505.82</v>
      </c>
      <c r="AC873">
        <v>12.811565999999999</v>
      </c>
      <c r="AD873">
        <v>108.483311</v>
      </c>
      <c r="AE873" s="5">
        <f t="shared" si="66"/>
        <v>4.5070800000000002</v>
      </c>
      <c r="AF873" s="5">
        <f t="shared" si="67"/>
        <v>141.75873000000001</v>
      </c>
      <c r="AG873" s="1" t="str">
        <f>TRIM(LEFT(L873,FIND("-",L873)-1))</f>
        <v>TT1 Đăk Lăk</v>
      </c>
      <c r="AH873" s="1" t="str">
        <f>TRIM(RIGHT(L873, LEN(L873) - FIND("-", L873)))</f>
        <v>ILA Ea Kar</v>
      </c>
      <c r="AJ873">
        <f t="shared" si="68"/>
        <v>3.0047199999999998</v>
      </c>
      <c r="AK873">
        <f t="shared" si="69"/>
        <v>94.50582</v>
      </c>
      <c r="AL873" t="e">
        <f>VLOOKUP(L873,'[1]Tuyến cáp H04'!$B:$E,3,0)/1000</f>
        <v>#N/A</v>
      </c>
      <c r="AM873" t="e">
        <f>VLOOKUP(L873,'[1]Tuyến cáp H04'!$B:$E,4,0)</f>
        <v>#N/A</v>
      </c>
    </row>
    <row r="874" spans="1:39" x14ac:dyDescent="0.25">
      <c r="A874" s="1" t="s">
        <v>8383</v>
      </c>
      <c r="B874" s="1" t="s">
        <v>8384</v>
      </c>
      <c r="C874" s="1" t="s">
        <v>8385</v>
      </c>
      <c r="D874" s="1" t="s">
        <v>8190</v>
      </c>
      <c r="E874" s="1" t="s">
        <v>8191</v>
      </c>
      <c r="F874" s="1" t="s">
        <v>8386</v>
      </c>
      <c r="G874" s="1" t="s">
        <v>14129</v>
      </c>
      <c r="H874" s="1" t="s">
        <v>14130</v>
      </c>
      <c r="I874" s="1" t="s">
        <v>14988</v>
      </c>
      <c r="J874" s="1" t="s">
        <v>23</v>
      </c>
      <c r="K874" s="1"/>
      <c r="L874" s="1" t="s">
        <v>8350</v>
      </c>
      <c r="M874" s="1" t="s">
        <v>8350</v>
      </c>
      <c r="N874" s="12" t="b">
        <f t="shared" si="65"/>
        <v>1</v>
      </c>
      <c r="O874" s="1" t="s">
        <v>8387</v>
      </c>
      <c r="P874" s="1" t="s">
        <v>8388</v>
      </c>
      <c r="Q874" s="1" t="s">
        <v>8389</v>
      </c>
      <c r="R874" s="1" t="s">
        <v>8390</v>
      </c>
      <c r="S874" s="1" t="s">
        <v>8391</v>
      </c>
      <c r="T874" s="1" t="s">
        <v>8392</v>
      </c>
      <c r="U874" s="1" t="s">
        <v>8393</v>
      </c>
      <c r="V874" s="13">
        <f>COUNTIF(L874:$M$1659,L874)</f>
        <v>48</v>
      </c>
      <c r="W874" s="1" t="s">
        <v>8358</v>
      </c>
      <c r="X874">
        <v>277.89</v>
      </c>
      <c r="Y874">
        <v>244.3</v>
      </c>
      <c r="Z874">
        <v>12.706446</v>
      </c>
      <c r="AA874">
        <v>108.080821</v>
      </c>
      <c r="AB874">
        <v>33.590000000000003</v>
      </c>
      <c r="AC874">
        <v>12.697137</v>
      </c>
      <c r="AD874">
        <v>108.07234200000001</v>
      </c>
      <c r="AE874" s="5">
        <f t="shared" si="66"/>
        <v>0.36645000000000005</v>
      </c>
      <c r="AF874" s="5">
        <f t="shared" si="67"/>
        <v>5.0385000000000006E-2</v>
      </c>
      <c r="AG874" s="1" t="str">
        <f>TRIM(LEFT(L874,FIND("-",L874)-1))</f>
        <v>TT1 Đăk Lăk</v>
      </c>
      <c r="AH874" s="1" t="str">
        <f>TRIM(RIGHT(L874, LEN(L874) - FIND("-", L874)))</f>
        <v>ILA Ea Kar</v>
      </c>
      <c r="AJ874">
        <f t="shared" si="68"/>
        <v>0.24430000000000002</v>
      </c>
      <c r="AK874">
        <f t="shared" si="69"/>
        <v>3.3590000000000002E-2</v>
      </c>
      <c r="AL874" t="e">
        <f>VLOOKUP(L874,'[1]Tuyến cáp H04'!$B:$E,3,0)/1000</f>
        <v>#N/A</v>
      </c>
      <c r="AM874" t="e">
        <f>VLOOKUP(L874,'[1]Tuyến cáp H04'!$B:$E,4,0)</f>
        <v>#N/A</v>
      </c>
    </row>
    <row r="875" spans="1:39" x14ac:dyDescent="0.25">
      <c r="A875" s="1" t="s">
        <v>8394</v>
      </c>
      <c r="B875" s="1" t="s">
        <v>8395</v>
      </c>
      <c r="C875" s="1" t="s">
        <v>8396</v>
      </c>
      <c r="D875" s="1" t="s">
        <v>8290</v>
      </c>
      <c r="E875" s="1" t="s">
        <v>8291</v>
      </c>
      <c r="F875" s="1" t="s">
        <v>8397</v>
      </c>
      <c r="G875" s="1" t="s">
        <v>14129</v>
      </c>
      <c r="H875" s="1" t="s">
        <v>14130</v>
      </c>
      <c r="I875" s="1" t="s">
        <v>14989</v>
      </c>
      <c r="J875" s="1" t="s">
        <v>23</v>
      </c>
      <c r="K875" s="1"/>
      <c r="L875" s="1" t="s">
        <v>8293</v>
      </c>
      <c r="M875" s="1" t="s">
        <v>8293</v>
      </c>
      <c r="N875" s="12" t="b">
        <f t="shared" si="65"/>
        <v>1</v>
      </c>
      <c r="O875" s="1" t="s">
        <v>8398</v>
      </c>
      <c r="P875" s="1" t="s">
        <v>8399</v>
      </c>
      <c r="Q875" s="1" t="s">
        <v>8400</v>
      </c>
      <c r="R875" s="1" t="s">
        <v>8401</v>
      </c>
      <c r="S875" s="1" t="s">
        <v>8402</v>
      </c>
      <c r="T875" s="1" t="s">
        <v>8403</v>
      </c>
      <c r="U875" s="1" t="s">
        <v>8404</v>
      </c>
      <c r="V875" s="13">
        <f>COUNTIF(L875:$M$1659,L875)</f>
        <v>18</v>
      </c>
      <c r="W875" s="1" t="s">
        <v>8405</v>
      </c>
      <c r="X875">
        <v>176.16</v>
      </c>
      <c r="Y875">
        <v>58.6</v>
      </c>
      <c r="Z875">
        <v>12.836508</v>
      </c>
      <c r="AA875">
        <v>108.089682</v>
      </c>
      <c r="AB875">
        <v>117.56</v>
      </c>
      <c r="AC875">
        <v>12.853426000000001</v>
      </c>
      <c r="AD875">
        <v>108.104358</v>
      </c>
      <c r="AE875" s="5">
        <f t="shared" si="66"/>
        <v>8.7900000000000006E-2</v>
      </c>
      <c r="AF875" s="5">
        <f t="shared" si="67"/>
        <v>0.17634</v>
      </c>
      <c r="AG875" s="1" t="str">
        <f>TRIM(LEFT(L875,FIND("-",L875)-1))</f>
        <v>Cư M'ga</v>
      </c>
      <c r="AH875" s="1" t="str">
        <f>TRIM(RIGHT(L875, LEN(L875) - FIND("-", L875)))</f>
        <v>Buôn Hồ</v>
      </c>
      <c r="AJ875">
        <f t="shared" si="68"/>
        <v>5.8599999999999999E-2</v>
      </c>
      <c r="AK875">
        <f t="shared" si="69"/>
        <v>0.11756</v>
      </c>
      <c r="AL875">
        <f>VLOOKUP(L875,'[1]Tuyến cáp H04'!$B:$E,3,0)/1000</f>
        <v>38.145000000000003</v>
      </c>
      <c r="AM875" t="str">
        <f>VLOOKUP(L875,'[1]Tuyến cáp H04'!$B:$E,4,0)</f>
        <v>Mạng cấp 3</v>
      </c>
    </row>
    <row r="876" spans="1:39" x14ac:dyDescent="0.25">
      <c r="A876" s="1" t="s">
        <v>8406</v>
      </c>
      <c r="B876" s="1" t="s">
        <v>8407</v>
      </c>
      <c r="C876" s="1" t="s">
        <v>8408</v>
      </c>
      <c r="D876" s="1" t="s">
        <v>8305</v>
      </c>
      <c r="E876" s="1" t="s">
        <v>8306</v>
      </c>
      <c r="F876" s="1" t="s">
        <v>8409</v>
      </c>
      <c r="G876" s="1" t="s">
        <v>14129</v>
      </c>
      <c r="H876" s="1" t="s">
        <v>14130</v>
      </c>
      <c r="I876" s="1" t="s">
        <v>14990</v>
      </c>
      <c r="J876" s="1" t="s">
        <v>23</v>
      </c>
      <c r="K876" s="1"/>
      <c r="L876" s="1" t="s">
        <v>8410</v>
      </c>
      <c r="M876" s="1" t="s">
        <v>8410</v>
      </c>
      <c r="N876" s="12" t="b">
        <f t="shared" si="65"/>
        <v>1</v>
      </c>
      <c r="O876" s="1" t="s">
        <v>8411</v>
      </c>
      <c r="P876" s="1" t="s">
        <v>8412</v>
      </c>
      <c r="Q876" s="1" t="s">
        <v>8413</v>
      </c>
      <c r="R876" s="1" t="s">
        <v>8414</v>
      </c>
      <c r="S876" s="1" t="s">
        <v>8415</v>
      </c>
      <c r="T876" s="1" t="s">
        <v>8416</v>
      </c>
      <c r="U876" s="1" t="s">
        <v>8417</v>
      </c>
      <c r="V876" s="13">
        <f>COUNTIF(L876:$M$1659,L876)</f>
        <v>4</v>
      </c>
      <c r="W876" s="1" t="s">
        <v>8418</v>
      </c>
      <c r="X876">
        <v>105.32</v>
      </c>
      <c r="Y876">
        <v>61.08</v>
      </c>
      <c r="Z876">
        <v>13.262589999999999</v>
      </c>
      <c r="AA876">
        <v>108.276438</v>
      </c>
      <c r="AB876">
        <v>44.24</v>
      </c>
      <c r="AC876">
        <v>13.266166999999999</v>
      </c>
      <c r="AD876">
        <v>108.287032</v>
      </c>
      <c r="AE876" s="5">
        <f t="shared" si="66"/>
        <v>9.1620000000000007E-2</v>
      </c>
      <c r="AF876" s="5">
        <f t="shared" si="67"/>
        <v>6.6360000000000002E-2</v>
      </c>
      <c r="AG876" s="1" t="e">
        <f>TRIM(LEFT(L876,FIND("-",L876)-1))</f>
        <v>#VALUE!</v>
      </c>
      <c r="AH876" s="1" t="e">
        <f>TRIM(RIGHT(L876, LEN(L876) - FIND("-", L876)))</f>
        <v>#VALUE!</v>
      </c>
      <c r="AJ876">
        <f t="shared" si="68"/>
        <v>6.1079999999999995E-2</v>
      </c>
      <c r="AK876">
        <f t="shared" si="69"/>
        <v>4.4240000000000002E-2</v>
      </c>
      <c r="AL876" t="e">
        <f>VLOOKUP(L876,'[1]Tuyến cáp H04'!$B:$E,3,0)/1000</f>
        <v>#N/A</v>
      </c>
      <c r="AM876" t="e">
        <f>VLOOKUP(L876,'[1]Tuyến cáp H04'!$B:$E,4,0)</f>
        <v>#N/A</v>
      </c>
    </row>
    <row r="877" spans="1:39" x14ac:dyDescent="0.25">
      <c r="A877" s="1" t="s">
        <v>8419</v>
      </c>
      <c r="B877" s="1" t="s">
        <v>8420</v>
      </c>
      <c r="C877" s="1" t="s">
        <v>8421</v>
      </c>
      <c r="D877" s="1" t="s">
        <v>8275</v>
      </c>
      <c r="E877" s="1" t="s">
        <v>8276</v>
      </c>
      <c r="F877" s="1" t="s">
        <v>8422</v>
      </c>
      <c r="G877" s="1" t="s">
        <v>14129</v>
      </c>
      <c r="H877" s="1" t="s">
        <v>14130</v>
      </c>
      <c r="I877" s="1" t="s">
        <v>14991</v>
      </c>
      <c r="J877" s="1" t="s">
        <v>23</v>
      </c>
      <c r="K877" s="1"/>
      <c r="L877" s="1" t="s">
        <v>8423</v>
      </c>
      <c r="M877" s="1" t="s">
        <v>8423</v>
      </c>
      <c r="N877" s="12" t="b">
        <f t="shared" si="65"/>
        <v>1</v>
      </c>
      <c r="O877" s="1" t="s">
        <v>8424</v>
      </c>
      <c r="P877" s="1" t="s">
        <v>8425</v>
      </c>
      <c r="Q877" s="1" t="s">
        <v>8426</v>
      </c>
      <c r="R877" s="1" t="s">
        <v>8427</v>
      </c>
      <c r="S877" s="1" t="s">
        <v>8428</v>
      </c>
      <c r="T877" s="1" t="s">
        <v>8429</v>
      </c>
      <c r="U877" s="1" t="s">
        <v>8430</v>
      </c>
      <c r="V877" s="13">
        <f>COUNTIF(L877:$M$1659,L877)</f>
        <v>2</v>
      </c>
      <c r="W877" s="1" t="s">
        <v>8431</v>
      </c>
      <c r="X877">
        <v>404.88</v>
      </c>
      <c r="Y877">
        <v>76.319999999999993</v>
      </c>
      <c r="Z877">
        <v>12.874235000000001</v>
      </c>
      <c r="AA877">
        <v>107.98837</v>
      </c>
      <c r="AB877">
        <v>328.56</v>
      </c>
      <c r="AC877">
        <v>12.861001</v>
      </c>
      <c r="AD877">
        <v>107.9682</v>
      </c>
      <c r="AE877" s="5">
        <f t="shared" si="66"/>
        <v>0.11447999999999998</v>
      </c>
      <c r="AF877" s="5">
        <f t="shared" si="67"/>
        <v>0.49284000000000006</v>
      </c>
      <c r="AG877" s="1" t="str">
        <f>TRIM(LEFT(L877,FIND("-",L877)-1))</f>
        <v>Ea M’Droh</v>
      </c>
      <c r="AH877" s="1" t="str">
        <f>TRIM(RIGHT(L877, LEN(L877) - FIND("-", L877)))</f>
        <v>Ea Kiết</v>
      </c>
      <c r="AJ877">
        <f t="shared" si="68"/>
        <v>7.6319999999999999E-2</v>
      </c>
      <c r="AK877">
        <f t="shared" si="69"/>
        <v>0.32856000000000002</v>
      </c>
      <c r="AL877">
        <f>VLOOKUP(L877,'[1]Tuyến cáp H04'!$B:$E,3,0)/1000</f>
        <v>13.02</v>
      </c>
      <c r="AM877" t="str">
        <f>VLOOKUP(L877,'[1]Tuyến cáp H04'!$B:$E,4,0)</f>
        <v>Mạng cấp 4</v>
      </c>
    </row>
    <row r="878" spans="1:39" x14ac:dyDescent="0.25">
      <c r="A878" s="1" t="s">
        <v>8432</v>
      </c>
      <c r="B878" s="1" t="s">
        <v>8433</v>
      </c>
      <c r="C878" s="1" t="s">
        <v>8434</v>
      </c>
      <c r="D878" s="1" t="s">
        <v>8275</v>
      </c>
      <c r="E878" s="1" t="s">
        <v>8276</v>
      </c>
      <c r="F878" s="1" t="s">
        <v>8435</v>
      </c>
      <c r="G878" s="1" t="s">
        <v>14129</v>
      </c>
      <c r="H878" s="1" t="s">
        <v>14130</v>
      </c>
      <c r="I878" s="1" t="s">
        <v>14992</v>
      </c>
      <c r="J878" s="1" t="s">
        <v>23</v>
      </c>
      <c r="K878" s="1"/>
      <c r="L878" s="1" t="s">
        <v>8278</v>
      </c>
      <c r="M878" s="1" t="s">
        <v>8278</v>
      </c>
      <c r="N878" s="12" t="b">
        <f t="shared" si="65"/>
        <v>1</v>
      </c>
      <c r="O878" s="1" t="s">
        <v>8436</v>
      </c>
      <c r="P878" s="1" t="s">
        <v>8437</v>
      </c>
      <c r="Q878" s="1" t="s">
        <v>8438</v>
      </c>
      <c r="R878" s="1" t="s">
        <v>8439</v>
      </c>
      <c r="S878" s="1" t="s">
        <v>8283</v>
      </c>
      <c r="T878" s="1" t="s">
        <v>8284</v>
      </c>
      <c r="U878" s="1" t="s">
        <v>8285</v>
      </c>
      <c r="V878" s="13">
        <f>COUNTIF(L878:$M$1659,L878)</f>
        <v>6</v>
      </c>
      <c r="W878" s="1" t="s">
        <v>8286</v>
      </c>
      <c r="X878">
        <v>343.09</v>
      </c>
      <c r="Y878">
        <v>265.54000000000002</v>
      </c>
      <c r="Z878">
        <v>12.840204</v>
      </c>
      <c r="AA878">
        <v>107.98505900000001</v>
      </c>
      <c r="AB878">
        <v>77.55</v>
      </c>
      <c r="AC878">
        <v>12.860792</v>
      </c>
      <c r="AD878">
        <v>107.964518</v>
      </c>
      <c r="AE878" s="5">
        <f t="shared" si="66"/>
        <v>0.39831000000000005</v>
      </c>
      <c r="AF878" s="5">
        <f t="shared" si="67"/>
        <v>0.11632499999999998</v>
      </c>
      <c r="AG878" s="1" t="str">
        <f>TRIM(LEFT(L878,FIND("-",L878)-1))</f>
        <v>Quảng Phú</v>
      </c>
      <c r="AH878" s="1" t="str">
        <f>TRIM(RIGHT(L878, LEN(L878) - FIND("-", L878)))</f>
        <v>Ea M’Droh</v>
      </c>
      <c r="AJ878">
        <f t="shared" si="68"/>
        <v>0.26554</v>
      </c>
      <c r="AK878">
        <f t="shared" si="69"/>
        <v>7.7549999999999994E-2</v>
      </c>
      <c r="AL878">
        <f>VLOOKUP(L878,'[1]Tuyến cáp H04'!$B:$E,3,0)/1000</f>
        <v>14.443</v>
      </c>
      <c r="AM878" t="str">
        <f>VLOOKUP(L878,'[1]Tuyến cáp H04'!$B:$E,4,0)</f>
        <v>Mạng cấp 4</v>
      </c>
    </row>
    <row r="879" spans="1:39" x14ac:dyDescent="0.25">
      <c r="A879" s="1" t="s">
        <v>8440</v>
      </c>
      <c r="B879" s="1" t="s">
        <v>2005</v>
      </c>
      <c r="C879" s="1" t="s">
        <v>8441</v>
      </c>
      <c r="D879" s="1" t="s">
        <v>8442</v>
      </c>
      <c r="E879" s="1" t="s">
        <v>8443</v>
      </c>
      <c r="F879" s="1" t="s">
        <v>8444</v>
      </c>
      <c r="G879" s="1" t="s">
        <v>14129</v>
      </c>
      <c r="H879" s="1" t="s">
        <v>14130</v>
      </c>
      <c r="I879" s="1" t="s">
        <v>14993</v>
      </c>
      <c r="J879" s="1" t="s">
        <v>23</v>
      </c>
      <c r="K879" s="1"/>
      <c r="L879" s="1" t="s">
        <v>8445</v>
      </c>
      <c r="M879" s="1" t="s">
        <v>8445</v>
      </c>
      <c r="N879" s="12" t="b">
        <f t="shared" si="65"/>
        <v>1</v>
      </c>
      <c r="O879" s="1" t="s">
        <v>8446</v>
      </c>
      <c r="P879" s="1" t="s">
        <v>8447</v>
      </c>
      <c r="Q879" s="1" t="s">
        <v>8448</v>
      </c>
      <c r="R879" s="1" t="s">
        <v>8449</v>
      </c>
      <c r="S879" s="1" t="s">
        <v>8450</v>
      </c>
      <c r="T879" s="1" t="s">
        <v>8451</v>
      </c>
      <c r="U879" s="1" t="s">
        <v>8452</v>
      </c>
      <c r="V879" s="13">
        <f>COUNTIF(L879:$M$1659,L879)</f>
        <v>4</v>
      </c>
      <c r="W879" s="1" t="s">
        <v>8453</v>
      </c>
      <c r="X879">
        <v>1086.22</v>
      </c>
      <c r="Y879">
        <v>528.9</v>
      </c>
      <c r="Z879">
        <v>12.553849</v>
      </c>
      <c r="AA879">
        <v>108.180274</v>
      </c>
      <c r="AB879">
        <v>557.32000000000005</v>
      </c>
      <c r="AC879">
        <v>12.561992</v>
      </c>
      <c r="AD879">
        <v>108.168603</v>
      </c>
      <c r="AE879" s="5">
        <f t="shared" si="66"/>
        <v>0.79334999999999989</v>
      </c>
      <c r="AF879" s="5">
        <f t="shared" si="67"/>
        <v>0.83598000000000006</v>
      </c>
      <c r="AG879" s="1" t="str">
        <f>TRIM(LEFT(L879,FIND("-",L879)-1))</f>
        <v>TTCMKV Cư Kuin</v>
      </c>
      <c r="AH879" s="1" t="str">
        <f>TRIM(RIGHT(L879, LEN(L879) - FIND("-", L879)))</f>
        <v>Dang Kang</v>
      </c>
      <c r="AJ879">
        <f t="shared" si="68"/>
        <v>0.52889999999999993</v>
      </c>
      <c r="AK879">
        <f t="shared" si="69"/>
        <v>0.55732000000000004</v>
      </c>
      <c r="AL879">
        <f>VLOOKUP(L879,'[1]Tuyến cáp H04'!$B:$E,3,0)/1000</f>
        <v>24.331</v>
      </c>
      <c r="AM879" t="str">
        <f>VLOOKUP(L879,'[1]Tuyến cáp H04'!$B:$E,4,0)</f>
        <v>Mạng cấp 4</v>
      </c>
    </row>
    <row r="880" spans="1:39" x14ac:dyDescent="0.25">
      <c r="A880" s="1" t="s">
        <v>8454</v>
      </c>
      <c r="B880" s="1" t="s">
        <v>8455</v>
      </c>
      <c r="C880" s="1" t="s">
        <v>8456</v>
      </c>
      <c r="D880" s="1" t="s">
        <v>8442</v>
      </c>
      <c r="E880" s="1" t="s">
        <v>8443</v>
      </c>
      <c r="F880" s="1" t="s">
        <v>8457</v>
      </c>
      <c r="G880" s="1" t="s">
        <v>14129</v>
      </c>
      <c r="H880" s="1" t="s">
        <v>14130</v>
      </c>
      <c r="I880" s="1" t="s">
        <v>14994</v>
      </c>
      <c r="J880" s="1" t="s">
        <v>23</v>
      </c>
      <c r="K880" s="1"/>
      <c r="L880" s="1" t="s">
        <v>8458</v>
      </c>
      <c r="M880" s="1" t="s">
        <v>8458</v>
      </c>
      <c r="N880" s="12" t="b">
        <f t="shared" si="65"/>
        <v>1</v>
      </c>
      <c r="O880" s="1" t="s">
        <v>8459</v>
      </c>
      <c r="P880" s="1" t="s">
        <v>8460</v>
      </c>
      <c r="Q880" s="1" t="s">
        <v>8461</v>
      </c>
      <c r="R880" s="1" t="s">
        <v>8462</v>
      </c>
      <c r="S880" s="1" t="s">
        <v>8463</v>
      </c>
      <c r="T880" s="1" t="s">
        <v>8464</v>
      </c>
      <c r="U880" s="1" t="s">
        <v>8465</v>
      </c>
      <c r="V880" s="13">
        <f>COUNTIF(L880:$M$1659,L880)</f>
        <v>4</v>
      </c>
      <c r="W880" s="1" t="s">
        <v>8466</v>
      </c>
      <c r="X880">
        <v>1010.67</v>
      </c>
      <c r="Y880">
        <v>452.05</v>
      </c>
      <c r="Z880">
        <v>12.573183</v>
      </c>
      <c r="AA880">
        <v>108.164991</v>
      </c>
      <c r="AB880">
        <v>558.62</v>
      </c>
      <c r="AC880">
        <v>12.561987</v>
      </c>
      <c r="AD880">
        <v>108.16861900000001</v>
      </c>
      <c r="AE880" s="5">
        <f t="shared" si="66"/>
        <v>0.67807500000000009</v>
      </c>
      <c r="AF880" s="5">
        <f t="shared" si="67"/>
        <v>0.83793000000000006</v>
      </c>
      <c r="AG880" s="1" t="str">
        <f>TRIM(LEFT(L880,FIND("-",L880)-1))</f>
        <v>Ea Ning</v>
      </c>
      <c r="AH880" s="1" t="str">
        <f>TRIM(RIGHT(L880, LEN(L880) - FIND("-", L880)))</f>
        <v>TTCMKV Cư Kuin</v>
      </c>
      <c r="AJ880">
        <f t="shared" si="68"/>
        <v>0.45205000000000001</v>
      </c>
      <c r="AK880">
        <f t="shared" si="69"/>
        <v>0.55862000000000001</v>
      </c>
      <c r="AL880">
        <f>VLOOKUP(L880,'[1]Tuyến cáp H04'!$B:$E,3,0)/1000</f>
        <v>11.569000000000001</v>
      </c>
      <c r="AM880" t="str">
        <f>VLOOKUP(L880,'[1]Tuyến cáp H04'!$B:$E,4,0)</f>
        <v>Mạng cấp 4</v>
      </c>
    </row>
    <row r="881" spans="1:39" x14ac:dyDescent="0.25">
      <c r="A881" s="1" t="s">
        <v>8467</v>
      </c>
      <c r="B881" s="1" t="s">
        <v>8468</v>
      </c>
      <c r="C881" s="1" t="s">
        <v>8469</v>
      </c>
      <c r="D881" s="1" t="s">
        <v>8470</v>
      </c>
      <c r="E881" s="1" t="s">
        <v>8471</v>
      </c>
      <c r="F881" s="1" t="s">
        <v>8472</v>
      </c>
      <c r="G881" s="1" t="s">
        <v>14129</v>
      </c>
      <c r="H881" s="1" t="s">
        <v>14130</v>
      </c>
      <c r="I881" s="1" t="s">
        <v>14995</v>
      </c>
      <c r="J881" s="1" t="s">
        <v>23</v>
      </c>
      <c r="K881" s="1"/>
      <c r="L881" s="1" t="s">
        <v>8350</v>
      </c>
      <c r="M881" s="1" t="s">
        <v>8350</v>
      </c>
      <c r="N881" s="12" t="b">
        <f t="shared" si="65"/>
        <v>1</v>
      </c>
      <c r="O881" s="1" t="s">
        <v>8473</v>
      </c>
      <c r="P881" s="1" t="s">
        <v>8474</v>
      </c>
      <c r="Q881" s="1" t="s">
        <v>8475</v>
      </c>
      <c r="R881" s="1" t="s">
        <v>8476</v>
      </c>
      <c r="S881" s="1" t="s">
        <v>8477</v>
      </c>
      <c r="T881" s="1" t="s">
        <v>8356</v>
      </c>
      <c r="U881" s="1" t="s">
        <v>8357</v>
      </c>
      <c r="V881" s="13">
        <f>COUNTIF(L881:$M$1659,L881)</f>
        <v>46</v>
      </c>
      <c r="W881" s="1" t="s">
        <v>8358</v>
      </c>
      <c r="X881">
        <v>161.05000000000001</v>
      </c>
      <c r="Y881">
        <v>91.81</v>
      </c>
      <c r="Z881">
        <v>12.807167</v>
      </c>
      <c r="AA881">
        <v>108.433002</v>
      </c>
      <c r="AB881">
        <v>69.25</v>
      </c>
      <c r="AC881">
        <v>12.811565999999999</v>
      </c>
      <c r="AD881">
        <v>108.483311</v>
      </c>
      <c r="AE881" s="5">
        <f t="shared" si="66"/>
        <v>0.137715</v>
      </c>
      <c r="AF881" s="5">
        <f t="shared" si="67"/>
        <v>0.103875</v>
      </c>
      <c r="AG881" s="1" t="str">
        <f>TRIM(LEFT(L881,FIND("-",L881)-1))</f>
        <v>TT1 Đăk Lăk</v>
      </c>
      <c r="AH881" s="1" t="str">
        <f>TRIM(RIGHT(L881, LEN(L881) - FIND("-", L881)))</f>
        <v>ILA Ea Kar</v>
      </c>
      <c r="AJ881">
        <f t="shared" si="68"/>
        <v>9.1810000000000003E-2</v>
      </c>
      <c r="AK881">
        <f t="shared" si="69"/>
        <v>6.9250000000000006E-2</v>
      </c>
      <c r="AL881" t="e">
        <f>VLOOKUP(L881,'[1]Tuyến cáp H04'!$B:$E,3,0)/1000</f>
        <v>#N/A</v>
      </c>
      <c r="AM881" t="e">
        <f>VLOOKUP(L881,'[1]Tuyến cáp H04'!$B:$E,4,0)</f>
        <v>#N/A</v>
      </c>
    </row>
    <row r="882" spans="1:39" x14ac:dyDescent="0.25">
      <c r="A882" s="1" t="s">
        <v>8478</v>
      </c>
      <c r="B882" s="1" t="s">
        <v>8479</v>
      </c>
      <c r="C882" s="1" t="s">
        <v>8480</v>
      </c>
      <c r="D882" s="1" t="s">
        <v>8260</v>
      </c>
      <c r="E882" s="1" t="s">
        <v>8261</v>
      </c>
      <c r="F882" s="1" t="s">
        <v>8481</v>
      </c>
      <c r="G882" s="1" t="s">
        <v>14129</v>
      </c>
      <c r="H882" s="1" t="s">
        <v>14130</v>
      </c>
      <c r="I882" s="1" t="s">
        <v>14996</v>
      </c>
      <c r="J882" s="1" t="s">
        <v>23</v>
      </c>
      <c r="K882" s="1"/>
      <c r="L882" s="1" t="s">
        <v>8263</v>
      </c>
      <c r="M882" s="1" t="s">
        <v>8263</v>
      </c>
      <c r="N882" s="12" t="b">
        <f t="shared" si="65"/>
        <v>1</v>
      </c>
      <c r="O882" s="1" t="s">
        <v>8482</v>
      </c>
      <c r="P882" s="1" t="s">
        <v>8483</v>
      </c>
      <c r="Q882" s="1" t="s">
        <v>8484</v>
      </c>
      <c r="R882" s="1" t="s">
        <v>8485</v>
      </c>
      <c r="S882" s="1" t="s">
        <v>8268</v>
      </c>
      <c r="T882" s="1" t="s">
        <v>8269</v>
      </c>
      <c r="U882" s="1" t="s">
        <v>8270</v>
      </c>
      <c r="V882" s="13">
        <f>COUNTIF(L882:$M$1659,L882)</f>
        <v>6</v>
      </c>
      <c r="W882" s="1" t="s">
        <v>8271</v>
      </c>
      <c r="X882">
        <v>315.25</v>
      </c>
      <c r="Y882">
        <v>279.26</v>
      </c>
      <c r="Z882">
        <v>12.954124999999999</v>
      </c>
      <c r="AA882">
        <v>108.33299100000001</v>
      </c>
      <c r="AB882">
        <v>35.99</v>
      </c>
      <c r="AC882">
        <v>12.951675</v>
      </c>
      <c r="AD882">
        <v>108.344356</v>
      </c>
      <c r="AE882" s="5">
        <f t="shared" si="66"/>
        <v>0.41888999999999998</v>
      </c>
      <c r="AF882" s="5">
        <f t="shared" si="67"/>
        <v>5.3984999999999998E-2</v>
      </c>
      <c r="AG882" s="1" t="e">
        <f>TRIM(LEFT(L882,FIND("-",L882)-1))</f>
        <v>#VALUE!</v>
      </c>
      <c r="AH882" s="1" t="e">
        <f>TRIM(RIGHT(L882, LEN(L882) - FIND("-", L882)))</f>
        <v>#VALUE!</v>
      </c>
      <c r="AJ882">
        <f t="shared" si="68"/>
        <v>0.27926000000000001</v>
      </c>
      <c r="AK882">
        <f t="shared" si="69"/>
        <v>3.5990000000000001E-2</v>
      </c>
      <c r="AL882" t="e">
        <f>VLOOKUP(L882,'[1]Tuyến cáp H04'!$B:$E,3,0)/1000</f>
        <v>#N/A</v>
      </c>
      <c r="AM882" t="e">
        <f>VLOOKUP(L882,'[1]Tuyến cáp H04'!$B:$E,4,0)</f>
        <v>#N/A</v>
      </c>
    </row>
    <row r="883" spans="1:39" x14ac:dyDescent="0.25">
      <c r="A883" s="1" t="s">
        <v>8486</v>
      </c>
      <c r="B883" s="1" t="s">
        <v>8487</v>
      </c>
      <c r="C883" s="1" t="s">
        <v>8488</v>
      </c>
      <c r="D883" s="1" t="s">
        <v>8218</v>
      </c>
      <c r="E883" s="1" t="s">
        <v>8219</v>
      </c>
      <c r="F883" s="1" t="s">
        <v>8489</v>
      </c>
      <c r="G883" s="1" t="s">
        <v>14129</v>
      </c>
      <c r="H883" s="1" t="s">
        <v>14130</v>
      </c>
      <c r="I883" s="1" t="s">
        <v>14997</v>
      </c>
      <c r="J883" s="1" t="s">
        <v>23</v>
      </c>
      <c r="K883" s="1"/>
      <c r="L883" s="1" t="s">
        <v>8221</v>
      </c>
      <c r="M883" s="1" t="s">
        <v>8221</v>
      </c>
      <c r="N883" s="12" t="b">
        <f t="shared" si="65"/>
        <v>1</v>
      </c>
      <c r="O883" s="1" t="s">
        <v>8490</v>
      </c>
      <c r="P883" s="1" t="s">
        <v>8491</v>
      </c>
      <c r="Q883" s="1" t="s">
        <v>8492</v>
      </c>
      <c r="R883" s="1" t="s">
        <v>8493</v>
      </c>
      <c r="S883" s="1" t="s">
        <v>8226</v>
      </c>
      <c r="T883" s="1" t="s">
        <v>8227</v>
      </c>
      <c r="U883" s="1" t="s">
        <v>8228</v>
      </c>
      <c r="V883" s="13">
        <f>COUNTIF(L883:$M$1659,L883)</f>
        <v>4</v>
      </c>
      <c r="W883" s="1" t="s">
        <v>8229</v>
      </c>
      <c r="X883">
        <v>565.14</v>
      </c>
      <c r="Y883">
        <v>292.32</v>
      </c>
      <c r="Z883">
        <v>13.136281</v>
      </c>
      <c r="AA883">
        <v>108.327502</v>
      </c>
      <c r="AB883">
        <v>272.81</v>
      </c>
      <c r="AC883">
        <v>13.118876999999999</v>
      </c>
      <c r="AD883">
        <v>108.329477</v>
      </c>
      <c r="AE883" s="5">
        <f t="shared" si="66"/>
        <v>0.43848000000000004</v>
      </c>
      <c r="AF883" s="5">
        <f t="shared" si="67"/>
        <v>0.40921500000000005</v>
      </c>
      <c r="AG883" s="1" t="e">
        <f>TRIM(LEFT(L883,FIND("-",L883)-1))</f>
        <v>#VALUE!</v>
      </c>
      <c r="AH883" s="1" t="e">
        <f>TRIM(RIGHT(L883, LEN(L883) - FIND("-", L883)))</f>
        <v>#VALUE!</v>
      </c>
      <c r="AJ883">
        <f t="shared" si="68"/>
        <v>0.29231999999999997</v>
      </c>
      <c r="AK883">
        <f t="shared" si="69"/>
        <v>0.27281</v>
      </c>
      <c r="AL883" t="e">
        <f>VLOOKUP(L883,'[1]Tuyến cáp H04'!$B:$E,3,0)/1000</f>
        <v>#N/A</v>
      </c>
      <c r="AM883" t="e">
        <f>VLOOKUP(L883,'[1]Tuyến cáp H04'!$B:$E,4,0)</f>
        <v>#N/A</v>
      </c>
    </row>
    <row r="884" spans="1:39" x14ac:dyDescent="0.25">
      <c r="A884" s="1" t="s">
        <v>8494</v>
      </c>
      <c r="B884" s="1" t="s">
        <v>8495</v>
      </c>
      <c r="C884" s="1" t="s">
        <v>8496</v>
      </c>
      <c r="D884" s="1" t="s">
        <v>8218</v>
      </c>
      <c r="E884" s="1" t="s">
        <v>8219</v>
      </c>
      <c r="F884" s="1" t="s">
        <v>8497</v>
      </c>
      <c r="G884" s="1" t="s">
        <v>14129</v>
      </c>
      <c r="H884" s="1" t="s">
        <v>14130</v>
      </c>
      <c r="I884" s="1" t="s">
        <v>14998</v>
      </c>
      <c r="J884" s="1" t="s">
        <v>23</v>
      </c>
      <c r="K884" s="1"/>
      <c r="L884" s="1" t="s">
        <v>8498</v>
      </c>
      <c r="M884" s="1" t="s">
        <v>8498</v>
      </c>
      <c r="N884" s="12" t="b">
        <f t="shared" si="65"/>
        <v>1</v>
      </c>
      <c r="O884" s="1" t="s">
        <v>8499</v>
      </c>
      <c r="P884" s="1" t="s">
        <v>8500</v>
      </c>
      <c r="Q884" s="1" t="s">
        <v>8501</v>
      </c>
      <c r="R884" s="1" t="s">
        <v>8502</v>
      </c>
      <c r="S884" s="1" t="s">
        <v>8503</v>
      </c>
      <c r="T884" s="1" t="s">
        <v>8504</v>
      </c>
      <c r="U884" s="1" t="s">
        <v>8505</v>
      </c>
      <c r="V884" s="13">
        <f>COUNTIF(L884:$M$1659,L884)</f>
        <v>6</v>
      </c>
      <c r="W884" s="1" t="s">
        <v>8506</v>
      </c>
      <c r="X884">
        <v>315.45</v>
      </c>
      <c r="Y884">
        <v>132.01</v>
      </c>
      <c r="Z884">
        <v>13.092209</v>
      </c>
      <c r="AA884">
        <v>108.340898</v>
      </c>
      <c r="AB884">
        <v>183.44</v>
      </c>
      <c r="AC884">
        <v>13.114953</v>
      </c>
      <c r="AD884">
        <v>108.330055</v>
      </c>
      <c r="AE884" s="5">
        <f t="shared" si="66"/>
        <v>0.198015</v>
      </c>
      <c r="AF884" s="5">
        <f t="shared" si="67"/>
        <v>0.27515999999999996</v>
      </c>
      <c r="AG884" s="1" t="str">
        <f>TRIM(LEFT(L884,FIND("-",L884)-1))</f>
        <v>TTCMKV Buôn Hồ</v>
      </c>
      <c r="AH884" s="1" t="str">
        <f>TRIM(RIGHT(L884, LEN(L884) - FIND("-", L884)))</f>
        <v>Dliê Ya</v>
      </c>
      <c r="AJ884">
        <f t="shared" si="68"/>
        <v>0.13200999999999999</v>
      </c>
      <c r="AK884">
        <f t="shared" si="69"/>
        <v>0.18343999999999999</v>
      </c>
      <c r="AL884">
        <f>VLOOKUP(L884,'[1]Tuyến cáp H04'!$B:$E,3,0)/1000</f>
        <v>30.356000000000002</v>
      </c>
      <c r="AM884" t="str">
        <f>VLOOKUP(L884,'[1]Tuyến cáp H04'!$B:$E,4,0)</f>
        <v>Mạng cấp 4</v>
      </c>
    </row>
    <row r="885" spans="1:39" x14ac:dyDescent="0.25">
      <c r="A885" s="1" t="s">
        <v>8507</v>
      </c>
      <c r="B885" s="1" t="s">
        <v>8508</v>
      </c>
      <c r="C885" s="1" t="s">
        <v>8509</v>
      </c>
      <c r="D885" s="1" t="s">
        <v>8510</v>
      </c>
      <c r="E885" s="1" t="s">
        <v>8511</v>
      </c>
      <c r="F885" s="1" t="s">
        <v>8512</v>
      </c>
      <c r="G885" s="1" t="s">
        <v>14129</v>
      </c>
      <c r="H885" s="1" t="s">
        <v>14130</v>
      </c>
      <c r="I885" s="1" t="s">
        <v>14999</v>
      </c>
      <c r="J885" s="1" t="s">
        <v>23</v>
      </c>
      <c r="K885" s="1"/>
      <c r="L885" s="1" t="s">
        <v>8513</v>
      </c>
      <c r="M885" s="1" t="s">
        <v>8513</v>
      </c>
      <c r="N885" s="12" t="b">
        <f t="shared" si="65"/>
        <v>1</v>
      </c>
      <c r="O885" s="1" t="s">
        <v>8514</v>
      </c>
      <c r="P885" s="1" t="s">
        <v>8515</v>
      </c>
      <c r="Q885" s="1" t="s">
        <v>8516</v>
      </c>
      <c r="R885" s="1" t="s">
        <v>8517</v>
      </c>
      <c r="S885" s="1" t="s">
        <v>8518</v>
      </c>
      <c r="T885" s="1" t="s">
        <v>8519</v>
      </c>
      <c r="U885" s="1" t="s">
        <v>8520</v>
      </c>
      <c r="V885" s="13">
        <f>COUNTIF(L885:$M$1659,L885)</f>
        <v>4</v>
      </c>
      <c r="W885" s="1" t="s">
        <v>8521</v>
      </c>
      <c r="X885">
        <v>159.72999999999999</v>
      </c>
      <c r="Y885">
        <v>90.58</v>
      </c>
      <c r="Z885">
        <v>12.674484</v>
      </c>
      <c r="AA885">
        <v>108.341233</v>
      </c>
      <c r="AB885">
        <v>69.150000000000006</v>
      </c>
      <c r="AC885">
        <v>12.655666999999999</v>
      </c>
      <c r="AD885">
        <v>108.343625</v>
      </c>
      <c r="AE885" s="5">
        <f t="shared" si="66"/>
        <v>0.13586999999999999</v>
      </c>
      <c r="AF885" s="5">
        <f t="shared" si="67"/>
        <v>0.10372500000000001</v>
      </c>
      <c r="AG885" s="1" t="str">
        <f>TRIM(LEFT(L885,FIND("-",L885)-1))</f>
        <v>Cơ sở cai nghiện (X. Tân Tiến, H. Kron Pắc)</v>
      </c>
      <c r="AH885" s="1" t="str">
        <f>TRIM(RIGHT(L885, LEN(L885) - FIND("-", L885)))</f>
        <v>TTCMKV Krong Pắc</v>
      </c>
      <c r="AJ885">
        <f t="shared" si="68"/>
        <v>9.0579999999999994E-2</v>
      </c>
      <c r="AK885">
        <f t="shared" si="69"/>
        <v>6.9150000000000003E-2</v>
      </c>
      <c r="AL885">
        <f>VLOOKUP(L885,'[1]Tuyến cáp H04'!$B:$E,3,0)/1000</f>
        <v>8.8070000000000004</v>
      </c>
      <c r="AM885" t="str">
        <f>VLOOKUP(L885,'[1]Tuyến cáp H04'!$B:$E,4,0)</f>
        <v>Mạng cấp 3</v>
      </c>
    </row>
    <row r="886" spans="1:39" x14ac:dyDescent="0.25">
      <c r="A886" s="1" t="s">
        <v>8522</v>
      </c>
      <c r="B886" s="1" t="s">
        <v>8523</v>
      </c>
      <c r="C886" s="1" t="s">
        <v>8524</v>
      </c>
      <c r="D886" s="1" t="s">
        <v>8290</v>
      </c>
      <c r="E886" s="1" t="s">
        <v>8291</v>
      </c>
      <c r="F886" s="1" t="s">
        <v>8525</v>
      </c>
      <c r="G886" s="1" t="s">
        <v>14129</v>
      </c>
      <c r="H886" s="1" t="s">
        <v>14130</v>
      </c>
      <c r="I886" s="1" t="s">
        <v>15000</v>
      </c>
      <c r="J886" s="1" t="s">
        <v>23</v>
      </c>
      <c r="K886" s="1"/>
      <c r="L886" s="1" t="s">
        <v>8293</v>
      </c>
      <c r="M886" s="1" t="s">
        <v>8293</v>
      </c>
      <c r="N886" s="12" t="b">
        <f t="shared" si="65"/>
        <v>1</v>
      </c>
      <c r="O886" s="1" t="s">
        <v>8526</v>
      </c>
      <c r="P886" s="1" t="s">
        <v>8527</v>
      </c>
      <c r="Q886" s="1" t="s">
        <v>8528</v>
      </c>
      <c r="R886" s="1" t="s">
        <v>8529</v>
      </c>
      <c r="S886" s="1" t="s">
        <v>8298</v>
      </c>
      <c r="T886" s="1" t="s">
        <v>8299</v>
      </c>
      <c r="U886" s="1" t="s">
        <v>8300</v>
      </c>
      <c r="V886" s="13">
        <f>COUNTIF(L886:$M$1659,L886)</f>
        <v>16</v>
      </c>
      <c r="W886" s="1" t="s">
        <v>8301</v>
      </c>
      <c r="X886">
        <v>324.75</v>
      </c>
      <c r="Y886">
        <v>207.75</v>
      </c>
      <c r="Z886">
        <v>12.887229</v>
      </c>
      <c r="AA886">
        <v>108.11076</v>
      </c>
      <c r="AB886">
        <v>117.01</v>
      </c>
      <c r="AC886">
        <v>12.853419000000001</v>
      </c>
      <c r="AD886">
        <v>108.10435699999999</v>
      </c>
      <c r="AE886" s="5">
        <f t="shared" si="66"/>
        <v>0.31162499999999999</v>
      </c>
      <c r="AF886" s="5">
        <f t="shared" si="67"/>
        <v>0.175515</v>
      </c>
      <c r="AG886" s="1" t="str">
        <f>TRIM(LEFT(L886,FIND("-",L886)-1))</f>
        <v>Cư M'ga</v>
      </c>
      <c r="AH886" s="1" t="str">
        <f>TRIM(RIGHT(L886, LEN(L886) - FIND("-", L886)))</f>
        <v>Buôn Hồ</v>
      </c>
      <c r="AJ886">
        <f t="shared" si="68"/>
        <v>0.20774999999999999</v>
      </c>
      <c r="AK886">
        <f t="shared" si="69"/>
        <v>0.11701</v>
      </c>
      <c r="AL886">
        <f>VLOOKUP(L886,'[1]Tuyến cáp H04'!$B:$E,3,0)/1000</f>
        <v>38.145000000000003</v>
      </c>
      <c r="AM886" t="str">
        <f>VLOOKUP(L886,'[1]Tuyến cáp H04'!$B:$E,4,0)</f>
        <v>Mạng cấp 3</v>
      </c>
    </row>
    <row r="887" spans="1:39" x14ac:dyDescent="0.25">
      <c r="A887" s="1" t="s">
        <v>8530</v>
      </c>
      <c r="B887" s="1" t="s">
        <v>8531</v>
      </c>
      <c r="C887" s="1" t="s">
        <v>8532</v>
      </c>
      <c r="D887" s="1" t="s">
        <v>8233</v>
      </c>
      <c r="E887" s="1" t="s">
        <v>8234</v>
      </c>
      <c r="F887" s="1" t="s">
        <v>8533</v>
      </c>
      <c r="G887" s="1" t="s">
        <v>14129</v>
      </c>
      <c r="H887" s="1" t="s">
        <v>14130</v>
      </c>
      <c r="I887" s="1" t="s">
        <v>15001</v>
      </c>
      <c r="J887" s="1" t="s">
        <v>23</v>
      </c>
      <c r="K887" s="1"/>
      <c r="L887" s="1" t="s">
        <v>8534</v>
      </c>
      <c r="M887" s="1" t="s">
        <v>8534</v>
      </c>
      <c r="N887" s="12" t="b">
        <f t="shared" si="65"/>
        <v>1</v>
      </c>
      <c r="O887" s="1" t="s">
        <v>8535</v>
      </c>
      <c r="P887" s="1" t="s">
        <v>8536</v>
      </c>
      <c r="Q887" s="1" t="s">
        <v>8537</v>
      </c>
      <c r="R887" s="1" t="s">
        <v>8538</v>
      </c>
      <c r="S887" s="1" t="s">
        <v>8539</v>
      </c>
      <c r="T887" s="1" t="s">
        <v>8540</v>
      </c>
      <c r="U887" s="1" t="s">
        <v>8541</v>
      </c>
      <c r="V887" s="13">
        <f>COUNTIF(L887:$M$1659,L887)</f>
        <v>2</v>
      </c>
      <c r="W887" s="1" t="s">
        <v>8542</v>
      </c>
      <c r="X887">
        <v>1073.3399999999999</v>
      </c>
      <c r="Y887">
        <v>847.69</v>
      </c>
      <c r="Z887">
        <v>13.059899</v>
      </c>
      <c r="AA887">
        <v>108.227368</v>
      </c>
      <c r="AB887">
        <v>225.65</v>
      </c>
      <c r="AC887">
        <v>13.038637</v>
      </c>
      <c r="AD887">
        <v>108.22068299999999</v>
      </c>
      <c r="AE887" s="5">
        <f t="shared" si="66"/>
        <v>1.2715350000000001</v>
      </c>
      <c r="AF887" s="5">
        <f t="shared" si="67"/>
        <v>0.33847500000000003</v>
      </c>
      <c r="AG887" s="1" t="str">
        <f>TRIM(LEFT(L887,FIND("-",L887)-1))</f>
        <v>Krông Búk</v>
      </c>
      <c r="AH887" s="1" t="str">
        <f>TRIM(RIGHT(L887, LEN(L887) - FIND("-", L887)))</f>
        <v>Ea Khăl</v>
      </c>
      <c r="AJ887">
        <f t="shared" si="68"/>
        <v>0.84769000000000005</v>
      </c>
      <c r="AK887">
        <f t="shared" si="69"/>
        <v>0.22565000000000002</v>
      </c>
      <c r="AL887">
        <f>VLOOKUP(L887,'[1]Tuyến cáp H04'!$B:$E,3,0)/1000</f>
        <v>24.032</v>
      </c>
      <c r="AM887" t="str">
        <f>VLOOKUP(L887,'[1]Tuyến cáp H04'!$B:$E,4,0)</f>
        <v>Mạng cấp 4</v>
      </c>
    </row>
    <row r="888" spans="1:39" x14ac:dyDescent="0.25">
      <c r="A888" s="1" t="s">
        <v>8543</v>
      </c>
      <c r="B888" s="1" t="s">
        <v>8544</v>
      </c>
      <c r="C888" s="1" t="s">
        <v>8545</v>
      </c>
      <c r="D888" s="1" t="s">
        <v>8332</v>
      </c>
      <c r="E888" s="1" t="s">
        <v>8333</v>
      </c>
      <c r="F888" s="1" t="s">
        <v>8546</v>
      </c>
      <c r="G888" s="1" t="s">
        <v>14129</v>
      </c>
      <c r="H888" s="1" t="s">
        <v>14130</v>
      </c>
      <c r="I888" s="1" t="s">
        <v>15002</v>
      </c>
      <c r="J888" s="1" t="s">
        <v>23</v>
      </c>
      <c r="K888" s="1"/>
      <c r="L888" s="1" t="s">
        <v>8335</v>
      </c>
      <c r="M888" s="1" t="s">
        <v>8335</v>
      </c>
      <c r="N888" s="12" t="b">
        <f t="shared" si="65"/>
        <v>1</v>
      </c>
      <c r="O888" s="1" t="s">
        <v>8547</v>
      </c>
      <c r="P888" s="1" t="s">
        <v>8548</v>
      </c>
      <c r="Q888" s="1" t="s">
        <v>8549</v>
      </c>
      <c r="R888" s="1" t="s">
        <v>8550</v>
      </c>
      <c r="S888" s="1" t="s">
        <v>8340</v>
      </c>
      <c r="T888" s="1" t="s">
        <v>8341</v>
      </c>
      <c r="U888" s="1" t="s">
        <v>8342</v>
      </c>
      <c r="V888" s="13">
        <f>COUNTIF(L888:$M$1659,L888)</f>
        <v>6</v>
      </c>
      <c r="W888" s="1" t="s">
        <v>8343</v>
      </c>
      <c r="X888">
        <v>381.06</v>
      </c>
      <c r="Y888">
        <v>323.11</v>
      </c>
      <c r="Z888">
        <v>12.904659000000001</v>
      </c>
      <c r="AA888">
        <v>108.265595</v>
      </c>
      <c r="AB888">
        <v>57.95</v>
      </c>
      <c r="AC888">
        <v>12.916482999999999</v>
      </c>
      <c r="AD888">
        <v>108.26607</v>
      </c>
      <c r="AE888" s="5">
        <f t="shared" si="66"/>
        <v>0.48466500000000001</v>
      </c>
      <c r="AF888" s="5">
        <f t="shared" si="67"/>
        <v>8.6925000000000016E-2</v>
      </c>
      <c r="AG888" s="1" t="e">
        <f>TRIM(LEFT(L888,FIND("-",L888)-1))</f>
        <v>#VALUE!</v>
      </c>
      <c r="AH888" s="1" t="e">
        <f>TRIM(RIGHT(L888, LEN(L888) - FIND("-", L888)))</f>
        <v>#VALUE!</v>
      </c>
      <c r="AJ888">
        <f t="shared" si="68"/>
        <v>0.32311000000000001</v>
      </c>
      <c r="AK888">
        <f t="shared" si="69"/>
        <v>5.7950000000000002E-2</v>
      </c>
      <c r="AL888" t="e">
        <f>VLOOKUP(L888,'[1]Tuyến cáp H04'!$B:$E,3,0)/1000</f>
        <v>#N/A</v>
      </c>
      <c r="AM888" t="e">
        <f>VLOOKUP(L888,'[1]Tuyến cáp H04'!$B:$E,4,0)</f>
        <v>#N/A</v>
      </c>
    </row>
    <row r="889" spans="1:39" x14ac:dyDescent="0.25">
      <c r="A889" s="1" t="s">
        <v>8551</v>
      </c>
      <c r="B889" s="1" t="s">
        <v>8552</v>
      </c>
      <c r="C889" s="1" t="s">
        <v>8553</v>
      </c>
      <c r="D889" s="1" t="s">
        <v>8554</v>
      </c>
      <c r="E889" s="1" t="s">
        <v>8555</v>
      </c>
      <c r="F889" s="1" t="s">
        <v>8556</v>
      </c>
      <c r="G889" s="1" t="s">
        <v>14129</v>
      </c>
      <c r="H889" s="1" t="s">
        <v>14133</v>
      </c>
      <c r="I889" s="1" t="s">
        <v>15003</v>
      </c>
      <c r="J889" s="1" t="s">
        <v>23</v>
      </c>
      <c r="K889" s="1"/>
      <c r="L889" s="1" t="s">
        <v>8557</v>
      </c>
      <c r="M889" s="1" t="s">
        <v>8557</v>
      </c>
      <c r="N889" s="12" t="b">
        <f t="shared" si="65"/>
        <v>1</v>
      </c>
      <c r="O889" s="1" t="s">
        <v>8558</v>
      </c>
      <c r="P889" s="1" t="s">
        <v>8559</v>
      </c>
      <c r="Q889" s="1" t="s">
        <v>8560</v>
      </c>
      <c r="R889" s="1" t="s">
        <v>8561</v>
      </c>
      <c r="S889" s="1" t="s">
        <v>8562</v>
      </c>
      <c r="T889" s="1" t="s">
        <v>8563</v>
      </c>
      <c r="U889" s="1" t="s">
        <v>8564</v>
      </c>
      <c r="V889" s="13">
        <f>COUNTIF(L889:$M$1659,L889)</f>
        <v>6</v>
      </c>
      <c r="W889" s="1" t="s">
        <v>8565</v>
      </c>
      <c r="X889">
        <v>531.51</v>
      </c>
      <c r="Y889">
        <v>458.29</v>
      </c>
      <c r="Z889">
        <v>12.681184</v>
      </c>
      <c r="AA889">
        <v>108.04718</v>
      </c>
      <c r="AB889">
        <v>73.209999999999994</v>
      </c>
      <c r="AC889">
        <v>12.68474</v>
      </c>
      <c r="AD889">
        <v>108.05229799999999</v>
      </c>
      <c r="AE889" s="5">
        <f t="shared" si="66"/>
        <v>0.68743500000000002</v>
      </c>
      <c r="AF889" s="5">
        <f t="shared" si="67"/>
        <v>0.109815</v>
      </c>
      <c r="AG889" s="1" t="str">
        <f>TRIM(LEFT(L889,FIND("-",L889)-1))</f>
        <v>TT1 Đăk Lăk</v>
      </c>
      <c r="AH889" s="1" t="str">
        <f>TRIM(RIGHT(L889, LEN(L889) - FIND("-", L889)))</f>
        <v>KRông Ana</v>
      </c>
      <c r="AJ889">
        <f t="shared" si="68"/>
        <v>0.45829000000000003</v>
      </c>
      <c r="AK889">
        <f t="shared" si="69"/>
        <v>7.3209999999999997E-2</v>
      </c>
      <c r="AL889">
        <f>VLOOKUP(L889,'[1]Tuyến cáp H04'!$B:$E,3,0)/1000</f>
        <v>30.666</v>
      </c>
      <c r="AM889" t="str">
        <f>VLOOKUP(L889,'[1]Tuyến cáp H04'!$B:$E,4,0)</f>
        <v>Mạng cấp 3</v>
      </c>
    </row>
    <row r="890" spans="1:39" x14ac:dyDescent="0.25">
      <c r="A890" s="1" t="s">
        <v>8566</v>
      </c>
      <c r="B890" s="1" t="s">
        <v>8567</v>
      </c>
      <c r="C890" s="1" t="s">
        <v>8568</v>
      </c>
      <c r="D890" s="1" t="s">
        <v>8569</v>
      </c>
      <c r="E890" s="1" t="s">
        <v>8570</v>
      </c>
      <c r="F890" s="1" t="s">
        <v>8571</v>
      </c>
      <c r="G890" s="1" t="s">
        <v>14129</v>
      </c>
      <c r="H890" s="1" t="s">
        <v>14133</v>
      </c>
      <c r="I890" s="1" t="s">
        <v>15004</v>
      </c>
      <c r="J890" s="1" t="s">
        <v>23</v>
      </c>
      <c r="K890" s="1"/>
      <c r="L890" s="1" t="s">
        <v>8572</v>
      </c>
      <c r="M890" s="1" t="s">
        <v>8572</v>
      </c>
      <c r="N890" s="12" t="b">
        <f t="shared" si="65"/>
        <v>1</v>
      </c>
      <c r="O890" s="1" t="s">
        <v>8573</v>
      </c>
      <c r="P890" s="1" t="s">
        <v>8574</v>
      </c>
      <c r="Q890" s="1" t="s">
        <v>8575</v>
      </c>
      <c r="R890" s="1" t="s">
        <v>8576</v>
      </c>
      <c r="S890" s="1" t="s">
        <v>8577</v>
      </c>
      <c r="T890" s="1" t="s">
        <v>8578</v>
      </c>
      <c r="U890" s="1" t="s">
        <v>8579</v>
      </c>
      <c r="V890" s="13">
        <f>COUNTIF(L890:$M$1659,L890)</f>
        <v>8</v>
      </c>
      <c r="W890" s="1" t="s">
        <v>8580</v>
      </c>
      <c r="X890">
        <v>1548.06</v>
      </c>
      <c r="Y890">
        <v>1247.22</v>
      </c>
      <c r="Z890">
        <v>12.685477000000001</v>
      </c>
      <c r="AA890">
        <v>108.0461</v>
      </c>
      <c r="AB890">
        <v>300.83999999999997</v>
      </c>
      <c r="AC890">
        <v>12.710324999999999</v>
      </c>
      <c r="AD890">
        <v>108.068253</v>
      </c>
      <c r="AE890" s="5">
        <f t="shared" si="66"/>
        <v>1.87083</v>
      </c>
      <c r="AF890" s="5">
        <f t="shared" si="67"/>
        <v>0.45125999999999999</v>
      </c>
      <c r="AG890" s="1" t="str">
        <f>TRIM(LEFT(L890,FIND("-",L890)-1))</f>
        <v>CAT Đắk Lắk</v>
      </c>
      <c r="AH890" s="1" t="str">
        <f>TRIM(RIGHT(L890, LEN(L890) - FIND("-", L890)))</f>
        <v>Buôn Ma Thuột</v>
      </c>
      <c r="AJ890">
        <f t="shared" si="68"/>
        <v>1.24722</v>
      </c>
      <c r="AK890">
        <f t="shared" si="69"/>
        <v>0.30084</v>
      </c>
      <c r="AL890">
        <f>VLOOKUP(L890,'[1]Tuyến cáp H04'!$B:$E,3,0)/1000</f>
        <v>5.4139999999999997</v>
      </c>
      <c r="AM890" t="str">
        <f>VLOOKUP(L890,'[1]Tuyến cáp H04'!$B:$E,4,0)</f>
        <v>Mạng cấp 4</v>
      </c>
    </row>
    <row r="891" spans="1:39" x14ac:dyDescent="0.25">
      <c r="A891" s="1" t="s">
        <v>8581</v>
      </c>
      <c r="B891" s="1" t="s">
        <v>8569</v>
      </c>
      <c r="C891" s="1" t="s">
        <v>8570</v>
      </c>
      <c r="D891" s="1" t="s">
        <v>8347</v>
      </c>
      <c r="E891" s="1" t="s">
        <v>8348</v>
      </c>
      <c r="F891" s="1" t="s">
        <v>8582</v>
      </c>
      <c r="G891" s="1" t="s">
        <v>14129</v>
      </c>
      <c r="H891" s="1" t="s">
        <v>14133</v>
      </c>
      <c r="I891" s="1" t="s">
        <v>15005</v>
      </c>
      <c r="J891" s="1" t="s">
        <v>23</v>
      </c>
      <c r="K891" s="1"/>
      <c r="L891" s="1" t="s">
        <v>8350</v>
      </c>
      <c r="M891" s="1" t="s">
        <v>8350</v>
      </c>
      <c r="N891" s="12" t="b">
        <f t="shared" si="65"/>
        <v>1</v>
      </c>
      <c r="O891" s="1" t="s">
        <v>8583</v>
      </c>
      <c r="P891" s="1" t="s">
        <v>8584</v>
      </c>
      <c r="Q891" s="1" t="s">
        <v>8585</v>
      </c>
      <c r="R891" s="1" t="s">
        <v>8586</v>
      </c>
      <c r="S891" s="1" t="s">
        <v>8355</v>
      </c>
      <c r="T891" s="1" t="s">
        <v>8356</v>
      </c>
      <c r="U891" s="1" t="s">
        <v>8357</v>
      </c>
      <c r="V891" s="13">
        <f>COUNTIF(L891:$M$1659,L891)</f>
        <v>44</v>
      </c>
      <c r="W891" s="1" t="s">
        <v>8358</v>
      </c>
      <c r="X891">
        <v>92205.65</v>
      </c>
      <c r="Y891">
        <v>1584.15</v>
      </c>
      <c r="Z891">
        <v>12.701527</v>
      </c>
      <c r="AA891">
        <v>108.07596700000001</v>
      </c>
      <c r="AB891">
        <v>90621.49</v>
      </c>
      <c r="AC891">
        <v>12.811565999999999</v>
      </c>
      <c r="AD891">
        <v>108.483311</v>
      </c>
      <c r="AE891" s="5">
        <f t="shared" si="66"/>
        <v>2.3762250000000003</v>
      </c>
      <c r="AF891" s="5">
        <f t="shared" si="67"/>
        <v>135.93223500000002</v>
      </c>
      <c r="AG891" s="1" t="str">
        <f>TRIM(LEFT(L891,FIND("-",L891)-1))</f>
        <v>TT1 Đăk Lăk</v>
      </c>
      <c r="AH891" s="1" t="str">
        <f>TRIM(RIGHT(L891, LEN(L891) - FIND("-", L891)))</f>
        <v>ILA Ea Kar</v>
      </c>
      <c r="AJ891">
        <f t="shared" si="68"/>
        <v>1.5841500000000002</v>
      </c>
      <c r="AK891">
        <f t="shared" si="69"/>
        <v>90.621490000000009</v>
      </c>
      <c r="AL891" t="e">
        <f>VLOOKUP(L891,'[1]Tuyến cáp H04'!$B:$E,3,0)/1000</f>
        <v>#N/A</v>
      </c>
      <c r="AM891" t="e">
        <f>VLOOKUP(L891,'[1]Tuyến cáp H04'!$B:$E,4,0)</f>
        <v>#N/A</v>
      </c>
    </row>
    <row r="892" spans="1:39" x14ac:dyDescent="0.25">
      <c r="A892" s="1" t="s">
        <v>8587</v>
      </c>
      <c r="B892" s="1" t="s">
        <v>8347</v>
      </c>
      <c r="C892" s="1" t="s">
        <v>8348</v>
      </c>
      <c r="D892" s="1" t="s">
        <v>8554</v>
      </c>
      <c r="E892" s="1" t="s">
        <v>8555</v>
      </c>
      <c r="F892" s="1" t="s">
        <v>8588</v>
      </c>
      <c r="G892" s="1" t="s">
        <v>14129</v>
      </c>
      <c r="H892" s="1" t="s">
        <v>14133</v>
      </c>
      <c r="I892" s="1" t="s">
        <v>15006</v>
      </c>
      <c r="J892" s="1" t="s">
        <v>23</v>
      </c>
      <c r="K892" s="1"/>
      <c r="L892" s="1" t="s">
        <v>8350</v>
      </c>
      <c r="M892" s="1" t="s">
        <v>8350</v>
      </c>
      <c r="N892" s="12" t="b">
        <f t="shared" si="65"/>
        <v>1</v>
      </c>
      <c r="O892" s="1" t="s">
        <v>8589</v>
      </c>
      <c r="P892" s="1" t="s">
        <v>8355</v>
      </c>
      <c r="Q892" s="1" t="s">
        <v>8356</v>
      </c>
      <c r="R892" s="1" t="s">
        <v>8357</v>
      </c>
      <c r="S892" s="1" t="s">
        <v>8590</v>
      </c>
      <c r="T892" s="1" t="s">
        <v>8353</v>
      </c>
      <c r="U892" s="1" t="s">
        <v>8354</v>
      </c>
      <c r="V892" s="13">
        <f>COUNTIF(L892:$M$1659,L892)</f>
        <v>42</v>
      </c>
      <c r="W892" s="1" t="s">
        <v>8358</v>
      </c>
      <c r="X892">
        <v>92371.6</v>
      </c>
      <c r="Y892">
        <v>90621.49</v>
      </c>
      <c r="Z892">
        <v>12.811565999999999</v>
      </c>
      <c r="AA892">
        <v>108.483311</v>
      </c>
      <c r="AB892">
        <v>1750.11</v>
      </c>
      <c r="AC892">
        <v>12.690893000000001</v>
      </c>
      <c r="AD892">
        <v>108.06744999999999</v>
      </c>
      <c r="AE892" s="5">
        <f t="shared" si="66"/>
        <v>135.93223500000002</v>
      </c>
      <c r="AF892" s="5">
        <f t="shared" si="67"/>
        <v>2.625165</v>
      </c>
      <c r="AG892" s="1" t="str">
        <f>TRIM(LEFT(L892,FIND("-",L892)-1))</f>
        <v>TT1 Đăk Lăk</v>
      </c>
      <c r="AH892" s="1" t="str">
        <f>TRIM(RIGHT(L892, LEN(L892) - FIND("-", L892)))</f>
        <v>ILA Ea Kar</v>
      </c>
      <c r="AJ892">
        <f t="shared" si="68"/>
        <v>90.621490000000009</v>
      </c>
      <c r="AK892">
        <f t="shared" si="69"/>
        <v>1.7501099999999998</v>
      </c>
      <c r="AL892" t="e">
        <f>VLOOKUP(L892,'[1]Tuyến cáp H04'!$B:$E,3,0)/1000</f>
        <v>#N/A</v>
      </c>
      <c r="AM892" t="e">
        <f>VLOOKUP(L892,'[1]Tuyến cáp H04'!$B:$E,4,0)</f>
        <v>#N/A</v>
      </c>
    </row>
    <row r="893" spans="1:39" x14ac:dyDescent="0.25">
      <c r="A893" s="1" t="s">
        <v>8591</v>
      </c>
      <c r="B893" s="1" t="s">
        <v>8554</v>
      </c>
      <c r="C893" s="1" t="s">
        <v>8555</v>
      </c>
      <c r="D893" s="1" t="s">
        <v>8592</v>
      </c>
      <c r="E893" s="1" t="s">
        <v>8593</v>
      </c>
      <c r="F893" s="1" t="s">
        <v>8594</v>
      </c>
      <c r="G893" s="1" t="s">
        <v>14129</v>
      </c>
      <c r="H893" s="1" t="s">
        <v>14133</v>
      </c>
      <c r="I893" s="1" t="s">
        <v>15007</v>
      </c>
      <c r="J893" s="1" t="s">
        <v>23</v>
      </c>
      <c r="K893" s="1"/>
      <c r="L893" s="1" t="s">
        <v>8557</v>
      </c>
      <c r="M893" s="1" t="s">
        <v>8557</v>
      </c>
      <c r="N893" s="12" t="b">
        <f t="shared" si="65"/>
        <v>1</v>
      </c>
      <c r="O893" s="1" t="s">
        <v>8595</v>
      </c>
      <c r="P893" s="1" t="s">
        <v>8596</v>
      </c>
      <c r="Q893" s="1" t="s">
        <v>8597</v>
      </c>
      <c r="R893" s="1" t="s">
        <v>8598</v>
      </c>
      <c r="S893" s="1" t="s">
        <v>8599</v>
      </c>
      <c r="T893" s="1" t="s">
        <v>8600</v>
      </c>
      <c r="U893" s="1" t="s">
        <v>8601</v>
      </c>
      <c r="V893" s="13">
        <f>COUNTIF(L893:$M$1659,L893)</f>
        <v>4</v>
      </c>
      <c r="W893" s="1" t="s">
        <v>8602</v>
      </c>
      <c r="X893">
        <v>1974.77</v>
      </c>
      <c r="Y893">
        <v>699.16</v>
      </c>
      <c r="Z893">
        <v>12.681206</v>
      </c>
      <c r="AA893">
        <v>108.047189</v>
      </c>
      <c r="AB893">
        <v>1275.6099999999999</v>
      </c>
      <c r="AC893">
        <v>12.668706999999999</v>
      </c>
      <c r="AD893">
        <v>108.04349000000001</v>
      </c>
      <c r="AE893" s="5">
        <f t="shared" si="66"/>
        <v>1.04874</v>
      </c>
      <c r="AF893" s="5">
        <f t="shared" si="67"/>
        <v>1.9134149999999999</v>
      </c>
      <c r="AG893" s="1" t="str">
        <f>TRIM(LEFT(L893,FIND("-",L893)-1))</f>
        <v>TT1 Đăk Lăk</v>
      </c>
      <c r="AH893" s="1" t="str">
        <f>TRIM(RIGHT(L893, LEN(L893) - FIND("-", L893)))</f>
        <v>KRông Ana</v>
      </c>
      <c r="AJ893">
        <f t="shared" si="68"/>
        <v>0.69916</v>
      </c>
      <c r="AK893">
        <f t="shared" si="69"/>
        <v>1.2756099999999999</v>
      </c>
      <c r="AL893">
        <f>VLOOKUP(L893,'[1]Tuyến cáp H04'!$B:$E,3,0)/1000</f>
        <v>30.666</v>
      </c>
      <c r="AM893" t="str">
        <f>VLOOKUP(L893,'[1]Tuyến cáp H04'!$B:$E,4,0)</f>
        <v>Mạng cấp 3</v>
      </c>
    </row>
    <row r="894" spans="1:39" x14ac:dyDescent="0.25">
      <c r="A894" s="1" t="s">
        <v>8603</v>
      </c>
      <c r="B894" s="1" t="s">
        <v>8554</v>
      </c>
      <c r="C894" s="1" t="s">
        <v>8555</v>
      </c>
      <c r="D894" s="1" t="s">
        <v>8604</v>
      </c>
      <c r="E894" s="1" t="s">
        <v>8605</v>
      </c>
      <c r="F894" s="1" t="s">
        <v>8606</v>
      </c>
      <c r="G894" s="1" t="s">
        <v>14129</v>
      </c>
      <c r="H894" s="1" t="s">
        <v>14133</v>
      </c>
      <c r="I894" s="1" t="s">
        <v>15008</v>
      </c>
      <c r="J894" s="1" t="s">
        <v>23</v>
      </c>
      <c r="K894" s="1"/>
      <c r="L894" s="1" t="s">
        <v>8607</v>
      </c>
      <c r="M894" s="1" t="s">
        <v>8607</v>
      </c>
      <c r="N894" s="12" t="b">
        <f t="shared" si="65"/>
        <v>1</v>
      </c>
      <c r="O894" s="1" t="s">
        <v>8608</v>
      </c>
      <c r="P894" s="1" t="s">
        <v>8609</v>
      </c>
      <c r="Q894" s="1" t="s">
        <v>8610</v>
      </c>
      <c r="R894" s="1" t="s">
        <v>8611</v>
      </c>
      <c r="S894" s="1" t="s">
        <v>8612</v>
      </c>
      <c r="T894" s="1" t="s">
        <v>8613</v>
      </c>
      <c r="U894" s="1" t="s">
        <v>8614</v>
      </c>
      <c r="V894" s="13">
        <f>COUNTIF(L894:$M$1659,L894)</f>
        <v>2</v>
      </c>
      <c r="W894" s="1" t="s">
        <v>8615</v>
      </c>
      <c r="X894">
        <v>4391.47</v>
      </c>
      <c r="Y894">
        <v>4070.81</v>
      </c>
      <c r="Z894">
        <v>12.656803999999999</v>
      </c>
      <c r="AA894">
        <v>108.028026</v>
      </c>
      <c r="AB894">
        <v>320.66000000000003</v>
      </c>
      <c r="AC894">
        <v>12.63283</v>
      </c>
      <c r="AD894">
        <v>108.030221</v>
      </c>
      <c r="AE894" s="5">
        <f t="shared" si="66"/>
        <v>6.1062149999999997</v>
      </c>
      <c r="AF894" s="5">
        <f t="shared" si="67"/>
        <v>0.48099000000000003</v>
      </c>
      <c r="AG894" s="1" t="str">
        <f>TRIM(LEFT(L894,FIND("-",L894)-1))</f>
        <v>Ea Kao</v>
      </c>
      <c r="AH894" s="1" t="str">
        <f>TRIM(RIGHT(L894, LEN(L894) - FIND("-", L894)))</f>
        <v>Ea Ktur</v>
      </c>
      <c r="AJ894">
        <f t="shared" si="68"/>
        <v>4.0708099999999998</v>
      </c>
      <c r="AK894">
        <f t="shared" si="69"/>
        <v>0.32066</v>
      </c>
      <c r="AL894">
        <f>VLOOKUP(L894,'[1]Tuyến cáp H04'!$B:$E,3,0)/1000</f>
        <v>19.509</v>
      </c>
      <c r="AM894" t="str">
        <f>VLOOKUP(L894,'[1]Tuyến cáp H04'!$B:$E,4,0)</f>
        <v>Mạng cấp 4</v>
      </c>
    </row>
    <row r="895" spans="1:39" x14ac:dyDescent="0.25">
      <c r="A895" s="1" t="s">
        <v>8616</v>
      </c>
      <c r="B895" s="1" t="s">
        <v>8617</v>
      </c>
      <c r="C895" s="1" t="s">
        <v>8618</v>
      </c>
      <c r="D895" s="1" t="s">
        <v>8554</v>
      </c>
      <c r="E895" s="1" t="s">
        <v>8555</v>
      </c>
      <c r="F895" s="1" t="s">
        <v>8619</v>
      </c>
      <c r="G895" s="1" t="s">
        <v>14129</v>
      </c>
      <c r="H895" s="1" t="s">
        <v>14133</v>
      </c>
      <c r="I895" s="1" t="s">
        <v>15009</v>
      </c>
      <c r="J895" s="1" t="s">
        <v>23</v>
      </c>
      <c r="K895" s="1"/>
      <c r="L895" s="1" t="s">
        <v>8620</v>
      </c>
      <c r="M895" s="1" t="s">
        <v>8620</v>
      </c>
      <c r="N895" s="12" t="b">
        <f t="shared" si="65"/>
        <v>1</v>
      </c>
      <c r="O895" s="1" t="s">
        <v>8621</v>
      </c>
      <c r="P895" s="1" t="s">
        <v>8622</v>
      </c>
      <c r="Q895" s="1" t="s">
        <v>8623</v>
      </c>
      <c r="R895" s="1" t="s">
        <v>8624</v>
      </c>
      <c r="S895" s="1" t="s">
        <v>8625</v>
      </c>
      <c r="T895" s="1" t="s">
        <v>8626</v>
      </c>
      <c r="U895" s="1" t="s">
        <v>8627</v>
      </c>
      <c r="V895" s="13">
        <f>COUNTIF(L895:$M$1659,L895)</f>
        <v>2</v>
      </c>
      <c r="W895" s="1" t="s">
        <v>8628</v>
      </c>
      <c r="X895">
        <v>362.98</v>
      </c>
      <c r="Y895">
        <v>284.67</v>
      </c>
      <c r="Z895">
        <v>12.692307</v>
      </c>
      <c r="AA895">
        <v>108.064505</v>
      </c>
      <c r="AB895">
        <v>78.31</v>
      </c>
      <c r="AC895">
        <v>12.684723999999999</v>
      </c>
      <c r="AD895">
        <v>108.052223</v>
      </c>
      <c r="AE895" s="5">
        <f t="shared" si="66"/>
        <v>0.42700499999999997</v>
      </c>
      <c r="AF895" s="5">
        <f t="shared" si="67"/>
        <v>0.117465</v>
      </c>
      <c r="AG895" s="1" t="str">
        <f>TRIM(LEFT(L895,FIND("-",L895)-1))</f>
        <v>CAT Đắk Lắk</v>
      </c>
      <c r="AH895" s="1" t="str">
        <f>TRIM(RIGHT(L895, LEN(L895) - FIND("-", L895)))</f>
        <v>Tân An</v>
      </c>
      <c r="AJ895">
        <f t="shared" si="68"/>
        <v>0.28467000000000003</v>
      </c>
      <c r="AK895">
        <f t="shared" si="69"/>
        <v>7.8310000000000005E-2</v>
      </c>
      <c r="AL895">
        <f>VLOOKUP(L895,'[1]Tuyến cáp H04'!$B:$E,3,0)/1000</f>
        <v>3.0859999999999999</v>
      </c>
      <c r="AM895" t="str">
        <f>VLOOKUP(L895,'[1]Tuyến cáp H04'!$B:$E,4,0)</f>
        <v>Mạng cấp 4</v>
      </c>
    </row>
    <row r="896" spans="1:39" x14ac:dyDescent="0.25">
      <c r="A896" s="1" t="s">
        <v>8629</v>
      </c>
      <c r="B896" s="1" t="s">
        <v>8630</v>
      </c>
      <c r="C896" s="1" t="s">
        <v>8631</v>
      </c>
      <c r="D896" s="1" t="s">
        <v>8260</v>
      </c>
      <c r="E896" s="1" t="s">
        <v>8261</v>
      </c>
      <c r="F896" s="1" t="s">
        <v>8632</v>
      </c>
      <c r="G896" s="1" t="s">
        <v>14129</v>
      </c>
      <c r="H896" s="1" t="s">
        <v>14133</v>
      </c>
      <c r="I896" s="1" t="s">
        <v>15010</v>
      </c>
      <c r="J896" s="1" t="s">
        <v>23</v>
      </c>
      <c r="K896" s="1"/>
      <c r="L896" s="1" t="s">
        <v>8633</v>
      </c>
      <c r="M896" s="1" t="s">
        <v>8633</v>
      </c>
      <c r="N896" s="12" t="b">
        <f t="shared" si="65"/>
        <v>1</v>
      </c>
      <c r="O896" s="1" t="s">
        <v>8634</v>
      </c>
      <c r="P896" s="1" t="s">
        <v>8635</v>
      </c>
      <c r="Q896" s="1" t="s">
        <v>8636</v>
      </c>
      <c r="R896" s="1" t="s">
        <v>8637</v>
      </c>
      <c r="S896" s="1" t="s">
        <v>8638</v>
      </c>
      <c r="T896" s="1" t="s">
        <v>8639</v>
      </c>
      <c r="U896" s="1" t="s">
        <v>8640</v>
      </c>
      <c r="V896" s="13">
        <f>COUNTIF(L896:$M$1659,L896)</f>
        <v>2</v>
      </c>
      <c r="W896" s="1" t="s">
        <v>8641</v>
      </c>
      <c r="X896">
        <v>813.21</v>
      </c>
      <c r="Y896">
        <v>784.6</v>
      </c>
      <c r="Z896">
        <v>12.984244</v>
      </c>
      <c r="AA896">
        <v>108.42770400000001</v>
      </c>
      <c r="AB896">
        <v>28.61</v>
      </c>
      <c r="AC896">
        <v>12.951983999999999</v>
      </c>
      <c r="AD896">
        <v>108.344781</v>
      </c>
      <c r="AE896" s="5">
        <f t="shared" si="66"/>
        <v>1.1769000000000001</v>
      </c>
      <c r="AF896" s="5">
        <f t="shared" si="67"/>
        <v>4.2915000000000002E-2</v>
      </c>
      <c r="AG896" s="1" t="str">
        <f>TRIM(LEFT(L896,FIND("-",L896)-1))</f>
        <v>TTCMKV Krông Năng</v>
      </c>
      <c r="AH896" s="1" t="str">
        <f>TRIM(RIGHT(L896, LEN(L896) - FIND("-", L896)))</f>
        <v>Tam Giang</v>
      </c>
      <c r="AJ896">
        <f t="shared" si="68"/>
        <v>0.78460000000000008</v>
      </c>
      <c r="AK896">
        <f t="shared" si="69"/>
        <v>2.861E-2</v>
      </c>
      <c r="AL896" t="e">
        <f>VLOOKUP(L896,'[1]Tuyến cáp H04'!$B:$E,3,0)/1000</f>
        <v>#N/A</v>
      </c>
      <c r="AM896" t="e">
        <f>VLOOKUP(L896,'[1]Tuyến cáp H04'!$B:$E,4,0)</f>
        <v>#N/A</v>
      </c>
    </row>
    <row r="897" spans="1:39" x14ac:dyDescent="0.25">
      <c r="A897" s="1" t="s">
        <v>8642</v>
      </c>
      <c r="B897" s="1" t="s">
        <v>8643</v>
      </c>
      <c r="C897" s="1" t="s">
        <v>8644</v>
      </c>
      <c r="D897" s="1" t="s">
        <v>8645</v>
      </c>
      <c r="E897" s="1" t="s">
        <v>8646</v>
      </c>
      <c r="F897" s="1" t="s">
        <v>8647</v>
      </c>
      <c r="G897" s="1" t="s">
        <v>14129</v>
      </c>
      <c r="H897" s="1" t="s">
        <v>14133</v>
      </c>
      <c r="I897" s="1" t="s">
        <v>15011</v>
      </c>
      <c r="J897" s="1" t="s">
        <v>23</v>
      </c>
      <c r="K897" s="1"/>
      <c r="L897" s="1" t="s">
        <v>8163</v>
      </c>
      <c r="M897" s="1" t="s">
        <v>8163</v>
      </c>
      <c r="N897" s="12" t="b">
        <f t="shared" si="65"/>
        <v>1</v>
      </c>
      <c r="O897" s="1" t="s">
        <v>8648</v>
      </c>
      <c r="P897" s="1" t="s">
        <v>8649</v>
      </c>
      <c r="Q897" s="1" t="s">
        <v>8650</v>
      </c>
      <c r="R897" s="1" t="s">
        <v>8651</v>
      </c>
      <c r="S897" s="1" t="s">
        <v>8652</v>
      </c>
      <c r="T897" s="1" t="s">
        <v>8653</v>
      </c>
      <c r="U897" s="1" t="s">
        <v>8654</v>
      </c>
      <c r="V897" s="13">
        <f>COUNTIF(L897:$M$1659,L897)</f>
        <v>14</v>
      </c>
      <c r="W897" s="1" t="s">
        <v>8171</v>
      </c>
      <c r="X897">
        <v>17290.89</v>
      </c>
      <c r="Y897">
        <v>7793.81</v>
      </c>
      <c r="Z897">
        <v>12.951309</v>
      </c>
      <c r="AA897">
        <v>108.24881499999999</v>
      </c>
      <c r="AB897">
        <v>9497.08</v>
      </c>
      <c r="AC897">
        <v>13.192185</v>
      </c>
      <c r="AD897">
        <v>108.203992</v>
      </c>
      <c r="AE897" s="5">
        <f t="shared" si="66"/>
        <v>11.690715000000001</v>
      </c>
      <c r="AF897" s="5">
        <f t="shared" si="67"/>
        <v>14.245619999999999</v>
      </c>
      <c r="AG897" s="1" t="str">
        <f>TRIM(LEFT(L897,FIND("-",L897)-1))</f>
        <v>Buôn Hồ</v>
      </c>
      <c r="AH897" s="1" t="str">
        <f>TRIM(RIGHT(L897, LEN(L897) - FIND("-", L897)))</f>
        <v>Ea H'Leo</v>
      </c>
      <c r="AJ897">
        <f t="shared" si="68"/>
        <v>7.7938100000000006</v>
      </c>
      <c r="AK897">
        <f t="shared" si="69"/>
        <v>9.4970800000000004</v>
      </c>
      <c r="AL897">
        <f>VLOOKUP(L897,'[1]Tuyến cáp H04'!$B:$E,3,0)/1000</f>
        <v>36.590000000000003</v>
      </c>
      <c r="AM897" t="str">
        <f>VLOOKUP(L897,'[1]Tuyến cáp H04'!$B:$E,4,0)</f>
        <v>Mạng cấp 3</v>
      </c>
    </row>
    <row r="898" spans="1:39" x14ac:dyDescent="0.25">
      <c r="A898" s="1" t="s">
        <v>8655</v>
      </c>
      <c r="B898" s="1" t="s">
        <v>8332</v>
      </c>
      <c r="C898" s="1" t="s">
        <v>8333</v>
      </c>
      <c r="D898" s="1" t="s">
        <v>8656</v>
      </c>
      <c r="E898" s="1" t="s">
        <v>8657</v>
      </c>
      <c r="F898" s="1" t="s">
        <v>8658</v>
      </c>
      <c r="G898" s="1" t="s">
        <v>14129</v>
      </c>
      <c r="H898" s="1" t="s">
        <v>14133</v>
      </c>
      <c r="I898" s="1" t="s">
        <v>15012</v>
      </c>
      <c r="J898" s="1" t="s">
        <v>23</v>
      </c>
      <c r="K898" s="1"/>
      <c r="L898" s="1" t="s">
        <v>8659</v>
      </c>
      <c r="M898" s="1" t="s">
        <v>8659</v>
      </c>
      <c r="N898" s="12" t="b">
        <f t="shared" si="65"/>
        <v>1</v>
      </c>
      <c r="O898" s="1" t="s">
        <v>8660</v>
      </c>
      <c r="P898" s="1" t="s">
        <v>8661</v>
      </c>
      <c r="Q898" s="1" t="s">
        <v>8662</v>
      </c>
      <c r="R898" s="1" t="s">
        <v>8663</v>
      </c>
      <c r="S898" s="1" t="s">
        <v>8664</v>
      </c>
      <c r="T898" s="1" t="s">
        <v>8665</v>
      </c>
      <c r="U898" s="1" t="s">
        <v>8666</v>
      </c>
      <c r="V898" s="13">
        <f>COUNTIF(L898:$M$1659,L898)</f>
        <v>2</v>
      </c>
      <c r="W898" s="1" t="s">
        <v>8667</v>
      </c>
      <c r="X898">
        <v>93.35</v>
      </c>
      <c r="Y898">
        <v>56.69</v>
      </c>
      <c r="Z898">
        <v>12.916477</v>
      </c>
      <c r="AA898">
        <v>108.266079</v>
      </c>
      <c r="AB898">
        <v>36.659999999999997</v>
      </c>
      <c r="AC898">
        <v>12.920686999999999</v>
      </c>
      <c r="AD898">
        <v>108.264589</v>
      </c>
      <c r="AE898" s="5">
        <f t="shared" si="66"/>
        <v>8.5034999999999999E-2</v>
      </c>
      <c r="AF898" s="5">
        <f t="shared" si="67"/>
        <v>5.4989999999999997E-2</v>
      </c>
      <c r="AG898" s="1" t="e">
        <f>TRIM(LEFT(L898,FIND("-",L898)-1))</f>
        <v>#VALUE!</v>
      </c>
      <c r="AH898" s="1" t="e">
        <f>TRIM(RIGHT(L898, LEN(L898) - FIND("-", L898)))</f>
        <v>#VALUE!</v>
      </c>
      <c r="AJ898">
        <f t="shared" si="68"/>
        <v>5.6689999999999997E-2</v>
      </c>
      <c r="AK898">
        <f t="shared" si="69"/>
        <v>3.6659999999999998E-2</v>
      </c>
      <c r="AL898" t="e">
        <f>VLOOKUP(L898,'[1]Tuyến cáp H04'!$B:$E,3,0)/1000</f>
        <v>#N/A</v>
      </c>
      <c r="AM898" t="e">
        <f>VLOOKUP(L898,'[1]Tuyến cáp H04'!$B:$E,4,0)</f>
        <v>#N/A</v>
      </c>
    </row>
    <row r="899" spans="1:39" x14ac:dyDescent="0.25">
      <c r="A899" s="1" t="s">
        <v>8668</v>
      </c>
      <c r="B899" s="1" t="s">
        <v>8347</v>
      </c>
      <c r="C899" s="1" t="s">
        <v>8348</v>
      </c>
      <c r="D899" s="1" t="s">
        <v>8669</v>
      </c>
      <c r="E899" s="1" t="s">
        <v>8670</v>
      </c>
      <c r="F899" s="1" t="s">
        <v>8671</v>
      </c>
      <c r="G899" s="1" t="s">
        <v>14129</v>
      </c>
      <c r="H899" s="1" t="s">
        <v>14133</v>
      </c>
      <c r="I899" s="1" t="s">
        <v>15013</v>
      </c>
      <c r="J899" s="1" t="s">
        <v>23</v>
      </c>
      <c r="K899" s="1"/>
      <c r="L899" s="1" t="s">
        <v>8350</v>
      </c>
      <c r="M899" s="1" t="s">
        <v>8350</v>
      </c>
      <c r="N899" s="12" t="b">
        <f t="shared" ref="N899:N962" si="70">L899=M899</f>
        <v>1</v>
      </c>
      <c r="O899" s="1" t="s">
        <v>8672</v>
      </c>
      <c r="P899" s="1" t="s">
        <v>8355</v>
      </c>
      <c r="Q899" s="1" t="s">
        <v>8356</v>
      </c>
      <c r="R899" s="1" t="s">
        <v>8357</v>
      </c>
      <c r="S899" s="1" t="s">
        <v>8673</v>
      </c>
      <c r="T899" s="1" t="s">
        <v>8353</v>
      </c>
      <c r="U899" s="1" t="s">
        <v>8354</v>
      </c>
      <c r="V899" s="13">
        <f>COUNTIF(L899:$M$1659,L899)</f>
        <v>40</v>
      </c>
      <c r="W899" s="1" t="s">
        <v>8358</v>
      </c>
      <c r="X899">
        <v>92569</v>
      </c>
      <c r="Y899">
        <v>90621.49</v>
      </c>
      <c r="Z899">
        <v>12.811565999999999</v>
      </c>
      <c r="AA899">
        <v>108.483311</v>
      </c>
      <c r="AB899">
        <v>1947.51</v>
      </c>
      <c r="AC899">
        <v>12.690893000000001</v>
      </c>
      <c r="AD899">
        <v>108.06744999999999</v>
      </c>
      <c r="AE899" s="5">
        <f t="shared" ref="AE899:AE962" si="71">Y899*1.5/1000</f>
        <v>135.93223500000002</v>
      </c>
      <c r="AF899" s="5">
        <f t="shared" ref="AF899:AF962" si="72">AB899*1.5/1000</f>
        <v>2.921265</v>
      </c>
      <c r="AG899" s="1" t="str">
        <f>TRIM(LEFT(L899,FIND("-",L899)-1))</f>
        <v>TT1 Đăk Lăk</v>
      </c>
      <c r="AH899" s="1" t="str">
        <f>TRIM(RIGHT(L899, LEN(L899) - FIND("-", L899)))</f>
        <v>ILA Ea Kar</v>
      </c>
      <c r="AJ899">
        <f t="shared" ref="AJ899:AJ962" si="73">Y899/1000</f>
        <v>90.621490000000009</v>
      </c>
      <c r="AK899">
        <f t="shared" ref="AK899:AK962" si="74">AB899/1000</f>
        <v>1.9475100000000001</v>
      </c>
      <c r="AL899" t="e">
        <f>VLOOKUP(L899,'[1]Tuyến cáp H04'!$B:$E,3,0)/1000</f>
        <v>#N/A</v>
      </c>
      <c r="AM899" t="e">
        <f>VLOOKUP(L899,'[1]Tuyến cáp H04'!$B:$E,4,0)</f>
        <v>#N/A</v>
      </c>
    </row>
    <row r="900" spans="1:39" x14ac:dyDescent="0.25">
      <c r="A900" s="1" t="s">
        <v>8674</v>
      </c>
      <c r="B900" s="1" t="s">
        <v>8675</v>
      </c>
      <c r="C900" s="1" t="s">
        <v>8676</v>
      </c>
      <c r="D900" s="1" t="s">
        <v>8677</v>
      </c>
      <c r="E900" s="1" t="s">
        <v>8678</v>
      </c>
      <c r="F900" s="1" t="s">
        <v>8679</v>
      </c>
      <c r="G900" s="1" t="s">
        <v>14129</v>
      </c>
      <c r="H900" s="1" t="s">
        <v>14133</v>
      </c>
      <c r="I900" s="1" t="s">
        <v>15014</v>
      </c>
      <c r="J900" s="1" t="s">
        <v>23</v>
      </c>
      <c r="K900" s="1"/>
      <c r="L900" s="1" t="s">
        <v>8680</v>
      </c>
      <c r="M900" s="1" t="s">
        <v>8680</v>
      </c>
      <c r="N900" s="12" t="b">
        <f t="shared" si="70"/>
        <v>1</v>
      </c>
      <c r="O900" s="1" t="s">
        <v>8681</v>
      </c>
      <c r="P900" s="1" t="s">
        <v>8682</v>
      </c>
      <c r="Q900" s="1" t="s">
        <v>8683</v>
      </c>
      <c r="R900" s="1" t="s">
        <v>8684</v>
      </c>
      <c r="S900" s="1" t="s">
        <v>8685</v>
      </c>
      <c r="T900" s="1" t="s">
        <v>8686</v>
      </c>
      <c r="U900" s="1" t="s">
        <v>8687</v>
      </c>
      <c r="V900" s="13">
        <f>COUNTIF(L900:$M$1659,L900)</f>
        <v>2</v>
      </c>
      <c r="W900" s="1" t="s">
        <v>8688</v>
      </c>
      <c r="X900">
        <v>260.27</v>
      </c>
      <c r="Y900">
        <v>75.59</v>
      </c>
      <c r="Z900">
        <v>12.712070000000001</v>
      </c>
      <c r="AA900">
        <v>108.069571</v>
      </c>
      <c r="AB900">
        <v>184.68</v>
      </c>
      <c r="AC900">
        <v>12.733822</v>
      </c>
      <c r="AD900">
        <v>108.07914700000001</v>
      </c>
      <c r="AE900" s="5">
        <f t="shared" si="71"/>
        <v>0.113385</v>
      </c>
      <c r="AF900" s="5">
        <f t="shared" si="72"/>
        <v>0.27701999999999999</v>
      </c>
      <c r="AG900" s="1" t="str">
        <f>TRIM(LEFT(L900,FIND("-",L900)-1))</f>
        <v>"Buôn Ma Thuột</v>
      </c>
      <c r="AH900" s="1" t="str">
        <f>TRIM(RIGHT(L900, LEN(L900) - FIND("-", L900)))</f>
        <v>TTCMKV Cư
M'gar"</v>
      </c>
      <c r="AJ900">
        <f t="shared" si="73"/>
        <v>7.5590000000000004E-2</v>
      </c>
      <c r="AK900">
        <f t="shared" si="74"/>
        <v>0.18468000000000001</v>
      </c>
      <c r="AL900" t="e">
        <f>VLOOKUP(L900,'[1]Tuyến cáp H04'!$B:$E,3,0)/1000</f>
        <v>#N/A</v>
      </c>
      <c r="AM900" t="e">
        <f>VLOOKUP(L900,'[1]Tuyến cáp H04'!$B:$E,4,0)</f>
        <v>#N/A</v>
      </c>
    </row>
    <row r="901" spans="1:39" x14ac:dyDescent="0.25">
      <c r="A901" s="1" t="s">
        <v>8689</v>
      </c>
      <c r="B901" s="1" t="s">
        <v>8233</v>
      </c>
      <c r="C901" s="1" t="s">
        <v>8234</v>
      </c>
      <c r="D901" s="1" t="s">
        <v>8690</v>
      </c>
      <c r="E901" s="1" t="s">
        <v>8691</v>
      </c>
      <c r="F901" s="1" t="s">
        <v>8692</v>
      </c>
      <c r="G901" s="1" t="s">
        <v>14129</v>
      </c>
      <c r="H901" s="1" t="s">
        <v>14133</v>
      </c>
      <c r="I901" s="1" t="s">
        <v>15015</v>
      </c>
      <c r="J901" s="1" t="s">
        <v>23</v>
      </c>
      <c r="K901" s="1"/>
      <c r="L901" s="1" t="s">
        <v>8693</v>
      </c>
      <c r="M901" s="1" t="s">
        <v>8693</v>
      </c>
      <c r="N901" s="12" t="b">
        <f t="shared" si="70"/>
        <v>1</v>
      </c>
      <c r="O901" s="1" t="s">
        <v>8694</v>
      </c>
      <c r="P901" s="1" t="s">
        <v>8695</v>
      </c>
      <c r="Q901" s="1" t="s">
        <v>8696</v>
      </c>
      <c r="R901" s="1" t="s">
        <v>8697</v>
      </c>
      <c r="S901" s="1" t="s">
        <v>8698</v>
      </c>
      <c r="T901" s="1" t="s">
        <v>8699</v>
      </c>
      <c r="U901" s="1" t="s">
        <v>8700</v>
      </c>
      <c r="V901" s="13">
        <f>COUNTIF(L901:$M$1659,L901)</f>
        <v>2</v>
      </c>
      <c r="W901" s="1" t="s">
        <v>8701</v>
      </c>
      <c r="X901">
        <v>1015.69</v>
      </c>
      <c r="Y901">
        <v>115.74</v>
      </c>
      <c r="Z901">
        <v>13.038183999999999</v>
      </c>
      <c r="AA901">
        <v>108.21764</v>
      </c>
      <c r="AB901">
        <v>899.95</v>
      </c>
      <c r="AC901">
        <v>13.043448</v>
      </c>
      <c r="AD901">
        <v>108.21302799999999</v>
      </c>
      <c r="AE901" s="5">
        <f t="shared" si="71"/>
        <v>0.17360999999999999</v>
      </c>
      <c r="AF901" s="5">
        <f t="shared" si="72"/>
        <v>1.3499250000000003</v>
      </c>
      <c r="AG901" s="1" t="str">
        <f>TRIM(LEFT(L901,FIND("-",L901)-1))</f>
        <v>Cư Pơng</v>
      </c>
      <c r="AH901" s="1" t="str">
        <f>TRIM(RIGHT(L901, LEN(L901) - FIND("-", L901)))</f>
        <v>Krông Búk</v>
      </c>
      <c r="AJ901">
        <f t="shared" si="73"/>
        <v>0.11574</v>
      </c>
      <c r="AK901">
        <f t="shared" si="74"/>
        <v>0.89995000000000003</v>
      </c>
      <c r="AL901">
        <f>VLOOKUP(L901,'[1]Tuyến cáp H04'!$B:$E,3,0)/1000</f>
        <v>11.002000000000001</v>
      </c>
      <c r="AM901" t="str">
        <f>VLOOKUP(L901,'[1]Tuyến cáp H04'!$B:$E,4,0)</f>
        <v>Mạng cấp 4</v>
      </c>
    </row>
    <row r="902" spans="1:39" x14ac:dyDescent="0.25">
      <c r="A902" s="1" t="s">
        <v>8702</v>
      </c>
      <c r="B902" s="1" t="s">
        <v>8160</v>
      </c>
      <c r="C902" s="1" t="s">
        <v>8161</v>
      </c>
      <c r="D902" s="1" t="s">
        <v>8703</v>
      </c>
      <c r="E902" s="1" t="s">
        <v>8704</v>
      </c>
      <c r="F902" s="1" t="s">
        <v>8705</v>
      </c>
      <c r="G902" s="1" t="s">
        <v>14129</v>
      </c>
      <c r="H902" s="1" t="s">
        <v>14133</v>
      </c>
      <c r="I902" s="1" t="s">
        <v>15016</v>
      </c>
      <c r="J902" s="1" t="s">
        <v>23</v>
      </c>
      <c r="K902" s="1"/>
      <c r="L902" s="1" t="s">
        <v>8163</v>
      </c>
      <c r="M902" s="1" t="s">
        <v>8163</v>
      </c>
      <c r="N902" s="12" t="b">
        <f t="shared" si="70"/>
        <v>1</v>
      </c>
      <c r="O902" s="1" t="s">
        <v>8706</v>
      </c>
      <c r="P902" s="1" t="s">
        <v>8168</v>
      </c>
      <c r="Q902" s="1" t="s">
        <v>8169</v>
      </c>
      <c r="R902" s="1" t="s">
        <v>8170</v>
      </c>
      <c r="S902" s="1" t="s">
        <v>8707</v>
      </c>
      <c r="T902" s="1" t="s">
        <v>8708</v>
      </c>
      <c r="U902" s="1" t="s">
        <v>8709</v>
      </c>
      <c r="V902" s="13">
        <f>COUNTIF(L902:$M$1659,L902)</f>
        <v>12</v>
      </c>
      <c r="W902" s="1" t="s">
        <v>8171</v>
      </c>
      <c r="X902">
        <v>288.27</v>
      </c>
      <c r="Y902">
        <v>102</v>
      </c>
      <c r="Z902">
        <v>12.970822</v>
      </c>
      <c r="AA902">
        <v>108.244495</v>
      </c>
      <c r="AB902">
        <v>186.28</v>
      </c>
      <c r="AC902">
        <v>12.947990000000001</v>
      </c>
      <c r="AD902">
        <v>108.25184</v>
      </c>
      <c r="AE902" s="5">
        <f t="shared" si="71"/>
        <v>0.153</v>
      </c>
      <c r="AF902" s="5">
        <f t="shared" si="72"/>
        <v>0.27942</v>
      </c>
      <c r="AG902" s="1" t="str">
        <f>TRIM(LEFT(L902,FIND("-",L902)-1))</f>
        <v>Buôn Hồ</v>
      </c>
      <c r="AH902" s="1" t="str">
        <f>TRIM(RIGHT(L902, LEN(L902) - FIND("-", L902)))</f>
        <v>Ea H'Leo</v>
      </c>
      <c r="AJ902">
        <f t="shared" si="73"/>
        <v>0.10199999999999999</v>
      </c>
      <c r="AK902">
        <f t="shared" si="74"/>
        <v>0.18628</v>
      </c>
      <c r="AL902">
        <f>VLOOKUP(L902,'[1]Tuyến cáp H04'!$B:$E,3,0)/1000</f>
        <v>36.590000000000003</v>
      </c>
      <c r="AM902" t="str">
        <f>VLOOKUP(L902,'[1]Tuyến cáp H04'!$B:$E,4,0)</f>
        <v>Mạng cấp 3</v>
      </c>
    </row>
    <row r="903" spans="1:39" x14ac:dyDescent="0.25">
      <c r="A903" s="1" t="s">
        <v>8710</v>
      </c>
      <c r="B903" s="1" t="s">
        <v>8233</v>
      </c>
      <c r="C903" s="1" t="s">
        <v>8234</v>
      </c>
      <c r="D903" s="1" t="s">
        <v>8711</v>
      </c>
      <c r="E903" s="1" t="s">
        <v>8712</v>
      </c>
      <c r="F903" s="1" t="s">
        <v>8713</v>
      </c>
      <c r="G903" s="1" t="s">
        <v>14129</v>
      </c>
      <c r="H903" s="1" t="s">
        <v>14133</v>
      </c>
      <c r="I903" s="1" t="s">
        <v>15017</v>
      </c>
      <c r="J903" s="1" t="s">
        <v>23</v>
      </c>
      <c r="K903" s="1"/>
      <c r="L903" s="1" t="s">
        <v>8236</v>
      </c>
      <c r="M903" s="1" t="s">
        <v>8236</v>
      </c>
      <c r="N903" s="12" t="b">
        <f t="shared" si="70"/>
        <v>1</v>
      </c>
      <c r="O903" s="1" t="s">
        <v>8714</v>
      </c>
      <c r="P903" s="1" t="s">
        <v>8241</v>
      </c>
      <c r="Q903" s="1" t="s">
        <v>8242</v>
      </c>
      <c r="R903" s="1" t="s">
        <v>8243</v>
      </c>
      <c r="S903" s="1" t="s">
        <v>8715</v>
      </c>
      <c r="T903" s="1" t="s">
        <v>8716</v>
      </c>
      <c r="U903" s="1" t="s">
        <v>8717</v>
      </c>
      <c r="V903" s="13">
        <f>COUNTIF(L903:$M$1659,L903)</f>
        <v>4</v>
      </c>
      <c r="W903" s="1" t="s">
        <v>8244</v>
      </c>
      <c r="X903">
        <v>938.27</v>
      </c>
      <c r="Y903">
        <v>826.1</v>
      </c>
      <c r="Z903">
        <v>13.043447</v>
      </c>
      <c r="AA903">
        <v>108.212785</v>
      </c>
      <c r="AB903">
        <v>112.17</v>
      </c>
      <c r="AC903">
        <v>13.008883000000001</v>
      </c>
      <c r="AD903">
        <v>108.150448</v>
      </c>
      <c r="AE903" s="5">
        <f t="shared" si="71"/>
        <v>1.2391500000000002</v>
      </c>
      <c r="AF903" s="5">
        <f t="shared" si="72"/>
        <v>0.16825499999999999</v>
      </c>
      <c r="AG903" s="1" t="e">
        <f>TRIM(LEFT(L903,FIND("-",L903)-1))</f>
        <v>#VALUE!</v>
      </c>
      <c r="AH903" s="1" t="e">
        <f>TRIM(RIGHT(L903, LEN(L903) - FIND("-", L903)))</f>
        <v>#VALUE!</v>
      </c>
      <c r="AJ903">
        <f t="shared" si="73"/>
        <v>0.82610000000000006</v>
      </c>
      <c r="AK903">
        <f t="shared" si="74"/>
        <v>0.11217000000000001</v>
      </c>
      <c r="AL903" t="e">
        <f>VLOOKUP(L903,'[1]Tuyến cáp H04'!$B:$E,3,0)/1000</f>
        <v>#N/A</v>
      </c>
      <c r="AM903" t="e">
        <f>VLOOKUP(L903,'[1]Tuyến cáp H04'!$B:$E,4,0)</f>
        <v>#N/A</v>
      </c>
    </row>
    <row r="904" spans="1:39" x14ac:dyDescent="0.25">
      <c r="A904" s="1" t="s">
        <v>8718</v>
      </c>
      <c r="B904" s="1" t="s">
        <v>8160</v>
      </c>
      <c r="C904" s="1" t="s">
        <v>8161</v>
      </c>
      <c r="D904" s="1" t="s">
        <v>8233</v>
      </c>
      <c r="E904" s="1" t="s">
        <v>8234</v>
      </c>
      <c r="F904" s="1" t="s">
        <v>8719</v>
      </c>
      <c r="G904" s="1" t="s">
        <v>14129</v>
      </c>
      <c r="H904" s="1" t="s">
        <v>14133</v>
      </c>
      <c r="I904" s="1" t="s">
        <v>15018</v>
      </c>
      <c r="J904" s="1" t="s">
        <v>23</v>
      </c>
      <c r="K904" s="1"/>
      <c r="L904" s="1" t="s">
        <v>8163</v>
      </c>
      <c r="M904" s="1" t="s">
        <v>8163</v>
      </c>
      <c r="N904" s="12" t="b">
        <f t="shared" si="70"/>
        <v>1</v>
      </c>
      <c r="O904" s="1" t="s">
        <v>8720</v>
      </c>
      <c r="P904" s="1" t="s">
        <v>8168</v>
      </c>
      <c r="Q904" s="1" t="s">
        <v>8169</v>
      </c>
      <c r="R904" s="1" t="s">
        <v>8170</v>
      </c>
      <c r="S904" s="1" t="s">
        <v>8721</v>
      </c>
      <c r="T904" s="1" t="s">
        <v>8722</v>
      </c>
      <c r="U904" s="1" t="s">
        <v>8723</v>
      </c>
      <c r="V904" s="13">
        <f>COUNTIF(L904:$M$1659,L904)</f>
        <v>10</v>
      </c>
      <c r="W904" s="1" t="s">
        <v>8171</v>
      </c>
      <c r="X904">
        <v>821.95</v>
      </c>
      <c r="Y904">
        <v>102</v>
      </c>
      <c r="Z904">
        <v>12.970822</v>
      </c>
      <c r="AA904">
        <v>108.244495</v>
      </c>
      <c r="AB904">
        <v>719.96</v>
      </c>
      <c r="AC904">
        <v>13.039524999999999</v>
      </c>
      <c r="AD904">
        <v>108.225184</v>
      </c>
      <c r="AE904" s="5">
        <f t="shared" si="71"/>
        <v>0.153</v>
      </c>
      <c r="AF904" s="5">
        <f t="shared" si="72"/>
        <v>1.0799400000000001</v>
      </c>
      <c r="AG904" s="1" t="str">
        <f>TRIM(LEFT(L904,FIND("-",L904)-1))</f>
        <v>Buôn Hồ</v>
      </c>
      <c r="AH904" s="1" t="str">
        <f>TRIM(RIGHT(L904, LEN(L904) - FIND("-", L904)))</f>
        <v>Ea H'Leo</v>
      </c>
      <c r="AJ904">
        <f t="shared" si="73"/>
        <v>0.10199999999999999</v>
      </c>
      <c r="AK904">
        <f t="shared" si="74"/>
        <v>0.71996000000000004</v>
      </c>
      <c r="AL904">
        <f>VLOOKUP(L904,'[1]Tuyến cáp H04'!$B:$E,3,0)/1000</f>
        <v>36.590000000000003</v>
      </c>
      <c r="AM904" t="str">
        <f>VLOOKUP(L904,'[1]Tuyến cáp H04'!$B:$E,4,0)</f>
        <v>Mạng cấp 3</v>
      </c>
    </row>
    <row r="905" spans="1:39" x14ac:dyDescent="0.25">
      <c r="A905" s="1" t="s">
        <v>8724</v>
      </c>
      <c r="B905" s="1" t="s">
        <v>8725</v>
      </c>
      <c r="C905" s="1" t="s">
        <v>8726</v>
      </c>
      <c r="D905" s="1" t="s">
        <v>8160</v>
      </c>
      <c r="E905" s="1" t="s">
        <v>8161</v>
      </c>
      <c r="F905" s="1" t="s">
        <v>8727</v>
      </c>
      <c r="G905" s="1" t="s">
        <v>14129</v>
      </c>
      <c r="H905" s="1" t="s">
        <v>14133</v>
      </c>
      <c r="I905" s="1" t="s">
        <v>15019</v>
      </c>
      <c r="J905" s="1" t="s">
        <v>23</v>
      </c>
      <c r="K905" s="1"/>
      <c r="L905" s="1" t="s">
        <v>8728</v>
      </c>
      <c r="M905" s="1" t="s">
        <v>8728</v>
      </c>
      <c r="N905" s="12" t="b">
        <f t="shared" si="70"/>
        <v>1</v>
      </c>
      <c r="O905" s="1" t="s">
        <v>8729</v>
      </c>
      <c r="P905" s="1" t="s">
        <v>8730</v>
      </c>
      <c r="Q905" s="1" t="s">
        <v>8731</v>
      </c>
      <c r="R905" s="1" t="s">
        <v>8732</v>
      </c>
      <c r="S905" s="1" t="s">
        <v>8733</v>
      </c>
      <c r="T905" s="1" t="s">
        <v>8734</v>
      </c>
      <c r="U905" s="1" t="s">
        <v>8735</v>
      </c>
      <c r="V905" s="13">
        <f>COUNTIF(L905:$M$1659,L905)</f>
        <v>12</v>
      </c>
      <c r="W905" s="1" t="s">
        <v>8736</v>
      </c>
      <c r="X905">
        <v>1917.7</v>
      </c>
      <c r="Y905">
        <v>126.75</v>
      </c>
      <c r="Z905">
        <v>12.939247</v>
      </c>
      <c r="AA905">
        <v>108.23107299999999</v>
      </c>
      <c r="AB905">
        <v>1790.95</v>
      </c>
      <c r="AC905">
        <v>12.954533</v>
      </c>
      <c r="AD905">
        <v>108.246934</v>
      </c>
      <c r="AE905" s="5">
        <f t="shared" si="71"/>
        <v>0.19012499999999999</v>
      </c>
      <c r="AF905" s="5">
        <f t="shared" si="72"/>
        <v>2.6864250000000003</v>
      </c>
      <c r="AG905" s="1" t="str">
        <f>TRIM(LEFT(L905,FIND("-",L905)-1))</f>
        <v>Ea Tul</v>
      </c>
      <c r="AH905" s="1" t="str">
        <f>TRIM(RIGHT(L905, LEN(L905) - FIND("-", L905)))</f>
        <v>Buôn Hồ</v>
      </c>
      <c r="AJ905">
        <f t="shared" si="73"/>
        <v>0.12675</v>
      </c>
      <c r="AK905">
        <f t="shared" si="74"/>
        <v>1.79095</v>
      </c>
      <c r="AL905">
        <f>VLOOKUP(L905,'[1]Tuyến cáp H04'!$B:$E,3,0)/1000</f>
        <v>13.702999999999999</v>
      </c>
      <c r="AM905" t="str">
        <f>VLOOKUP(L905,'[1]Tuyến cáp H04'!$B:$E,4,0)</f>
        <v>Mạng cấp 4</v>
      </c>
    </row>
    <row r="906" spans="1:39" x14ac:dyDescent="0.25">
      <c r="A906" s="1" t="s">
        <v>8737</v>
      </c>
      <c r="B906" s="1" t="s">
        <v>8738</v>
      </c>
      <c r="C906" s="1" t="s">
        <v>8739</v>
      </c>
      <c r="D906" s="1" t="s">
        <v>8260</v>
      </c>
      <c r="E906" s="1" t="s">
        <v>8261</v>
      </c>
      <c r="F906" s="1" t="s">
        <v>8740</v>
      </c>
      <c r="G906" s="1" t="s">
        <v>14129</v>
      </c>
      <c r="H906" s="1" t="s">
        <v>14133</v>
      </c>
      <c r="I906" s="1" t="s">
        <v>15020</v>
      </c>
      <c r="J906" s="1" t="s">
        <v>23</v>
      </c>
      <c r="K906" s="1"/>
      <c r="L906" s="1" t="s">
        <v>8263</v>
      </c>
      <c r="M906" s="1" t="s">
        <v>8263</v>
      </c>
      <c r="N906" s="12" t="b">
        <f t="shared" si="70"/>
        <v>1</v>
      </c>
      <c r="O906" s="1" t="s">
        <v>8741</v>
      </c>
      <c r="P906" s="1" t="s">
        <v>8742</v>
      </c>
      <c r="Q906" s="1" t="s">
        <v>8743</v>
      </c>
      <c r="R906" s="1" t="s">
        <v>8744</v>
      </c>
      <c r="S906" s="1" t="s">
        <v>8268</v>
      </c>
      <c r="T906" s="1" t="s">
        <v>8269</v>
      </c>
      <c r="U906" s="1" t="s">
        <v>8270</v>
      </c>
      <c r="V906" s="13">
        <f>COUNTIF(L906:$M$1659,L906)</f>
        <v>4</v>
      </c>
      <c r="W906" s="1" t="s">
        <v>8271</v>
      </c>
      <c r="X906">
        <v>121.03</v>
      </c>
      <c r="Y906">
        <v>85.03</v>
      </c>
      <c r="Z906">
        <v>13.041829</v>
      </c>
      <c r="AA906">
        <v>108.332318</v>
      </c>
      <c r="AB906">
        <v>35.99</v>
      </c>
      <c r="AC906">
        <v>12.951675</v>
      </c>
      <c r="AD906">
        <v>108.344356</v>
      </c>
      <c r="AE906" s="5">
        <f t="shared" si="71"/>
        <v>0.12754499999999999</v>
      </c>
      <c r="AF906" s="5">
        <f t="shared" si="72"/>
        <v>5.3984999999999998E-2</v>
      </c>
      <c r="AG906" s="1" t="e">
        <f>TRIM(LEFT(L906,FIND("-",L906)-1))</f>
        <v>#VALUE!</v>
      </c>
      <c r="AH906" s="1" t="e">
        <f>TRIM(RIGHT(L906, LEN(L906) - FIND("-", L906)))</f>
        <v>#VALUE!</v>
      </c>
      <c r="AJ906">
        <f t="shared" si="73"/>
        <v>8.5029999999999994E-2</v>
      </c>
      <c r="AK906">
        <f t="shared" si="74"/>
        <v>3.5990000000000001E-2</v>
      </c>
      <c r="AL906" t="e">
        <f>VLOOKUP(L906,'[1]Tuyến cáp H04'!$B:$E,3,0)/1000</f>
        <v>#N/A</v>
      </c>
      <c r="AM906" t="e">
        <f>VLOOKUP(L906,'[1]Tuyến cáp H04'!$B:$E,4,0)</f>
        <v>#N/A</v>
      </c>
    </row>
    <row r="907" spans="1:39" x14ac:dyDescent="0.25">
      <c r="A907" s="1" t="s">
        <v>8745</v>
      </c>
      <c r="B907" s="1" t="s">
        <v>8332</v>
      </c>
      <c r="C907" s="1" t="s">
        <v>8333</v>
      </c>
      <c r="D907" s="1" t="s">
        <v>8746</v>
      </c>
      <c r="E907" s="1" t="s">
        <v>8747</v>
      </c>
      <c r="F907" s="1" t="s">
        <v>8748</v>
      </c>
      <c r="G907" s="1" t="s">
        <v>14129</v>
      </c>
      <c r="H907" s="1" t="s">
        <v>14133</v>
      </c>
      <c r="I907" s="1" t="s">
        <v>15021</v>
      </c>
      <c r="J907" s="1" t="s">
        <v>23</v>
      </c>
      <c r="K907" s="1"/>
      <c r="L907" s="1" t="s">
        <v>8163</v>
      </c>
      <c r="M907" s="1" t="s">
        <v>8163</v>
      </c>
      <c r="N907" s="12" t="b">
        <f t="shared" si="70"/>
        <v>1</v>
      </c>
      <c r="O907" s="1" t="s">
        <v>8749</v>
      </c>
      <c r="P907" s="1" t="s">
        <v>8750</v>
      </c>
      <c r="Q907" s="1" t="s">
        <v>8751</v>
      </c>
      <c r="R907" s="1" t="s">
        <v>8752</v>
      </c>
      <c r="S907" s="1" t="s">
        <v>8753</v>
      </c>
      <c r="T907" s="1" t="s">
        <v>8754</v>
      </c>
      <c r="U907" s="1" t="s">
        <v>8755</v>
      </c>
      <c r="V907" s="13">
        <f>COUNTIF(L907:$M$1659,L907)</f>
        <v>8</v>
      </c>
      <c r="W907" s="1" t="s">
        <v>8171</v>
      </c>
      <c r="X907">
        <v>150.19999999999999</v>
      </c>
      <c r="Y907">
        <v>58.27</v>
      </c>
      <c r="Z907">
        <v>12.916486000000001</v>
      </c>
      <c r="AA907">
        <v>108.266068</v>
      </c>
      <c r="AB907">
        <v>91.93</v>
      </c>
      <c r="AC907">
        <v>13.175210999999999</v>
      </c>
      <c r="AD907">
        <v>108.21837600000001</v>
      </c>
      <c r="AE907" s="5">
        <f t="shared" si="71"/>
        <v>8.7404999999999997E-2</v>
      </c>
      <c r="AF907" s="5">
        <f t="shared" si="72"/>
        <v>0.13789500000000002</v>
      </c>
      <c r="AG907" s="1" t="str">
        <f>TRIM(LEFT(L907,FIND("-",L907)-1))</f>
        <v>Buôn Hồ</v>
      </c>
      <c r="AH907" s="1" t="str">
        <f>TRIM(RIGHT(L907, LEN(L907) - FIND("-", L907)))</f>
        <v>Ea H'Leo</v>
      </c>
      <c r="AJ907">
        <f t="shared" si="73"/>
        <v>5.8270000000000002E-2</v>
      </c>
      <c r="AK907">
        <f t="shared" si="74"/>
        <v>9.1930000000000012E-2</v>
      </c>
      <c r="AL907">
        <f>VLOOKUP(L907,'[1]Tuyến cáp H04'!$B:$E,3,0)/1000</f>
        <v>36.590000000000003</v>
      </c>
      <c r="AM907" t="str">
        <f>VLOOKUP(L907,'[1]Tuyến cáp H04'!$B:$E,4,0)</f>
        <v>Mạng cấp 3</v>
      </c>
    </row>
    <row r="908" spans="1:39" x14ac:dyDescent="0.25">
      <c r="A908" s="1" t="s">
        <v>8756</v>
      </c>
      <c r="B908" s="1" t="s">
        <v>8757</v>
      </c>
      <c r="C908" s="1" t="s">
        <v>8758</v>
      </c>
      <c r="D908" s="1" t="s">
        <v>8260</v>
      </c>
      <c r="E908" s="1" t="s">
        <v>8261</v>
      </c>
      <c r="F908" s="1" t="s">
        <v>8759</v>
      </c>
      <c r="G908" s="1" t="s">
        <v>14129</v>
      </c>
      <c r="H908" s="1" t="s">
        <v>14133</v>
      </c>
      <c r="I908" s="1" t="s">
        <v>15022</v>
      </c>
      <c r="J908" s="1" t="s">
        <v>23</v>
      </c>
      <c r="K908" s="1"/>
      <c r="L908" s="1" t="s">
        <v>8760</v>
      </c>
      <c r="M908" s="1" t="s">
        <v>8760</v>
      </c>
      <c r="N908" s="12" t="b">
        <f t="shared" si="70"/>
        <v>1</v>
      </c>
      <c r="O908" s="1" t="s">
        <v>8761</v>
      </c>
      <c r="P908" s="1" t="s">
        <v>8762</v>
      </c>
      <c r="Q908" s="1" t="s">
        <v>8763</v>
      </c>
      <c r="R908" s="1" t="s">
        <v>8764</v>
      </c>
      <c r="S908" s="1" t="s">
        <v>8765</v>
      </c>
      <c r="T908" s="1" t="s">
        <v>8766</v>
      </c>
      <c r="U908" s="1" t="s">
        <v>8767</v>
      </c>
      <c r="V908" s="13">
        <f>COUNTIF(L908:$M$1659,L908)</f>
        <v>6</v>
      </c>
      <c r="W908" s="1" t="s">
        <v>8768</v>
      </c>
      <c r="X908">
        <v>196.5</v>
      </c>
      <c r="Y908">
        <v>165.63</v>
      </c>
      <c r="Z908">
        <v>12.951854000000001</v>
      </c>
      <c r="AA908">
        <v>108.305722</v>
      </c>
      <c r="AB908">
        <v>30.87</v>
      </c>
      <c r="AC908">
        <v>12.951995999999999</v>
      </c>
      <c r="AD908">
        <v>108.344803</v>
      </c>
      <c r="AE908" s="5">
        <f t="shared" si="71"/>
        <v>0.248445</v>
      </c>
      <c r="AF908" s="5">
        <f t="shared" si="72"/>
        <v>4.6304999999999999E-2</v>
      </c>
      <c r="AG908" s="1" t="e">
        <f>TRIM(LEFT(L908,FIND("-",L908)-1))</f>
        <v>#VALUE!</v>
      </c>
      <c r="AH908" s="1" t="e">
        <f>TRIM(RIGHT(L908, LEN(L908) - FIND("-", L908)))</f>
        <v>#VALUE!</v>
      </c>
      <c r="AJ908">
        <f t="shared" si="73"/>
        <v>0.16563</v>
      </c>
      <c r="AK908">
        <f t="shared" si="74"/>
        <v>3.0870000000000002E-2</v>
      </c>
      <c r="AL908" t="e">
        <f>VLOOKUP(L908,'[1]Tuyến cáp H04'!$B:$E,3,0)/1000</f>
        <v>#N/A</v>
      </c>
      <c r="AM908" t="e">
        <f>VLOOKUP(L908,'[1]Tuyến cáp H04'!$B:$E,4,0)</f>
        <v>#N/A</v>
      </c>
    </row>
    <row r="909" spans="1:39" x14ac:dyDescent="0.25">
      <c r="A909" s="1" t="s">
        <v>8769</v>
      </c>
      <c r="B909" s="1" t="s">
        <v>8332</v>
      </c>
      <c r="C909" s="1" t="s">
        <v>8333</v>
      </c>
      <c r="D909" s="1" t="s">
        <v>8757</v>
      </c>
      <c r="E909" s="1" t="s">
        <v>8758</v>
      </c>
      <c r="F909" s="1" t="s">
        <v>8770</v>
      </c>
      <c r="G909" s="1" t="s">
        <v>14129</v>
      </c>
      <c r="H909" s="1" t="s">
        <v>14133</v>
      </c>
      <c r="I909" s="1" t="s">
        <v>15023</v>
      </c>
      <c r="J909" s="1" t="s">
        <v>23</v>
      </c>
      <c r="K909" s="1"/>
      <c r="L909" s="1" t="s">
        <v>8498</v>
      </c>
      <c r="M909" s="1" t="s">
        <v>8498</v>
      </c>
      <c r="N909" s="12" t="b">
        <f t="shared" si="70"/>
        <v>1</v>
      </c>
      <c r="O909" s="1" t="s">
        <v>8771</v>
      </c>
      <c r="P909" s="1" t="s">
        <v>8772</v>
      </c>
      <c r="Q909" s="1" t="s">
        <v>8773</v>
      </c>
      <c r="R909" s="1" t="s">
        <v>8774</v>
      </c>
      <c r="S909" s="1" t="s">
        <v>8775</v>
      </c>
      <c r="T909" s="1" t="s">
        <v>8776</v>
      </c>
      <c r="U909" s="1" t="s">
        <v>8777</v>
      </c>
      <c r="V909" s="13">
        <f>COUNTIF(L909:$M$1659,L909)</f>
        <v>4</v>
      </c>
      <c r="W909" s="1" t="s">
        <v>8506</v>
      </c>
      <c r="X909">
        <v>223.08</v>
      </c>
      <c r="Y909">
        <v>58</v>
      </c>
      <c r="Z909">
        <v>12.916520999999999</v>
      </c>
      <c r="AA909">
        <v>108.266099</v>
      </c>
      <c r="AB909">
        <v>165.08</v>
      </c>
      <c r="AC909">
        <v>12.951841999999999</v>
      </c>
      <c r="AD909">
        <v>108.305711</v>
      </c>
      <c r="AE909" s="5">
        <f t="shared" si="71"/>
        <v>8.6999999999999994E-2</v>
      </c>
      <c r="AF909" s="5">
        <f t="shared" si="72"/>
        <v>0.24762000000000001</v>
      </c>
      <c r="AG909" s="1" t="str">
        <f>TRIM(LEFT(L909,FIND("-",L909)-1))</f>
        <v>TTCMKV Buôn Hồ</v>
      </c>
      <c r="AH909" s="1" t="str">
        <f>TRIM(RIGHT(L909, LEN(L909) - FIND("-", L909)))</f>
        <v>Dliê Ya</v>
      </c>
      <c r="AJ909">
        <f t="shared" si="73"/>
        <v>5.8000000000000003E-2</v>
      </c>
      <c r="AK909">
        <f t="shared" si="74"/>
        <v>0.16508</v>
      </c>
      <c r="AL909">
        <f>VLOOKUP(L909,'[1]Tuyến cáp H04'!$B:$E,3,0)/1000</f>
        <v>30.356000000000002</v>
      </c>
      <c r="AM909" t="str">
        <f>VLOOKUP(L909,'[1]Tuyến cáp H04'!$B:$E,4,0)</f>
        <v>Mạng cấp 4</v>
      </c>
    </row>
    <row r="910" spans="1:39" x14ac:dyDescent="0.25">
      <c r="A910" s="1" t="s">
        <v>8778</v>
      </c>
      <c r="B910" s="1" t="s">
        <v>8218</v>
      </c>
      <c r="C910" s="1" t="s">
        <v>8219</v>
      </c>
      <c r="D910" s="1" t="s">
        <v>8260</v>
      </c>
      <c r="E910" s="1" t="s">
        <v>8261</v>
      </c>
      <c r="F910" s="1" t="s">
        <v>8779</v>
      </c>
      <c r="G910" s="1" t="s">
        <v>14129</v>
      </c>
      <c r="H910" s="1" t="s">
        <v>14133</v>
      </c>
      <c r="I910" s="1" t="s">
        <v>15024</v>
      </c>
      <c r="J910" s="1" t="s">
        <v>23</v>
      </c>
      <c r="K910" s="1"/>
      <c r="L910" s="1" t="s">
        <v>8498</v>
      </c>
      <c r="M910" s="1" t="s">
        <v>8498</v>
      </c>
      <c r="N910" s="12" t="b">
        <f t="shared" si="70"/>
        <v>1</v>
      </c>
      <c r="O910" s="1" t="s">
        <v>8780</v>
      </c>
      <c r="P910" s="1" t="s">
        <v>8503</v>
      </c>
      <c r="Q910" s="1" t="s">
        <v>8504</v>
      </c>
      <c r="R910" s="1" t="s">
        <v>8505</v>
      </c>
      <c r="S910" s="1" t="s">
        <v>8781</v>
      </c>
      <c r="T910" s="1" t="s">
        <v>8782</v>
      </c>
      <c r="U910" s="1" t="s">
        <v>8783</v>
      </c>
      <c r="V910" s="13">
        <f>COUNTIF(L910:$M$1659,L910)</f>
        <v>2</v>
      </c>
      <c r="W910" s="1" t="s">
        <v>8506</v>
      </c>
      <c r="X910">
        <v>4309.1099999999997</v>
      </c>
      <c r="Y910">
        <v>183.44</v>
      </c>
      <c r="Z910">
        <v>13.114953</v>
      </c>
      <c r="AA910">
        <v>108.330055</v>
      </c>
      <c r="AB910">
        <v>4125.67</v>
      </c>
      <c r="AC910">
        <v>12.959835</v>
      </c>
      <c r="AD910">
        <v>108.307524</v>
      </c>
      <c r="AE910" s="5">
        <f t="shared" si="71"/>
        <v>0.27515999999999996</v>
      </c>
      <c r="AF910" s="5">
        <f t="shared" si="72"/>
        <v>6.1885050000000001</v>
      </c>
      <c r="AG910" s="1" t="str">
        <f>TRIM(LEFT(L910,FIND("-",L910)-1))</f>
        <v>TTCMKV Buôn Hồ</v>
      </c>
      <c r="AH910" s="1" t="str">
        <f>TRIM(RIGHT(L910, LEN(L910) - FIND("-", L910)))</f>
        <v>Dliê Ya</v>
      </c>
      <c r="AJ910">
        <f t="shared" si="73"/>
        <v>0.18343999999999999</v>
      </c>
      <c r="AK910">
        <f t="shared" si="74"/>
        <v>4.1256700000000004</v>
      </c>
      <c r="AL910">
        <f>VLOOKUP(L910,'[1]Tuyến cáp H04'!$B:$E,3,0)/1000</f>
        <v>30.356000000000002</v>
      </c>
      <c r="AM910" t="str">
        <f>VLOOKUP(L910,'[1]Tuyến cáp H04'!$B:$E,4,0)</f>
        <v>Mạng cấp 4</v>
      </c>
    </row>
    <row r="911" spans="1:39" x14ac:dyDescent="0.25">
      <c r="A911" s="1" t="s">
        <v>8784</v>
      </c>
      <c r="B911" s="1" t="s">
        <v>8305</v>
      </c>
      <c r="C911" s="1" t="s">
        <v>8306</v>
      </c>
      <c r="D911" s="1" t="s">
        <v>8218</v>
      </c>
      <c r="E911" s="1" t="s">
        <v>8219</v>
      </c>
      <c r="F911" s="1" t="s">
        <v>8785</v>
      </c>
      <c r="G911" s="1" t="s">
        <v>14129</v>
      </c>
      <c r="H911" s="1" t="s">
        <v>14133</v>
      </c>
      <c r="I911" s="1" t="s">
        <v>15025</v>
      </c>
      <c r="J911" s="1" t="s">
        <v>23</v>
      </c>
      <c r="K911" s="1"/>
      <c r="L911" s="1" t="s">
        <v>8786</v>
      </c>
      <c r="M911" s="1" t="s">
        <v>8786</v>
      </c>
      <c r="N911" s="12" t="b">
        <f t="shared" si="70"/>
        <v>1</v>
      </c>
      <c r="O911" s="1" t="s">
        <v>8787</v>
      </c>
      <c r="P911" s="1" t="s">
        <v>8788</v>
      </c>
      <c r="Q911" s="1" t="s">
        <v>8789</v>
      </c>
      <c r="R911" s="1" t="s">
        <v>8790</v>
      </c>
      <c r="S911" s="1" t="s">
        <v>8791</v>
      </c>
      <c r="T911" s="1" t="s">
        <v>8792</v>
      </c>
      <c r="U911" s="1" t="s">
        <v>8793</v>
      </c>
      <c r="V911" s="13">
        <f>COUNTIF(L911:$M$1659,L911)</f>
        <v>2</v>
      </c>
      <c r="W911" s="1" t="s">
        <v>8794</v>
      </c>
      <c r="X911">
        <v>8933.98</v>
      </c>
      <c r="Y911">
        <v>4630.83</v>
      </c>
      <c r="Z911">
        <v>13.225431</v>
      </c>
      <c r="AA911">
        <v>108.29411399999999</v>
      </c>
      <c r="AB911">
        <v>4303.16</v>
      </c>
      <c r="AC911">
        <v>13.154978</v>
      </c>
      <c r="AD911">
        <v>108.325789</v>
      </c>
      <c r="AE911" s="5">
        <f t="shared" si="71"/>
        <v>6.9462450000000002</v>
      </c>
      <c r="AF911" s="5">
        <f t="shared" si="72"/>
        <v>6.4547400000000001</v>
      </c>
      <c r="AG911" s="1" t="e">
        <f>TRIM(LEFT(L911,FIND("-",L911)-1))</f>
        <v>#VALUE!</v>
      </c>
      <c r="AH911" s="1" t="e">
        <f>TRIM(RIGHT(L911, LEN(L911) - FIND("-", L911)))</f>
        <v>#VALUE!</v>
      </c>
      <c r="AJ911">
        <f t="shared" si="73"/>
        <v>4.6308299999999996</v>
      </c>
      <c r="AK911">
        <f t="shared" si="74"/>
        <v>4.3031600000000001</v>
      </c>
      <c r="AL911" t="e">
        <f>VLOOKUP(L911,'[1]Tuyến cáp H04'!$B:$E,3,0)/1000</f>
        <v>#N/A</v>
      </c>
      <c r="AM911" t="e">
        <f>VLOOKUP(L911,'[1]Tuyến cáp H04'!$B:$E,4,0)</f>
        <v>#N/A</v>
      </c>
    </row>
    <row r="912" spans="1:39" x14ac:dyDescent="0.25">
      <c r="A912" s="1" t="s">
        <v>8795</v>
      </c>
      <c r="B912" s="1" t="s">
        <v>8796</v>
      </c>
      <c r="C912" s="1" t="s">
        <v>8797</v>
      </c>
      <c r="D912" s="1" t="s">
        <v>8305</v>
      </c>
      <c r="E912" s="1" t="s">
        <v>8306</v>
      </c>
      <c r="F912" s="1" t="s">
        <v>8798</v>
      </c>
      <c r="G912" s="1" t="s">
        <v>14129</v>
      </c>
      <c r="H912" s="1" t="s">
        <v>14133</v>
      </c>
      <c r="I912" s="1" t="s">
        <v>15026</v>
      </c>
      <c r="J912" s="1" t="s">
        <v>23</v>
      </c>
      <c r="K912" s="1"/>
      <c r="L912" s="1" t="s">
        <v>8410</v>
      </c>
      <c r="M912" s="1" t="s">
        <v>8410</v>
      </c>
      <c r="N912" s="12" t="b">
        <f t="shared" si="70"/>
        <v>1</v>
      </c>
      <c r="O912" s="1" t="s">
        <v>8799</v>
      </c>
      <c r="P912" s="1" t="s">
        <v>8800</v>
      </c>
      <c r="Q912" s="1" t="s">
        <v>8801</v>
      </c>
      <c r="R912" s="1" t="s">
        <v>8802</v>
      </c>
      <c r="S912" s="1" t="s">
        <v>8415</v>
      </c>
      <c r="T912" s="1" t="s">
        <v>8416</v>
      </c>
      <c r="U912" s="1" t="s">
        <v>8417</v>
      </c>
      <c r="V912" s="13">
        <f>COUNTIF(L912:$M$1659,L912)</f>
        <v>2</v>
      </c>
      <c r="W912" s="1" t="s">
        <v>8418</v>
      </c>
      <c r="X912">
        <v>153.88</v>
      </c>
      <c r="Y912">
        <v>109.64</v>
      </c>
      <c r="Z912">
        <v>13.201871000000001</v>
      </c>
      <c r="AA912">
        <v>108.214752</v>
      </c>
      <c r="AB912">
        <v>44.24</v>
      </c>
      <c r="AC912">
        <v>13.266166999999999</v>
      </c>
      <c r="AD912">
        <v>108.287032</v>
      </c>
      <c r="AE912" s="5">
        <f t="shared" si="71"/>
        <v>0.16446</v>
      </c>
      <c r="AF912" s="5">
        <f t="shared" si="72"/>
        <v>6.6360000000000002E-2</v>
      </c>
      <c r="AG912" s="1" t="e">
        <f>TRIM(LEFT(L912,FIND("-",L912)-1))</f>
        <v>#VALUE!</v>
      </c>
      <c r="AH912" s="1" t="e">
        <f>TRIM(RIGHT(L912, LEN(L912) - FIND("-", L912)))</f>
        <v>#VALUE!</v>
      </c>
      <c r="AJ912">
        <f t="shared" si="73"/>
        <v>0.10964</v>
      </c>
      <c r="AK912">
        <f t="shared" si="74"/>
        <v>4.4240000000000002E-2</v>
      </c>
      <c r="AL912" t="e">
        <f>VLOOKUP(L912,'[1]Tuyến cáp H04'!$B:$E,3,0)/1000</f>
        <v>#N/A</v>
      </c>
      <c r="AM912" t="e">
        <f>VLOOKUP(L912,'[1]Tuyến cáp H04'!$B:$E,4,0)</f>
        <v>#N/A</v>
      </c>
    </row>
    <row r="913" spans="1:39" x14ac:dyDescent="0.25">
      <c r="A913" s="1" t="s">
        <v>8803</v>
      </c>
      <c r="B913" s="1" t="s">
        <v>8332</v>
      </c>
      <c r="C913" s="1" t="s">
        <v>8333</v>
      </c>
      <c r="D913" s="1" t="s">
        <v>8796</v>
      </c>
      <c r="E913" s="1" t="s">
        <v>8797</v>
      </c>
      <c r="F913" s="1" t="s">
        <v>8804</v>
      </c>
      <c r="G913" s="1" t="s">
        <v>14129</v>
      </c>
      <c r="H913" s="1" t="s">
        <v>14133</v>
      </c>
      <c r="I913" s="1" t="s">
        <v>15027</v>
      </c>
      <c r="J913" s="1" t="s">
        <v>23</v>
      </c>
      <c r="K913" s="1"/>
      <c r="L913" s="1" t="s">
        <v>8163</v>
      </c>
      <c r="M913" s="1" t="s">
        <v>8163</v>
      </c>
      <c r="N913" s="12" t="b">
        <f t="shared" si="70"/>
        <v>1</v>
      </c>
      <c r="O913" s="1" t="s">
        <v>8805</v>
      </c>
      <c r="P913" s="1" t="s">
        <v>8750</v>
      </c>
      <c r="Q913" s="1" t="s">
        <v>8751</v>
      </c>
      <c r="R913" s="1" t="s">
        <v>8752</v>
      </c>
      <c r="S913" s="1" t="s">
        <v>8806</v>
      </c>
      <c r="T913" s="1" t="s">
        <v>8807</v>
      </c>
      <c r="U913" s="1" t="s">
        <v>8808</v>
      </c>
      <c r="V913" s="13">
        <f>COUNTIF(L913:$M$1659,L913)</f>
        <v>6</v>
      </c>
      <c r="W913" s="1" t="s">
        <v>8171</v>
      </c>
      <c r="X913">
        <v>1026.28</v>
      </c>
      <c r="Y913">
        <v>58.27</v>
      </c>
      <c r="Z913">
        <v>12.916486000000001</v>
      </c>
      <c r="AA913">
        <v>108.266068</v>
      </c>
      <c r="AB913">
        <v>968.01</v>
      </c>
      <c r="AC913">
        <v>13.204205999999999</v>
      </c>
      <c r="AD913">
        <v>108.207145</v>
      </c>
      <c r="AE913" s="5">
        <f t="shared" si="71"/>
        <v>8.7404999999999997E-2</v>
      </c>
      <c r="AF913" s="5">
        <f t="shared" si="72"/>
        <v>1.4520149999999998</v>
      </c>
      <c r="AG913" s="1" t="str">
        <f>TRIM(LEFT(L913,FIND("-",L913)-1))</f>
        <v>Buôn Hồ</v>
      </c>
      <c r="AH913" s="1" t="str">
        <f>TRIM(RIGHT(L913, LEN(L913) - FIND("-", L913)))</f>
        <v>Ea H'Leo</v>
      </c>
      <c r="AJ913">
        <f t="shared" si="73"/>
        <v>5.8270000000000002E-2</v>
      </c>
      <c r="AK913">
        <f t="shared" si="74"/>
        <v>0.96801000000000004</v>
      </c>
      <c r="AL913">
        <f>VLOOKUP(L913,'[1]Tuyến cáp H04'!$B:$E,3,0)/1000</f>
        <v>36.590000000000003</v>
      </c>
      <c r="AM913" t="str">
        <f>VLOOKUP(L913,'[1]Tuyến cáp H04'!$B:$E,4,0)</f>
        <v>Mạng cấp 3</v>
      </c>
    </row>
    <row r="914" spans="1:39" x14ac:dyDescent="0.25">
      <c r="A914" s="1" t="s">
        <v>8809</v>
      </c>
      <c r="B914" s="1" t="s">
        <v>8332</v>
      </c>
      <c r="C914" s="1" t="s">
        <v>8333</v>
      </c>
      <c r="D914" s="1" t="s">
        <v>8810</v>
      </c>
      <c r="E914" s="1" t="s">
        <v>8811</v>
      </c>
      <c r="F914" s="1" t="s">
        <v>8812</v>
      </c>
      <c r="G914" s="1" t="s">
        <v>14129</v>
      </c>
      <c r="H914" s="1" t="s">
        <v>14133</v>
      </c>
      <c r="I914" s="1" t="s">
        <v>15028</v>
      </c>
      <c r="J914" s="1" t="s">
        <v>23</v>
      </c>
      <c r="K914" s="1"/>
      <c r="L914" s="1" t="s">
        <v>8813</v>
      </c>
      <c r="M914" s="1" t="s">
        <v>8813</v>
      </c>
      <c r="N914" s="12" t="b">
        <f t="shared" si="70"/>
        <v>1</v>
      </c>
      <c r="O914" s="1" t="s">
        <v>8814</v>
      </c>
      <c r="P914" s="1" t="s">
        <v>8815</v>
      </c>
      <c r="Q914" s="1" t="s">
        <v>8816</v>
      </c>
      <c r="R914" s="1" t="s">
        <v>8817</v>
      </c>
      <c r="S914" s="1" t="s">
        <v>8818</v>
      </c>
      <c r="T914" s="1" t="s">
        <v>8819</v>
      </c>
      <c r="U914" s="1" t="s">
        <v>8820</v>
      </c>
      <c r="V914" s="13">
        <f>COUNTIF(L914:$M$1659,L914)</f>
        <v>8</v>
      </c>
      <c r="W914" s="1" t="s">
        <v>8821</v>
      </c>
      <c r="X914">
        <v>9422.7900000000009</v>
      </c>
      <c r="Y914">
        <v>9287.61</v>
      </c>
      <c r="Z914">
        <v>12.924609999999999</v>
      </c>
      <c r="AA914">
        <v>108.35176800000001</v>
      </c>
      <c r="AB914">
        <v>135.18</v>
      </c>
      <c r="AC914">
        <v>12.88081</v>
      </c>
      <c r="AD914">
        <v>108.38649100000001</v>
      </c>
      <c r="AE914" s="5">
        <f t="shared" si="71"/>
        <v>13.931415000000001</v>
      </c>
      <c r="AF914" s="5">
        <f t="shared" si="72"/>
        <v>0.20277000000000001</v>
      </c>
      <c r="AG914" s="1" t="str">
        <f>TRIM(LEFT(L914,FIND("-",L914)-1))</f>
        <v>Ea Kar</v>
      </c>
      <c r="AH914" s="1" t="str">
        <f>TRIM(RIGHT(L914, LEN(L914) - FIND("-", L914)))</f>
        <v>KRông Năng</v>
      </c>
      <c r="AJ914">
        <f t="shared" si="73"/>
        <v>9.2876100000000008</v>
      </c>
      <c r="AK914">
        <f t="shared" si="74"/>
        <v>0.13517999999999999</v>
      </c>
      <c r="AL914">
        <f>VLOOKUP(L914,'[1]Tuyến cáp H04'!$B:$E,3,0)/1000</f>
        <v>28.914000000000001</v>
      </c>
      <c r="AM914" t="str">
        <f>VLOOKUP(L914,'[1]Tuyến cáp H04'!$B:$E,4,0)</f>
        <v>Mạng cấp 3</v>
      </c>
    </row>
    <row r="915" spans="1:39" x14ac:dyDescent="0.25">
      <c r="A915" s="1" t="s">
        <v>8822</v>
      </c>
      <c r="B915" s="1" t="s">
        <v>8675</v>
      </c>
      <c r="C915" s="1" t="s">
        <v>8676</v>
      </c>
      <c r="D915" s="1" t="s">
        <v>8823</v>
      </c>
      <c r="E915" s="1" t="s">
        <v>8824</v>
      </c>
      <c r="F915" s="1" t="s">
        <v>8825</v>
      </c>
      <c r="G915" s="1" t="s">
        <v>14129</v>
      </c>
      <c r="H915" s="1" t="s">
        <v>14133</v>
      </c>
      <c r="I915" s="1" t="s">
        <v>15029</v>
      </c>
      <c r="J915" s="1" t="s">
        <v>23</v>
      </c>
      <c r="K915" s="1"/>
      <c r="L915" s="1" t="s">
        <v>8572</v>
      </c>
      <c r="M915" s="1" t="s">
        <v>8572</v>
      </c>
      <c r="N915" s="12" t="b">
        <f t="shared" si="70"/>
        <v>1</v>
      </c>
      <c r="O915" s="1" t="s">
        <v>8826</v>
      </c>
      <c r="P915" s="1" t="s">
        <v>8827</v>
      </c>
      <c r="Q915" s="1" t="s">
        <v>8828</v>
      </c>
      <c r="R915" s="1" t="s">
        <v>8829</v>
      </c>
      <c r="S915" s="1" t="s">
        <v>8830</v>
      </c>
      <c r="T915" s="1" t="s">
        <v>8831</v>
      </c>
      <c r="U915" s="1" t="s">
        <v>8832</v>
      </c>
      <c r="V915" s="13">
        <f>COUNTIF(L915:$M$1659,L915)</f>
        <v>6</v>
      </c>
      <c r="W915" s="1" t="s">
        <v>8580</v>
      </c>
      <c r="X915">
        <v>2274.6</v>
      </c>
      <c r="Y915">
        <v>76.38</v>
      </c>
      <c r="Z915">
        <v>12.711752000000001</v>
      </c>
      <c r="AA915">
        <v>108.069326</v>
      </c>
      <c r="AB915">
        <v>2198.21</v>
      </c>
      <c r="AC915">
        <v>12.687671999999999</v>
      </c>
      <c r="AD915">
        <v>108.046783</v>
      </c>
      <c r="AE915" s="5">
        <f t="shared" si="71"/>
        <v>0.11456999999999999</v>
      </c>
      <c r="AF915" s="5">
        <f t="shared" si="72"/>
        <v>3.2973150000000002</v>
      </c>
      <c r="AG915" s="1" t="str">
        <f>TRIM(LEFT(L915,FIND("-",L915)-1))</f>
        <v>CAT Đắk Lắk</v>
      </c>
      <c r="AH915" s="1" t="str">
        <f>TRIM(RIGHT(L915, LEN(L915) - FIND("-", L915)))</f>
        <v>Buôn Ma Thuột</v>
      </c>
      <c r="AJ915">
        <f t="shared" si="73"/>
        <v>7.637999999999999E-2</v>
      </c>
      <c r="AK915">
        <f t="shared" si="74"/>
        <v>2.19821</v>
      </c>
      <c r="AL915">
        <f>VLOOKUP(L915,'[1]Tuyến cáp H04'!$B:$E,3,0)/1000</f>
        <v>5.4139999999999997</v>
      </c>
      <c r="AM915" t="str">
        <f>VLOOKUP(L915,'[1]Tuyến cáp H04'!$B:$E,4,0)</f>
        <v>Mạng cấp 4</v>
      </c>
    </row>
    <row r="916" spans="1:39" x14ac:dyDescent="0.25">
      <c r="A916" s="1" t="s">
        <v>8833</v>
      </c>
      <c r="B916" s="1" t="s">
        <v>8834</v>
      </c>
      <c r="C916" s="1" t="s">
        <v>8835</v>
      </c>
      <c r="D916" s="1" t="s">
        <v>8675</v>
      </c>
      <c r="E916" s="1" t="s">
        <v>8676</v>
      </c>
      <c r="F916" s="1" t="s">
        <v>8836</v>
      </c>
      <c r="G916" s="1" t="s">
        <v>14129</v>
      </c>
      <c r="H916" s="1" t="s">
        <v>14133</v>
      </c>
      <c r="I916" s="1" t="s">
        <v>15030</v>
      </c>
      <c r="J916" s="1" t="s">
        <v>23</v>
      </c>
      <c r="K916" s="1"/>
      <c r="L916" s="1" t="s">
        <v>8572</v>
      </c>
      <c r="M916" s="1" t="s">
        <v>8572</v>
      </c>
      <c r="N916" s="12" t="b">
        <f t="shared" si="70"/>
        <v>1</v>
      </c>
      <c r="O916" s="1" t="s">
        <v>8837</v>
      </c>
      <c r="P916" s="1" t="s">
        <v>8838</v>
      </c>
      <c r="Q916" s="1" t="s">
        <v>8839</v>
      </c>
      <c r="R916" s="1" t="s">
        <v>8840</v>
      </c>
      <c r="S916" s="1" t="s">
        <v>8827</v>
      </c>
      <c r="T916" s="1" t="s">
        <v>8828</v>
      </c>
      <c r="U916" s="1" t="s">
        <v>8829</v>
      </c>
      <c r="V916" s="13">
        <f>COUNTIF(L916:$M$1659,L916)</f>
        <v>4</v>
      </c>
      <c r="W916" s="1" t="s">
        <v>8580</v>
      </c>
      <c r="X916">
        <v>137.86000000000001</v>
      </c>
      <c r="Y916">
        <v>61.48</v>
      </c>
      <c r="Z916">
        <v>12.688961000000001</v>
      </c>
      <c r="AA916">
        <v>108.047808</v>
      </c>
      <c r="AB916">
        <v>76.38</v>
      </c>
      <c r="AC916">
        <v>12.711752000000001</v>
      </c>
      <c r="AD916">
        <v>108.069326</v>
      </c>
      <c r="AE916" s="5">
        <f t="shared" si="71"/>
        <v>9.2219999999999996E-2</v>
      </c>
      <c r="AF916" s="5">
        <f t="shared" si="72"/>
        <v>0.11456999999999999</v>
      </c>
      <c r="AG916" s="1" t="str">
        <f>TRIM(LEFT(L916,FIND("-",L916)-1))</f>
        <v>CAT Đắk Lắk</v>
      </c>
      <c r="AH916" s="1" t="str">
        <f>TRIM(RIGHT(L916, LEN(L916) - FIND("-", L916)))</f>
        <v>Buôn Ma Thuột</v>
      </c>
      <c r="AJ916">
        <f t="shared" si="73"/>
        <v>6.148E-2</v>
      </c>
      <c r="AK916">
        <f t="shared" si="74"/>
        <v>7.637999999999999E-2</v>
      </c>
      <c r="AL916">
        <f>VLOOKUP(L916,'[1]Tuyến cáp H04'!$B:$E,3,0)/1000</f>
        <v>5.4139999999999997</v>
      </c>
      <c r="AM916" t="str">
        <f>VLOOKUP(L916,'[1]Tuyến cáp H04'!$B:$E,4,0)</f>
        <v>Mạng cấp 4</v>
      </c>
    </row>
    <row r="917" spans="1:39" x14ac:dyDescent="0.25">
      <c r="A917" s="1" t="s">
        <v>8841</v>
      </c>
      <c r="B917" s="1" t="s">
        <v>8554</v>
      </c>
      <c r="C917" s="1" t="s">
        <v>8555</v>
      </c>
      <c r="D917" s="1" t="s">
        <v>8842</v>
      </c>
      <c r="E917" s="1" t="s">
        <v>8843</v>
      </c>
      <c r="F917" s="1" t="s">
        <v>8844</v>
      </c>
      <c r="G917" s="1" t="s">
        <v>14129</v>
      </c>
      <c r="H917" s="1" t="s">
        <v>14133</v>
      </c>
      <c r="I917" s="1" t="s">
        <v>15031</v>
      </c>
      <c r="J917" s="1" t="s">
        <v>23</v>
      </c>
      <c r="K917" s="1"/>
      <c r="L917" s="1" t="s">
        <v>8350</v>
      </c>
      <c r="M917" s="1" t="s">
        <v>8350</v>
      </c>
      <c r="N917" s="12" t="b">
        <f t="shared" si="70"/>
        <v>1</v>
      </c>
      <c r="O917" s="1" t="s">
        <v>8845</v>
      </c>
      <c r="P917" s="1" t="s">
        <v>8590</v>
      </c>
      <c r="Q917" s="1" t="s">
        <v>8353</v>
      </c>
      <c r="R917" s="1" t="s">
        <v>8354</v>
      </c>
      <c r="S917" s="1" t="s">
        <v>8846</v>
      </c>
      <c r="T917" s="1" t="s">
        <v>8847</v>
      </c>
      <c r="U917" s="1" t="s">
        <v>8848</v>
      </c>
      <c r="V917" s="13">
        <f>COUNTIF(L917:$M$1659,L917)</f>
        <v>38</v>
      </c>
      <c r="W917" s="1" t="s">
        <v>8358</v>
      </c>
      <c r="X917">
        <v>1899.34</v>
      </c>
      <c r="Y917">
        <v>1750.11</v>
      </c>
      <c r="Z917">
        <v>12.690893000000001</v>
      </c>
      <c r="AA917">
        <v>108.06744999999999</v>
      </c>
      <c r="AB917">
        <v>149.24</v>
      </c>
      <c r="AC917">
        <v>12.721553</v>
      </c>
      <c r="AD917">
        <v>108.093073</v>
      </c>
      <c r="AE917" s="5">
        <f t="shared" si="71"/>
        <v>2.625165</v>
      </c>
      <c r="AF917" s="5">
        <f t="shared" si="72"/>
        <v>0.22386</v>
      </c>
      <c r="AG917" s="1" t="str">
        <f>TRIM(LEFT(L917,FIND("-",L917)-1))</f>
        <v>TT1 Đăk Lăk</v>
      </c>
      <c r="AH917" s="1" t="str">
        <f>TRIM(RIGHT(L917, LEN(L917) - FIND("-", L917)))</f>
        <v>ILA Ea Kar</v>
      </c>
      <c r="AJ917">
        <f t="shared" si="73"/>
        <v>1.7501099999999998</v>
      </c>
      <c r="AK917">
        <f t="shared" si="74"/>
        <v>0.14924000000000001</v>
      </c>
      <c r="AL917" t="e">
        <f>VLOOKUP(L917,'[1]Tuyến cáp H04'!$B:$E,3,0)/1000</f>
        <v>#N/A</v>
      </c>
      <c r="AM917" t="e">
        <f>VLOOKUP(L917,'[1]Tuyến cáp H04'!$B:$E,4,0)</f>
        <v>#N/A</v>
      </c>
    </row>
    <row r="918" spans="1:39" x14ac:dyDescent="0.25">
      <c r="A918" s="1" t="s">
        <v>8849</v>
      </c>
      <c r="B918" s="1" t="s">
        <v>8850</v>
      </c>
      <c r="C918" s="1" t="s">
        <v>8851</v>
      </c>
      <c r="D918" s="1" t="s">
        <v>8643</v>
      </c>
      <c r="E918" s="1" t="s">
        <v>8644</v>
      </c>
      <c r="F918" s="1" t="s">
        <v>8852</v>
      </c>
      <c r="G918" s="1" t="s">
        <v>14129</v>
      </c>
      <c r="H918" s="1" t="s">
        <v>14133</v>
      </c>
      <c r="I918" s="1" t="s">
        <v>15032</v>
      </c>
      <c r="J918" s="1" t="s">
        <v>23</v>
      </c>
      <c r="K918" s="1"/>
      <c r="L918" s="1" t="s">
        <v>8293</v>
      </c>
      <c r="M918" s="1" t="s">
        <v>8293</v>
      </c>
      <c r="N918" s="12" t="b">
        <f t="shared" si="70"/>
        <v>1</v>
      </c>
      <c r="O918" s="1" t="s">
        <v>8853</v>
      </c>
      <c r="P918" s="1" t="s">
        <v>8854</v>
      </c>
      <c r="Q918" s="1" t="s">
        <v>8855</v>
      </c>
      <c r="R918" s="1" t="s">
        <v>8856</v>
      </c>
      <c r="S918" s="1" t="s">
        <v>8857</v>
      </c>
      <c r="T918" s="1" t="s">
        <v>8858</v>
      </c>
      <c r="U918" s="1" t="s">
        <v>8859</v>
      </c>
      <c r="V918" s="13">
        <f>COUNTIF(L918:$M$1659,L918)</f>
        <v>14</v>
      </c>
      <c r="W918" s="1" t="s">
        <v>8301</v>
      </c>
      <c r="X918">
        <v>7353.97</v>
      </c>
      <c r="Y918">
        <v>7309.52</v>
      </c>
      <c r="Z918">
        <v>12.899435</v>
      </c>
      <c r="AA918">
        <v>108.116934</v>
      </c>
      <c r="AB918">
        <v>44.45</v>
      </c>
      <c r="AC918">
        <v>12.910539</v>
      </c>
      <c r="AD918">
        <v>108.190575</v>
      </c>
      <c r="AE918" s="5">
        <f t="shared" si="71"/>
        <v>10.96428</v>
      </c>
      <c r="AF918" s="5">
        <f t="shared" si="72"/>
        <v>6.6675000000000012E-2</v>
      </c>
      <c r="AG918" s="1" t="str">
        <f>TRIM(LEFT(L918,FIND("-",L918)-1))</f>
        <v>Cư M'ga</v>
      </c>
      <c r="AH918" s="1" t="str">
        <f>TRIM(RIGHT(L918, LEN(L918) - FIND("-", L918)))</f>
        <v>Buôn Hồ</v>
      </c>
      <c r="AJ918">
        <f t="shared" si="73"/>
        <v>7.30952</v>
      </c>
      <c r="AK918">
        <f t="shared" si="74"/>
        <v>4.4450000000000003E-2</v>
      </c>
      <c r="AL918">
        <f>VLOOKUP(L918,'[1]Tuyến cáp H04'!$B:$E,3,0)/1000</f>
        <v>38.145000000000003</v>
      </c>
      <c r="AM918" t="str">
        <f>VLOOKUP(L918,'[1]Tuyến cáp H04'!$B:$E,4,0)</f>
        <v>Mạng cấp 3</v>
      </c>
    </row>
    <row r="919" spans="1:39" x14ac:dyDescent="0.25">
      <c r="A919" s="1" t="s">
        <v>8860</v>
      </c>
      <c r="B919" s="1" t="s">
        <v>8711</v>
      </c>
      <c r="C919" s="1" t="s">
        <v>8712</v>
      </c>
      <c r="D919" s="1" t="s">
        <v>8850</v>
      </c>
      <c r="E919" s="1" t="s">
        <v>8851</v>
      </c>
      <c r="F919" s="1" t="s">
        <v>8861</v>
      </c>
      <c r="G919" s="1" t="s">
        <v>14129</v>
      </c>
      <c r="H919" s="1" t="s">
        <v>14133</v>
      </c>
      <c r="I919" s="1" t="s">
        <v>15033</v>
      </c>
      <c r="J919" s="1" t="s">
        <v>23</v>
      </c>
      <c r="K919" s="1"/>
      <c r="L919" s="1" t="s">
        <v>8236</v>
      </c>
      <c r="M919" s="1" t="s">
        <v>8236</v>
      </c>
      <c r="N919" s="12" t="b">
        <f t="shared" si="70"/>
        <v>1</v>
      </c>
      <c r="O919" s="1" t="s">
        <v>8862</v>
      </c>
      <c r="P919" s="1" t="s">
        <v>8715</v>
      </c>
      <c r="Q919" s="1" t="s">
        <v>8716</v>
      </c>
      <c r="R919" s="1" t="s">
        <v>8717</v>
      </c>
      <c r="S919" s="1" t="s">
        <v>8863</v>
      </c>
      <c r="T919" s="1" t="s">
        <v>8864</v>
      </c>
      <c r="U919" s="1" t="s">
        <v>8865</v>
      </c>
      <c r="V919" s="13">
        <f>COUNTIF(L919:$M$1659,L919)</f>
        <v>2</v>
      </c>
      <c r="W919" s="1" t="s">
        <v>8244</v>
      </c>
      <c r="X919">
        <v>8547.33</v>
      </c>
      <c r="Y919">
        <v>112.17</v>
      </c>
      <c r="Z919">
        <v>13.008883000000001</v>
      </c>
      <c r="AA919">
        <v>108.150448</v>
      </c>
      <c r="AB919">
        <v>8435.16</v>
      </c>
      <c r="AC919">
        <v>13.010324000000001</v>
      </c>
      <c r="AD919">
        <v>108.147325</v>
      </c>
      <c r="AE919" s="5">
        <f t="shared" si="71"/>
        <v>0.16825499999999999</v>
      </c>
      <c r="AF919" s="5">
        <f t="shared" si="72"/>
        <v>12.65274</v>
      </c>
      <c r="AG919" s="1" t="e">
        <f>TRIM(LEFT(L919,FIND("-",L919)-1))</f>
        <v>#VALUE!</v>
      </c>
      <c r="AH919" s="1" t="e">
        <f>TRIM(RIGHT(L919, LEN(L919) - FIND("-", L919)))</f>
        <v>#VALUE!</v>
      </c>
      <c r="AJ919">
        <f t="shared" si="73"/>
        <v>0.11217000000000001</v>
      </c>
      <c r="AK919">
        <f t="shared" si="74"/>
        <v>8.4351599999999998</v>
      </c>
      <c r="AL919" t="e">
        <f>VLOOKUP(L919,'[1]Tuyến cáp H04'!$B:$E,3,0)/1000</f>
        <v>#N/A</v>
      </c>
      <c r="AM919" t="e">
        <f>VLOOKUP(L919,'[1]Tuyến cáp H04'!$B:$E,4,0)</f>
        <v>#N/A</v>
      </c>
    </row>
    <row r="920" spans="1:39" x14ac:dyDescent="0.25">
      <c r="A920" s="1" t="s">
        <v>8866</v>
      </c>
      <c r="B920" s="1" t="s">
        <v>8332</v>
      </c>
      <c r="C920" s="1" t="s">
        <v>8333</v>
      </c>
      <c r="D920" s="1" t="s">
        <v>8867</v>
      </c>
      <c r="E920" s="1" t="s">
        <v>8868</v>
      </c>
      <c r="F920" s="1" t="s">
        <v>8869</v>
      </c>
      <c r="G920" s="1" t="s">
        <v>14129</v>
      </c>
      <c r="H920" s="1" t="s">
        <v>14133</v>
      </c>
      <c r="I920" s="1" t="s">
        <v>15034</v>
      </c>
      <c r="J920" s="1" t="s">
        <v>23</v>
      </c>
      <c r="K920" s="1"/>
      <c r="L920" s="1" t="s">
        <v>8728</v>
      </c>
      <c r="M920" s="1" t="s">
        <v>8728</v>
      </c>
      <c r="N920" s="12" t="b">
        <f t="shared" si="70"/>
        <v>1</v>
      </c>
      <c r="O920" s="1" t="s">
        <v>8870</v>
      </c>
      <c r="P920" s="1" t="s">
        <v>8871</v>
      </c>
      <c r="Q920" s="1" t="s">
        <v>8872</v>
      </c>
      <c r="R920" s="1" t="s">
        <v>8873</v>
      </c>
      <c r="S920" s="1" t="s">
        <v>8874</v>
      </c>
      <c r="T920" s="1" t="s">
        <v>8875</v>
      </c>
      <c r="U920" s="1" t="s">
        <v>8876</v>
      </c>
      <c r="V920" s="13">
        <f>COUNTIF(L920:$M$1659,L920)</f>
        <v>10</v>
      </c>
      <c r="W920" s="1" t="s">
        <v>8736</v>
      </c>
      <c r="X920">
        <v>259.18</v>
      </c>
      <c r="Y920">
        <v>55.16</v>
      </c>
      <c r="Z920">
        <v>12.916409</v>
      </c>
      <c r="AA920">
        <v>108.26605499999999</v>
      </c>
      <c r="AB920">
        <v>204.02</v>
      </c>
      <c r="AC920">
        <v>12.930183</v>
      </c>
      <c r="AD920">
        <v>108.26278600000001</v>
      </c>
      <c r="AE920" s="5">
        <f t="shared" si="71"/>
        <v>8.2739999999999994E-2</v>
      </c>
      <c r="AF920" s="5">
        <f t="shared" si="72"/>
        <v>0.30603000000000002</v>
      </c>
      <c r="AG920" s="1" t="str">
        <f>TRIM(LEFT(L920,FIND("-",L920)-1))</f>
        <v>Ea Tul</v>
      </c>
      <c r="AH920" s="1" t="str">
        <f>TRIM(RIGHT(L920, LEN(L920) - FIND("-", L920)))</f>
        <v>Buôn Hồ</v>
      </c>
      <c r="AJ920">
        <f t="shared" si="73"/>
        <v>5.5159999999999994E-2</v>
      </c>
      <c r="AK920">
        <f t="shared" si="74"/>
        <v>0.20402000000000001</v>
      </c>
      <c r="AL920">
        <f>VLOOKUP(L920,'[1]Tuyến cáp H04'!$B:$E,3,0)/1000</f>
        <v>13.702999999999999</v>
      </c>
      <c r="AM920" t="str">
        <f>VLOOKUP(L920,'[1]Tuyến cáp H04'!$B:$E,4,0)</f>
        <v>Mạng cấp 4</v>
      </c>
    </row>
    <row r="921" spans="1:39" x14ac:dyDescent="0.25">
      <c r="A921" s="1" t="s">
        <v>8877</v>
      </c>
      <c r="B921" s="1" t="s">
        <v>8290</v>
      </c>
      <c r="C921" s="1" t="s">
        <v>8291</v>
      </c>
      <c r="D921" s="1" t="s">
        <v>8878</v>
      </c>
      <c r="E921" s="1" t="s">
        <v>8879</v>
      </c>
      <c r="F921" s="1" t="s">
        <v>8880</v>
      </c>
      <c r="G921" s="1" t="s">
        <v>14129</v>
      </c>
      <c r="H921" s="1" t="s">
        <v>14133</v>
      </c>
      <c r="I921" s="1" t="s">
        <v>15035</v>
      </c>
      <c r="J921" s="1" t="s">
        <v>23</v>
      </c>
      <c r="K921" s="1"/>
      <c r="L921" s="1" t="s">
        <v>8293</v>
      </c>
      <c r="M921" s="1" t="s">
        <v>8293</v>
      </c>
      <c r="N921" s="12" t="b">
        <f t="shared" si="70"/>
        <v>1</v>
      </c>
      <c r="O921" s="1" t="s">
        <v>8881</v>
      </c>
      <c r="P921" s="1" t="s">
        <v>8402</v>
      </c>
      <c r="Q921" s="1" t="s">
        <v>8403</v>
      </c>
      <c r="R921" s="1" t="s">
        <v>8404</v>
      </c>
      <c r="S921" s="1" t="s">
        <v>8882</v>
      </c>
      <c r="T921" s="1" t="s">
        <v>8883</v>
      </c>
      <c r="U921" s="1" t="s">
        <v>4959</v>
      </c>
      <c r="V921" s="13">
        <f>COUNTIF(L921:$M$1659,L921)</f>
        <v>12</v>
      </c>
      <c r="W921" s="1" t="s">
        <v>8405</v>
      </c>
      <c r="X921">
        <v>1172.31</v>
      </c>
      <c r="Y921">
        <v>117.56</v>
      </c>
      <c r="Z921">
        <v>12.853426000000001</v>
      </c>
      <c r="AA921">
        <v>108.104358</v>
      </c>
      <c r="AB921">
        <v>1054.75</v>
      </c>
      <c r="AC921">
        <v>12.823486000000001</v>
      </c>
      <c r="AD921">
        <v>108.077691</v>
      </c>
      <c r="AE921" s="5">
        <f t="shared" si="71"/>
        <v>0.17634</v>
      </c>
      <c r="AF921" s="5">
        <f t="shared" si="72"/>
        <v>1.582125</v>
      </c>
      <c r="AG921" s="1" t="str">
        <f>TRIM(LEFT(L921,FIND("-",L921)-1))</f>
        <v>Cư M'ga</v>
      </c>
      <c r="AH921" s="1" t="str">
        <f>TRIM(RIGHT(L921, LEN(L921) - FIND("-", L921)))</f>
        <v>Buôn Hồ</v>
      </c>
      <c r="AJ921">
        <f t="shared" si="73"/>
        <v>0.11756</v>
      </c>
      <c r="AK921">
        <f t="shared" si="74"/>
        <v>1.0547500000000001</v>
      </c>
      <c r="AL921">
        <f>VLOOKUP(L921,'[1]Tuyến cáp H04'!$B:$E,3,0)/1000</f>
        <v>38.145000000000003</v>
      </c>
      <c r="AM921" t="str">
        <f>VLOOKUP(L921,'[1]Tuyến cáp H04'!$B:$E,4,0)</f>
        <v>Mạng cấp 3</v>
      </c>
    </row>
    <row r="922" spans="1:39" x14ac:dyDescent="0.25">
      <c r="A922" s="1" t="s">
        <v>8884</v>
      </c>
      <c r="B922" s="1" t="s">
        <v>8885</v>
      </c>
      <c r="C922" s="1" t="s">
        <v>8886</v>
      </c>
      <c r="D922" s="1" t="s">
        <v>8290</v>
      </c>
      <c r="E922" s="1" t="s">
        <v>8291</v>
      </c>
      <c r="F922" s="1" t="s">
        <v>8887</v>
      </c>
      <c r="G922" s="1" t="s">
        <v>14129</v>
      </c>
      <c r="H922" s="1" t="s">
        <v>14133</v>
      </c>
      <c r="I922" s="1" t="s">
        <v>15036</v>
      </c>
      <c r="J922" s="1" t="s">
        <v>23</v>
      </c>
      <c r="K922" s="1"/>
      <c r="L922" s="1" t="s">
        <v>8293</v>
      </c>
      <c r="M922" s="1" t="s">
        <v>8293</v>
      </c>
      <c r="N922" s="12" t="b">
        <f t="shared" si="70"/>
        <v>1</v>
      </c>
      <c r="O922" s="1" t="s">
        <v>8888</v>
      </c>
      <c r="P922" s="1" t="s">
        <v>8889</v>
      </c>
      <c r="Q922" s="1" t="s">
        <v>8890</v>
      </c>
      <c r="R922" s="1" t="s">
        <v>8891</v>
      </c>
      <c r="S922" s="1" t="s">
        <v>8298</v>
      </c>
      <c r="T922" s="1" t="s">
        <v>8299</v>
      </c>
      <c r="U922" s="1" t="s">
        <v>8300</v>
      </c>
      <c r="V922" s="13">
        <f>COUNTIF(L922:$M$1659,L922)</f>
        <v>10</v>
      </c>
      <c r="W922" s="1" t="s">
        <v>8301</v>
      </c>
      <c r="X922">
        <v>235.06</v>
      </c>
      <c r="Y922">
        <v>118.05</v>
      </c>
      <c r="Z922">
        <v>12.892032</v>
      </c>
      <c r="AA922">
        <v>108.181015</v>
      </c>
      <c r="AB922">
        <v>117.01</v>
      </c>
      <c r="AC922">
        <v>12.853419000000001</v>
      </c>
      <c r="AD922">
        <v>108.10435699999999</v>
      </c>
      <c r="AE922" s="5">
        <f t="shared" si="71"/>
        <v>0.17707499999999998</v>
      </c>
      <c r="AF922" s="5">
        <f t="shared" si="72"/>
        <v>0.175515</v>
      </c>
      <c r="AG922" s="1" t="str">
        <f>TRIM(LEFT(L922,FIND("-",L922)-1))</f>
        <v>Cư M'ga</v>
      </c>
      <c r="AH922" s="1" t="str">
        <f>TRIM(RIGHT(L922, LEN(L922) - FIND("-", L922)))</f>
        <v>Buôn Hồ</v>
      </c>
      <c r="AJ922">
        <f t="shared" si="73"/>
        <v>0.11805</v>
      </c>
      <c r="AK922">
        <f t="shared" si="74"/>
        <v>0.11701</v>
      </c>
      <c r="AL922">
        <f>VLOOKUP(L922,'[1]Tuyến cáp H04'!$B:$E,3,0)/1000</f>
        <v>38.145000000000003</v>
      </c>
      <c r="AM922" t="str">
        <f>VLOOKUP(L922,'[1]Tuyến cáp H04'!$B:$E,4,0)</f>
        <v>Mạng cấp 3</v>
      </c>
    </row>
    <row r="923" spans="1:39" x14ac:dyDescent="0.25">
      <c r="A923" s="1" t="s">
        <v>8892</v>
      </c>
      <c r="B923" s="1" t="s">
        <v>8275</v>
      </c>
      <c r="C923" s="1" t="s">
        <v>8276</v>
      </c>
      <c r="D923" s="1" t="s">
        <v>8893</v>
      </c>
      <c r="E923" s="1" t="s">
        <v>8894</v>
      </c>
      <c r="F923" s="1" t="s">
        <v>8895</v>
      </c>
      <c r="G923" s="1" t="s">
        <v>14129</v>
      </c>
      <c r="H923" s="1" t="s">
        <v>14133</v>
      </c>
      <c r="I923" s="1" t="s">
        <v>15037</v>
      </c>
      <c r="J923" s="1" t="s">
        <v>23</v>
      </c>
      <c r="K923" s="1"/>
      <c r="L923" s="1" t="s">
        <v>8278</v>
      </c>
      <c r="M923" s="1" t="s">
        <v>8278</v>
      </c>
      <c r="N923" s="12" t="b">
        <f t="shared" si="70"/>
        <v>1</v>
      </c>
      <c r="O923" s="1" t="s">
        <v>8896</v>
      </c>
      <c r="P923" s="1" t="s">
        <v>8283</v>
      </c>
      <c r="Q923" s="1" t="s">
        <v>8284</v>
      </c>
      <c r="R923" s="1" t="s">
        <v>8285</v>
      </c>
      <c r="S923" s="1" t="s">
        <v>8897</v>
      </c>
      <c r="T923" s="1" t="s">
        <v>8898</v>
      </c>
      <c r="U923" s="1" t="s">
        <v>8899</v>
      </c>
      <c r="V923" s="13">
        <f>COUNTIF(L923:$M$1659,L923)</f>
        <v>4</v>
      </c>
      <c r="W923" s="1" t="s">
        <v>8286</v>
      </c>
      <c r="X923">
        <v>141.74</v>
      </c>
      <c r="Y923">
        <v>77.55</v>
      </c>
      <c r="Z923">
        <v>12.860792</v>
      </c>
      <c r="AA923">
        <v>107.964518</v>
      </c>
      <c r="AB923">
        <v>64.19</v>
      </c>
      <c r="AC923">
        <v>12.831251</v>
      </c>
      <c r="AD923">
        <v>108.03356100000001</v>
      </c>
      <c r="AE923" s="5">
        <f t="shared" si="71"/>
        <v>0.11632499999999998</v>
      </c>
      <c r="AF923" s="5">
        <f t="shared" si="72"/>
        <v>9.6284999999999996E-2</v>
      </c>
      <c r="AG923" s="1" t="str">
        <f>TRIM(LEFT(L923,FIND("-",L923)-1))</f>
        <v>Quảng Phú</v>
      </c>
      <c r="AH923" s="1" t="str">
        <f>TRIM(RIGHT(L923, LEN(L923) - FIND("-", L923)))</f>
        <v>Ea M’Droh</v>
      </c>
      <c r="AJ923">
        <f t="shared" si="73"/>
        <v>7.7549999999999994E-2</v>
      </c>
      <c r="AK923">
        <f t="shared" si="74"/>
        <v>6.4189999999999997E-2</v>
      </c>
      <c r="AL923">
        <f>VLOOKUP(L923,'[1]Tuyến cáp H04'!$B:$E,3,0)/1000</f>
        <v>14.443</v>
      </c>
      <c r="AM923" t="str">
        <f>VLOOKUP(L923,'[1]Tuyến cáp H04'!$B:$E,4,0)</f>
        <v>Mạng cấp 4</v>
      </c>
    </row>
    <row r="924" spans="1:39" x14ac:dyDescent="0.25">
      <c r="A924" s="1" t="s">
        <v>8900</v>
      </c>
      <c r="B924" s="1" t="s">
        <v>8901</v>
      </c>
      <c r="C924" s="1" t="s">
        <v>8902</v>
      </c>
      <c r="D924" s="1" t="s">
        <v>8275</v>
      </c>
      <c r="E924" s="1" t="s">
        <v>8276</v>
      </c>
      <c r="F924" s="1" t="s">
        <v>8903</v>
      </c>
      <c r="G924" s="1" t="s">
        <v>14129</v>
      </c>
      <c r="H924" s="1" t="s">
        <v>14133</v>
      </c>
      <c r="I924" s="1" t="s">
        <v>15038</v>
      </c>
      <c r="J924" s="1" t="s">
        <v>23</v>
      </c>
      <c r="K924" s="1"/>
      <c r="L924" s="1" t="s">
        <v>8278</v>
      </c>
      <c r="M924" s="1" t="s">
        <v>8278</v>
      </c>
      <c r="N924" s="12" t="b">
        <f t="shared" si="70"/>
        <v>1</v>
      </c>
      <c r="O924" s="1" t="s">
        <v>8904</v>
      </c>
      <c r="P924" s="1" t="s">
        <v>8905</v>
      </c>
      <c r="Q924" s="1" t="s">
        <v>8906</v>
      </c>
      <c r="R924" s="1" t="s">
        <v>8907</v>
      </c>
      <c r="S924" s="1" t="s">
        <v>8283</v>
      </c>
      <c r="T924" s="1" t="s">
        <v>8284</v>
      </c>
      <c r="U924" s="1" t="s">
        <v>8285</v>
      </c>
      <c r="V924" s="13">
        <f>COUNTIF(L924:$M$1659,L924)</f>
        <v>2</v>
      </c>
      <c r="W924" s="1" t="s">
        <v>8286</v>
      </c>
      <c r="X924">
        <v>7409.13</v>
      </c>
      <c r="Y924">
        <v>7331.58</v>
      </c>
      <c r="Z924">
        <v>12.831721999999999</v>
      </c>
      <c r="AA924">
        <v>108.050026</v>
      </c>
      <c r="AB924">
        <v>77.55</v>
      </c>
      <c r="AC924">
        <v>12.860792</v>
      </c>
      <c r="AD924">
        <v>107.964518</v>
      </c>
      <c r="AE924" s="5">
        <f t="shared" si="71"/>
        <v>10.997369999999998</v>
      </c>
      <c r="AF924" s="5">
        <f t="shared" si="72"/>
        <v>0.11632499999999998</v>
      </c>
      <c r="AG924" s="1" t="str">
        <f>TRIM(LEFT(L924,FIND("-",L924)-1))</f>
        <v>Quảng Phú</v>
      </c>
      <c r="AH924" s="1" t="str">
        <f>TRIM(RIGHT(L924, LEN(L924) - FIND("-", L924)))</f>
        <v>Ea M’Droh</v>
      </c>
      <c r="AJ924">
        <f t="shared" si="73"/>
        <v>7.3315799999999998</v>
      </c>
      <c r="AK924">
        <f t="shared" si="74"/>
        <v>7.7549999999999994E-2</v>
      </c>
      <c r="AL924">
        <f>VLOOKUP(L924,'[1]Tuyến cáp H04'!$B:$E,3,0)/1000</f>
        <v>14.443</v>
      </c>
      <c r="AM924" t="str">
        <f>VLOOKUP(L924,'[1]Tuyến cáp H04'!$B:$E,4,0)</f>
        <v>Mạng cấp 4</v>
      </c>
    </row>
    <row r="925" spans="1:39" x14ac:dyDescent="0.25">
      <c r="A925" s="1" t="s">
        <v>8908</v>
      </c>
      <c r="B925" s="1" t="s">
        <v>8643</v>
      </c>
      <c r="C925" s="1" t="s">
        <v>8644</v>
      </c>
      <c r="D925" s="1" t="s">
        <v>8901</v>
      </c>
      <c r="E925" s="1" t="s">
        <v>8902</v>
      </c>
      <c r="F925" s="1" t="s">
        <v>8909</v>
      </c>
      <c r="G925" s="1" t="s">
        <v>14129</v>
      </c>
      <c r="H925" s="1" t="s">
        <v>14133</v>
      </c>
      <c r="I925" s="1" t="s">
        <v>15039</v>
      </c>
      <c r="J925" s="1" t="s">
        <v>23</v>
      </c>
      <c r="K925" s="1"/>
      <c r="L925" s="1" t="s">
        <v>8293</v>
      </c>
      <c r="M925" s="1" t="s">
        <v>8293</v>
      </c>
      <c r="N925" s="12" t="b">
        <f t="shared" si="70"/>
        <v>1</v>
      </c>
      <c r="O925" s="1" t="s">
        <v>8910</v>
      </c>
      <c r="P925" s="1" t="s">
        <v>8857</v>
      </c>
      <c r="Q925" s="1" t="s">
        <v>8858</v>
      </c>
      <c r="R925" s="1" t="s">
        <v>8859</v>
      </c>
      <c r="S925" s="1" t="s">
        <v>8911</v>
      </c>
      <c r="T925" s="1" t="s">
        <v>8528</v>
      </c>
      <c r="U925" s="1" t="s">
        <v>8529</v>
      </c>
      <c r="V925" s="13">
        <f>COUNTIF(L925:$M$1659,L925)</f>
        <v>8</v>
      </c>
      <c r="W925" s="1" t="s">
        <v>8301</v>
      </c>
      <c r="X925">
        <v>4978.63</v>
      </c>
      <c r="Y925">
        <v>44.45</v>
      </c>
      <c r="Z925">
        <v>12.910539</v>
      </c>
      <c r="AA925">
        <v>108.190575</v>
      </c>
      <c r="AB925">
        <v>4934.18</v>
      </c>
      <c r="AC925">
        <v>12.887229</v>
      </c>
      <c r="AD925">
        <v>108.11076</v>
      </c>
      <c r="AE925" s="5">
        <f t="shared" si="71"/>
        <v>6.6675000000000012E-2</v>
      </c>
      <c r="AF925" s="5">
        <f t="shared" si="72"/>
        <v>7.4012700000000002</v>
      </c>
      <c r="AG925" s="1" t="str">
        <f>TRIM(LEFT(L925,FIND("-",L925)-1))</f>
        <v>Cư M'ga</v>
      </c>
      <c r="AH925" s="1" t="str">
        <f>TRIM(RIGHT(L925, LEN(L925) - FIND("-", L925)))</f>
        <v>Buôn Hồ</v>
      </c>
      <c r="AJ925">
        <f t="shared" si="73"/>
        <v>4.4450000000000003E-2</v>
      </c>
      <c r="AK925">
        <f t="shared" si="74"/>
        <v>4.9341800000000005</v>
      </c>
      <c r="AL925">
        <f>VLOOKUP(L925,'[1]Tuyến cáp H04'!$B:$E,3,0)/1000</f>
        <v>38.145000000000003</v>
      </c>
      <c r="AM925" t="str">
        <f>VLOOKUP(L925,'[1]Tuyến cáp H04'!$B:$E,4,0)</f>
        <v>Mạng cấp 3</v>
      </c>
    </row>
    <row r="926" spans="1:39" x14ac:dyDescent="0.25">
      <c r="A926" s="1" t="s">
        <v>8912</v>
      </c>
      <c r="B926" s="1" t="s">
        <v>8913</v>
      </c>
      <c r="C926" s="1" t="s">
        <v>8914</v>
      </c>
      <c r="D926" s="1" t="s">
        <v>8643</v>
      </c>
      <c r="E926" s="1" t="s">
        <v>8644</v>
      </c>
      <c r="F926" s="1" t="s">
        <v>8915</v>
      </c>
      <c r="G926" s="1" t="s">
        <v>14129</v>
      </c>
      <c r="H926" s="1" t="s">
        <v>14133</v>
      </c>
      <c r="I926" s="1" t="s">
        <v>15040</v>
      </c>
      <c r="J926" s="1" t="s">
        <v>23</v>
      </c>
      <c r="K926" s="1"/>
      <c r="L926" s="1" t="s">
        <v>8728</v>
      </c>
      <c r="M926" s="1" t="s">
        <v>8728</v>
      </c>
      <c r="N926" s="12" t="b">
        <f t="shared" si="70"/>
        <v>1</v>
      </c>
      <c r="O926" s="1" t="s">
        <v>8916</v>
      </c>
      <c r="P926" s="1" t="s">
        <v>8917</v>
      </c>
      <c r="Q926" s="1" t="s">
        <v>8872</v>
      </c>
      <c r="R926" s="1" t="s">
        <v>8873</v>
      </c>
      <c r="S926" s="1" t="s">
        <v>8918</v>
      </c>
      <c r="T926" s="1" t="s">
        <v>8919</v>
      </c>
      <c r="U926" s="1" t="s">
        <v>8920</v>
      </c>
      <c r="V926" s="13">
        <f>COUNTIF(L926:$M$1659,L926)</f>
        <v>8</v>
      </c>
      <c r="W926" s="1" t="s">
        <v>8736</v>
      </c>
      <c r="X926">
        <v>6231.31</v>
      </c>
      <c r="Y926">
        <v>6175.76</v>
      </c>
      <c r="Z926">
        <v>12.916409</v>
      </c>
      <c r="AA926">
        <v>108.26605499999999</v>
      </c>
      <c r="AB926">
        <v>55.55</v>
      </c>
      <c r="AC926">
        <v>12.910633000000001</v>
      </c>
      <c r="AD926">
        <v>108.190708</v>
      </c>
      <c r="AE926" s="5">
        <f t="shared" si="71"/>
        <v>9.2636399999999988</v>
      </c>
      <c r="AF926" s="5">
        <f t="shared" si="72"/>
        <v>8.3324999999999982E-2</v>
      </c>
      <c r="AG926" s="1" t="str">
        <f>TRIM(LEFT(L926,FIND("-",L926)-1))</f>
        <v>Ea Tul</v>
      </c>
      <c r="AH926" s="1" t="str">
        <f>TRIM(RIGHT(L926, LEN(L926) - FIND("-", L926)))</f>
        <v>Buôn Hồ</v>
      </c>
      <c r="AJ926">
        <f t="shared" si="73"/>
        <v>6.1757600000000004</v>
      </c>
      <c r="AK926">
        <f t="shared" si="74"/>
        <v>5.5549999999999995E-2</v>
      </c>
      <c r="AL926">
        <f>VLOOKUP(L926,'[1]Tuyến cáp H04'!$B:$E,3,0)/1000</f>
        <v>13.702999999999999</v>
      </c>
      <c r="AM926" t="str">
        <f>VLOOKUP(L926,'[1]Tuyến cáp H04'!$B:$E,4,0)</f>
        <v>Mạng cấp 4</v>
      </c>
    </row>
    <row r="927" spans="1:39" x14ac:dyDescent="0.25">
      <c r="A927" s="1" t="s">
        <v>8921</v>
      </c>
      <c r="B927" s="1" t="s">
        <v>8922</v>
      </c>
      <c r="C927" s="1" t="s">
        <v>8923</v>
      </c>
      <c r="D927" s="1" t="s">
        <v>8074</v>
      </c>
      <c r="E927" s="1" t="s">
        <v>8075</v>
      </c>
      <c r="F927" s="1" t="s">
        <v>8924</v>
      </c>
      <c r="G927" s="1" t="s">
        <v>14129</v>
      </c>
      <c r="H927" s="1" t="s">
        <v>14133</v>
      </c>
      <c r="I927" s="1" t="s">
        <v>15041</v>
      </c>
      <c r="J927" s="1" t="s">
        <v>23</v>
      </c>
      <c r="K927" s="1"/>
      <c r="L927" s="1" t="s">
        <v>8925</v>
      </c>
      <c r="M927" s="1" t="s">
        <v>8925</v>
      </c>
      <c r="N927" s="12" t="b">
        <f t="shared" si="70"/>
        <v>1</v>
      </c>
      <c r="O927" s="1" t="s">
        <v>8926</v>
      </c>
      <c r="P927" s="1" t="s">
        <v>8927</v>
      </c>
      <c r="Q927" s="1" t="s">
        <v>8928</v>
      </c>
      <c r="R927" s="1" t="s">
        <v>8929</v>
      </c>
      <c r="S927" s="1" t="s">
        <v>8930</v>
      </c>
      <c r="T927" s="1" t="s">
        <v>8931</v>
      </c>
      <c r="U927" s="1" t="s">
        <v>8932</v>
      </c>
      <c r="V927" s="13">
        <f>COUNTIF(L927:$M$1659,L927)</f>
        <v>6</v>
      </c>
      <c r="W927" s="1" t="s">
        <v>8933</v>
      </c>
      <c r="X927">
        <v>108.78</v>
      </c>
      <c r="Y927">
        <v>102.57</v>
      </c>
      <c r="Z927">
        <v>13.091844</v>
      </c>
      <c r="AA927">
        <v>109.294985</v>
      </c>
      <c r="AB927">
        <v>6.2</v>
      </c>
      <c r="AC927">
        <v>13.094789</v>
      </c>
      <c r="AD927">
        <v>109.292973</v>
      </c>
      <c r="AE927" s="5">
        <f t="shared" si="71"/>
        <v>0.15385499999999999</v>
      </c>
      <c r="AF927" s="5">
        <f t="shared" si="72"/>
        <v>9.300000000000001E-3</v>
      </c>
      <c r="AG927" s="1" t="str">
        <f>TRIM(LEFT(L927,FIND("-",L927)-1))</f>
        <v>TT2 Đăk Lăk (Tuy Hòa)</v>
      </c>
      <c r="AH927" s="1" t="str">
        <f>TRIM(RIGHT(L927, LEN(L927) - FIND("-", L927)))</f>
        <v>Cơ quan điều tra
 Tuy Hòa</v>
      </c>
      <c r="AJ927">
        <f t="shared" si="73"/>
        <v>0.10256999999999999</v>
      </c>
      <c r="AK927">
        <f t="shared" si="74"/>
        <v>6.1999999999999998E-3</v>
      </c>
      <c r="AL927" t="e">
        <f>VLOOKUP(L927,'[1]Tuyến cáp H04'!$B:$E,3,0)/1000</f>
        <v>#N/A</v>
      </c>
      <c r="AM927" t="e">
        <f>VLOOKUP(L927,'[1]Tuyến cáp H04'!$B:$E,4,0)</f>
        <v>#N/A</v>
      </c>
    </row>
    <row r="928" spans="1:39" x14ac:dyDescent="0.25">
      <c r="A928" s="1" t="s">
        <v>8934</v>
      </c>
      <c r="B928" s="1" t="s">
        <v>8935</v>
      </c>
      <c r="C928" s="1" t="s">
        <v>8936</v>
      </c>
      <c r="D928" s="1" t="s">
        <v>8937</v>
      </c>
      <c r="E928" s="1" t="s">
        <v>8938</v>
      </c>
      <c r="F928" s="1" t="s">
        <v>8939</v>
      </c>
      <c r="G928" s="1" t="s">
        <v>14129</v>
      </c>
      <c r="H928" s="1" t="s">
        <v>14133</v>
      </c>
      <c r="I928" s="1" t="s">
        <v>15042</v>
      </c>
      <c r="J928" s="1" t="s">
        <v>23</v>
      </c>
      <c r="K928" s="1"/>
      <c r="L928" s="1" t="s">
        <v>8940</v>
      </c>
      <c r="M928" s="1" t="s">
        <v>8940</v>
      </c>
      <c r="N928" s="12" t="b">
        <f t="shared" si="70"/>
        <v>1</v>
      </c>
      <c r="O928" s="1" t="s">
        <v>8941</v>
      </c>
      <c r="P928" s="1" t="s">
        <v>2433</v>
      </c>
      <c r="Q928" s="1" t="s">
        <v>8942</v>
      </c>
      <c r="R928" s="1" t="s">
        <v>8943</v>
      </c>
      <c r="S928" s="1" t="s">
        <v>8944</v>
      </c>
      <c r="T928" s="1" t="s">
        <v>8945</v>
      </c>
      <c r="U928" s="1" t="s">
        <v>8946</v>
      </c>
      <c r="V928" s="13">
        <f>COUNTIF(L928:$M$1659,L928)</f>
        <v>10</v>
      </c>
      <c r="W928" s="1" t="s">
        <v>8947</v>
      </c>
      <c r="X928">
        <v>2358.9299999999998</v>
      </c>
      <c r="Y928">
        <v>1.67</v>
      </c>
      <c r="Z928">
        <v>13.052982</v>
      </c>
      <c r="AA928">
        <v>109.310524</v>
      </c>
      <c r="AB928">
        <v>2357.2600000000002</v>
      </c>
      <c r="AC928">
        <v>13.045337</v>
      </c>
      <c r="AD928">
        <v>109.30177399999999</v>
      </c>
      <c r="AE928" s="5">
        <f t="shared" si="71"/>
        <v>2.5049999999999998E-3</v>
      </c>
      <c r="AF928" s="5">
        <f t="shared" si="72"/>
        <v>3.5358900000000002</v>
      </c>
      <c r="AG928" s="1" t="str">
        <f>TRIM(LEFT(L928,FIND("-",L928)-1))</f>
        <v>Phú Hòa 2</v>
      </c>
      <c r="AH928" s="1" t="str">
        <f>TRIM(RIGHT(L928, LEN(L928) - FIND("-", L928)))</f>
        <v>Phú Yên</v>
      </c>
      <c r="AJ928">
        <f t="shared" si="73"/>
        <v>1.6699999999999998E-3</v>
      </c>
      <c r="AK928">
        <f t="shared" si="74"/>
        <v>2.3572600000000001</v>
      </c>
      <c r="AL928">
        <f>VLOOKUP(L928,'[1]Tuyến cáp H04'!$B:$E,3,0)/1000</f>
        <v>20.920999999999999</v>
      </c>
      <c r="AM928" t="str">
        <f>VLOOKUP(L928,'[1]Tuyến cáp H04'!$B:$E,4,0)</f>
        <v>Mạng cấp 4</v>
      </c>
    </row>
    <row r="929" spans="1:39" x14ac:dyDescent="0.25">
      <c r="A929" s="1" t="s">
        <v>8948</v>
      </c>
      <c r="B929" s="1" t="s">
        <v>8949</v>
      </c>
      <c r="C929" s="1" t="s">
        <v>8950</v>
      </c>
      <c r="D929" s="1" t="s">
        <v>8332</v>
      </c>
      <c r="E929" s="1" t="s">
        <v>8333</v>
      </c>
      <c r="F929" s="1" t="s">
        <v>8951</v>
      </c>
      <c r="G929" s="1" t="s">
        <v>14129</v>
      </c>
      <c r="H929" s="1" t="s">
        <v>14133</v>
      </c>
      <c r="I929" s="1" t="s">
        <v>15043</v>
      </c>
      <c r="J929" s="1" t="s">
        <v>23</v>
      </c>
      <c r="K929" s="1"/>
      <c r="L929" s="1" t="s">
        <v>8952</v>
      </c>
      <c r="M929" s="1" t="s">
        <v>8952</v>
      </c>
      <c r="N929" s="12" t="b">
        <f t="shared" si="70"/>
        <v>1</v>
      </c>
      <c r="O929" s="1" t="s">
        <v>8953</v>
      </c>
      <c r="P929" s="1" t="s">
        <v>8954</v>
      </c>
      <c r="Q929" s="1" t="s">
        <v>8955</v>
      </c>
      <c r="R929" s="1" t="s">
        <v>8956</v>
      </c>
      <c r="S929" s="1" t="s">
        <v>8957</v>
      </c>
      <c r="T929" s="1" t="s">
        <v>8958</v>
      </c>
      <c r="U929" s="1" t="s">
        <v>8959</v>
      </c>
      <c r="V929" s="13">
        <f>COUNTIF(L929:$M$1659,L929)</f>
        <v>4</v>
      </c>
      <c r="W929" s="1" t="s">
        <v>8960</v>
      </c>
      <c r="X929">
        <v>7373.48</v>
      </c>
      <c r="Y929">
        <v>6845.67</v>
      </c>
      <c r="Z929">
        <v>12.841982</v>
      </c>
      <c r="AA929">
        <v>108.24921500000001</v>
      </c>
      <c r="AB929">
        <v>527.80999999999995</v>
      </c>
      <c r="AC929">
        <v>12.911440000000001</v>
      </c>
      <c r="AD929">
        <v>108.26655</v>
      </c>
      <c r="AE929" s="5">
        <f t="shared" si="71"/>
        <v>10.268505000000001</v>
      </c>
      <c r="AF929" s="5">
        <f t="shared" si="72"/>
        <v>0.79171499999999995</v>
      </c>
      <c r="AG929" s="1" t="str">
        <f>TRIM(LEFT(L929,FIND("-",L929)-1))</f>
        <v>Cư Bao</v>
      </c>
      <c r="AH929" s="1" t="str">
        <f>TRIM(RIGHT(L929, LEN(L929) - FIND("-", L929)))</f>
        <v>Ea Drông</v>
      </c>
      <c r="AJ929">
        <f t="shared" si="73"/>
        <v>6.8456700000000001</v>
      </c>
      <c r="AK929">
        <f t="shared" si="74"/>
        <v>0.52780999999999989</v>
      </c>
      <c r="AL929">
        <f>VLOOKUP(L929,'[1]Tuyến cáp H04'!$B:$E,3,0)/1000</f>
        <v>15.976000000000001</v>
      </c>
      <c r="AM929" t="str">
        <f>VLOOKUP(L929,'[1]Tuyến cáp H04'!$B:$E,4,0)</f>
        <v>Mạng cấp 4</v>
      </c>
    </row>
    <row r="930" spans="1:39" x14ac:dyDescent="0.25">
      <c r="A930" s="1" t="s">
        <v>8961</v>
      </c>
      <c r="B930" s="1" t="s">
        <v>8554</v>
      </c>
      <c r="C930" s="1" t="s">
        <v>8555</v>
      </c>
      <c r="D930" s="1" t="s">
        <v>8949</v>
      </c>
      <c r="E930" s="1" t="s">
        <v>8950</v>
      </c>
      <c r="F930" s="1" t="s">
        <v>8962</v>
      </c>
      <c r="G930" s="1" t="s">
        <v>14129</v>
      </c>
      <c r="H930" s="1" t="s">
        <v>14133</v>
      </c>
      <c r="I930" s="1" t="s">
        <v>15044</v>
      </c>
      <c r="J930" s="1" t="s">
        <v>23</v>
      </c>
      <c r="K930" s="1"/>
      <c r="L930" s="1" t="s">
        <v>8350</v>
      </c>
      <c r="M930" s="1" t="s">
        <v>8350</v>
      </c>
      <c r="N930" s="12" t="b">
        <f t="shared" si="70"/>
        <v>1</v>
      </c>
      <c r="O930" s="1" t="s">
        <v>8963</v>
      </c>
      <c r="P930" s="1" t="s">
        <v>8590</v>
      </c>
      <c r="Q930" s="1" t="s">
        <v>8353</v>
      </c>
      <c r="R930" s="1" t="s">
        <v>8354</v>
      </c>
      <c r="S930" s="1" t="s">
        <v>8964</v>
      </c>
      <c r="T930" s="1" t="s">
        <v>8965</v>
      </c>
      <c r="U930" s="1" t="s">
        <v>8966</v>
      </c>
      <c r="V930" s="13">
        <f>COUNTIF(L930:$M$1659,L930)</f>
        <v>36</v>
      </c>
      <c r="W930" s="1" t="s">
        <v>8358</v>
      </c>
      <c r="X930">
        <v>1807.41</v>
      </c>
      <c r="Y930">
        <v>1750.11</v>
      </c>
      <c r="Z930">
        <v>12.690893000000001</v>
      </c>
      <c r="AA930">
        <v>108.06744999999999</v>
      </c>
      <c r="AB930">
        <v>57.3</v>
      </c>
      <c r="AC930">
        <v>12.789365</v>
      </c>
      <c r="AD930">
        <v>108.217463</v>
      </c>
      <c r="AE930" s="5">
        <f t="shared" si="71"/>
        <v>2.625165</v>
      </c>
      <c r="AF930" s="5">
        <f t="shared" si="72"/>
        <v>8.5949999999999985E-2</v>
      </c>
      <c r="AG930" s="1" t="str">
        <f>TRIM(LEFT(L930,FIND("-",L930)-1))</f>
        <v>TT1 Đăk Lăk</v>
      </c>
      <c r="AH930" s="1" t="str">
        <f>TRIM(RIGHT(L930, LEN(L930) - FIND("-", L930)))</f>
        <v>ILA Ea Kar</v>
      </c>
      <c r="AJ930">
        <f t="shared" si="73"/>
        <v>1.7501099999999998</v>
      </c>
      <c r="AK930">
        <f t="shared" si="74"/>
        <v>5.7299999999999997E-2</v>
      </c>
      <c r="AL930" t="e">
        <f>VLOOKUP(L930,'[1]Tuyến cáp H04'!$B:$E,3,0)/1000</f>
        <v>#N/A</v>
      </c>
      <c r="AM930" t="e">
        <f>VLOOKUP(L930,'[1]Tuyến cáp H04'!$B:$E,4,0)</f>
        <v>#N/A</v>
      </c>
    </row>
    <row r="931" spans="1:39" x14ac:dyDescent="0.25">
      <c r="A931" s="1" t="s">
        <v>8967</v>
      </c>
      <c r="B931" s="1" t="s">
        <v>8332</v>
      </c>
      <c r="C931" s="1" t="s">
        <v>8333</v>
      </c>
      <c r="D931" s="1" t="s">
        <v>8643</v>
      </c>
      <c r="E931" s="1" t="s">
        <v>8644</v>
      </c>
      <c r="F931" s="1" t="s">
        <v>8968</v>
      </c>
      <c r="G931" s="1" t="s">
        <v>14129</v>
      </c>
      <c r="H931" s="1" t="s">
        <v>14133</v>
      </c>
      <c r="I931" s="1" t="s">
        <v>15045</v>
      </c>
      <c r="J931" s="1" t="s">
        <v>23</v>
      </c>
      <c r="K931" s="1"/>
      <c r="L931" s="1" t="s">
        <v>8728</v>
      </c>
      <c r="M931" s="1" t="s">
        <v>8728</v>
      </c>
      <c r="N931" s="12" t="b">
        <f t="shared" si="70"/>
        <v>1</v>
      </c>
      <c r="O931" s="1" t="s">
        <v>8969</v>
      </c>
      <c r="P931" s="1" t="s">
        <v>8871</v>
      </c>
      <c r="Q931" s="1" t="s">
        <v>8872</v>
      </c>
      <c r="R931" s="1" t="s">
        <v>8873</v>
      </c>
      <c r="S931" s="1" t="s">
        <v>8918</v>
      </c>
      <c r="T931" s="1" t="s">
        <v>8919</v>
      </c>
      <c r="U931" s="1" t="s">
        <v>8920</v>
      </c>
      <c r="V931" s="13">
        <f>COUNTIF(L931:$M$1659,L931)</f>
        <v>6</v>
      </c>
      <c r="W931" s="1" t="s">
        <v>8736</v>
      </c>
      <c r="X931">
        <v>110.7</v>
      </c>
      <c r="Y931">
        <v>55.16</v>
      </c>
      <c r="Z931">
        <v>12.916409</v>
      </c>
      <c r="AA931">
        <v>108.26605499999999</v>
      </c>
      <c r="AB931">
        <v>55.55</v>
      </c>
      <c r="AC931">
        <v>12.910633000000001</v>
      </c>
      <c r="AD931">
        <v>108.190708</v>
      </c>
      <c r="AE931" s="5">
        <f t="shared" si="71"/>
        <v>8.2739999999999994E-2</v>
      </c>
      <c r="AF931" s="5">
        <f t="shared" si="72"/>
        <v>8.3324999999999982E-2</v>
      </c>
      <c r="AG931" s="1" t="str">
        <f>TRIM(LEFT(L931,FIND("-",L931)-1))</f>
        <v>Ea Tul</v>
      </c>
      <c r="AH931" s="1" t="str">
        <f>TRIM(RIGHT(L931, LEN(L931) - FIND("-", L931)))</f>
        <v>Buôn Hồ</v>
      </c>
      <c r="AJ931">
        <f t="shared" si="73"/>
        <v>5.5159999999999994E-2</v>
      </c>
      <c r="AK931">
        <f t="shared" si="74"/>
        <v>5.5549999999999995E-2</v>
      </c>
      <c r="AL931">
        <f>VLOOKUP(L931,'[1]Tuyến cáp H04'!$B:$E,3,0)/1000</f>
        <v>13.702999999999999</v>
      </c>
      <c r="AM931" t="str">
        <f>VLOOKUP(L931,'[1]Tuyến cáp H04'!$B:$E,4,0)</f>
        <v>Mạng cấp 4</v>
      </c>
    </row>
    <row r="932" spans="1:39" x14ac:dyDescent="0.25">
      <c r="A932" s="1" t="s">
        <v>8948</v>
      </c>
      <c r="B932" s="1" t="s">
        <v>8949</v>
      </c>
      <c r="C932" s="1" t="s">
        <v>8950</v>
      </c>
      <c r="D932" s="1" t="s">
        <v>8332</v>
      </c>
      <c r="E932" s="1" t="s">
        <v>8333</v>
      </c>
      <c r="F932" s="1" t="s">
        <v>8951</v>
      </c>
      <c r="G932" s="1" t="s">
        <v>14129</v>
      </c>
      <c r="H932" s="1" t="s">
        <v>14133</v>
      </c>
      <c r="I932" s="1" t="s">
        <v>15043</v>
      </c>
      <c r="J932" s="1" t="s">
        <v>23</v>
      </c>
      <c r="K932" s="1"/>
      <c r="L932" s="1" t="s">
        <v>8952</v>
      </c>
      <c r="M932" s="1" t="s">
        <v>8952</v>
      </c>
      <c r="N932" s="12" t="b">
        <f t="shared" si="70"/>
        <v>1</v>
      </c>
      <c r="O932" s="1" t="s">
        <v>8953</v>
      </c>
      <c r="P932" s="1" t="s">
        <v>8954</v>
      </c>
      <c r="Q932" s="1" t="s">
        <v>8955</v>
      </c>
      <c r="R932" s="1" t="s">
        <v>8956</v>
      </c>
      <c r="S932" s="1" t="s">
        <v>8957</v>
      </c>
      <c r="T932" s="1" t="s">
        <v>8958</v>
      </c>
      <c r="U932" s="1" t="s">
        <v>8959</v>
      </c>
      <c r="V932" s="13">
        <f>COUNTIF(L932:$M$1659,L932)</f>
        <v>2</v>
      </c>
      <c r="W932" s="1" t="s">
        <v>8960</v>
      </c>
      <c r="X932">
        <v>7373.48</v>
      </c>
      <c r="Y932">
        <v>6845.67</v>
      </c>
      <c r="Z932">
        <v>12.841982</v>
      </c>
      <c r="AA932">
        <v>108.24921500000001</v>
      </c>
      <c r="AB932">
        <v>527.80999999999995</v>
      </c>
      <c r="AC932">
        <v>12.911440000000001</v>
      </c>
      <c r="AD932">
        <v>108.26655</v>
      </c>
      <c r="AE932" s="5">
        <f t="shared" si="71"/>
        <v>10.268505000000001</v>
      </c>
      <c r="AF932" s="5">
        <f t="shared" si="72"/>
        <v>0.79171499999999995</v>
      </c>
      <c r="AG932" s="1" t="str">
        <f>TRIM(LEFT(L932,FIND("-",L932)-1))</f>
        <v>Cư Bao</v>
      </c>
      <c r="AH932" s="1" t="str">
        <f>TRIM(RIGHT(L932, LEN(L932) - FIND("-", L932)))</f>
        <v>Ea Drông</v>
      </c>
      <c r="AJ932">
        <f t="shared" si="73"/>
        <v>6.8456700000000001</v>
      </c>
      <c r="AK932">
        <f t="shared" si="74"/>
        <v>0.52780999999999989</v>
      </c>
      <c r="AL932">
        <f>VLOOKUP(L932,'[1]Tuyến cáp H04'!$B:$E,3,0)/1000</f>
        <v>15.976000000000001</v>
      </c>
      <c r="AM932" t="str">
        <f>VLOOKUP(L932,'[1]Tuyến cáp H04'!$B:$E,4,0)</f>
        <v>Mạng cấp 4</v>
      </c>
    </row>
    <row r="933" spans="1:39" x14ac:dyDescent="0.25">
      <c r="A933" s="1" t="s">
        <v>8967</v>
      </c>
      <c r="B933" s="1" t="s">
        <v>8332</v>
      </c>
      <c r="C933" s="1" t="s">
        <v>8333</v>
      </c>
      <c r="D933" s="1" t="s">
        <v>8643</v>
      </c>
      <c r="E933" s="1" t="s">
        <v>8644</v>
      </c>
      <c r="F933" s="1" t="s">
        <v>8968</v>
      </c>
      <c r="G933" s="1" t="s">
        <v>14129</v>
      </c>
      <c r="H933" s="1" t="s">
        <v>14133</v>
      </c>
      <c r="I933" s="1" t="s">
        <v>15045</v>
      </c>
      <c r="J933" s="1" t="s">
        <v>23</v>
      </c>
      <c r="K933" s="1"/>
      <c r="L933" s="1" t="s">
        <v>8728</v>
      </c>
      <c r="M933" s="1" t="s">
        <v>8728</v>
      </c>
      <c r="N933" s="12" t="b">
        <f t="shared" si="70"/>
        <v>1</v>
      </c>
      <c r="O933" s="1" t="s">
        <v>8969</v>
      </c>
      <c r="P933" s="1" t="s">
        <v>8871</v>
      </c>
      <c r="Q933" s="1" t="s">
        <v>8872</v>
      </c>
      <c r="R933" s="1" t="s">
        <v>8873</v>
      </c>
      <c r="S933" s="1" t="s">
        <v>8918</v>
      </c>
      <c r="T933" s="1" t="s">
        <v>8919</v>
      </c>
      <c r="U933" s="1" t="s">
        <v>8920</v>
      </c>
      <c r="V933" s="13">
        <f>COUNTIF(L933:$M$1659,L933)</f>
        <v>4</v>
      </c>
      <c r="W933" s="1" t="s">
        <v>8736</v>
      </c>
      <c r="X933">
        <v>110.7</v>
      </c>
      <c r="Y933">
        <v>55.16</v>
      </c>
      <c r="Z933">
        <v>12.916409</v>
      </c>
      <c r="AA933">
        <v>108.26605499999999</v>
      </c>
      <c r="AB933">
        <v>55.55</v>
      </c>
      <c r="AC933">
        <v>12.910633000000001</v>
      </c>
      <c r="AD933">
        <v>108.190708</v>
      </c>
      <c r="AE933" s="5">
        <f t="shared" si="71"/>
        <v>8.2739999999999994E-2</v>
      </c>
      <c r="AF933" s="5">
        <f t="shared" si="72"/>
        <v>8.3324999999999982E-2</v>
      </c>
      <c r="AG933" s="1" t="str">
        <f>TRIM(LEFT(L933,FIND("-",L933)-1))</f>
        <v>Ea Tul</v>
      </c>
      <c r="AH933" s="1" t="str">
        <f>TRIM(RIGHT(L933, LEN(L933) - FIND("-", L933)))</f>
        <v>Buôn Hồ</v>
      </c>
      <c r="AJ933">
        <f t="shared" si="73"/>
        <v>5.5159999999999994E-2</v>
      </c>
      <c r="AK933">
        <f t="shared" si="74"/>
        <v>5.5549999999999995E-2</v>
      </c>
      <c r="AL933">
        <f>VLOOKUP(L933,'[1]Tuyến cáp H04'!$B:$E,3,0)/1000</f>
        <v>13.702999999999999</v>
      </c>
      <c r="AM933" t="str">
        <f>VLOOKUP(L933,'[1]Tuyến cáp H04'!$B:$E,4,0)</f>
        <v>Mạng cấp 4</v>
      </c>
    </row>
    <row r="934" spans="1:39" x14ac:dyDescent="0.25">
      <c r="A934" s="1" t="s">
        <v>8970</v>
      </c>
      <c r="B934" s="1" t="s">
        <v>8260</v>
      </c>
      <c r="C934" s="1" t="s">
        <v>8261</v>
      </c>
      <c r="D934" s="1" t="s">
        <v>8332</v>
      </c>
      <c r="E934" s="1" t="s">
        <v>8333</v>
      </c>
      <c r="F934" s="1" t="s">
        <v>8971</v>
      </c>
      <c r="G934" s="1" t="s">
        <v>14129</v>
      </c>
      <c r="H934" s="1" t="s">
        <v>14133</v>
      </c>
      <c r="I934" s="1" t="s">
        <v>15046</v>
      </c>
      <c r="J934" s="1" t="s">
        <v>23</v>
      </c>
      <c r="K934" s="1"/>
      <c r="L934" s="1" t="s">
        <v>8760</v>
      </c>
      <c r="M934" s="1" t="s">
        <v>8760</v>
      </c>
      <c r="N934" s="12" t="b">
        <f t="shared" si="70"/>
        <v>1</v>
      </c>
      <c r="O934" s="1" t="s">
        <v>8972</v>
      </c>
      <c r="P934" s="1" t="s">
        <v>8765</v>
      </c>
      <c r="Q934" s="1" t="s">
        <v>8766</v>
      </c>
      <c r="R934" s="1" t="s">
        <v>8767</v>
      </c>
      <c r="S934" s="1" t="s">
        <v>8973</v>
      </c>
      <c r="T934" s="1" t="s">
        <v>8974</v>
      </c>
      <c r="U934" s="1" t="s">
        <v>8975</v>
      </c>
      <c r="V934" s="13">
        <f>COUNTIF(L934:$M$1659,L934)</f>
        <v>4</v>
      </c>
      <c r="W934" s="1" t="s">
        <v>8768</v>
      </c>
      <c r="X934">
        <v>3821.65</v>
      </c>
      <c r="Y934">
        <v>30.87</v>
      </c>
      <c r="Z934">
        <v>12.951995999999999</v>
      </c>
      <c r="AA934">
        <v>108.344803</v>
      </c>
      <c r="AB934">
        <v>3790.77</v>
      </c>
      <c r="AC934">
        <v>12.941435999999999</v>
      </c>
      <c r="AD934">
        <v>108.290012</v>
      </c>
      <c r="AE934" s="5">
        <f t="shared" si="71"/>
        <v>4.6304999999999999E-2</v>
      </c>
      <c r="AF934" s="5">
        <f t="shared" si="72"/>
        <v>5.6861549999999994</v>
      </c>
      <c r="AG934" s="1" t="e">
        <f>TRIM(LEFT(L934,FIND("-",L934)-1))</f>
        <v>#VALUE!</v>
      </c>
      <c r="AH934" s="1" t="e">
        <f>TRIM(RIGHT(L934, LEN(L934) - FIND("-", L934)))</f>
        <v>#VALUE!</v>
      </c>
      <c r="AJ934">
        <f t="shared" si="73"/>
        <v>3.0870000000000002E-2</v>
      </c>
      <c r="AK934">
        <f t="shared" si="74"/>
        <v>3.7907700000000002</v>
      </c>
      <c r="AL934" t="e">
        <f>VLOOKUP(L934,'[1]Tuyến cáp H04'!$B:$E,3,0)/1000</f>
        <v>#N/A</v>
      </c>
      <c r="AM934" t="e">
        <f>VLOOKUP(L934,'[1]Tuyến cáp H04'!$B:$E,4,0)</f>
        <v>#N/A</v>
      </c>
    </row>
    <row r="935" spans="1:39" x14ac:dyDescent="0.25">
      <c r="A935" s="1" t="s">
        <v>8976</v>
      </c>
      <c r="B935" s="1" t="s">
        <v>8977</v>
      </c>
      <c r="C935" s="1" t="s">
        <v>8978</v>
      </c>
      <c r="D935" s="1" t="s">
        <v>8979</v>
      </c>
      <c r="E935" s="1" t="s">
        <v>8980</v>
      </c>
      <c r="F935" s="1" t="s">
        <v>8981</v>
      </c>
      <c r="G935" s="1" t="s">
        <v>14129</v>
      </c>
      <c r="H935" s="1" t="s">
        <v>14133</v>
      </c>
      <c r="I935" s="1" t="s">
        <v>15047</v>
      </c>
      <c r="J935" s="1" t="s">
        <v>23</v>
      </c>
      <c r="K935" s="1"/>
      <c r="L935" s="1" t="s">
        <v>8982</v>
      </c>
      <c r="M935" s="1" t="s">
        <v>8982</v>
      </c>
      <c r="N935" s="12" t="b">
        <f t="shared" si="70"/>
        <v>1</v>
      </c>
      <c r="O935" s="1" t="s">
        <v>8983</v>
      </c>
      <c r="P935" s="1" t="s">
        <v>8984</v>
      </c>
      <c r="Q935" s="1" t="s">
        <v>8985</v>
      </c>
      <c r="R935" s="1" t="s">
        <v>8986</v>
      </c>
      <c r="S935" s="1" t="s">
        <v>8987</v>
      </c>
      <c r="T935" s="1" t="s">
        <v>8988</v>
      </c>
      <c r="U935" s="1" t="s">
        <v>8989</v>
      </c>
      <c r="V935" s="13">
        <f>COUNTIF(L935:$M$1659,L935)</f>
        <v>4</v>
      </c>
      <c r="W935" s="1" t="s">
        <v>8990</v>
      </c>
      <c r="X935">
        <v>557.95000000000005</v>
      </c>
      <c r="Y935">
        <v>527.65</v>
      </c>
      <c r="Z935">
        <v>12.618945</v>
      </c>
      <c r="AA935">
        <v>107.94655</v>
      </c>
      <c r="AB935">
        <v>30.3</v>
      </c>
      <c r="AC935">
        <v>12.617361000000001</v>
      </c>
      <c r="AD935">
        <v>107.94005799999999</v>
      </c>
      <c r="AE935" s="5">
        <f t="shared" si="71"/>
        <v>0.79147499999999993</v>
      </c>
      <c r="AF935" s="5">
        <f t="shared" si="72"/>
        <v>4.5450000000000004E-2</v>
      </c>
      <c r="AG935" s="1" t="str">
        <f>TRIM(LEFT(L935,FIND("-",L935)-1))</f>
        <v>Hòa Phú</v>
      </c>
      <c r="AH935" s="1" t="str">
        <f>TRIM(RIGHT(L935, LEN(L935) - FIND("-", L935)))</f>
        <v>Ea Na</v>
      </c>
      <c r="AJ935">
        <f t="shared" si="73"/>
        <v>0.52764999999999995</v>
      </c>
      <c r="AK935">
        <f t="shared" si="74"/>
        <v>3.0300000000000001E-2</v>
      </c>
      <c r="AL935">
        <f>VLOOKUP(L935,'[1]Tuyến cáp H04'!$B:$E,3,0)/1000</f>
        <v>19.419</v>
      </c>
      <c r="AM935" t="str">
        <f>VLOOKUP(L935,'[1]Tuyến cáp H04'!$B:$E,4,0)</f>
        <v>Mạng cấp 4</v>
      </c>
    </row>
    <row r="936" spans="1:39" x14ac:dyDescent="0.25">
      <c r="A936" s="1" t="s">
        <v>8991</v>
      </c>
      <c r="B936" s="1" t="s">
        <v>8554</v>
      </c>
      <c r="C936" s="1" t="s">
        <v>8555</v>
      </c>
      <c r="D936" s="1" t="s">
        <v>8992</v>
      </c>
      <c r="E936" s="1" t="s">
        <v>8993</v>
      </c>
      <c r="F936" s="1" t="s">
        <v>8994</v>
      </c>
      <c r="G936" s="1" t="s">
        <v>14129</v>
      </c>
      <c r="H936" s="1" t="s">
        <v>14133</v>
      </c>
      <c r="I936" s="1" t="s">
        <v>15048</v>
      </c>
      <c r="J936" s="1" t="s">
        <v>23</v>
      </c>
      <c r="K936" s="1"/>
      <c r="L936" s="1" t="s">
        <v>8995</v>
      </c>
      <c r="M936" s="1" t="s">
        <v>8995</v>
      </c>
      <c r="N936" s="12" t="b">
        <f t="shared" si="70"/>
        <v>1</v>
      </c>
      <c r="O936" s="1" t="s">
        <v>8996</v>
      </c>
      <c r="P936" s="1" t="s">
        <v>8997</v>
      </c>
      <c r="Q936" s="1" t="s">
        <v>8998</v>
      </c>
      <c r="R936" s="1" t="s">
        <v>8999</v>
      </c>
      <c r="S936" s="1" t="s">
        <v>9000</v>
      </c>
      <c r="T936" s="1" t="s">
        <v>9001</v>
      </c>
      <c r="U936" s="1" t="s">
        <v>9002</v>
      </c>
      <c r="V936" s="13">
        <f>COUNTIF(L936:$M$1659,L936)</f>
        <v>2</v>
      </c>
      <c r="W936" s="1" t="s">
        <v>9003</v>
      </c>
      <c r="X936">
        <v>355.97</v>
      </c>
      <c r="Y936">
        <v>72.489999999999995</v>
      </c>
      <c r="Z936">
        <v>12.684661999999999</v>
      </c>
      <c r="AA936">
        <v>108.052244</v>
      </c>
      <c r="AB936">
        <v>283.47000000000003</v>
      </c>
      <c r="AC936">
        <v>12.689913000000001</v>
      </c>
      <c r="AD936">
        <v>108.059804</v>
      </c>
      <c r="AE936" s="5">
        <f t="shared" si="71"/>
        <v>0.10873499999999998</v>
      </c>
      <c r="AF936" s="5">
        <f t="shared" si="72"/>
        <v>0.42520500000000006</v>
      </c>
      <c r="AG936" s="1" t="str">
        <f>TRIM(LEFT(L936,FIND("-",L936)-1))</f>
        <v>TT1 Đak Lak</v>
      </c>
      <c r="AH936" s="1" t="str">
        <f>TRIM(RIGHT(L936, LEN(L936) - FIND("-", L936)))</f>
        <v>Krong Pak</v>
      </c>
      <c r="AJ936">
        <f t="shared" si="73"/>
        <v>7.2489999999999999E-2</v>
      </c>
      <c r="AK936">
        <f t="shared" si="74"/>
        <v>0.28347</v>
      </c>
      <c r="AL936" t="e">
        <f>VLOOKUP(L936,'[1]Tuyến cáp H04'!$B:$E,3,0)/1000</f>
        <v>#N/A</v>
      </c>
      <c r="AM936" t="e">
        <f>VLOOKUP(L936,'[1]Tuyến cáp H04'!$B:$E,4,0)</f>
        <v>#N/A</v>
      </c>
    </row>
    <row r="937" spans="1:39" x14ac:dyDescent="0.25">
      <c r="A937" s="1" t="s">
        <v>9004</v>
      </c>
      <c r="B937" s="1" t="s">
        <v>8617</v>
      </c>
      <c r="C937" s="1" t="s">
        <v>8618</v>
      </c>
      <c r="D937" s="1" t="s">
        <v>8190</v>
      </c>
      <c r="E937" s="1" t="s">
        <v>8191</v>
      </c>
      <c r="F937" s="1" t="s">
        <v>9005</v>
      </c>
      <c r="G937" s="1" t="s">
        <v>14129</v>
      </c>
      <c r="H937" s="1" t="s">
        <v>14133</v>
      </c>
      <c r="I937" s="1" t="s">
        <v>15049</v>
      </c>
      <c r="J937" s="1" t="s">
        <v>23</v>
      </c>
      <c r="K937" s="1"/>
      <c r="L937" s="1" t="s">
        <v>8350</v>
      </c>
      <c r="M937" s="1" t="s">
        <v>8350</v>
      </c>
      <c r="N937" s="12" t="b">
        <f t="shared" si="70"/>
        <v>1</v>
      </c>
      <c r="O937" s="1" t="s">
        <v>9006</v>
      </c>
      <c r="P937" s="1" t="s">
        <v>9007</v>
      </c>
      <c r="Q937" s="1" t="s">
        <v>8353</v>
      </c>
      <c r="R937" s="1" t="s">
        <v>8354</v>
      </c>
      <c r="S937" s="1" t="s">
        <v>8391</v>
      </c>
      <c r="T937" s="1" t="s">
        <v>8392</v>
      </c>
      <c r="U937" s="1" t="s">
        <v>8393</v>
      </c>
      <c r="V937" s="13">
        <f>COUNTIF(L937:$M$1659,L937)</f>
        <v>34</v>
      </c>
      <c r="W937" s="1" t="s">
        <v>8358</v>
      </c>
      <c r="X937">
        <v>125.55</v>
      </c>
      <c r="Y937">
        <v>91.96</v>
      </c>
      <c r="Z937">
        <v>12.690893000000001</v>
      </c>
      <c r="AA937">
        <v>108.06744999999999</v>
      </c>
      <c r="AB937">
        <v>33.590000000000003</v>
      </c>
      <c r="AC937">
        <v>12.697137</v>
      </c>
      <c r="AD937">
        <v>108.07234200000001</v>
      </c>
      <c r="AE937" s="5">
        <f t="shared" si="71"/>
        <v>0.13794000000000001</v>
      </c>
      <c r="AF937" s="5">
        <f t="shared" si="72"/>
        <v>5.0385000000000006E-2</v>
      </c>
      <c r="AG937" s="1" t="str">
        <f>TRIM(LEFT(L937,FIND("-",L937)-1))</f>
        <v>TT1 Đăk Lăk</v>
      </c>
      <c r="AH937" s="1" t="str">
        <f>TRIM(RIGHT(L937, LEN(L937) - FIND("-", L937)))</f>
        <v>ILA Ea Kar</v>
      </c>
      <c r="AJ937">
        <f t="shared" si="73"/>
        <v>9.196E-2</v>
      </c>
      <c r="AK937">
        <f t="shared" si="74"/>
        <v>3.3590000000000002E-2</v>
      </c>
      <c r="AL937" t="e">
        <f>VLOOKUP(L937,'[1]Tuyến cáp H04'!$B:$E,3,0)/1000</f>
        <v>#N/A</v>
      </c>
      <c r="AM937" t="e">
        <f>VLOOKUP(L937,'[1]Tuyến cáp H04'!$B:$E,4,0)</f>
        <v>#N/A</v>
      </c>
    </row>
    <row r="938" spans="1:39" x14ac:dyDescent="0.25">
      <c r="A938" s="1" t="s">
        <v>9008</v>
      </c>
      <c r="B938" s="1" t="s">
        <v>8347</v>
      </c>
      <c r="C938" s="1" t="s">
        <v>8348</v>
      </c>
      <c r="D938" s="1" t="s">
        <v>8377</v>
      </c>
      <c r="E938" s="1" t="s">
        <v>8378</v>
      </c>
      <c r="F938" s="1" t="s">
        <v>9009</v>
      </c>
      <c r="G938" s="1" t="s">
        <v>14129</v>
      </c>
      <c r="H938" s="1" t="s">
        <v>14133</v>
      </c>
      <c r="I938" s="1" t="s">
        <v>15050</v>
      </c>
      <c r="J938" s="1" t="s">
        <v>23</v>
      </c>
      <c r="K938" s="1"/>
      <c r="L938" s="1" t="s">
        <v>8111</v>
      </c>
      <c r="M938" s="1" t="s">
        <v>8111</v>
      </c>
      <c r="N938" s="12" t="b">
        <f t="shared" si="70"/>
        <v>1</v>
      </c>
      <c r="O938" s="1" t="s">
        <v>9010</v>
      </c>
      <c r="P938" s="1" t="s">
        <v>9011</v>
      </c>
      <c r="Q938" s="1" t="s">
        <v>9012</v>
      </c>
      <c r="R938" s="1" t="s">
        <v>9013</v>
      </c>
      <c r="S938" s="1" t="s">
        <v>9014</v>
      </c>
      <c r="T938" s="1" t="s">
        <v>9015</v>
      </c>
      <c r="U938" s="1" t="s">
        <v>9016</v>
      </c>
      <c r="V938" s="13">
        <f>COUNTIF(L938:$M$1659,L938)</f>
        <v>20</v>
      </c>
      <c r="W938" s="1" t="s">
        <v>8119</v>
      </c>
      <c r="X938">
        <v>3136.08</v>
      </c>
      <c r="Y938">
        <v>2642.09</v>
      </c>
      <c r="Z938">
        <v>13.091364</v>
      </c>
      <c r="AA938">
        <v>109.28920599999999</v>
      </c>
      <c r="AB938">
        <v>493.99</v>
      </c>
      <c r="AC938">
        <v>13.147905</v>
      </c>
      <c r="AD938">
        <v>109.280089</v>
      </c>
      <c r="AE938" s="5">
        <f t="shared" si="71"/>
        <v>3.9631350000000003</v>
      </c>
      <c r="AF938" s="5">
        <f t="shared" si="72"/>
        <v>0.740985</v>
      </c>
      <c r="AG938" s="1" t="str">
        <f>TRIM(LEFT(L938,FIND("-",L938)-1))</f>
        <v>Sông Cầu</v>
      </c>
      <c r="AH938" s="1" t="str">
        <f>TRIM(RIGHT(L938, LEN(L938) - FIND("-", L938)))</f>
        <v>TT2 Tuy Hòa</v>
      </c>
      <c r="AJ938">
        <f t="shared" si="73"/>
        <v>2.64209</v>
      </c>
      <c r="AK938">
        <f t="shared" si="74"/>
        <v>0.49398999999999998</v>
      </c>
      <c r="AL938">
        <f>VLOOKUP(L938,'[1]Tuyến cáp H04'!$B:$E,3,0)/1000</f>
        <v>48.265999999999998</v>
      </c>
      <c r="AM938" t="str">
        <f>VLOOKUP(L938,'[1]Tuyến cáp H04'!$B:$E,4,0)</f>
        <v>Mạng cấp 3</v>
      </c>
    </row>
    <row r="939" spans="1:39" x14ac:dyDescent="0.25">
      <c r="A939" s="1" t="s">
        <v>9017</v>
      </c>
      <c r="B939" s="1" t="s">
        <v>8604</v>
      </c>
      <c r="C939" s="1" t="s">
        <v>8605</v>
      </c>
      <c r="D939" s="1" t="s">
        <v>9018</v>
      </c>
      <c r="E939" s="1" t="s">
        <v>9019</v>
      </c>
      <c r="F939" s="1" t="s">
        <v>9020</v>
      </c>
      <c r="G939" s="1" t="s">
        <v>14129</v>
      </c>
      <c r="H939" s="1" t="s">
        <v>14133</v>
      </c>
      <c r="I939" s="1" t="s">
        <v>15051</v>
      </c>
      <c r="J939" s="1" t="s">
        <v>23</v>
      </c>
      <c r="K939" s="1"/>
      <c r="L939" s="1" t="s">
        <v>8350</v>
      </c>
      <c r="M939" s="1" t="s">
        <v>8350</v>
      </c>
      <c r="N939" s="12" t="b">
        <f t="shared" si="70"/>
        <v>1</v>
      </c>
      <c r="O939" s="1" t="s">
        <v>9021</v>
      </c>
      <c r="P939" s="1" t="s">
        <v>9022</v>
      </c>
      <c r="Q939" s="1" t="s">
        <v>8353</v>
      </c>
      <c r="R939" s="1" t="s">
        <v>8354</v>
      </c>
      <c r="S939" s="1" t="s">
        <v>9023</v>
      </c>
      <c r="T939" s="1" t="s">
        <v>8356</v>
      </c>
      <c r="U939" s="1" t="s">
        <v>8357</v>
      </c>
      <c r="V939" s="13">
        <f>COUNTIF(L939:$M$1659,L939)</f>
        <v>32</v>
      </c>
      <c r="W939" s="1" t="s">
        <v>8358</v>
      </c>
      <c r="X939">
        <v>100845.75</v>
      </c>
      <c r="Y939">
        <v>7844.66</v>
      </c>
      <c r="Z939">
        <v>12.690893000000001</v>
      </c>
      <c r="AA939">
        <v>108.06744999999999</v>
      </c>
      <c r="AB939">
        <v>93001.1</v>
      </c>
      <c r="AC939">
        <v>12.811565999999999</v>
      </c>
      <c r="AD939">
        <v>108.483311</v>
      </c>
      <c r="AE939" s="5">
        <f t="shared" si="71"/>
        <v>11.76699</v>
      </c>
      <c r="AF939" s="5">
        <f t="shared" si="72"/>
        <v>139.50165000000001</v>
      </c>
      <c r="AG939" s="1" t="str">
        <f>TRIM(LEFT(L939,FIND("-",L939)-1))</f>
        <v>TT1 Đăk Lăk</v>
      </c>
      <c r="AH939" s="1" t="str">
        <f>TRIM(RIGHT(L939, LEN(L939) - FIND("-", L939)))</f>
        <v>ILA Ea Kar</v>
      </c>
      <c r="AJ939">
        <f t="shared" si="73"/>
        <v>7.8446600000000002</v>
      </c>
      <c r="AK939">
        <f t="shared" si="74"/>
        <v>93.001100000000008</v>
      </c>
      <c r="AL939" t="e">
        <f>VLOOKUP(L939,'[1]Tuyến cáp H04'!$B:$E,3,0)/1000</f>
        <v>#N/A</v>
      </c>
      <c r="AM939" t="e">
        <f>VLOOKUP(L939,'[1]Tuyến cáp H04'!$B:$E,4,0)</f>
        <v>#N/A</v>
      </c>
    </row>
    <row r="940" spans="1:39" x14ac:dyDescent="0.25">
      <c r="A940" s="1" t="s">
        <v>9024</v>
      </c>
      <c r="B940" s="1" t="s">
        <v>9025</v>
      </c>
      <c r="C940" s="1" t="s">
        <v>9026</v>
      </c>
      <c r="D940" s="1" t="s">
        <v>9027</v>
      </c>
      <c r="E940" s="1" t="s">
        <v>9028</v>
      </c>
      <c r="F940" s="1" t="s">
        <v>9029</v>
      </c>
      <c r="G940" s="1" t="s">
        <v>14129</v>
      </c>
      <c r="H940" s="1" t="s">
        <v>14133</v>
      </c>
      <c r="I940" s="1" t="s">
        <v>15052</v>
      </c>
      <c r="J940" s="1" t="s">
        <v>23</v>
      </c>
      <c r="K940" s="1"/>
      <c r="L940" s="1" t="s">
        <v>9030</v>
      </c>
      <c r="M940" s="1" t="s">
        <v>9030</v>
      </c>
      <c r="N940" s="12" t="b">
        <f t="shared" si="70"/>
        <v>1</v>
      </c>
      <c r="O940" s="1" t="s">
        <v>9031</v>
      </c>
      <c r="P940" s="1" t="s">
        <v>9032</v>
      </c>
      <c r="Q940" s="1" t="s">
        <v>9033</v>
      </c>
      <c r="R940" s="1" t="s">
        <v>9034</v>
      </c>
      <c r="S940" s="1" t="s">
        <v>9035</v>
      </c>
      <c r="T940" s="1" t="s">
        <v>9036</v>
      </c>
      <c r="U940" s="1" t="s">
        <v>9037</v>
      </c>
      <c r="V940" s="13">
        <f>COUNTIF(L940:$M$1659,L940)</f>
        <v>6</v>
      </c>
      <c r="W940" s="1" t="s">
        <v>9038</v>
      </c>
      <c r="X940">
        <v>870.47</v>
      </c>
      <c r="Y940">
        <v>867.07</v>
      </c>
      <c r="Z940">
        <v>12.673182000000001</v>
      </c>
      <c r="AA940">
        <v>108.03377500000001</v>
      </c>
      <c r="AB940">
        <v>3.41</v>
      </c>
      <c r="AC940">
        <v>12.673265000000001</v>
      </c>
      <c r="AD940">
        <v>108.03362799999999</v>
      </c>
      <c r="AE940" s="5">
        <f t="shared" si="71"/>
        <v>1.300605</v>
      </c>
      <c r="AF940" s="5">
        <f t="shared" si="72"/>
        <v>5.1150000000000006E-3</v>
      </c>
      <c r="AG940" s="1" t="str">
        <f>TRIM(LEFT(L940,FIND("-",L940)-1))</f>
        <v>Trung tâm huấn luyện PX01</v>
      </c>
      <c r="AH940" s="1" t="str">
        <f>TRIM(RIGHT(L940, LEN(L940) - FIND("-", L940)))</f>
        <v>TT1 Đăk Lăk</v>
      </c>
      <c r="AJ940">
        <f t="shared" si="73"/>
        <v>0.86707000000000001</v>
      </c>
      <c r="AK940">
        <f t="shared" si="74"/>
        <v>3.4100000000000003E-3</v>
      </c>
      <c r="AL940">
        <f>VLOOKUP(L940,'[1]Tuyến cáp H04'!$B:$E,3,0)/1000</f>
        <v>3.3519999999999999</v>
      </c>
      <c r="AM940" t="str">
        <f>VLOOKUP(L940,'[1]Tuyến cáp H04'!$B:$E,4,0)</f>
        <v>Mạng cấp 3</v>
      </c>
    </row>
    <row r="941" spans="1:39" x14ac:dyDescent="0.25">
      <c r="A941" s="1" t="s">
        <v>9039</v>
      </c>
      <c r="B941" s="1" t="s">
        <v>8554</v>
      </c>
      <c r="C941" s="1" t="s">
        <v>8555</v>
      </c>
      <c r="D941" s="1" t="s">
        <v>9040</v>
      </c>
      <c r="E941" s="1" t="s">
        <v>9041</v>
      </c>
      <c r="F941" s="1" t="s">
        <v>9042</v>
      </c>
      <c r="G941" s="1" t="s">
        <v>14129</v>
      </c>
      <c r="H941" s="1" t="s">
        <v>14133</v>
      </c>
      <c r="I941" s="1" t="s">
        <v>15053</v>
      </c>
      <c r="J941" s="1" t="s">
        <v>23</v>
      </c>
      <c r="K941" s="1"/>
      <c r="L941" s="1" t="s">
        <v>9043</v>
      </c>
      <c r="M941" s="1" t="s">
        <v>9043</v>
      </c>
      <c r="N941" s="12" t="b">
        <f t="shared" si="70"/>
        <v>1</v>
      </c>
      <c r="O941" s="1" t="s">
        <v>9044</v>
      </c>
      <c r="P941" s="1" t="s">
        <v>9045</v>
      </c>
      <c r="Q941" s="1" t="s">
        <v>9046</v>
      </c>
      <c r="R941" s="1" t="s">
        <v>9047</v>
      </c>
      <c r="S941" s="1" t="s">
        <v>9048</v>
      </c>
      <c r="T941" s="1" t="s">
        <v>9049</v>
      </c>
      <c r="U941" s="1" t="s">
        <v>9050</v>
      </c>
      <c r="V941" s="13">
        <f>COUNTIF(L941:$M$1659,L941)</f>
        <v>24</v>
      </c>
      <c r="W941" s="1" t="s">
        <v>9051</v>
      </c>
      <c r="X941">
        <v>278.42</v>
      </c>
      <c r="Y941">
        <v>225.88</v>
      </c>
      <c r="Z941">
        <v>12.683052999999999</v>
      </c>
      <c r="AA941">
        <v>108.05115600000001</v>
      </c>
      <c r="AB941">
        <v>52.55</v>
      </c>
      <c r="AC941">
        <v>12.683980999999999</v>
      </c>
      <c r="AD941">
        <v>108.059354</v>
      </c>
      <c r="AE941" s="5">
        <f t="shared" si="71"/>
        <v>0.33882000000000001</v>
      </c>
      <c r="AF941" s="5">
        <f t="shared" si="72"/>
        <v>7.8824999999999992E-2</v>
      </c>
      <c r="AG941" s="1" t="str">
        <f>TRIM(LEFT(L941,FIND("-",L941)-1))</f>
        <v>TT1 Đăk Lăk</v>
      </c>
      <c r="AH941" s="1" t="str">
        <f>TRIM(RIGHT(L941, LEN(L941) - FIND("-", L941)))</f>
        <v>ILA Ea Pal</v>
      </c>
      <c r="AJ941">
        <f t="shared" si="73"/>
        <v>0.22588</v>
      </c>
      <c r="AK941">
        <f t="shared" si="74"/>
        <v>5.2549999999999999E-2</v>
      </c>
      <c r="AL941" t="e">
        <f>VLOOKUP(L941,'[1]Tuyến cáp H04'!$B:$E,3,0)/1000</f>
        <v>#N/A</v>
      </c>
      <c r="AM941" t="e">
        <f>VLOOKUP(L941,'[1]Tuyến cáp H04'!$B:$E,4,0)</f>
        <v>#N/A</v>
      </c>
    </row>
    <row r="942" spans="1:39" x14ac:dyDescent="0.25">
      <c r="A942" s="1" t="s">
        <v>9052</v>
      </c>
      <c r="B942" s="1" t="s">
        <v>9025</v>
      </c>
      <c r="C942" s="1" t="s">
        <v>9026</v>
      </c>
      <c r="D942" s="1" t="s">
        <v>9053</v>
      </c>
      <c r="E942" s="1" t="s">
        <v>9054</v>
      </c>
      <c r="F942" s="1" t="s">
        <v>9055</v>
      </c>
      <c r="G942" s="1" t="s">
        <v>14129</v>
      </c>
      <c r="H942" s="1" t="s">
        <v>14133</v>
      </c>
      <c r="I942" s="1" t="s">
        <v>15054</v>
      </c>
      <c r="J942" s="1" t="s">
        <v>23</v>
      </c>
      <c r="K942" s="1"/>
      <c r="L942" s="1" t="s">
        <v>9056</v>
      </c>
      <c r="M942" s="1" t="s">
        <v>9056</v>
      </c>
      <c r="N942" s="12" t="b">
        <f t="shared" si="70"/>
        <v>1</v>
      </c>
      <c r="O942" s="1" t="s">
        <v>9057</v>
      </c>
      <c r="P942" s="1" t="s">
        <v>9058</v>
      </c>
      <c r="Q942" s="1" t="s">
        <v>9059</v>
      </c>
      <c r="R942" s="1" t="s">
        <v>9060</v>
      </c>
      <c r="S942" s="1" t="s">
        <v>9061</v>
      </c>
      <c r="T942" s="1" t="s">
        <v>9062</v>
      </c>
      <c r="U942" s="1" t="s">
        <v>9063</v>
      </c>
      <c r="V942" s="13">
        <f>COUNTIF(L942:$M$1659,L942)</f>
        <v>6</v>
      </c>
      <c r="W942" s="1" t="s">
        <v>9064</v>
      </c>
      <c r="X942">
        <v>560.96</v>
      </c>
      <c r="Y942">
        <v>471.01</v>
      </c>
      <c r="Z942">
        <v>12.662886</v>
      </c>
      <c r="AA942">
        <v>108.03439</v>
      </c>
      <c r="AB942">
        <v>89.95</v>
      </c>
      <c r="AC942">
        <v>12.660361</v>
      </c>
      <c r="AD942">
        <v>108.031069</v>
      </c>
      <c r="AE942" s="5">
        <f t="shared" si="71"/>
        <v>0.706515</v>
      </c>
      <c r="AF942" s="5">
        <f t="shared" si="72"/>
        <v>0.13492500000000002</v>
      </c>
      <c r="AG942" s="1" t="str">
        <f>TRIM(LEFT(L942,FIND("-",L942)-1))</f>
        <v>CAT Đắk Lắk</v>
      </c>
      <c r="AH942" s="1" t="str">
        <f>TRIM(RIGHT(L942, LEN(L942) - FIND("-", L942)))</f>
        <v>Ea Kao</v>
      </c>
      <c r="AJ942">
        <f t="shared" si="73"/>
        <v>0.47100999999999998</v>
      </c>
      <c r="AK942">
        <f t="shared" si="74"/>
        <v>8.9950000000000002E-2</v>
      </c>
      <c r="AL942">
        <f>VLOOKUP(L942,'[1]Tuyến cáp H04'!$B:$E,3,0)/1000</f>
        <v>4.133</v>
      </c>
      <c r="AM942" t="str">
        <f>VLOOKUP(L942,'[1]Tuyến cáp H04'!$B:$E,4,0)</f>
        <v>Mạng cấp 4</v>
      </c>
    </row>
    <row r="943" spans="1:39" x14ac:dyDescent="0.25">
      <c r="A943" s="1" t="s">
        <v>9065</v>
      </c>
      <c r="B943" s="1" t="s">
        <v>9066</v>
      </c>
      <c r="C943" s="1" t="s">
        <v>9067</v>
      </c>
      <c r="D943" s="1" t="s">
        <v>8175</v>
      </c>
      <c r="E943" s="1" t="s">
        <v>8176</v>
      </c>
      <c r="F943" s="1" t="s">
        <v>9068</v>
      </c>
      <c r="G943" s="1" t="s">
        <v>14129</v>
      </c>
      <c r="H943" s="1" t="s">
        <v>14133</v>
      </c>
      <c r="I943" s="1" t="s">
        <v>15055</v>
      </c>
      <c r="J943" s="1" t="s">
        <v>23</v>
      </c>
      <c r="K943" s="1"/>
      <c r="L943" s="1" t="s">
        <v>8206</v>
      </c>
      <c r="M943" s="1" t="s">
        <v>8206</v>
      </c>
      <c r="N943" s="12" t="b">
        <f t="shared" si="70"/>
        <v>1</v>
      </c>
      <c r="O943" s="1" t="s">
        <v>9069</v>
      </c>
      <c r="P943" s="1" t="s">
        <v>9070</v>
      </c>
      <c r="Q943" s="1" t="s">
        <v>9071</v>
      </c>
      <c r="R943" s="1" t="s">
        <v>9072</v>
      </c>
      <c r="S943" s="1" t="s">
        <v>8211</v>
      </c>
      <c r="T943" s="1" t="s">
        <v>8212</v>
      </c>
      <c r="U943" s="1" t="s">
        <v>8213</v>
      </c>
      <c r="V943" s="13">
        <f>COUNTIF(L943:$M$1659,L943)</f>
        <v>4</v>
      </c>
      <c r="W943" s="1" t="s">
        <v>8214</v>
      </c>
      <c r="X943">
        <v>1300.24</v>
      </c>
      <c r="Y943">
        <v>1181.25</v>
      </c>
      <c r="Z943">
        <v>12.679326</v>
      </c>
      <c r="AA943">
        <v>108.087198</v>
      </c>
      <c r="AB943">
        <v>118.99</v>
      </c>
      <c r="AC943">
        <v>12.655568000000001</v>
      </c>
      <c r="AD943">
        <v>108.107465</v>
      </c>
      <c r="AE943" s="5">
        <f t="shared" si="71"/>
        <v>1.7718750000000001</v>
      </c>
      <c r="AF943" s="5">
        <f t="shared" si="72"/>
        <v>0.17848499999999998</v>
      </c>
      <c r="AG943" s="1" t="str">
        <f>TRIM(LEFT(L943,FIND("-",L943)-1))</f>
        <v>Tân Lập</v>
      </c>
      <c r="AH943" s="1" t="str">
        <f>TRIM(RIGHT(L943, LEN(L943) - FIND("-", L943)))</f>
        <v>Ea Knuec</v>
      </c>
      <c r="AJ943">
        <f t="shared" si="73"/>
        <v>1.1812499999999999</v>
      </c>
      <c r="AK943">
        <f t="shared" si="74"/>
        <v>0.11899</v>
      </c>
      <c r="AL943" t="e">
        <f>VLOOKUP(L943,'[1]Tuyến cáp H04'!$B:$E,3,0)/1000</f>
        <v>#N/A</v>
      </c>
      <c r="AM943" t="e">
        <f>VLOOKUP(L943,'[1]Tuyến cáp H04'!$B:$E,4,0)</f>
        <v>#N/A</v>
      </c>
    </row>
    <row r="944" spans="1:39" x14ac:dyDescent="0.25">
      <c r="A944" s="1" t="s">
        <v>9073</v>
      </c>
      <c r="B944" s="1" t="s">
        <v>9074</v>
      </c>
      <c r="C944" s="1" t="s">
        <v>9075</v>
      </c>
      <c r="D944" s="1" t="s">
        <v>8362</v>
      </c>
      <c r="E944" s="1" t="s">
        <v>8363</v>
      </c>
      <c r="F944" s="1" t="s">
        <v>9076</v>
      </c>
      <c r="G944" s="1" t="s">
        <v>14129</v>
      </c>
      <c r="H944" s="1" t="s">
        <v>14133</v>
      </c>
      <c r="I944" s="1" t="s">
        <v>15056</v>
      </c>
      <c r="J944" s="1" t="s">
        <v>23</v>
      </c>
      <c r="K944" s="1"/>
      <c r="L944" s="1" t="s">
        <v>8365</v>
      </c>
      <c r="M944" s="1" t="s">
        <v>8365</v>
      </c>
      <c r="N944" s="12" t="b">
        <f t="shared" si="70"/>
        <v>1</v>
      </c>
      <c r="O944" s="1" t="s">
        <v>9077</v>
      </c>
      <c r="P944" s="1" t="s">
        <v>9078</v>
      </c>
      <c r="Q944" s="1" t="s">
        <v>9079</v>
      </c>
      <c r="R944" s="1" t="s">
        <v>9080</v>
      </c>
      <c r="S944" s="1" t="s">
        <v>9081</v>
      </c>
      <c r="T944" s="1" t="s">
        <v>9082</v>
      </c>
      <c r="U944" s="1" t="s">
        <v>9083</v>
      </c>
      <c r="V944" s="13">
        <f>COUNTIF(L944:$M$1659,L944)</f>
        <v>4</v>
      </c>
      <c r="W944" s="1" t="s">
        <v>9084</v>
      </c>
      <c r="X944">
        <v>434.7</v>
      </c>
      <c r="Y944">
        <v>22.72</v>
      </c>
      <c r="Z944">
        <v>12.676812999999999</v>
      </c>
      <c r="AA944">
        <v>107.99398100000001</v>
      </c>
      <c r="AB944">
        <v>411.98</v>
      </c>
      <c r="AC944">
        <v>12.682619000000001</v>
      </c>
      <c r="AD944">
        <v>108.012011</v>
      </c>
      <c r="AE944" s="5">
        <f t="shared" si="71"/>
        <v>3.4079999999999999E-2</v>
      </c>
      <c r="AF944" s="5">
        <f t="shared" si="72"/>
        <v>0.61797000000000002</v>
      </c>
      <c r="AG944" s="1" t="str">
        <f>TRIM(LEFT(L944,FIND("-",L944)-1))</f>
        <v>Thành Nhất</v>
      </c>
      <c r="AH944" s="1" t="str">
        <f>TRIM(RIGHT(L944, LEN(L944) - FIND("-", L944)))</f>
        <v>Ea Nuôl</v>
      </c>
      <c r="AJ944">
        <f t="shared" si="73"/>
        <v>2.2719999999999997E-2</v>
      </c>
      <c r="AK944">
        <f t="shared" si="74"/>
        <v>0.41198000000000001</v>
      </c>
      <c r="AL944">
        <f>VLOOKUP(L944,'[1]Tuyến cáp H04'!$B:$E,3,0)/1000</f>
        <v>7.931</v>
      </c>
      <c r="AM944" t="str">
        <f>VLOOKUP(L944,'[1]Tuyến cáp H04'!$B:$E,4,0)</f>
        <v>Mạng cấp 4</v>
      </c>
    </row>
    <row r="945" spans="1:39" x14ac:dyDescent="0.25">
      <c r="A945" s="1" t="s">
        <v>9085</v>
      </c>
      <c r="B945" s="1" t="s">
        <v>8569</v>
      </c>
      <c r="C945" s="1" t="s">
        <v>8570</v>
      </c>
      <c r="D945" s="1" t="s">
        <v>9086</v>
      </c>
      <c r="E945" s="1" t="s">
        <v>9087</v>
      </c>
      <c r="F945" s="1" t="s">
        <v>9088</v>
      </c>
      <c r="G945" s="1" t="s">
        <v>14129</v>
      </c>
      <c r="H945" s="1" t="s">
        <v>14133</v>
      </c>
      <c r="I945" s="1" t="s">
        <v>15057</v>
      </c>
      <c r="J945" s="1" t="s">
        <v>23</v>
      </c>
      <c r="K945" s="1"/>
      <c r="L945" s="1" t="s">
        <v>9089</v>
      </c>
      <c r="M945" s="1" t="s">
        <v>9089</v>
      </c>
      <c r="N945" s="12" t="b">
        <f t="shared" si="70"/>
        <v>1</v>
      </c>
      <c r="O945" s="1" t="s">
        <v>9090</v>
      </c>
      <c r="P945" s="1" t="s">
        <v>9091</v>
      </c>
      <c r="Q945" s="1" t="s">
        <v>9092</v>
      </c>
      <c r="R945" s="1" t="s">
        <v>9093</v>
      </c>
      <c r="S945" s="1" t="s">
        <v>9094</v>
      </c>
      <c r="T945" s="1" t="s">
        <v>9095</v>
      </c>
      <c r="U945" s="1" t="s">
        <v>9096</v>
      </c>
      <c r="V945" s="13">
        <f>COUNTIF(L945:$M$1659,L945)</f>
        <v>4</v>
      </c>
      <c r="W945" s="1" t="s">
        <v>9097</v>
      </c>
      <c r="X945">
        <v>2288.04</v>
      </c>
      <c r="Y945">
        <v>37.880000000000003</v>
      </c>
      <c r="Z945">
        <v>12.711841</v>
      </c>
      <c r="AA945">
        <v>108.066391</v>
      </c>
      <c r="AB945">
        <v>2250.16</v>
      </c>
      <c r="AC945">
        <v>12.712285</v>
      </c>
      <c r="AD945">
        <v>108.066721</v>
      </c>
      <c r="AE945" s="5">
        <f t="shared" si="71"/>
        <v>5.6820000000000009E-2</v>
      </c>
      <c r="AF945" s="5">
        <f t="shared" si="72"/>
        <v>3.3752399999999998</v>
      </c>
      <c r="AG945" s="1" t="str">
        <f>TRIM(LEFT(L945,FIND("-",L945)-1))</f>
        <v>Trại tạm giam Buôn Mê Thuột</v>
      </c>
      <c r="AH945" s="1" t="str">
        <f>TRIM(RIGHT(L945, LEN(L945) - FIND("-", L945)))</f>
        <v>TT1 Đăk Lăk</v>
      </c>
      <c r="AJ945">
        <f t="shared" si="73"/>
        <v>3.7880000000000004E-2</v>
      </c>
      <c r="AK945">
        <f t="shared" si="74"/>
        <v>2.2501599999999997</v>
      </c>
      <c r="AL945">
        <f>VLOOKUP(L945,'[1]Tuyến cáp H04'!$B:$E,3,0)/1000</f>
        <v>5.3780000000000001</v>
      </c>
      <c r="AM945" t="str">
        <f>VLOOKUP(L945,'[1]Tuyến cáp H04'!$B:$E,4,0)</f>
        <v>Mạng cấp 3</v>
      </c>
    </row>
    <row r="946" spans="1:39" x14ac:dyDescent="0.25">
      <c r="A946" s="1" t="s">
        <v>9098</v>
      </c>
      <c r="B946" s="1" t="s">
        <v>9099</v>
      </c>
      <c r="C946" s="1" t="s">
        <v>9100</v>
      </c>
      <c r="D946" s="1" t="s">
        <v>9101</v>
      </c>
      <c r="E946" s="1" t="s">
        <v>9102</v>
      </c>
      <c r="F946" s="1" t="s">
        <v>9103</v>
      </c>
      <c r="G946" s="1" t="s">
        <v>14129</v>
      </c>
      <c r="H946" s="1" t="s">
        <v>14133</v>
      </c>
      <c r="I946" s="1" t="s">
        <v>15058</v>
      </c>
      <c r="J946" s="1" t="s">
        <v>23</v>
      </c>
      <c r="K946" s="1"/>
      <c r="L946" s="1" t="s">
        <v>8350</v>
      </c>
      <c r="M946" s="1" t="s">
        <v>8350</v>
      </c>
      <c r="N946" s="12" t="b">
        <f t="shared" si="70"/>
        <v>1</v>
      </c>
      <c r="O946" s="1" t="s">
        <v>9104</v>
      </c>
      <c r="P946" s="1" t="s">
        <v>9105</v>
      </c>
      <c r="Q946" s="1" t="s">
        <v>9106</v>
      </c>
      <c r="R946" s="1" t="s">
        <v>9107</v>
      </c>
      <c r="S946" s="1" t="s">
        <v>9108</v>
      </c>
      <c r="T946" s="1" t="s">
        <v>9109</v>
      </c>
      <c r="U946" s="1" t="s">
        <v>9110</v>
      </c>
      <c r="V946" s="13">
        <f>COUNTIF(L946:$M$1659,L946)</f>
        <v>30</v>
      </c>
      <c r="W946" s="1" t="s">
        <v>8358</v>
      </c>
      <c r="X946">
        <v>190.27</v>
      </c>
      <c r="Y946">
        <v>88.89</v>
      </c>
      <c r="Z946">
        <v>12.736509</v>
      </c>
      <c r="AA946">
        <v>108.14225</v>
      </c>
      <c r="AB946">
        <v>101.38</v>
      </c>
      <c r="AC946">
        <v>12.753318999999999</v>
      </c>
      <c r="AD946">
        <v>108.169235</v>
      </c>
      <c r="AE946" s="5">
        <f t="shared" si="71"/>
        <v>0.13333500000000001</v>
      </c>
      <c r="AF946" s="5">
        <f t="shared" si="72"/>
        <v>0.15206999999999998</v>
      </c>
      <c r="AG946" s="1" t="str">
        <f>TRIM(LEFT(L946,FIND("-",L946)-1))</f>
        <v>TT1 Đăk Lăk</v>
      </c>
      <c r="AH946" s="1" t="str">
        <f>TRIM(RIGHT(L946, LEN(L946) - FIND("-", L946)))</f>
        <v>ILA Ea Kar</v>
      </c>
      <c r="AJ946">
        <f t="shared" si="73"/>
        <v>8.8889999999999997E-2</v>
      </c>
      <c r="AK946">
        <f t="shared" si="74"/>
        <v>0.10138</v>
      </c>
      <c r="AL946" t="e">
        <f>VLOOKUP(L946,'[1]Tuyến cáp H04'!$B:$E,3,0)/1000</f>
        <v>#N/A</v>
      </c>
      <c r="AM946" t="e">
        <f>VLOOKUP(L946,'[1]Tuyến cáp H04'!$B:$E,4,0)</f>
        <v>#N/A</v>
      </c>
    </row>
    <row r="947" spans="1:39" x14ac:dyDescent="0.25">
      <c r="A947" s="1" t="s">
        <v>9111</v>
      </c>
      <c r="B947" s="1" t="s">
        <v>8332</v>
      </c>
      <c r="C947" s="1" t="s">
        <v>8333</v>
      </c>
      <c r="D947" s="1" t="s">
        <v>9112</v>
      </c>
      <c r="E947" s="1" t="s">
        <v>9113</v>
      </c>
      <c r="F947" s="1" t="s">
        <v>9114</v>
      </c>
      <c r="G947" s="1" t="s">
        <v>14129</v>
      </c>
      <c r="H947" s="1" t="s">
        <v>14133</v>
      </c>
      <c r="I947" s="1" t="s">
        <v>15059</v>
      </c>
      <c r="J947" s="1" t="s">
        <v>23</v>
      </c>
      <c r="K947" s="1"/>
      <c r="L947" s="1" t="s">
        <v>8335</v>
      </c>
      <c r="M947" s="1" t="s">
        <v>8335</v>
      </c>
      <c r="N947" s="12" t="b">
        <f t="shared" si="70"/>
        <v>1</v>
      </c>
      <c r="O947" s="1" t="s">
        <v>9115</v>
      </c>
      <c r="P947" s="1" t="s">
        <v>8340</v>
      </c>
      <c r="Q947" s="1" t="s">
        <v>8341</v>
      </c>
      <c r="R947" s="1" t="s">
        <v>8342</v>
      </c>
      <c r="S947" s="1" t="s">
        <v>9116</v>
      </c>
      <c r="T947" s="1" t="s">
        <v>9117</v>
      </c>
      <c r="U947" s="1" t="s">
        <v>9118</v>
      </c>
      <c r="V947" s="13">
        <f>COUNTIF(L947:$M$1659,L947)</f>
        <v>4</v>
      </c>
      <c r="W947" s="1" t="s">
        <v>8343</v>
      </c>
      <c r="X947">
        <v>547.86</v>
      </c>
      <c r="Y947">
        <v>57.95</v>
      </c>
      <c r="Z947">
        <v>12.916482999999999</v>
      </c>
      <c r="AA947">
        <v>108.26607</v>
      </c>
      <c r="AB947">
        <v>489.91</v>
      </c>
      <c r="AC947">
        <v>12.911094</v>
      </c>
      <c r="AD947">
        <v>108.266525</v>
      </c>
      <c r="AE947" s="5">
        <f t="shared" si="71"/>
        <v>8.6925000000000016E-2</v>
      </c>
      <c r="AF947" s="5">
        <f t="shared" si="72"/>
        <v>0.73486499999999999</v>
      </c>
      <c r="AG947" s="1" t="e">
        <f>TRIM(LEFT(L947,FIND("-",L947)-1))</f>
        <v>#VALUE!</v>
      </c>
      <c r="AH947" s="1" t="e">
        <f>TRIM(RIGHT(L947, LEN(L947) - FIND("-", L947)))</f>
        <v>#VALUE!</v>
      </c>
      <c r="AJ947">
        <f t="shared" si="73"/>
        <v>5.7950000000000002E-2</v>
      </c>
      <c r="AK947">
        <f t="shared" si="74"/>
        <v>0.48991000000000001</v>
      </c>
      <c r="AL947" t="e">
        <f>VLOOKUP(L947,'[1]Tuyến cáp H04'!$B:$E,3,0)/1000</f>
        <v>#N/A</v>
      </c>
      <c r="AM947" t="e">
        <f>VLOOKUP(L947,'[1]Tuyến cáp H04'!$B:$E,4,0)</f>
        <v>#N/A</v>
      </c>
    </row>
    <row r="948" spans="1:39" x14ac:dyDescent="0.25">
      <c r="A948" s="1" t="s">
        <v>9119</v>
      </c>
      <c r="B948" s="1" t="s">
        <v>9120</v>
      </c>
      <c r="C948" s="1" t="s">
        <v>9121</v>
      </c>
      <c r="D948" s="1" t="s">
        <v>8935</v>
      </c>
      <c r="E948" s="1" t="s">
        <v>8936</v>
      </c>
      <c r="F948" s="1" t="s">
        <v>9122</v>
      </c>
      <c r="G948" s="1" t="s">
        <v>14129</v>
      </c>
      <c r="H948" s="1" t="s">
        <v>14130</v>
      </c>
      <c r="I948" s="1" t="s">
        <v>15060</v>
      </c>
      <c r="J948" s="1" t="s">
        <v>23</v>
      </c>
      <c r="K948" s="1"/>
      <c r="L948" s="1" t="s">
        <v>8940</v>
      </c>
      <c r="M948" s="1" t="s">
        <v>8940</v>
      </c>
      <c r="N948" s="12" t="b">
        <f t="shared" si="70"/>
        <v>1</v>
      </c>
      <c r="O948" s="1" t="s">
        <v>9123</v>
      </c>
      <c r="P948" s="1" t="s">
        <v>9124</v>
      </c>
      <c r="Q948" s="1" t="s">
        <v>9125</v>
      </c>
      <c r="R948" s="1" t="s">
        <v>9126</v>
      </c>
      <c r="S948" s="1" t="s">
        <v>2433</v>
      </c>
      <c r="T948" s="1" t="s">
        <v>8942</v>
      </c>
      <c r="U948" s="1" t="s">
        <v>8943</v>
      </c>
      <c r="V948" s="13">
        <f>COUNTIF(L948:$M$1659,L948)</f>
        <v>8</v>
      </c>
      <c r="W948" s="1" t="s">
        <v>8947</v>
      </c>
      <c r="X948">
        <v>602.63</v>
      </c>
      <c r="Y948">
        <v>600.95000000000005</v>
      </c>
      <c r="Z948">
        <v>13.044897000000001</v>
      </c>
      <c r="AA948">
        <v>109.304889</v>
      </c>
      <c r="AB948">
        <v>1.67</v>
      </c>
      <c r="AC948">
        <v>13.052982</v>
      </c>
      <c r="AD948">
        <v>109.310524</v>
      </c>
      <c r="AE948" s="5">
        <f t="shared" si="71"/>
        <v>0.90142500000000003</v>
      </c>
      <c r="AF948" s="5">
        <f t="shared" si="72"/>
        <v>2.5049999999999998E-3</v>
      </c>
      <c r="AG948" s="1" t="str">
        <f>TRIM(LEFT(L948,FIND("-",L948)-1))</f>
        <v>Phú Hòa 2</v>
      </c>
      <c r="AH948" s="1" t="str">
        <f>TRIM(RIGHT(L948, LEN(L948) - FIND("-", L948)))</f>
        <v>Phú Yên</v>
      </c>
      <c r="AJ948">
        <f t="shared" si="73"/>
        <v>0.6009500000000001</v>
      </c>
      <c r="AK948">
        <f t="shared" si="74"/>
        <v>1.6699999999999998E-3</v>
      </c>
      <c r="AL948">
        <f>VLOOKUP(L948,'[1]Tuyến cáp H04'!$B:$E,3,0)/1000</f>
        <v>20.920999999999999</v>
      </c>
      <c r="AM948" t="str">
        <f>VLOOKUP(L948,'[1]Tuyến cáp H04'!$B:$E,4,0)</f>
        <v>Mạng cấp 4</v>
      </c>
    </row>
    <row r="949" spans="1:39" x14ac:dyDescent="0.25">
      <c r="A949" s="1" t="s">
        <v>9127</v>
      </c>
      <c r="B949" s="1" t="s">
        <v>8059</v>
      </c>
      <c r="C949" s="1" t="s">
        <v>8060</v>
      </c>
      <c r="D949" s="1" t="s">
        <v>8935</v>
      </c>
      <c r="E949" s="1" t="s">
        <v>8936</v>
      </c>
      <c r="F949" s="1" t="s">
        <v>9128</v>
      </c>
      <c r="G949" s="1" t="s">
        <v>14129</v>
      </c>
      <c r="H949" s="1" t="s">
        <v>14130</v>
      </c>
      <c r="I949" s="1" t="s">
        <v>15061</v>
      </c>
      <c r="J949" s="1" t="s">
        <v>23</v>
      </c>
      <c r="K949" s="1"/>
      <c r="L949" s="1" t="s">
        <v>8940</v>
      </c>
      <c r="M949" s="1" t="s">
        <v>8940</v>
      </c>
      <c r="N949" s="12" t="b">
        <f t="shared" si="70"/>
        <v>1</v>
      </c>
      <c r="O949" s="1" t="s">
        <v>9129</v>
      </c>
      <c r="P949" s="1" t="s">
        <v>9130</v>
      </c>
      <c r="Q949" s="1" t="s">
        <v>8945</v>
      </c>
      <c r="R949" s="1" t="s">
        <v>8946</v>
      </c>
      <c r="S949" s="1" t="s">
        <v>2433</v>
      </c>
      <c r="T949" s="1" t="s">
        <v>8942</v>
      </c>
      <c r="U949" s="1" t="s">
        <v>8943</v>
      </c>
      <c r="V949" s="13">
        <f>COUNTIF(L949:$M$1659,L949)</f>
        <v>6</v>
      </c>
      <c r="W949" s="1" t="s">
        <v>8947</v>
      </c>
      <c r="X949">
        <v>1303.29</v>
      </c>
      <c r="Y949">
        <v>1301.6199999999999</v>
      </c>
      <c r="Z949">
        <v>13.045337</v>
      </c>
      <c r="AA949">
        <v>109.30177399999999</v>
      </c>
      <c r="AB949">
        <v>1.67</v>
      </c>
      <c r="AC949">
        <v>13.052982</v>
      </c>
      <c r="AD949">
        <v>109.310524</v>
      </c>
      <c r="AE949" s="5">
        <f t="shared" si="71"/>
        <v>1.9524299999999999</v>
      </c>
      <c r="AF949" s="5">
        <f t="shared" si="72"/>
        <v>2.5049999999999998E-3</v>
      </c>
      <c r="AG949" s="1" t="str">
        <f>TRIM(LEFT(L949,FIND("-",L949)-1))</f>
        <v>Phú Hòa 2</v>
      </c>
      <c r="AH949" s="1" t="str">
        <f>TRIM(RIGHT(L949, LEN(L949) - FIND("-", L949)))</f>
        <v>Phú Yên</v>
      </c>
      <c r="AJ949">
        <f t="shared" si="73"/>
        <v>1.30162</v>
      </c>
      <c r="AK949">
        <f t="shared" si="74"/>
        <v>1.6699999999999998E-3</v>
      </c>
      <c r="AL949">
        <f>VLOOKUP(L949,'[1]Tuyến cáp H04'!$B:$E,3,0)/1000</f>
        <v>20.920999999999999</v>
      </c>
      <c r="AM949" t="str">
        <f>VLOOKUP(L949,'[1]Tuyến cáp H04'!$B:$E,4,0)</f>
        <v>Mạng cấp 4</v>
      </c>
    </row>
    <row r="950" spans="1:39" x14ac:dyDescent="0.25">
      <c r="A950" s="1" t="s">
        <v>9131</v>
      </c>
      <c r="B950" s="1" t="s">
        <v>8935</v>
      </c>
      <c r="C950" s="1" t="s">
        <v>8936</v>
      </c>
      <c r="D950" s="1" t="s">
        <v>9132</v>
      </c>
      <c r="E950" s="1" t="s">
        <v>9133</v>
      </c>
      <c r="F950" s="1" t="s">
        <v>9134</v>
      </c>
      <c r="G950" s="1" t="s">
        <v>14129</v>
      </c>
      <c r="H950" s="1" t="s">
        <v>14130</v>
      </c>
      <c r="I950" s="1" t="s">
        <v>15062</v>
      </c>
      <c r="J950" s="1" t="s">
        <v>23</v>
      </c>
      <c r="K950" s="1"/>
      <c r="L950" s="1" t="s">
        <v>9135</v>
      </c>
      <c r="M950" s="1" t="s">
        <v>9135</v>
      </c>
      <c r="N950" s="12" t="b">
        <f t="shared" si="70"/>
        <v>1</v>
      </c>
      <c r="O950" s="1" t="s">
        <v>9136</v>
      </c>
      <c r="P950" s="1" t="s">
        <v>9137</v>
      </c>
      <c r="Q950" s="1" t="s">
        <v>9138</v>
      </c>
      <c r="R950" s="1" t="s">
        <v>9139</v>
      </c>
      <c r="S950" s="1" t="s">
        <v>9140</v>
      </c>
      <c r="T950" s="1" t="s">
        <v>9141</v>
      </c>
      <c r="U950" s="1" t="s">
        <v>9142</v>
      </c>
      <c r="V950" s="13">
        <f>COUNTIF(L950:$M$1659,L950)</f>
        <v>12</v>
      </c>
      <c r="W950" s="1" t="s">
        <v>9143</v>
      </c>
      <c r="X950">
        <v>3368.71</v>
      </c>
      <c r="Y950">
        <v>1421.45</v>
      </c>
      <c r="Z950">
        <v>13.052277999999999</v>
      </c>
      <c r="AA950">
        <v>109.32362500000001</v>
      </c>
      <c r="AB950">
        <v>1947.25</v>
      </c>
      <c r="AC950">
        <v>13.033217</v>
      </c>
      <c r="AD950">
        <v>109.323196</v>
      </c>
      <c r="AE950" s="5">
        <f t="shared" si="71"/>
        <v>2.1321750000000002</v>
      </c>
      <c r="AF950" s="5">
        <f t="shared" si="72"/>
        <v>2.9208750000000001</v>
      </c>
      <c r="AG950" s="1" t="str">
        <f>TRIM(LEFT(L950,FIND("-",L950)-1))</f>
        <v>CAT PHÚ YÊN</v>
      </c>
      <c r="AH950" s="1" t="str">
        <f>TRIM(RIGHT(L950, LEN(L950) - FIND("-", L950)))</f>
        <v>Cảng hàng không Tuy Hòa</v>
      </c>
      <c r="AJ950">
        <f t="shared" si="73"/>
        <v>1.4214500000000001</v>
      </c>
      <c r="AK950">
        <f t="shared" si="74"/>
        <v>1.9472499999999999</v>
      </c>
      <c r="AL950" t="e">
        <f>VLOOKUP(L950,'[1]Tuyến cáp H04'!$B:$E,3,0)/1000</f>
        <v>#N/A</v>
      </c>
      <c r="AM950" t="e">
        <f>VLOOKUP(L950,'[1]Tuyến cáp H04'!$B:$E,4,0)</f>
        <v>#N/A</v>
      </c>
    </row>
    <row r="951" spans="1:39" x14ac:dyDescent="0.25">
      <c r="A951" s="1" t="s">
        <v>9144</v>
      </c>
      <c r="B951" s="1" t="s">
        <v>9145</v>
      </c>
      <c r="C951" s="1" t="s">
        <v>9146</v>
      </c>
      <c r="D951" s="1" t="s">
        <v>9147</v>
      </c>
      <c r="E951" s="1" t="s">
        <v>9148</v>
      </c>
      <c r="F951" s="1" t="s">
        <v>9149</v>
      </c>
      <c r="G951" s="1" t="s">
        <v>14129</v>
      </c>
      <c r="H951" s="1" t="s">
        <v>14130</v>
      </c>
      <c r="I951" s="1" t="s">
        <v>15063</v>
      </c>
      <c r="J951" s="1" t="s">
        <v>23</v>
      </c>
      <c r="K951" s="1"/>
      <c r="L951" s="1" t="s">
        <v>9150</v>
      </c>
      <c r="M951" s="1" t="s">
        <v>9150</v>
      </c>
      <c r="N951" s="12" t="b">
        <f t="shared" si="70"/>
        <v>1</v>
      </c>
      <c r="O951" s="1" t="s">
        <v>9151</v>
      </c>
      <c r="P951" s="1" t="s">
        <v>9152</v>
      </c>
      <c r="Q951" s="1" t="s">
        <v>9153</v>
      </c>
      <c r="R951" s="1" t="s">
        <v>9154</v>
      </c>
      <c r="S951" s="1" t="s">
        <v>9155</v>
      </c>
      <c r="T951" s="1" t="s">
        <v>9156</v>
      </c>
      <c r="U951" s="1" t="s">
        <v>9157</v>
      </c>
      <c r="V951" s="13">
        <f>COUNTIF(L951:$M$1659,L951)</f>
        <v>8</v>
      </c>
      <c r="W951" s="1" t="s">
        <v>9158</v>
      </c>
      <c r="X951">
        <v>3778.71</v>
      </c>
      <c r="Y951">
        <v>3773.93</v>
      </c>
      <c r="Z951">
        <v>12.953796000000001</v>
      </c>
      <c r="AA951">
        <v>109.353542</v>
      </c>
      <c r="AB951">
        <v>4.7699999999999996</v>
      </c>
      <c r="AC951">
        <v>12.908752</v>
      </c>
      <c r="AD951">
        <v>109.369775</v>
      </c>
      <c r="AE951" s="5">
        <f t="shared" si="71"/>
        <v>5.6608949999999991</v>
      </c>
      <c r="AF951" s="5">
        <f t="shared" si="72"/>
        <v>7.154999999999999E-3</v>
      </c>
      <c r="AG951" s="1" t="str">
        <f>TRIM(LEFT(L951,FIND("-",L951)-1))</f>
        <v>Đông Hòa</v>
      </c>
      <c r="AH951" s="1" t="str">
        <f>TRIM(RIGHT(L951, LEN(L951) - FIND("-", L951)))</f>
        <v>Hòa Xuân</v>
      </c>
      <c r="AJ951">
        <f t="shared" si="73"/>
        <v>3.77393</v>
      </c>
      <c r="AK951">
        <f t="shared" si="74"/>
        <v>4.7699999999999999E-3</v>
      </c>
      <c r="AL951">
        <f>VLOOKUP(L951,'[1]Tuyến cáp H04'!$B:$E,3,0)/1000</f>
        <v>11.542999999999999</v>
      </c>
      <c r="AM951" t="str">
        <f>VLOOKUP(L951,'[1]Tuyến cáp H04'!$B:$E,4,0)</f>
        <v>Mạng cấp 4</v>
      </c>
    </row>
    <row r="952" spans="1:39" x14ac:dyDescent="0.25">
      <c r="A952" s="1" t="s">
        <v>9159</v>
      </c>
      <c r="B952" s="1" t="s">
        <v>9147</v>
      </c>
      <c r="C952" s="1" t="s">
        <v>9148</v>
      </c>
      <c r="D952" s="1" t="s">
        <v>9160</v>
      </c>
      <c r="E952" s="1" t="s">
        <v>9161</v>
      </c>
      <c r="F952" s="1" t="s">
        <v>9162</v>
      </c>
      <c r="G952" s="1" t="s">
        <v>14129</v>
      </c>
      <c r="H952" s="1" t="s">
        <v>14130</v>
      </c>
      <c r="I952" s="1" t="s">
        <v>15064</v>
      </c>
      <c r="J952" s="1" t="s">
        <v>23</v>
      </c>
      <c r="K952" s="1"/>
      <c r="L952" s="1" t="s">
        <v>9150</v>
      </c>
      <c r="M952" s="1" t="s">
        <v>9150</v>
      </c>
      <c r="N952" s="12" t="b">
        <f t="shared" si="70"/>
        <v>1</v>
      </c>
      <c r="O952" s="1" t="s">
        <v>9163</v>
      </c>
      <c r="P952" s="1" t="s">
        <v>9155</v>
      </c>
      <c r="Q952" s="1" t="s">
        <v>9156</v>
      </c>
      <c r="R952" s="1" t="s">
        <v>9157</v>
      </c>
      <c r="S952" s="1" t="s">
        <v>9164</v>
      </c>
      <c r="T952" s="1" t="s">
        <v>9165</v>
      </c>
      <c r="U952" s="1" t="s">
        <v>9166</v>
      </c>
      <c r="V952" s="13">
        <f>COUNTIF(L952:$M$1659,L952)</f>
        <v>6</v>
      </c>
      <c r="W952" s="1" t="s">
        <v>9158</v>
      </c>
      <c r="X952">
        <v>4854.8900000000003</v>
      </c>
      <c r="Y952">
        <v>4.7699999999999996</v>
      </c>
      <c r="Z952">
        <v>12.908752</v>
      </c>
      <c r="AA952">
        <v>109.369775</v>
      </c>
      <c r="AB952">
        <v>4850.12</v>
      </c>
      <c r="AC952">
        <v>12.948195</v>
      </c>
      <c r="AD952">
        <v>109.35910800000001</v>
      </c>
      <c r="AE952" s="5">
        <f t="shared" si="71"/>
        <v>7.154999999999999E-3</v>
      </c>
      <c r="AF952" s="5">
        <f t="shared" si="72"/>
        <v>7.2751800000000006</v>
      </c>
      <c r="AG952" s="1" t="str">
        <f>TRIM(LEFT(L952,FIND("-",L952)-1))</f>
        <v>Đông Hòa</v>
      </c>
      <c r="AH952" s="1" t="str">
        <f>TRIM(RIGHT(L952, LEN(L952) - FIND("-", L952)))</f>
        <v>Hòa Xuân</v>
      </c>
      <c r="AJ952">
        <f t="shared" si="73"/>
        <v>4.7699999999999999E-3</v>
      </c>
      <c r="AK952">
        <f t="shared" si="74"/>
        <v>4.8501199999999995</v>
      </c>
      <c r="AL952">
        <f>VLOOKUP(L952,'[1]Tuyến cáp H04'!$B:$E,3,0)/1000</f>
        <v>11.542999999999999</v>
      </c>
      <c r="AM952" t="str">
        <f>VLOOKUP(L952,'[1]Tuyến cáp H04'!$B:$E,4,0)</f>
        <v>Mạng cấp 4</v>
      </c>
    </row>
    <row r="953" spans="1:39" x14ac:dyDescent="0.25">
      <c r="A953" s="1" t="s">
        <v>9167</v>
      </c>
      <c r="B953" s="1" t="s">
        <v>8059</v>
      </c>
      <c r="C953" s="1" t="s">
        <v>8060</v>
      </c>
      <c r="D953" s="1" t="s">
        <v>9168</v>
      </c>
      <c r="E953" s="1" t="s">
        <v>9169</v>
      </c>
      <c r="F953" s="1" t="s">
        <v>9170</v>
      </c>
      <c r="G953" s="1" t="s">
        <v>14129</v>
      </c>
      <c r="H953" s="1" t="s">
        <v>14130</v>
      </c>
      <c r="I953" s="1" t="s">
        <v>15065</v>
      </c>
      <c r="J953" s="1" t="s">
        <v>23</v>
      </c>
      <c r="K953" s="1"/>
      <c r="L953" s="1" t="s">
        <v>9171</v>
      </c>
      <c r="M953" s="1" t="s">
        <v>9171</v>
      </c>
      <c r="N953" s="12" t="b">
        <f t="shared" si="70"/>
        <v>1</v>
      </c>
      <c r="O953" s="1" t="s">
        <v>9172</v>
      </c>
      <c r="P953" s="1" t="s">
        <v>9173</v>
      </c>
      <c r="Q953" s="1" t="s">
        <v>9174</v>
      </c>
      <c r="R953" s="1" t="s">
        <v>9175</v>
      </c>
      <c r="S953" s="1" t="s">
        <v>6748</v>
      </c>
      <c r="T953" s="1" t="s">
        <v>9176</v>
      </c>
      <c r="U953" s="1" t="s">
        <v>9177</v>
      </c>
      <c r="V953" s="13">
        <f>COUNTIF(L953:$M$1659,L953)</f>
        <v>2</v>
      </c>
      <c r="W953" s="1" t="s">
        <v>9178</v>
      </c>
      <c r="X953">
        <v>4456.05</v>
      </c>
      <c r="Y953">
        <v>4090.97</v>
      </c>
      <c r="Z953">
        <v>12.998060000000001</v>
      </c>
      <c r="AA953">
        <v>109.303864</v>
      </c>
      <c r="AB953">
        <v>365.07</v>
      </c>
      <c r="AC953">
        <v>12.993864</v>
      </c>
      <c r="AD953">
        <v>109.330805</v>
      </c>
      <c r="AE953" s="5">
        <f t="shared" si="71"/>
        <v>6.1364549999999998</v>
      </c>
      <c r="AF953" s="5">
        <f t="shared" si="72"/>
        <v>0.54760500000000001</v>
      </c>
      <c r="AG953" s="1" t="str">
        <f>TRIM(LEFT(L953,FIND("-",L953)-1))</f>
        <v>TTCMKV Tây Hòa</v>
      </c>
      <c r="AH953" s="1" t="str">
        <f>TRIM(RIGHT(L953, LEN(L953) - FIND("-", L953)))</f>
        <v>Đông Hòa</v>
      </c>
      <c r="AJ953">
        <f t="shared" si="73"/>
        <v>4.0909699999999996</v>
      </c>
      <c r="AK953">
        <f t="shared" si="74"/>
        <v>0.36507000000000001</v>
      </c>
      <c r="AL953">
        <f>VLOOKUP(L953,'[1]Tuyến cáp H04'!$B:$E,3,0)/1000</f>
        <v>10.177</v>
      </c>
      <c r="AM953" t="str">
        <f>VLOOKUP(L953,'[1]Tuyến cáp H04'!$B:$E,4,0)</f>
        <v>Mạng cấp 4</v>
      </c>
    </row>
    <row r="954" spans="1:39" x14ac:dyDescent="0.25">
      <c r="A954" s="1" t="s">
        <v>9179</v>
      </c>
      <c r="B954" s="1" t="s">
        <v>9168</v>
      </c>
      <c r="C954" s="1" t="s">
        <v>9169</v>
      </c>
      <c r="D954" s="1" t="s">
        <v>9180</v>
      </c>
      <c r="E954" s="1" t="s">
        <v>9181</v>
      </c>
      <c r="F954" s="1" t="s">
        <v>9182</v>
      </c>
      <c r="G954" s="1" t="s">
        <v>14129</v>
      </c>
      <c r="H954" s="1" t="s">
        <v>14130</v>
      </c>
      <c r="I954" s="1" t="s">
        <v>15066</v>
      </c>
      <c r="J954" s="1" t="s">
        <v>23</v>
      </c>
      <c r="K954" s="1"/>
      <c r="L954" s="1" t="s">
        <v>9150</v>
      </c>
      <c r="M954" s="1" t="s">
        <v>9150</v>
      </c>
      <c r="N954" s="12" t="b">
        <f t="shared" si="70"/>
        <v>1</v>
      </c>
      <c r="O954" s="1" t="s">
        <v>9183</v>
      </c>
      <c r="P954" s="1" t="s">
        <v>9184</v>
      </c>
      <c r="Q954" s="1" t="s">
        <v>9185</v>
      </c>
      <c r="R954" s="1" t="s">
        <v>9186</v>
      </c>
      <c r="S954" s="1" t="s">
        <v>9187</v>
      </c>
      <c r="T954" s="1" t="s">
        <v>9188</v>
      </c>
      <c r="U954" s="1" t="s">
        <v>9189</v>
      </c>
      <c r="V954" s="13">
        <f>COUNTIF(L954:$M$1659,L954)</f>
        <v>4</v>
      </c>
      <c r="W954" s="1" t="s">
        <v>9158</v>
      </c>
      <c r="X954">
        <v>3130.16</v>
      </c>
      <c r="Y954">
        <v>34.04</v>
      </c>
      <c r="Z954">
        <v>12.990997999999999</v>
      </c>
      <c r="AA954">
        <v>109.331638</v>
      </c>
      <c r="AB954">
        <v>3096.11</v>
      </c>
      <c r="AC954">
        <v>12.973879</v>
      </c>
      <c r="AD954">
        <v>109.337135</v>
      </c>
      <c r="AE954" s="5">
        <f t="shared" si="71"/>
        <v>5.1060000000000001E-2</v>
      </c>
      <c r="AF954" s="5">
        <f t="shared" si="72"/>
        <v>4.6441650000000001</v>
      </c>
      <c r="AG954" s="1" t="str">
        <f>TRIM(LEFT(L954,FIND("-",L954)-1))</f>
        <v>Đông Hòa</v>
      </c>
      <c r="AH954" s="1" t="str">
        <f>TRIM(RIGHT(L954, LEN(L954) - FIND("-", L954)))</f>
        <v>Hòa Xuân</v>
      </c>
      <c r="AJ954">
        <f t="shared" si="73"/>
        <v>3.4040000000000001E-2</v>
      </c>
      <c r="AK954">
        <f t="shared" si="74"/>
        <v>3.0961099999999999</v>
      </c>
      <c r="AL954">
        <f>VLOOKUP(L954,'[1]Tuyến cáp H04'!$B:$E,3,0)/1000</f>
        <v>11.542999999999999</v>
      </c>
      <c r="AM954" t="str">
        <f>VLOOKUP(L954,'[1]Tuyến cáp H04'!$B:$E,4,0)</f>
        <v>Mạng cấp 4</v>
      </c>
    </row>
    <row r="955" spans="1:39" x14ac:dyDescent="0.25">
      <c r="A955" s="1" t="s">
        <v>9190</v>
      </c>
      <c r="B955" s="1" t="s">
        <v>9191</v>
      </c>
      <c r="C955" s="1" t="s">
        <v>9192</v>
      </c>
      <c r="D955" s="1" t="s">
        <v>9193</v>
      </c>
      <c r="E955" s="1" t="s">
        <v>9194</v>
      </c>
      <c r="F955" s="1" t="s">
        <v>9195</v>
      </c>
      <c r="G955" s="1" t="s">
        <v>14129</v>
      </c>
      <c r="H955" s="1" t="s">
        <v>14130</v>
      </c>
      <c r="I955" s="1" t="s">
        <v>15067</v>
      </c>
      <c r="J955" s="1" t="s">
        <v>23</v>
      </c>
      <c r="K955" s="1"/>
      <c r="L955" s="1" t="s">
        <v>9196</v>
      </c>
      <c r="M955" s="1" t="s">
        <v>9196</v>
      </c>
      <c r="N955" s="12" t="b">
        <f t="shared" si="70"/>
        <v>1</v>
      </c>
      <c r="O955" s="1" t="s">
        <v>9197</v>
      </c>
      <c r="P955" s="1" t="s">
        <v>9198</v>
      </c>
      <c r="Q955" s="1" t="s">
        <v>9199</v>
      </c>
      <c r="R955" s="1" t="s">
        <v>9200</v>
      </c>
      <c r="S955" s="1" t="s">
        <v>2842</v>
      </c>
      <c r="T955" s="1" t="s">
        <v>9201</v>
      </c>
      <c r="U955" s="1" t="s">
        <v>9202</v>
      </c>
      <c r="V955" s="13">
        <f>COUNTIF(L955:$M$1659,L955)</f>
        <v>2</v>
      </c>
      <c r="W955" s="1" t="s">
        <v>9203</v>
      </c>
      <c r="X955">
        <v>172.82</v>
      </c>
      <c r="Y955">
        <v>142.46</v>
      </c>
      <c r="Z955">
        <v>12.997871999999999</v>
      </c>
      <c r="AA955">
        <v>109.36313800000001</v>
      </c>
      <c r="AB955">
        <v>30.35</v>
      </c>
      <c r="AC955">
        <v>12.997567</v>
      </c>
      <c r="AD955">
        <v>109.370097</v>
      </c>
      <c r="AE955" s="5">
        <f t="shared" si="71"/>
        <v>0.21368999999999999</v>
      </c>
      <c r="AF955" s="5">
        <f t="shared" si="72"/>
        <v>4.5525000000000003E-2</v>
      </c>
      <c r="AG955" s="1" t="str">
        <f>TRIM(LEFT(L955,FIND("-",L955)-1))</f>
        <v>Hòa Hiệp</v>
      </c>
      <c r="AH955" s="1" t="str">
        <f>TRIM(RIGHT(L955, LEN(L955) - FIND("-", L955)))</f>
        <v>Hòa Hiệp CS2</v>
      </c>
      <c r="AJ955">
        <f t="shared" si="73"/>
        <v>0.14246</v>
      </c>
      <c r="AK955">
        <f t="shared" si="74"/>
        <v>3.0350000000000002E-2</v>
      </c>
      <c r="AL955">
        <f>VLOOKUP(L955,'[1]Tuyến cáp H04'!$B:$E,3,0)/1000</f>
        <v>3.6160000000000001</v>
      </c>
      <c r="AM955" t="str">
        <f>VLOOKUP(L955,'[1]Tuyến cáp H04'!$B:$E,4,0)</f>
        <v>Mạng cấp 4</v>
      </c>
    </row>
    <row r="956" spans="1:39" x14ac:dyDescent="0.25">
      <c r="A956" s="1" t="s">
        <v>9204</v>
      </c>
      <c r="B956" s="1" t="s">
        <v>9193</v>
      </c>
      <c r="C956" s="1" t="s">
        <v>9194</v>
      </c>
      <c r="D956" s="1" t="s">
        <v>9205</v>
      </c>
      <c r="E956" s="1" t="s">
        <v>9206</v>
      </c>
      <c r="F956" s="1" t="s">
        <v>9207</v>
      </c>
      <c r="G956" s="1" t="s">
        <v>14129</v>
      </c>
      <c r="H956" s="1" t="s">
        <v>14130</v>
      </c>
      <c r="I956" s="1" t="s">
        <v>15068</v>
      </c>
      <c r="J956" s="1" t="s">
        <v>23</v>
      </c>
      <c r="K956" s="1"/>
      <c r="L956" s="1" t="s">
        <v>9208</v>
      </c>
      <c r="M956" s="1" t="s">
        <v>9208</v>
      </c>
      <c r="N956" s="12" t="b">
        <f t="shared" si="70"/>
        <v>1</v>
      </c>
      <c r="O956" s="1" t="s">
        <v>9209</v>
      </c>
      <c r="P956" s="1" t="s">
        <v>9210</v>
      </c>
      <c r="Q956" s="1" t="s">
        <v>9211</v>
      </c>
      <c r="R956" s="1" t="s">
        <v>9212</v>
      </c>
      <c r="S956" s="1" t="s">
        <v>9213</v>
      </c>
      <c r="T956" s="1" t="s">
        <v>9214</v>
      </c>
      <c r="U956" s="1" t="s">
        <v>9215</v>
      </c>
      <c r="V956" s="13">
        <f>COUNTIF(L956:$M$1659,L956)</f>
        <v>2</v>
      </c>
      <c r="W956" s="1" t="s">
        <v>9216</v>
      </c>
      <c r="X956">
        <v>3338.19</v>
      </c>
      <c r="Y956">
        <v>769.43</v>
      </c>
      <c r="Z956">
        <v>12.998116</v>
      </c>
      <c r="AA956">
        <v>109.363004</v>
      </c>
      <c r="AB956">
        <v>2568.7600000000002</v>
      </c>
      <c r="AC956">
        <v>13.050817</v>
      </c>
      <c r="AD956">
        <v>109.347016</v>
      </c>
      <c r="AE956" s="5">
        <f t="shared" si="71"/>
        <v>1.154145</v>
      </c>
      <c r="AF956" s="5">
        <f t="shared" si="72"/>
        <v>3.8531400000000002</v>
      </c>
      <c r="AG956" s="1" t="str">
        <f>TRIM(LEFT(L956,FIND("-",L956)-1))</f>
        <v>Cảng hàng không Tuy Hòa</v>
      </c>
      <c r="AH956" s="1" t="str">
        <f>TRIM(RIGHT(L956, LEN(L956) - FIND("-", L956)))</f>
        <v>TTCMKV Đông
 Hòa</v>
      </c>
      <c r="AJ956">
        <f t="shared" si="73"/>
        <v>0.76942999999999995</v>
      </c>
      <c r="AK956">
        <f t="shared" si="74"/>
        <v>2.5687600000000002</v>
      </c>
      <c r="AL956" t="e">
        <f>VLOOKUP(L956,'[1]Tuyến cáp H04'!$B:$E,3,0)/1000</f>
        <v>#N/A</v>
      </c>
      <c r="AM956" t="e">
        <f>VLOOKUP(L956,'[1]Tuyến cáp H04'!$B:$E,4,0)</f>
        <v>#N/A</v>
      </c>
    </row>
    <row r="957" spans="1:39" x14ac:dyDescent="0.25">
      <c r="A957" s="1" t="s">
        <v>9217</v>
      </c>
      <c r="B957" s="1" t="s">
        <v>9218</v>
      </c>
      <c r="C957" s="1" t="s">
        <v>9219</v>
      </c>
      <c r="D957" s="1" t="s">
        <v>8074</v>
      </c>
      <c r="E957" s="1" t="s">
        <v>8075</v>
      </c>
      <c r="F957" s="1" t="s">
        <v>9220</v>
      </c>
      <c r="G957" s="1" t="s">
        <v>14129</v>
      </c>
      <c r="H957" s="1" t="s">
        <v>14130</v>
      </c>
      <c r="I957" s="1" t="s">
        <v>15069</v>
      </c>
      <c r="J957" s="1" t="s">
        <v>23</v>
      </c>
      <c r="K957" s="1"/>
      <c r="L957" s="1" t="s">
        <v>9135</v>
      </c>
      <c r="M957" s="1" t="s">
        <v>9135</v>
      </c>
      <c r="N957" s="12" t="b">
        <f t="shared" si="70"/>
        <v>1</v>
      </c>
      <c r="O957" s="1" t="s">
        <v>9221</v>
      </c>
      <c r="P957" s="1" t="s">
        <v>9222</v>
      </c>
      <c r="Q957" s="1" t="s">
        <v>9223</v>
      </c>
      <c r="R957" s="1" t="s">
        <v>9224</v>
      </c>
      <c r="S957" s="1" t="s">
        <v>9225</v>
      </c>
      <c r="T957" s="1" t="s">
        <v>9226</v>
      </c>
      <c r="U957" s="1" t="s">
        <v>9227</v>
      </c>
      <c r="V957" s="13">
        <f>COUNTIF(L957:$M$1659,L957)</f>
        <v>10</v>
      </c>
      <c r="W957" s="1" t="s">
        <v>9228</v>
      </c>
      <c r="X957">
        <v>2396.39</v>
      </c>
      <c r="Y957">
        <v>475.78</v>
      </c>
      <c r="Z957">
        <v>13.065352000000001</v>
      </c>
      <c r="AA957">
        <v>109.331435</v>
      </c>
      <c r="AB957">
        <v>1920.62</v>
      </c>
      <c r="AC957">
        <v>13.087066999999999</v>
      </c>
      <c r="AD957">
        <v>109.308887</v>
      </c>
      <c r="AE957" s="5">
        <f t="shared" si="71"/>
        <v>0.71366999999999992</v>
      </c>
      <c r="AF957" s="5">
        <f t="shared" si="72"/>
        <v>2.8809299999999998</v>
      </c>
      <c r="AG957" s="1" t="str">
        <f>TRIM(LEFT(L957,FIND("-",L957)-1))</f>
        <v>CAT PHÚ YÊN</v>
      </c>
      <c r="AH957" s="1" t="str">
        <f>TRIM(RIGHT(L957, LEN(L957) - FIND("-", L957)))</f>
        <v>Cảng hàng không Tuy Hòa</v>
      </c>
      <c r="AJ957">
        <f t="shared" si="73"/>
        <v>0.47577999999999998</v>
      </c>
      <c r="AK957">
        <f t="shared" si="74"/>
        <v>1.92062</v>
      </c>
      <c r="AL957" t="e">
        <f>VLOOKUP(L957,'[1]Tuyến cáp H04'!$B:$E,3,0)/1000</f>
        <v>#N/A</v>
      </c>
      <c r="AM957" t="e">
        <f>VLOOKUP(L957,'[1]Tuyến cáp H04'!$B:$E,4,0)</f>
        <v>#N/A</v>
      </c>
    </row>
    <row r="958" spans="1:39" x14ac:dyDescent="0.25">
      <c r="A958" s="1" t="s">
        <v>9229</v>
      </c>
      <c r="B958" s="1" t="s">
        <v>9230</v>
      </c>
      <c r="C958" s="1" t="s">
        <v>9231</v>
      </c>
      <c r="D958" s="1" t="s">
        <v>8061</v>
      </c>
      <c r="E958" s="1" t="s">
        <v>8062</v>
      </c>
      <c r="F958" s="1" t="s">
        <v>9232</v>
      </c>
      <c r="G958" s="1" t="s">
        <v>14129</v>
      </c>
      <c r="H958" s="1" t="s">
        <v>14130</v>
      </c>
      <c r="I958" s="1" t="s">
        <v>15070</v>
      </c>
      <c r="J958" s="1" t="s">
        <v>23</v>
      </c>
      <c r="K958" s="1"/>
      <c r="L958" s="1" t="s">
        <v>9233</v>
      </c>
      <c r="M958" s="1" t="s">
        <v>9233</v>
      </c>
      <c r="N958" s="12" t="b">
        <f t="shared" si="70"/>
        <v>1</v>
      </c>
      <c r="O958" s="1" t="s">
        <v>9234</v>
      </c>
      <c r="P958" s="1" t="s">
        <v>9235</v>
      </c>
      <c r="Q958" s="1" t="s">
        <v>9236</v>
      </c>
      <c r="R958" s="1" t="s">
        <v>9237</v>
      </c>
      <c r="S958" s="1" t="s">
        <v>9238</v>
      </c>
      <c r="T958" s="1" t="s">
        <v>9239</v>
      </c>
      <c r="U958" s="1" t="s">
        <v>9240</v>
      </c>
      <c r="V958" s="13">
        <f>COUNTIF(L958:$M$1659,L958)</f>
        <v>4</v>
      </c>
      <c r="W958" s="1" t="s">
        <v>9241</v>
      </c>
      <c r="X958">
        <v>387.99</v>
      </c>
      <c r="Y958">
        <v>235.18</v>
      </c>
      <c r="Z958">
        <v>12.990932000000001</v>
      </c>
      <c r="AA958">
        <v>109.129245</v>
      </c>
      <c r="AB958">
        <v>152.82</v>
      </c>
      <c r="AC958">
        <v>12.983090000000001</v>
      </c>
      <c r="AD958">
        <v>109.095788</v>
      </c>
      <c r="AE958" s="5">
        <f t="shared" si="71"/>
        <v>0.35276999999999997</v>
      </c>
      <c r="AF958" s="5">
        <f t="shared" si="72"/>
        <v>0.22922999999999999</v>
      </c>
      <c r="AG958" s="1" t="str">
        <f>TRIM(LEFT(L958,FIND("-",L958)-1))</f>
        <v>Sơn Thành</v>
      </c>
      <c r="AH958" s="1" t="str">
        <f>TRIM(RIGHT(L958, LEN(L958) - FIND("-", L958)))</f>
        <v>Hòa Mỹ</v>
      </c>
      <c r="AJ958">
        <f t="shared" si="73"/>
        <v>0.23518</v>
      </c>
      <c r="AK958">
        <f t="shared" si="74"/>
        <v>0.15281999999999998</v>
      </c>
      <c r="AL958">
        <f>VLOOKUP(L958,'[1]Tuyến cáp H04'!$B:$E,3,0)/1000</f>
        <v>11.445</v>
      </c>
      <c r="AM958" t="str">
        <f>VLOOKUP(L958,'[1]Tuyến cáp H04'!$B:$E,4,0)</f>
        <v>Mạng cấp 4</v>
      </c>
    </row>
    <row r="959" spans="1:39" x14ac:dyDescent="0.25">
      <c r="A959" s="1" t="s">
        <v>9242</v>
      </c>
      <c r="B959" s="1" t="s">
        <v>9243</v>
      </c>
      <c r="C959" s="1" t="s">
        <v>9244</v>
      </c>
      <c r="D959" s="1" t="s">
        <v>9245</v>
      </c>
      <c r="E959" s="1" t="s">
        <v>9246</v>
      </c>
      <c r="F959" s="1" t="s">
        <v>9247</v>
      </c>
      <c r="G959" s="1" t="s">
        <v>14129</v>
      </c>
      <c r="H959" s="1" t="s">
        <v>14130</v>
      </c>
      <c r="I959" s="1" t="s">
        <v>15071</v>
      </c>
      <c r="J959" s="1" t="s">
        <v>23</v>
      </c>
      <c r="K959" s="1"/>
      <c r="L959" s="1" t="s">
        <v>9248</v>
      </c>
      <c r="M959" s="1" t="s">
        <v>9248</v>
      </c>
      <c r="N959" s="12" t="b">
        <f t="shared" si="70"/>
        <v>1</v>
      </c>
      <c r="O959" s="1" t="s">
        <v>9249</v>
      </c>
      <c r="P959" s="1" t="s">
        <v>9250</v>
      </c>
      <c r="Q959" s="1" t="s">
        <v>9251</v>
      </c>
      <c r="R959" s="1" t="s">
        <v>9252</v>
      </c>
      <c r="S959" s="1" t="s">
        <v>9253</v>
      </c>
      <c r="T959" s="1" t="s">
        <v>9254</v>
      </c>
      <c r="U959" s="1" t="s">
        <v>9255</v>
      </c>
      <c r="V959" s="13">
        <f>COUNTIF(L959:$M$1659,L959)</f>
        <v>4</v>
      </c>
      <c r="W959" s="1" t="s">
        <v>9256</v>
      </c>
      <c r="X959">
        <v>5803.89</v>
      </c>
      <c r="Y959">
        <v>2824.82</v>
      </c>
      <c r="Z959">
        <v>12.997173999999999</v>
      </c>
      <c r="AA959">
        <v>109.25207399999999</v>
      </c>
      <c r="AB959">
        <v>2979.08</v>
      </c>
      <c r="AC959">
        <v>12.957407999999999</v>
      </c>
      <c r="AD959">
        <v>109.22835600000001</v>
      </c>
      <c r="AE959" s="5">
        <f t="shared" si="71"/>
        <v>4.2372300000000003</v>
      </c>
      <c r="AF959" s="5">
        <f t="shared" si="72"/>
        <v>4.4686199999999996</v>
      </c>
      <c r="AG959" s="1" t="str">
        <f>TRIM(LEFT(L959,FIND("-",L959)-1))</f>
        <v>Hòa Thịnh</v>
      </c>
      <c r="AH959" s="1" t="str">
        <f>TRIM(RIGHT(L959, LEN(L959) - FIND("-", L959)))</f>
        <v>TTCMKV Tây Hòa</v>
      </c>
      <c r="AJ959">
        <f t="shared" si="73"/>
        <v>2.8248200000000003</v>
      </c>
      <c r="AK959">
        <f t="shared" si="74"/>
        <v>2.9790799999999997</v>
      </c>
      <c r="AL959">
        <f>VLOOKUP(L959,'[1]Tuyến cáp H04'!$B:$E,3,0)/1000</f>
        <v>10.246</v>
      </c>
      <c r="AM959" t="str">
        <f>VLOOKUP(L959,'[1]Tuyến cáp H04'!$B:$E,4,0)</f>
        <v>Mạng cấp 4</v>
      </c>
    </row>
    <row r="960" spans="1:39" x14ac:dyDescent="0.25">
      <c r="A960" s="1" t="s">
        <v>9257</v>
      </c>
      <c r="B960" s="1" t="s">
        <v>9245</v>
      </c>
      <c r="C960" s="1" t="s">
        <v>9246</v>
      </c>
      <c r="D960" s="1" t="s">
        <v>9258</v>
      </c>
      <c r="E960" s="1" t="s">
        <v>9259</v>
      </c>
      <c r="F960" s="1" t="s">
        <v>9260</v>
      </c>
      <c r="G960" s="1" t="s">
        <v>14129</v>
      </c>
      <c r="H960" s="1" t="s">
        <v>14130</v>
      </c>
      <c r="I960" s="1" t="s">
        <v>15072</v>
      </c>
      <c r="J960" s="1" t="s">
        <v>23</v>
      </c>
      <c r="K960" s="1"/>
      <c r="L960" s="1" t="s">
        <v>9261</v>
      </c>
      <c r="M960" s="1" t="s">
        <v>9261</v>
      </c>
      <c r="N960" s="12" t="b">
        <f t="shared" si="70"/>
        <v>1</v>
      </c>
      <c r="O960" s="1" t="s">
        <v>9262</v>
      </c>
      <c r="P960" s="1" t="s">
        <v>9263</v>
      </c>
      <c r="Q960" s="1" t="s">
        <v>9264</v>
      </c>
      <c r="R960" s="1" t="s">
        <v>9265</v>
      </c>
      <c r="S960" s="1" t="s">
        <v>9266</v>
      </c>
      <c r="T960" s="1" t="s">
        <v>9267</v>
      </c>
      <c r="U960" s="1" t="s">
        <v>9268</v>
      </c>
      <c r="V960" s="13">
        <f>COUNTIF(L960:$M$1659,L960)</f>
        <v>6</v>
      </c>
      <c r="W960" s="1" t="s">
        <v>9269</v>
      </c>
      <c r="X960">
        <v>1229.79</v>
      </c>
      <c r="Y960">
        <v>1217.93</v>
      </c>
      <c r="Z960">
        <v>12.936411</v>
      </c>
      <c r="AA960">
        <v>109.22854100000001</v>
      </c>
      <c r="AB960">
        <v>11.86</v>
      </c>
      <c r="AC960">
        <v>12.964506</v>
      </c>
      <c r="AD960">
        <v>109.18393500000001</v>
      </c>
      <c r="AE960" s="5">
        <f t="shared" si="71"/>
        <v>1.8268949999999999</v>
      </c>
      <c r="AF960" s="5">
        <f t="shared" si="72"/>
        <v>1.779E-2</v>
      </c>
      <c r="AG960" s="1" t="str">
        <f>TRIM(LEFT(L960,FIND("-",L960)-1))</f>
        <v>Hòa Mỹ</v>
      </c>
      <c r="AH960" s="1" t="str">
        <f>TRIM(RIGHT(L960, LEN(L960) - FIND("-", L960)))</f>
        <v>Hòa Thịnh</v>
      </c>
      <c r="AJ960">
        <f t="shared" si="73"/>
        <v>1.21793</v>
      </c>
      <c r="AK960">
        <f t="shared" si="74"/>
        <v>1.1859999999999999E-2</v>
      </c>
      <c r="AL960">
        <f>VLOOKUP(L960,'[1]Tuyến cáp H04'!$B:$E,3,0)/1000</f>
        <v>13.688000000000001</v>
      </c>
      <c r="AM960" t="str">
        <f>VLOOKUP(L960,'[1]Tuyến cáp H04'!$B:$E,4,0)</f>
        <v>Mạng cấp 4</v>
      </c>
    </row>
    <row r="961" spans="1:39" x14ac:dyDescent="0.25">
      <c r="A961" s="1" t="s">
        <v>9270</v>
      </c>
      <c r="B961" s="1" t="s">
        <v>9258</v>
      </c>
      <c r="C961" s="1" t="s">
        <v>9259</v>
      </c>
      <c r="D961" s="1" t="s">
        <v>8061</v>
      </c>
      <c r="E961" s="1" t="s">
        <v>8062</v>
      </c>
      <c r="F961" s="1" t="s">
        <v>9271</v>
      </c>
      <c r="G961" s="1" t="s">
        <v>14129</v>
      </c>
      <c r="H961" s="1" t="s">
        <v>14130</v>
      </c>
      <c r="I961" s="1" t="s">
        <v>15073</v>
      </c>
      <c r="J961" s="1" t="s">
        <v>23</v>
      </c>
      <c r="K961" s="1"/>
      <c r="L961" s="1" t="s">
        <v>8064</v>
      </c>
      <c r="M961" s="1" t="s">
        <v>8064</v>
      </c>
      <c r="N961" s="12" t="b">
        <f t="shared" si="70"/>
        <v>1</v>
      </c>
      <c r="O961" s="1" t="s">
        <v>9272</v>
      </c>
      <c r="P961" s="1" t="s">
        <v>9273</v>
      </c>
      <c r="Q961" s="1" t="s">
        <v>9274</v>
      </c>
      <c r="R961" s="1" t="s">
        <v>9275</v>
      </c>
      <c r="S961" s="1" t="s">
        <v>8069</v>
      </c>
      <c r="T961" s="1" t="s">
        <v>8070</v>
      </c>
      <c r="U961" s="1" t="s">
        <v>8071</v>
      </c>
      <c r="V961" s="13">
        <f>COUNTIF(L961:$M$1659,L961)</f>
        <v>6</v>
      </c>
      <c r="W961" s="1" t="s">
        <v>8072</v>
      </c>
      <c r="X961">
        <v>2614.81</v>
      </c>
      <c r="Y961">
        <v>2463.61</v>
      </c>
      <c r="Z961">
        <v>12.979671</v>
      </c>
      <c r="AA961">
        <v>109.167378</v>
      </c>
      <c r="AB961">
        <v>151.21</v>
      </c>
      <c r="AC961">
        <v>12.983107</v>
      </c>
      <c r="AD961">
        <v>109.095792</v>
      </c>
      <c r="AE961" s="5">
        <f t="shared" si="71"/>
        <v>3.6954150000000001</v>
      </c>
      <c r="AF961" s="5">
        <f t="shared" si="72"/>
        <v>0.22681499999999999</v>
      </c>
      <c r="AG961" s="1" t="str">
        <f>TRIM(LEFT(L961,FIND("-",L961)-1))</f>
        <v>ILA Sơn Thành</v>
      </c>
      <c r="AH961" s="1" t="str">
        <f>TRIM(RIGHT(L961, LEN(L961) - FIND("-", L961)))</f>
        <v>TT2 Đăk Lăk (Tuy Hòa)</v>
      </c>
      <c r="AJ961">
        <f t="shared" si="73"/>
        <v>2.4636100000000001</v>
      </c>
      <c r="AK961">
        <f t="shared" si="74"/>
        <v>0.15121000000000001</v>
      </c>
      <c r="AL961" t="e">
        <f>VLOOKUP(L961,'[1]Tuyến cáp H04'!$B:$E,3,0)/1000</f>
        <v>#N/A</v>
      </c>
      <c r="AM961" t="e">
        <f>VLOOKUP(L961,'[1]Tuyến cáp H04'!$B:$E,4,0)</f>
        <v>#N/A</v>
      </c>
    </row>
    <row r="962" spans="1:39" x14ac:dyDescent="0.25">
      <c r="A962" s="1" t="s">
        <v>9276</v>
      </c>
      <c r="B962" s="1" t="s">
        <v>9277</v>
      </c>
      <c r="C962" s="1" t="s">
        <v>9278</v>
      </c>
      <c r="D962" s="1" t="s">
        <v>8061</v>
      </c>
      <c r="E962" s="1" t="s">
        <v>8062</v>
      </c>
      <c r="F962" s="1" t="s">
        <v>9279</v>
      </c>
      <c r="G962" s="1" t="s">
        <v>14129</v>
      </c>
      <c r="H962" s="1" t="s">
        <v>14130</v>
      </c>
      <c r="I962" s="1" t="s">
        <v>15074</v>
      </c>
      <c r="J962" s="1" t="s">
        <v>23</v>
      </c>
      <c r="K962" s="1"/>
      <c r="L962" s="1" t="s">
        <v>8064</v>
      </c>
      <c r="M962" s="1" t="s">
        <v>8064</v>
      </c>
      <c r="N962" s="12" t="b">
        <f t="shared" si="70"/>
        <v>1</v>
      </c>
      <c r="O962" s="1" t="s">
        <v>9280</v>
      </c>
      <c r="P962" s="1" t="s">
        <v>9281</v>
      </c>
      <c r="Q962" s="1" t="s">
        <v>9282</v>
      </c>
      <c r="R962" s="1" t="s">
        <v>9283</v>
      </c>
      <c r="S962" s="1" t="s">
        <v>8069</v>
      </c>
      <c r="T962" s="1" t="s">
        <v>8070</v>
      </c>
      <c r="U962" s="1" t="s">
        <v>8071</v>
      </c>
      <c r="V962" s="13">
        <f>COUNTIF(L962:$M$1659,L962)</f>
        <v>4</v>
      </c>
      <c r="W962" s="1" t="s">
        <v>8072</v>
      </c>
      <c r="X962">
        <v>4957.51</v>
      </c>
      <c r="Y962">
        <v>4806.3</v>
      </c>
      <c r="Z962">
        <v>12.975726</v>
      </c>
      <c r="AA962">
        <v>109.157507</v>
      </c>
      <c r="AB962">
        <v>151.21</v>
      </c>
      <c r="AC962">
        <v>12.983107</v>
      </c>
      <c r="AD962">
        <v>109.095792</v>
      </c>
      <c r="AE962" s="5">
        <f t="shared" si="71"/>
        <v>7.2094500000000004</v>
      </c>
      <c r="AF962" s="5">
        <f t="shared" si="72"/>
        <v>0.22681499999999999</v>
      </c>
      <c r="AG962" s="1" t="str">
        <f>TRIM(LEFT(L962,FIND("-",L962)-1))</f>
        <v>ILA Sơn Thành</v>
      </c>
      <c r="AH962" s="1" t="str">
        <f>TRIM(RIGHT(L962, LEN(L962) - FIND("-", L962)))</f>
        <v>TT2 Đăk Lăk (Tuy Hòa)</v>
      </c>
      <c r="AJ962">
        <f t="shared" si="73"/>
        <v>4.8063000000000002</v>
      </c>
      <c r="AK962">
        <f t="shared" si="74"/>
        <v>0.15121000000000001</v>
      </c>
      <c r="AL962" t="e">
        <f>VLOOKUP(L962,'[1]Tuyến cáp H04'!$B:$E,3,0)/1000</f>
        <v>#N/A</v>
      </c>
      <c r="AM962" t="e">
        <f>VLOOKUP(L962,'[1]Tuyến cáp H04'!$B:$E,4,0)</f>
        <v>#N/A</v>
      </c>
    </row>
    <row r="963" spans="1:39" x14ac:dyDescent="0.25">
      <c r="A963" s="1" t="s">
        <v>9284</v>
      </c>
      <c r="B963" s="1" t="s">
        <v>8061</v>
      </c>
      <c r="C963" s="1" t="s">
        <v>8062</v>
      </c>
      <c r="D963" s="1" t="s">
        <v>9285</v>
      </c>
      <c r="E963" s="1" t="s">
        <v>9286</v>
      </c>
      <c r="F963" s="1" t="s">
        <v>9287</v>
      </c>
      <c r="G963" s="1" t="s">
        <v>14129</v>
      </c>
      <c r="H963" s="1" t="s">
        <v>14130</v>
      </c>
      <c r="I963" s="1" t="s">
        <v>15075</v>
      </c>
      <c r="J963" s="1" t="s">
        <v>23</v>
      </c>
      <c r="K963" s="1"/>
      <c r="L963" s="1" t="s">
        <v>9288</v>
      </c>
      <c r="M963" s="1" t="s">
        <v>9288</v>
      </c>
      <c r="N963" s="12" t="b">
        <f t="shared" ref="N963:N1026" si="75">L963=M963</f>
        <v>1</v>
      </c>
      <c r="O963" s="1" t="s">
        <v>9289</v>
      </c>
      <c r="P963" s="1" t="s">
        <v>9290</v>
      </c>
      <c r="Q963" s="1" t="s">
        <v>9291</v>
      </c>
      <c r="R963" s="1" t="s">
        <v>9292</v>
      </c>
      <c r="S963" s="1" t="s">
        <v>9293</v>
      </c>
      <c r="T963" s="1" t="s">
        <v>9294</v>
      </c>
      <c r="U963" s="1" t="s">
        <v>9295</v>
      </c>
      <c r="V963" s="13">
        <f>COUNTIF(L963:$M$1659,L963)</f>
        <v>4</v>
      </c>
      <c r="W963" s="1" t="s">
        <v>9296</v>
      </c>
      <c r="X963">
        <v>155.02000000000001</v>
      </c>
      <c r="Y963">
        <v>109.65</v>
      </c>
      <c r="Z963">
        <v>12.984125000000001</v>
      </c>
      <c r="AA963">
        <v>109.09434</v>
      </c>
      <c r="AB963">
        <v>45.37</v>
      </c>
      <c r="AC963">
        <v>12.963513000000001</v>
      </c>
      <c r="AD963">
        <v>109.054197</v>
      </c>
      <c r="AE963" s="5">
        <f t="shared" ref="AE963:AE1026" si="76">Y963*1.5/1000</f>
        <v>0.16447500000000001</v>
      </c>
      <c r="AF963" s="5">
        <f t="shared" ref="AF963:AF1026" si="77">AB963*1.5/1000</f>
        <v>6.8054999999999991E-2</v>
      </c>
      <c r="AG963" s="1" t="str">
        <f>TRIM(LEFT(L963,FIND("-",L963)-1))</f>
        <v>Đức Bình</v>
      </c>
      <c r="AH963" s="1" t="str">
        <f>TRIM(RIGHT(L963, LEN(L963) - FIND("-", L963)))</f>
        <v>Sơn Thành</v>
      </c>
      <c r="AJ963">
        <f t="shared" ref="AJ963:AJ1026" si="78">Y963/1000</f>
        <v>0.10965000000000001</v>
      </c>
      <c r="AK963">
        <f t="shared" ref="AK963:AK1026" si="79">AB963/1000</f>
        <v>4.5370000000000001E-2</v>
      </c>
      <c r="AL963">
        <f>VLOOKUP(L963,'[1]Tuyến cáp H04'!$B:$E,3,0)/1000</f>
        <v>27.661999999999999</v>
      </c>
      <c r="AM963" t="str">
        <f>VLOOKUP(L963,'[1]Tuyến cáp H04'!$B:$E,4,0)</f>
        <v>Mạng cấp 4</v>
      </c>
    </row>
    <row r="964" spans="1:39" x14ac:dyDescent="0.25">
      <c r="A964" s="1" t="s">
        <v>9297</v>
      </c>
      <c r="B964" s="1" t="s">
        <v>9285</v>
      </c>
      <c r="C964" s="1" t="s">
        <v>9286</v>
      </c>
      <c r="D964" s="1" t="s">
        <v>8061</v>
      </c>
      <c r="E964" s="1" t="s">
        <v>8062</v>
      </c>
      <c r="F964" s="1" t="s">
        <v>9298</v>
      </c>
      <c r="G964" s="1" t="s">
        <v>14129</v>
      </c>
      <c r="H964" s="1" t="s">
        <v>14130</v>
      </c>
      <c r="I964" s="1" t="s">
        <v>15076</v>
      </c>
      <c r="J964" s="1" t="s">
        <v>23</v>
      </c>
      <c r="K964" s="1"/>
      <c r="L964" s="1" t="s">
        <v>9288</v>
      </c>
      <c r="M964" s="1" t="s">
        <v>9288</v>
      </c>
      <c r="N964" s="12" t="b">
        <f t="shared" si="75"/>
        <v>1</v>
      </c>
      <c r="O964" s="1" t="s">
        <v>9289</v>
      </c>
      <c r="P964" s="1" t="s">
        <v>9293</v>
      </c>
      <c r="Q964" s="1" t="s">
        <v>9294</v>
      </c>
      <c r="R964" s="1" t="s">
        <v>9295</v>
      </c>
      <c r="S964" s="1" t="s">
        <v>9290</v>
      </c>
      <c r="T964" s="1" t="s">
        <v>9291</v>
      </c>
      <c r="U964" s="1" t="s">
        <v>9292</v>
      </c>
      <c r="V964" s="13">
        <f>COUNTIF(L964:$M$1659,L964)</f>
        <v>2</v>
      </c>
      <c r="W964" s="1" t="s">
        <v>9296</v>
      </c>
      <c r="X964">
        <v>155.02000000000001</v>
      </c>
      <c r="Y964">
        <v>45.37</v>
      </c>
      <c r="Z964">
        <v>12.963513000000001</v>
      </c>
      <c r="AA964">
        <v>109.054197</v>
      </c>
      <c r="AB964">
        <v>109.65</v>
      </c>
      <c r="AC964">
        <v>12.984125000000001</v>
      </c>
      <c r="AD964">
        <v>109.09434</v>
      </c>
      <c r="AE964" s="5">
        <f t="shared" si="76"/>
        <v>6.8054999999999991E-2</v>
      </c>
      <c r="AF964" s="5">
        <f t="shared" si="77"/>
        <v>0.16447500000000001</v>
      </c>
      <c r="AG964" s="1" t="str">
        <f>TRIM(LEFT(L964,FIND("-",L964)-1))</f>
        <v>Đức Bình</v>
      </c>
      <c r="AH964" s="1" t="str">
        <f>TRIM(RIGHT(L964, LEN(L964) - FIND("-", L964)))</f>
        <v>Sơn Thành</v>
      </c>
      <c r="AJ964">
        <f t="shared" si="78"/>
        <v>4.5370000000000001E-2</v>
      </c>
      <c r="AK964">
        <f t="shared" si="79"/>
        <v>0.10965000000000001</v>
      </c>
      <c r="AL964">
        <f>VLOOKUP(L964,'[1]Tuyến cáp H04'!$B:$E,3,0)/1000</f>
        <v>27.661999999999999</v>
      </c>
      <c r="AM964" t="str">
        <f>VLOOKUP(L964,'[1]Tuyến cáp H04'!$B:$E,4,0)</f>
        <v>Mạng cấp 4</v>
      </c>
    </row>
    <row r="965" spans="1:39" x14ac:dyDescent="0.25">
      <c r="A965" s="1" t="s">
        <v>9299</v>
      </c>
      <c r="B965" s="1" t="s">
        <v>9300</v>
      </c>
      <c r="C965" s="1" t="s">
        <v>9301</v>
      </c>
      <c r="D965" s="1" t="s">
        <v>9302</v>
      </c>
      <c r="E965" s="1" t="s">
        <v>9303</v>
      </c>
      <c r="F965" s="1" t="s">
        <v>9304</v>
      </c>
      <c r="G965" s="1" t="s">
        <v>14129</v>
      </c>
      <c r="H965" s="1" t="s">
        <v>14130</v>
      </c>
      <c r="I965" s="1" t="s">
        <v>15077</v>
      </c>
      <c r="J965" s="1" t="s">
        <v>23</v>
      </c>
      <c r="K965" s="1"/>
      <c r="L965" s="1" t="s">
        <v>9305</v>
      </c>
      <c r="M965" s="1" t="s">
        <v>9305</v>
      </c>
      <c r="N965" s="12" t="b">
        <f t="shared" si="75"/>
        <v>1</v>
      </c>
      <c r="O965" s="1" t="s">
        <v>9306</v>
      </c>
      <c r="P965" s="1" t="s">
        <v>9307</v>
      </c>
      <c r="Q965" s="1" t="s">
        <v>9308</v>
      </c>
      <c r="R965" s="1" t="s">
        <v>9309</v>
      </c>
      <c r="S965" s="1" t="s">
        <v>9310</v>
      </c>
      <c r="T965" s="1" t="s">
        <v>9311</v>
      </c>
      <c r="U965" s="1" t="s">
        <v>9312</v>
      </c>
      <c r="V965" s="13">
        <f>COUNTIF(L965:$M$1659,L965)</f>
        <v>2</v>
      </c>
      <c r="W965" s="1" t="s">
        <v>9313</v>
      </c>
      <c r="X965">
        <v>131.52000000000001</v>
      </c>
      <c r="Y965">
        <v>104.16</v>
      </c>
      <c r="Z965">
        <v>13.085635</v>
      </c>
      <c r="AA965">
        <v>108.955135</v>
      </c>
      <c r="AB965">
        <v>27.36</v>
      </c>
      <c r="AC965">
        <v>13.049846000000001</v>
      </c>
      <c r="AD965">
        <v>108.978668</v>
      </c>
      <c r="AE965" s="5">
        <f t="shared" si="76"/>
        <v>0.15624000000000002</v>
      </c>
      <c r="AF965" s="5">
        <f t="shared" si="77"/>
        <v>4.104E-2</v>
      </c>
      <c r="AG965" s="1" t="str">
        <f>TRIM(LEFT(L965,FIND("-",L965)-1))</f>
        <v>Suối Trai</v>
      </c>
      <c r="AH965" s="1" t="str">
        <f>TRIM(RIGHT(L965, LEN(L965) - FIND("-", L965)))</f>
        <v>Sơn Hòa</v>
      </c>
      <c r="AJ965">
        <f t="shared" si="78"/>
        <v>0.10416</v>
      </c>
      <c r="AK965">
        <f t="shared" si="79"/>
        <v>2.7359999999999999E-2</v>
      </c>
      <c r="AL965">
        <f>VLOOKUP(L965,'[1]Tuyến cáp H04'!$B:$E,3,0)/1000</f>
        <v>14.349</v>
      </c>
      <c r="AM965" t="str">
        <f>VLOOKUP(L965,'[1]Tuyến cáp H04'!$B:$E,4,0)</f>
        <v>Mạng cấp 4</v>
      </c>
    </row>
    <row r="966" spans="1:39" x14ac:dyDescent="0.25">
      <c r="A966" s="1" t="s">
        <v>9314</v>
      </c>
      <c r="B966" s="1" t="s">
        <v>9302</v>
      </c>
      <c r="C966" s="1" t="s">
        <v>9303</v>
      </c>
      <c r="D966" s="1" t="s">
        <v>8080</v>
      </c>
      <c r="E966" s="1" t="s">
        <v>8081</v>
      </c>
      <c r="F966" s="1" t="s">
        <v>9315</v>
      </c>
      <c r="G966" s="1" t="s">
        <v>14129</v>
      </c>
      <c r="H966" s="1" t="s">
        <v>14130</v>
      </c>
      <c r="I966" s="1" t="s">
        <v>15078</v>
      </c>
      <c r="J966" s="1" t="s">
        <v>23</v>
      </c>
      <c r="K966" s="1"/>
      <c r="L966" s="1" t="s">
        <v>9316</v>
      </c>
      <c r="M966" s="1" t="s">
        <v>9316</v>
      </c>
      <c r="N966" s="12" t="b">
        <f t="shared" si="75"/>
        <v>1</v>
      </c>
      <c r="O966" s="1" t="s">
        <v>9317</v>
      </c>
      <c r="P966" s="1" t="s">
        <v>9318</v>
      </c>
      <c r="Q966" s="1" t="s">
        <v>9319</v>
      </c>
      <c r="R966" s="1" t="s">
        <v>9320</v>
      </c>
      <c r="S966" s="1" t="s">
        <v>9321</v>
      </c>
      <c r="T966" s="1" t="s">
        <v>9322</v>
      </c>
      <c r="U966" s="1" t="s">
        <v>9323</v>
      </c>
      <c r="V966" s="13">
        <f>COUNTIF(L966:$M$1659,L966)</f>
        <v>4</v>
      </c>
      <c r="W966" s="1" t="s">
        <v>9324</v>
      </c>
      <c r="X966">
        <v>244.22</v>
      </c>
      <c r="Y966">
        <v>26.55</v>
      </c>
      <c r="Z966">
        <v>13.049868999999999</v>
      </c>
      <c r="AA966">
        <v>108.97868800000001</v>
      </c>
      <c r="AB966">
        <v>217.67</v>
      </c>
      <c r="AC966">
        <v>13.065547</v>
      </c>
      <c r="AD966">
        <v>109.024782</v>
      </c>
      <c r="AE966" s="5">
        <f t="shared" si="76"/>
        <v>3.9825000000000006E-2</v>
      </c>
      <c r="AF966" s="5">
        <f t="shared" si="77"/>
        <v>0.32650499999999999</v>
      </c>
      <c r="AG966" s="1" t="str">
        <f>TRIM(LEFT(L966,FIND("-",L966)-1))</f>
        <v>Sơn Hòa</v>
      </c>
      <c r="AH966" s="1" t="str">
        <f>TRIM(RIGHT(L966, LEN(L966) - FIND("-", L966)))</f>
        <v>CAX Sơn Định (Sơn Hòa)</v>
      </c>
      <c r="AJ966">
        <f t="shared" si="78"/>
        <v>2.6550000000000001E-2</v>
      </c>
      <c r="AK966">
        <f t="shared" si="79"/>
        <v>0.21766999999999997</v>
      </c>
      <c r="AL966">
        <f>VLOOKUP(L966,'[1]Tuyến cáp H04'!$B:$E,3,0)/1000</f>
        <v>38.549999999999997</v>
      </c>
      <c r="AM966" t="str">
        <f>VLOOKUP(L966,'[1]Tuyến cáp H04'!$B:$E,4,0)</f>
        <v>Mạng cấp 3</v>
      </c>
    </row>
    <row r="967" spans="1:39" x14ac:dyDescent="0.25">
      <c r="A967" s="1" t="s">
        <v>9325</v>
      </c>
      <c r="B967" s="1" t="s">
        <v>9326</v>
      </c>
      <c r="C967" s="1" t="s">
        <v>9327</v>
      </c>
      <c r="D967" s="1" t="s">
        <v>8082</v>
      </c>
      <c r="E967" s="1" t="s">
        <v>8083</v>
      </c>
      <c r="F967" s="1" t="s">
        <v>9328</v>
      </c>
      <c r="G967" s="1" t="s">
        <v>14129</v>
      </c>
      <c r="H967" s="1" t="s">
        <v>14130</v>
      </c>
      <c r="I967" s="1" t="s">
        <v>15079</v>
      </c>
      <c r="J967" s="1" t="s">
        <v>23</v>
      </c>
      <c r="K967" s="1"/>
      <c r="L967" s="1" t="s">
        <v>8096</v>
      </c>
      <c r="M967" s="1" t="s">
        <v>8096</v>
      </c>
      <c r="N967" s="12" t="b">
        <f t="shared" si="75"/>
        <v>1</v>
      </c>
      <c r="O967" s="1" t="s">
        <v>9329</v>
      </c>
      <c r="P967" s="1" t="s">
        <v>9330</v>
      </c>
      <c r="Q967" s="1" t="s">
        <v>9331</v>
      </c>
      <c r="R967" s="1" t="s">
        <v>9332</v>
      </c>
      <c r="S967" s="1" t="s">
        <v>8098</v>
      </c>
      <c r="T967" s="1" t="s">
        <v>8099</v>
      </c>
      <c r="U967" s="1" t="s">
        <v>8100</v>
      </c>
      <c r="V967" s="13">
        <f>COUNTIF(L967:$M$1659,L967)</f>
        <v>4</v>
      </c>
      <c r="W967" s="1" t="s">
        <v>8104</v>
      </c>
      <c r="X967">
        <v>677.65</v>
      </c>
      <c r="Y967">
        <v>144.37</v>
      </c>
      <c r="Z967">
        <v>13.011044999999999</v>
      </c>
      <c r="AA967">
        <v>109.162729</v>
      </c>
      <c r="AB967">
        <v>533.28</v>
      </c>
      <c r="AC967">
        <v>13.018408000000001</v>
      </c>
      <c r="AD967">
        <v>109.20801899999999</v>
      </c>
      <c r="AE967" s="5">
        <f t="shared" si="76"/>
        <v>0.216555</v>
      </c>
      <c r="AF967" s="5">
        <f t="shared" si="77"/>
        <v>0.79991999999999996</v>
      </c>
      <c r="AG967" s="1" t="str">
        <f>TRIM(LEFT(L967,FIND("-",L967)-1))</f>
        <v>Tuy Hòa</v>
      </c>
      <c r="AH967" s="1" t="str">
        <f>TRIM(RIGHT(L967, LEN(L967) - FIND("-", L967)))</f>
        <v>Sơn Hòa</v>
      </c>
      <c r="AJ967">
        <f t="shared" si="78"/>
        <v>0.14437</v>
      </c>
      <c r="AK967">
        <f t="shared" si="79"/>
        <v>0.53327999999999998</v>
      </c>
      <c r="AL967">
        <f>VLOOKUP(L967,'[1]Tuyến cáp H04'!$B:$E,3,0)/1000</f>
        <v>46.665999999999997</v>
      </c>
      <c r="AM967" t="str">
        <f>VLOOKUP(L967,'[1]Tuyến cáp H04'!$B:$E,4,0)</f>
        <v>Mạng cấp 3</v>
      </c>
    </row>
    <row r="968" spans="1:39" x14ac:dyDescent="0.25">
      <c r="A968" s="1" t="s">
        <v>9333</v>
      </c>
      <c r="B968" s="1" t="s">
        <v>8082</v>
      </c>
      <c r="C968" s="1" t="s">
        <v>8083</v>
      </c>
      <c r="D968" s="1" t="s">
        <v>9334</v>
      </c>
      <c r="E968" s="1" t="s">
        <v>9335</v>
      </c>
      <c r="F968" s="1" t="s">
        <v>9336</v>
      </c>
      <c r="G968" s="1" t="s">
        <v>14129</v>
      </c>
      <c r="H968" s="1" t="s">
        <v>14130</v>
      </c>
      <c r="I968" s="1" t="s">
        <v>15080</v>
      </c>
      <c r="J968" s="1" t="s">
        <v>23</v>
      </c>
      <c r="K968" s="1"/>
      <c r="L968" s="1" t="s">
        <v>9337</v>
      </c>
      <c r="M968" s="1" t="s">
        <v>9337</v>
      </c>
      <c r="N968" s="12" t="b">
        <f t="shared" si="75"/>
        <v>1</v>
      </c>
      <c r="O968" s="1" t="s">
        <v>9338</v>
      </c>
      <c r="P968" s="1" t="s">
        <v>9339</v>
      </c>
      <c r="Q968" s="1" t="s">
        <v>9340</v>
      </c>
      <c r="R968" s="1" t="s">
        <v>9341</v>
      </c>
      <c r="S968" s="1" t="s">
        <v>9342</v>
      </c>
      <c r="T968" s="1" t="s">
        <v>9343</v>
      </c>
      <c r="U968" s="1" t="s">
        <v>9344</v>
      </c>
      <c r="V968" s="13">
        <f>COUNTIF(L968:$M$1659,L968)</f>
        <v>4</v>
      </c>
      <c r="W968" s="1" t="s">
        <v>9345</v>
      </c>
      <c r="X968">
        <v>3389.35</v>
      </c>
      <c r="Y968">
        <v>147.21</v>
      </c>
      <c r="Z968">
        <v>13.023840999999999</v>
      </c>
      <c r="AA968">
        <v>109.20587399999999</v>
      </c>
      <c r="AB968">
        <v>3242.14</v>
      </c>
      <c r="AC968">
        <v>13.028377000000001</v>
      </c>
      <c r="AD968">
        <v>109.20417</v>
      </c>
      <c r="AE968" s="5">
        <f t="shared" si="76"/>
        <v>0.22081500000000001</v>
      </c>
      <c r="AF968" s="5">
        <f t="shared" si="77"/>
        <v>4.8632100000000005</v>
      </c>
      <c r="AG968" s="1" t="str">
        <f>TRIM(LEFT(L968,FIND("-",L968)-1))</f>
        <v>TTCMKV Phú Hòa</v>
      </c>
      <c r="AH968" s="1" t="str">
        <f>TRIM(RIGHT(L968, LEN(L968) - FIND("-", L968)))</f>
        <v>Phú Hòa 2</v>
      </c>
      <c r="AJ968">
        <f t="shared" si="78"/>
        <v>0.14721000000000001</v>
      </c>
      <c r="AK968">
        <f t="shared" si="79"/>
        <v>3.24214</v>
      </c>
      <c r="AL968">
        <f>VLOOKUP(L968,'[1]Tuyến cáp H04'!$B:$E,3,0)/1000</f>
        <v>14.364000000000001</v>
      </c>
      <c r="AM968" t="str">
        <f>VLOOKUP(L968,'[1]Tuyến cáp H04'!$B:$E,4,0)</f>
        <v>Mạng cấp 4</v>
      </c>
    </row>
    <row r="969" spans="1:39" x14ac:dyDescent="0.25">
      <c r="A969" s="1" t="s">
        <v>9346</v>
      </c>
      <c r="B969" s="1" t="s">
        <v>9347</v>
      </c>
      <c r="C969" s="1" t="s">
        <v>9348</v>
      </c>
      <c r="D969" s="1" t="s">
        <v>8074</v>
      </c>
      <c r="E969" s="1" t="s">
        <v>8075</v>
      </c>
      <c r="F969" s="1" t="s">
        <v>9349</v>
      </c>
      <c r="G969" s="1" t="s">
        <v>14129</v>
      </c>
      <c r="H969" s="1" t="s">
        <v>14130</v>
      </c>
      <c r="I969" s="1" t="s">
        <v>15081</v>
      </c>
      <c r="J969" s="1" t="s">
        <v>23</v>
      </c>
      <c r="K969" s="1"/>
      <c r="L969" s="1" t="s">
        <v>8085</v>
      </c>
      <c r="M969" s="1" t="s">
        <v>8085</v>
      </c>
      <c r="N969" s="12" t="b">
        <f t="shared" si="75"/>
        <v>1</v>
      </c>
      <c r="O969" s="1" t="s">
        <v>9350</v>
      </c>
      <c r="P969" s="1" t="s">
        <v>9351</v>
      </c>
      <c r="Q969" s="1" t="s">
        <v>9352</v>
      </c>
      <c r="R969" s="1" t="s">
        <v>9353</v>
      </c>
      <c r="S969" s="1" t="s">
        <v>911</v>
      </c>
      <c r="T969" s="1" t="s">
        <v>9354</v>
      </c>
      <c r="U969" s="1" t="s">
        <v>9355</v>
      </c>
      <c r="V969" s="13">
        <f>COUNTIF(L969:$M$1659,L969)</f>
        <v>2</v>
      </c>
      <c r="W969" s="1" t="s">
        <v>8093</v>
      </c>
      <c r="X969">
        <v>862.52</v>
      </c>
      <c r="Y969">
        <v>857.2</v>
      </c>
      <c r="Z969">
        <v>13.081011999999999</v>
      </c>
      <c r="AA969">
        <v>109.28247</v>
      </c>
      <c r="AB969">
        <v>5.32</v>
      </c>
      <c r="AC969">
        <v>13.094754999999999</v>
      </c>
      <c r="AD969">
        <v>109.292953</v>
      </c>
      <c r="AE969" s="5">
        <f t="shared" si="76"/>
        <v>1.2858000000000003</v>
      </c>
      <c r="AF969" s="5">
        <f t="shared" si="77"/>
        <v>7.980000000000001E-3</v>
      </c>
      <c r="AG969" s="1" t="str">
        <f>TRIM(LEFT(L969,FIND("-",L969)-1))</f>
        <v>ILA Sông Hinh</v>
      </c>
      <c r="AH969" s="1" t="str">
        <f>TRIM(RIGHT(L969, LEN(L969) - FIND("-", L969)))</f>
        <v>TT2 Đăk Lăk (Tuy Hòa)</v>
      </c>
      <c r="AJ969">
        <f t="shared" si="78"/>
        <v>0.85720000000000007</v>
      </c>
      <c r="AK969">
        <f t="shared" si="79"/>
        <v>5.3200000000000001E-3</v>
      </c>
      <c r="AL969" t="e">
        <f>VLOOKUP(L969,'[1]Tuyến cáp H04'!$B:$E,3,0)/1000</f>
        <v>#N/A</v>
      </c>
      <c r="AM969" t="e">
        <f>VLOOKUP(L969,'[1]Tuyến cáp H04'!$B:$E,4,0)</f>
        <v>#N/A</v>
      </c>
    </row>
    <row r="970" spans="1:39" x14ac:dyDescent="0.25">
      <c r="A970" s="1" t="s">
        <v>9356</v>
      </c>
      <c r="B970" s="1" t="s">
        <v>9357</v>
      </c>
      <c r="C970" s="1" t="s">
        <v>2094</v>
      </c>
      <c r="D970" s="1" t="s">
        <v>8082</v>
      </c>
      <c r="E970" s="1" t="s">
        <v>8083</v>
      </c>
      <c r="F970" s="1" t="s">
        <v>9358</v>
      </c>
      <c r="G970" s="1" t="s">
        <v>14129</v>
      </c>
      <c r="H970" s="1" t="s">
        <v>14130</v>
      </c>
      <c r="I970" s="1" t="s">
        <v>15082</v>
      </c>
      <c r="J970" s="1" t="s">
        <v>23</v>
      </c>
      <c r="K970" s="1"/>
      <c r="L970" s="1" t="s">
        <v>8096</v>
      </c>
      <c r="M970" s="1" t="s">
        <v>8096</v>
      </c>
      <c r="N970" s="12" t="b">
        <f t="shared" si="75"/>
        <v>1</v>
      </c>
      <c r="O970" s="1" t="s">
        <v>9359</v>
      </c>
      <c r="P970" s="1" t="s">
        <v>9360</v>
      </c>
      <c r="Q970" s="1" t="s">
        <v>9361</v>
      </c>
      <c r="R970" s="1" t="s">
        <v>9362</v>
      </c>
      <c r="S970" s="1" t="s">
        <v>8098</v>
      </c>
      <c r="T970" s="1" t="s">
        <v>8099</v>
      </c>
      <c r="U970" s="1" t="s">
        <v>8100</v>
      </c>
      <c r="V970" s="13">
        <f>COUNTIF(L970:$M$1659,L970)</f>
        <v>2</v>
      </c>
      <c r="W970" s="1" t="s">
        <v>8104</v>
      </c>
      <c r="X970">
        <v>584.05999999999995</v>
      </c>
      <c r="Y970">
        <v>50.78</v>
      </c>
      <c r="Z970">
        <v>13.014644000000001</v>
      </c>
      <c r="AA970">
        <v>109.19495999999999</v>
      </c>
      <c r="AB970">
        <v>533.28</v>
      </c>
      <c r="AC970">
        <v>13.018408000000001</v>
      </c>
      <c r="AD970">
        <v>109.20801899999999</v>
      </c>
      <c r="AE970" s="5">
        <f t="shared" si="76"/>
        <v>7.6170000000000002E-2</v>
      </c>
      <c r="AF970" s="5">
        <f t="shared" si="77"/>
        <v>0.79991999999999996</v>
      </c>
      <c r="AG970" s="1" t="str">
        <f>TRIM(LEFT(L970,FIND("-",L970)-1))</f>
        <v>Tuy Hòa</v>
      </c>
      <c r="AH970" s="1" t="str">
        <f>TRIM(RIGHT(L970, LEN(L970) - FIND("-", L970)))</f>
        <v>Sơn Hòa</v>
      </c>
      <c r="AJ970">
        <f t="shared" si="78"/>
        <v>5.0779999999999999E-2</v>
      </c>
      <c r="AK970">
        <f t="shared" si="79"/>
        <v>0.53327999999999998</v>
      </c>
      <c r="AL970">
        <f>VLOOKUP(L970,'[1]Tuyến cáp H04'!$B:$E,3,0)/1000</f>
        <v>46.665999999999997</v>
      </c>
      <c r="AM970" t="str">
        <f>VLOOKUP(L970,'[1]Tuyến cáp H04'!$B:$E,4,0)</f>
        <v>Mạng cấp 3</v>
      </c>
    </row>
    <row r="971" spans="1:39" x14ac:dyDescent="0.25">
      <c r="A971" s="1" t="s">
        <v>9363</v>
      </c>
      <c r="B971" s="1" t="s">
        <v>9364</v>
      </c>
      <c r="C971" s="1" t="s">
        <v>9365</v>
      </c>
      <c r="D971" s="1" t="s">
        <v>9366</v>
      </c>
      <c r="E971" s="1" t="s">
        <v>9367</v>
      </c>
      <c r="F971" s="1" t="s">
        <v>9368</v>
      </c>
      <c r="G971" s="1" t="s">
        <v>14129</v>
      </c>
      <c r="H971" s="1" t="s">
        <v>14130</v>
      </c>
      <c r="I971" s="1" t="s">
        <v>15083</v>
      </c>
      <c r="J971" s="1" t="s">
        <v>23</v>
      </c>
      <c r="K971" s="1"/>
      <c r="L971" s="1" t="s">
        <v>8940</v>
      </c>
      <c r="M971" s="1" t="s">
        <v>8940</v>
      </c>
      <c r="N971" s="12" t="b">
        <f t="shared" si="75"/>
        <v>1</v>
      </c>
      <c r="O971" s="1" t="s">
        <v>9369</v>
      </c>
      <c r="P971" s="1" t="s">
        <v>9370</v>
      </c>
      <c r="Q971" s="1" t="s">
        <v>9371</v>
      </c>
      <c r="R971" s="1" t="s">
        <v>9372</v>
      </c>
      <c r="S971" s="1" t="s">
        <v>9373</v>
      </c>
      <c r="T971" s="1" t="s">
        <v>9374</v>
      </c>
      <c r="U971" s="1" t="s">
        <v>9375</v>
      </c>
      <c r="V971" s="13">
        <f>COUNTIF(L971:$M$1659,L971)</f>
        <v>4</v>
      </c>
      <c r="W971" s="1" t="s">
        <v>9376</v>
      </c>
      <c r="X971">
        <v>3413.53</v>
      </c>
      <c r="Y971">
        <v>2620.96</v>
      </c>
      <c r="Z971">
        <v>13.078117000000001</v>
      </c>
      <c r="AA971">
        <v>109.240162</v>
      </c>
      <c r="AB971">
        <v>792.57</v>
      </c>
      <c r="AC971">
        <v>13.075571999999999</v>
      </c>
      <c r="AD971">
        <v>109.253478</v>
      </c>
      <c r="AE971" s="5">
        <f t="shared" si="76"/>
        <v>3.9314400000000003</v>
      </c>
      <c r="AF971" s="5">
        <f t="shared" si="77"/>
        <v>1.188855</v>
      </c>
      <c r="AG971" s="1" t="str">
        <f>TRIM(LEFT(L971,FIND("-",L971)-1))</f>
        <v>Phú Hòa 2</v>
      </c>
      <c r="AH971" s="1" t="str">
        <f>TRIM(RIGHT(L971, LEN(L971) - FIND("-", L971)))</f>
        <v>Phú Yên</v>
      </c>
      <c r="AJ971">
        <f t="shared" si="78"/>
        <v>2.6209600000000002</v>
      </c>
      <c r="AK971">
        <f t="shared" si="79"/>
        <v>0.79257</v>
      </c>
      <c r="AL971">
        <f>VLOOKUP(L971,'[1]Tuyến cáp H04'!$B:$E,3,0)/1000</f>
        <v>20.920999999999999</v>
      </c>
      <c r="AM971" t="str">
        <f>VLOOKUP(L971,'[1]Tuyến cáp H04'!$B:$E,4,0)</f>
        <v>Mạng cấp 4</v>
      </c>
    </row>
    <row r="972" spans="1:39" x14ac:dyDescent="0.25">
      <c r="A972" s="1" t="s">
        <v>9377</v>
      </c>
      <c r="B972" s="1" t="s">
        <v>9378</v>
      </c>
      <c r="C972" s="1" t="s">
        <v>9379</v>
      </c>
      <c r="D972" s="1" t="s">
        <v>8074</v>
      </c>
      <c r="E972" s="1" t="s">
        <v>8075</v>
      </c>
      <c r="F972" s="1" t="s">
        <v>9380</v>
      </c>
      <c r="G972" s="1" t="s">
        <v>14129</v>
      </c>
      <c r="H972" s="1" t="s">
        <v>14130</v>
      </c>
      <c r="I972" s="1" t="s">
        <v>15084</v>
      </c>
      <c r="J972" s="1" t="s">
        <v>23</v>
      </c>
      <c r="K972" s="1"/>
      <c r="L972" s="1" t="s">
        <v>9381</v>
      </c>
      <c r="M972" s="1" t="s">
        <v>9381</v>
      </c>
      <c r="N972" s="12" t="b">
        <f t="shared" si="75"/>
        <v>1</v>
      </c>
      <c r="O972" s="1" t="s">
        <v>9382</v>
      </c>
      <c r="P972" s="1" t="s">
        <v>9383</v>
      </c>
      <c r="Q972" s="1" t="s">
        <v>9384</v>
      </c>
      <c r="R972" s="1" t="s">
        <v>9385</v>
      </c>
      <c r="S972" s="1" t="s">
        <v>9386</v>
      </c>
      <c r="T972" s="1" t="s">
        <v>9387</v>
      </c>
      <c r="U972" s="1" t="s">
        <v>9388</v>
      </c>
      <c r="V972" s="13">
        <f>COUNTIF(L972:$M$1659,L972)</f>
        <v>2</v>
      </c>
      <c r="W972" s="1" t="s">
        <v>9389</v>
      </c>
      <c r="X972">
        <v>379.27</v>
      </c>
      <c r="Y972">
        <v>373.33</v>
      </c>
      <c r="Z972">
        <v>13.081462999999999</v>
      </c>
      <c r="AA972">
        <v>109.292321</v>
      </c>
      <c r="AB972">
        <v>5.94</v>
      </c>
      <c r="AC972">
        <v>13.094739000000001</v>
      </c>
      <c r="AD972">
        <v>109.292945</v>
      </c>
      <c r="AE972" s="5">
        <f t="shared" si="76"/>
        <v>0.55999500000000002</v>
      </c>
      <c r="AF972" s="5">
        <f t="shared" si="77"/>
        <v>8.9099999999999995E-3</v>
      </c>
      <c r="AG972" s="1" t="str">
        <f>TRIM(LEFT(L972,FIND("-",L972)-1))</f>
        <v>Tây Hòa</v>
      </c>
      <c r="AH972" s="1" t="str">
        <f>TRIM(RIGHT(L972, LEN(L972) - FIND("-", L972)))</f>
        <v>TT2 Tuy Hòa</v>
      </c>
      <c r="AJ972">
        <f t="shared" si="78"/>
        <v>0.37333</v>
      </c>
      <c r="AK972">
        <f t="shared" si="79"/>
        <v>5.94E-3</v>
      </c>
      <c r="AL972">
        <f>VLOOKUP(L972,'[1]Tuyến cáp H04'!$B:$E,3,0)/1000</f>
        <v>16.552</v>
      </c>
      <c r="AM972" t="str">
        <f>VLOOKUP(L972,'[1]Tuyến cáp H04'!$B:$E,4,0)</f>
        <v>Mạng cấp 3</v>
      </c>
    </row>
    <row r="973" spans="1:39" x14ac:dyDescent="0.25">
      <c r="A973" s="1" t="s">
        <v>9390</v>
      </c>
      <c r="B973" s="1" t="s">
        <v>8082</v>
      </c>
      <c r="C973" s="1" t="s">
        <v>8083</v>
      </c>
      <c r="D973" s="1" t="s">
        <v>9364</v>
      </c>
      <c r="E973" s="1" t="s">
        <v>9365</v>
      </c>
      <c r="F973" s="1" t="s">
        <v>9391</v>
      </c>
      <c r="G973" s="1" t="s">
        <v>14129</v>
      </c>
      <c r="H973" s="1" t="s">
        <v>14130</v>
      </c>
      <c r="I973" s="1" t="s">
        <v>15085</v>
      </c>
      <c r="J973" s="1" t="s">
        <v>23</v>
      </c>
      <c r="K973" s="1"/>
      <c r="L973" s="1" t="s">
        <v>9392</v>
      </c>
      <c r="M973" s="1" t="s">
        <v>9392</v>
      </c>
      <c r="N973" s="12" t="b">
        <f t="shared" si="75"/>
        <v>1</v>
      </c>
      <c r="O973" s="1" t="s">
        <v>9393</v>
      </c>
      <c r="P973" s="1" t="s">
        <v>9394</v>
      </c>
      <c r="Q973" s="1" t="s">
        <v>9395</v>
      </c>
      <c r="R973" s="1" t="s">
        <v>9396</v>
      </c>
      <c r="S973" s="1" t="s">
        <v>9397</v>
      </c>
      <c r="T973" s="1" t="s">
        <v>9398</v>
      </c>
      <c r="U973" s="1" t="s">
        <v>9399</v>
      </c>
      <c r="V973" s="13">
        <f>COUNTIF(L973:$M$1659,L973)</f>
        <v>8</v>
      </c>
      <c r="W973" s="1" t="s">
        <v>9400</v>
      </c>
      <c r="X973">
        <v>5360.61</v>
      </c>
      <c r="Y973">
        <v>11.26</v>
      </c>
      <c r="Z973">
        <v>13.023192999999999</v>
      </c>
      <c r="AA973">
        <v>109.206958</v>
      </c>
      <c r="AB973">
        <v>5349.35</v>
      </c>
      <c r="AC973">
        <v>13.045888</v>
      </c>
      <c r="AD973">
        <v>109.248909</v>
      </c>
      <c r="AE973" s="5">
        <f t="shared" si="76"/>
        <v>1.6890000000000002E-2</v>
      </c>
      <c r="AF973" s="5">
        <f t="shared" si="77"/>
        <v>8.024025</v>
      </c>
      <c r="AG973" s="1" t="str">
        <f>TRIM(LEFT(L973,FIND("-",L973)-1))</f>
        <v>TT2 Tuy Hòa</v>
      </c>
      <c r="AH973" s="1" t="str">
        <f>TRIM(RIGHT(L973, LEN(L973) - FIND("-", L973)))</f>
        <v>Phú Hòa</v>
      </c>
      <c r="AJ973">
        <f t="shared" si="78"/>
        <v>1.1259999999999999E-2</v>
      </c>
      <c r="AK973">
        <f t="shared" si="79"/>
        <v>5.3493500000000003</v>
      </c>
      <c r="AL973" t="e">
        <f>VLOOKUP(L973,'[1]Tuyến cáp H04'!$B:$E,3,0)/1000</f>
        <v>#N/A</v>
      </c>
      <c r="AM973" t="e">
        <f>VLOOKUP(L973,'[1]Tuyến cáp H04'!$B:$E,4,0)</f>
        <v>#N/A</v>
      </c>
    </row>
    <row r="974" spans="1:39" x14ac:dyDescent="0.25">
      <c r="A974" s="1" t="s">
        <v>9401</v>
      </c>
      <c r="B974" s="1" t="s">
        <v>8082</v>
      </c>
      <c r="C974" s="1" t="s">
        <v>8083</v>
      </c>
      <c r="D974" s="1" t="s">
        <v>9402</v>
      </c>
      <c r="E974" s="1" t="s">
        <v>9403</v>
      </c>
      <c r="F974" s="1" t="s">
        <v>9404</v>
      </c>
      <c r="G974" s="1" t="s">
        <v>14129</v>
      </c>
      <c r="H974" s="1" t="s">
        <v>14130</v>
      </c>
      <c r="I974" s="1" t="s">
        <v>15086</v>
      </c>
      <c r="J974" s="1" t="s">
        <v>23</v>
      </c>
      <c r="K974" s="1"/>
      <c r="L974" s="1" t="s">
        <v>9392</v>
      </c>
      <c r="M974" s="1" t="s">
        <v>9392</v>
      </c>
      <c r="N974" s="12" t="b">
        <f t="shared" si="75"/>
        <v>1</v>
      </c>
      <c r="O974" s="1" t="s">
        <v>9405</v>
      </c>
      <c r="P974" s="1" t="s">
        <v>9394</v>
      </c>
      <c r="Q974" s="1" t="s">
        <v>9395</v>
      </c>
      <c r="R974" s="1" t="s">
        <v>9396</v>
      </c>
      <c r="S974" s="1" t="s">
        <v>9406</v>
      </c>
      <c r="T974" s="1" t="s">
        <v>9407</v>
      </c>
      <c r="U974" s="1" t="s">
        <v>9408</v>
      </c>
      <c r="V974" s="13">
        <f>COUNTIF(L974:$M$1659,L974)</f>
        <v>6</v>
      </c>
      <c r="W974" s="1" t="s">
        <v>9400</v>
      </c>
      <c r="X974">
        <v>1203.5899999999999</v>
      </c>
      <c r="Y974">
        <v>11.26</v>
      </c>
      <c r="Z974">
        <v>13.023192999999999</v>
      </c>
      <c r="AA974">
        <v>109.206958</v>
      </c>
      <c r="AB974">
        <v>1192.33</v>
      </c>
      <c r="AC974">
        <v>13.046706</v>
      </c>
      <c r="AD974">
        <v>109.250027</v>
      </c>
      <c r="AE974" s="5">
        <f t="shared" si="76"/>
        <v>1.6890000000000002E-2</v>
      </c>
      <c r="AF974" s="5">
        <f t="shared" si="77"/>
        <v>1.7884949999999999</v>
      </c>
      <c r="AG974" s="1" t="str">
        <f>TRIM(LEFT(L974,FIND("-",L974)-1))</f>
        <v>TT2 Tuy Hòa</v>
      </c>
      <c r="AH974" s="1" t="str">
        <f>TRIM(RIGHT(L974, LEN(L974) - FIND("-", L974)))</f>
        <v>Phú Hòa</v>
      </c>
      <c r="AJ974">
        <f t="shared" si="78"/>
        <v>1.1259999999999999E-2</v>
      </c>
      <c r="AK974">
        <f t="shared" si="79"/>
        <v>1.1923299999999999</v>
      </c>
      <c r="AL974" t="e">
        <f>VLOOKUP(L974,'[1]Tuyến cáp H04'!$B:$E,3,0)/1000</f>
        <v>#N/A</v>
      </c>
      <c r="AM974" t="e">
        <f>VLOOKUP(L974,'[1]Tuyến cáp H04'!$B:$E,4,0)</f>
        <v>#N/A</v>
      </c>
    </row>
    <row r="975" spans="1:39" x14ac:dyDescent="0.25">
      <c r="A975" s="1" t="s">
        <v>9409</v>
      </c>
      <c r="B975" s="1" t="s">
        <v>9410</v>
      </c>
      <c r="C975" s="1" t="s">
        <v>9411</v>
      </c>
      <c r="D975" s="1" t="s">
        <v>8074</v>
      </c>
      <c r="E975" s="1" t="s">
        <v>8075</v>
      </c>
      <c r="F975" s="1" t="s">
        <v>9412</v>
      </c>
      <c r="G975" s="1" t="s">
        <v>14129</v>
      </c>
      <c r="H975" s="1" t="s">
        <v>14130</v>
      </c>
      <c r="I975" s="1" t="s">
        <v>15087</v>
      </c>
      <c r="J975" s="1" t="s">
        <v>23</v>
      </c>
      <c r="K975" s="1"/>
      <c r="L975" s="1" t="s">
        <v>9392</v>
      </c>
      <c r="M975" s="1" t="s">
        <v>9392</v>
      </c>
      <c r="N975" s="12" t="b">
        <f t="shared" si="75"/>
        <v>1</v>
      </c>
      <c r="O975" s="1" t="s">
        <v>1515</v>
      </c>
      <c r="P975" s="1" t="s">
        <v>9413</v>
      </c>
      <c r="Q975" s="1" t="s">
        <v>9414</v>
      </c>
      <c r="R975" s="1" t="s">
        <v>9415</v>
      </c>
      <c r="S975" s="1" t="s">
        <v>9416</v>
      </c>
      <c r="T975" s="1" t="s">
        <v>9417</v>
      </c>
      <c r="U975" s="1" t="s">
        <v>9418</v>
      </c>
      <c r="V975" s="13">
        <f>COUNTIF(L975:$M$1659,L975)</f>
        <v>4</v>
      </c>
      <c r="W975" s="1" t="s">
        <v>9400</v>
      </c>
      <c r="X975">
        <v>568.54999999999995</v>
      </c>
      <c r="Y975">
        <v>556.29</v>
      </c>
      <c r="Z975">
        <v>13.055089000000001</v>
      </c>
      <c r="AA975">
        <v>109.268252</v>
      </c>
      <c r="AB975">
        <v>12.26</v>
      </c>
      <c r="AC975">
        <v>13.094692999999999</v>
      </c>
      <c r="AD975">
        <v>109.292897</v>
      </c>
      <c r="AE975" s="5">
        <f t="shared" si="76"/>
        <v>0.83443499999999993</v>
      </c>
      <c r="AF975" s="5">
        <f t="shared" si="77"/>
        <v>1.839E-2</v>
      </c>
      <c r="AG975" s="1" t="str">
        <f>TRIM(LEFT(L975,FIND("-",L975)-1))</f>
        <v>TT2 Tuy Hòa</v>
      </c>
      <c r="AH975" s="1" t="str">
        <f>TRIM(RIGHT(L975, LEN(L975) - FIND("-", L975)))</f>
        <v>Phú Hòa</v>
      </c>
      <c r="AJ975">
        <f t="shared" si="78"/>
        <v>0.55628999999999995</v>
      </c>
      <c r="AK975">
        <f t="shared" si="79"/>
        <v>1.226E-2</v>
      </c>
      <c r="AL975" t="e">
        <f>VLOOKUP(L975,'[1]Tuyến cáp H04'!$B:$E,3,0)/1000</f>
        <v>#N/A</v>
      </c>
      <c r="AM975" t="e">
        <f>VLOOKUP(L975,'[1]Tuyến cáp H04'!$B:$E,4,0)</f>
        <v>#N/A</v>
      </c>
    </row>
    <row r="976" spans="1:39" x14ac:dyDescent="0.25">
      <c r="A976" s="1" t="s">
        <v>9419</v>
      </c>
      <c r="B976" s="1" t="s">
        <v>8082</v>
      </c>
      <c r="C976" s="1" t="s">
        <v>8083</v>
      </c>
      <c r="D976" s="1" t="s">
        <v>9420</v>
      </c>
      <c r="E976" s="1" t="s">
        <v>9421</v>
      </c>
      <c r="F976" s="1" t="s">
        <v>9422</v>
      </c>
      <c r="G976" s="1" t="s">
        <v>14129</v>
      </c>
      <c r="H976" s="1" t="s">
        <v>14130</v>
      </c>
      <c r="I976" s="1" t="s">
        <v>15088</v>
      </c>
      <c r="J976" s="1" t="s">
        <v>23</v>
      </c>
      <c r="K976" s="1"/>
      <c r="L976" s="1" t="s">
        <v>9392</v>
      </c>
      <c r="M976" s="1" t="s">
        <v>9392</v>
      </c>
      <c r="N976" s="12" t="b">
        <f t="shared" si="75"/>
        <v>1</v>
      </c>
      <c r="O976" s="1" t="s">
        <v>9423</v>
      </c>
      <c r="P976" s="1" t="s">
        <v>9394</v>
      </c>
      <c r="Q976" s="1" t="s">
        <v>9395</v>
      </c>
      <c r="R976" s="1" t="s">
        <v>9396</v>
      </c>
      <c r="S976" s="1" t="s">
        <v>9424</v>
      </c>
      <c r="T976" s="1" t="s">
        <v>9425</v>
      </c>
      <c r="U976" s="1" t="s">
        <v>9426</v>
      </c>
      <c r="V976" s="13">
        <f>COUNTIF(L976:$M$1659,L976)</f>
        <v>2</v>
      </c>
      <c r="W976" s="1" t="s">
        <v>9400</v>
      </c>
      <c r="X976">
        <v>98.77</v>
      </c>
      <c r="Y976">
        <v>11.26</v>
      </c>
      <c r="Z976">
        <v>13.023192999999999</v>
      </c>
      <c r="AA976">
        <v>109.206958</v>
      </c>
      <c r="AB976">
        <v>87.51</v>
      </c>
      <c r="AC976">
        <v>13.024115</v>
      </c>
      <c r="AD976">
        <v>109.219852</v>
      </c>
      <c r="AE976" s="5">
        <f t="shared" si="76"/>
        <v>1.6890000000000002E-2</v>
      </c>
      <c r="AF976" s="5">
        <f t="shared" si="77"/>
        <v>0.13126500000000002</v>
      </c>
      <c r="AG976" s="1" t="str">
        <f>TRIM(LEFT(L976,FIND("-",L976)-1))</f>
        <v>TT2 Tuy Hòa</v>
      </c>
      <c r="AH976" s="1" t="str">
        <f>TRIM(RIGHT(L976, LEN(L976) - FIND("-", L976)))</f>
        <v>Phú Hòa</v>
      </c>
      <c r="AJ976">
        <f t="shared" si="78"/>
        <v>1.1259999999999999E-2</v>
      </c>
      <c r="AK976">
        <f t="shared" si="79"/>
        <v>8.7510000000000004E-2</v>
      </c>
      <c r="AL976" t="e">
        <f>VLOOKUP(L976,'[1]Tuyến cáp H04'!$B:$E,3,0)/1000</f>
        <v>#N/A</v>
      </c>
      <c r="AM976" t="e">
        <f>VLOOKUP(L976,'[1]Tuyến cáp H04'!$B:$E,4,0)</f>
        <v>#N/A</v>
      </c>
    </row>
    <row r="977" spans="1:39" x14ac:dyDescent="0.25">
      <c r="A977" s="1" t="s">
        <v>9427</v>
      </c>
      <c r="B977" s="1" t="s">
        <v>9428</v>
      </c>
      <c r="C977" s="1" t="s">
        <v>9429</v>
      </c>
      <c r="D977" s="1" t="s">
        <v>8347</v>
      </c>
      <c r="E977" s="1" t="s">
        <v>8348</v>
      </c>
      <c r="F977" s="1" t="s">
        <v>9430</v>
      </c>
      <c r="G977" s="1" t="s">
        <v>14129</v>
      </c>
      <c r="H977" s="1" t="s">
        <v>14130</v>
      </c>
      <c r="I977" s="1" t="s">
        <v>15089</v>
      </c>
      <c r="J977" s="1" t="s">
        <v>23</v>
      </c>
      <c r="K977" s="1"/>
      <c r="L977" s="1" t="s">
        <v>9008</v>
      </c>
      <c r="M977" s="1" t="s">
        <v>9008</v>
      </c>
      <c r="N977" s="12" t="b">
        <f t="shared" si="75"/>
        <v>1</v>
      </c>
      <c r="O977" s="1" t="s">
        <v>9431</v>
      </c>
      <c r="P977" s="1" t="s">
        <v>9432</v>
      </c>
      <c r="Q977" s="1" t="s">
        <v>9433</v>
      </c>
      <c r="R977" s="1" t="s">
        <v>9434</v>
      </c>
      <c r="S977" s="1" t="s">
        <v>9435</v>
      </c>
      <c r="T977" s="1" t="s">
        <v>9436</v>
      </c>
      <c r="U977" s="1" t="s">
        <v>9437</v>
      </c>
      <c r="V977" s="13">
        <f>COUNTIF(L977:$M$1659,L977)</f>
        <v>2</v>
      </c>
      <c r="W977" s="1" t="s">
        <v>9438</v>
      </c>
      <c r="X977">
        <v>1531.8</v>
      </c>
      <c r="Y977">
        <v>1526</v>
      </c>
      <c r="Z977">
        <v>13.051769</v>
      </c>
      <c r="AA977">
        <v>109.257884</v>
      </c>
      <c r="AB977">
        <v>5.8</v>
      </c>
      <c r="AC977">
        <v>13.07142</v>
      </c>
      <c r="AD977">
        <v>109.275852</v>
      </c>
      <c r="AE977" s="5">
        <f t="shared" si="76"/>
        <v>2.2890000000000001</v>
      </c>
      <c r="AF977" s="5">
        <f t="shared" si="77"/>
        <v>8.6999999999999994E-3</v>
      </c>
      <c r="AG977" s="1" t="str">
        <f>TRIM(LEFT(L977,FIND("-",L977)-1))</f>
        <v>PC08</v>
      </c>
      <c r="AH977" s="1" t="str">
        <f>TRIM(RIGHT(L977, LEN(L977) - FIND("-", L977)))</f>
        <v>PK02</v>
      </c>
      <c r="AJ977">
        <f t="shared" si="78"/>
        <v>1.526</v>
      </c>
      <c r="AK977">
        <f t="shared" si="79"/>
        <v>5.7999999999999996E-3</v>
      </c>
      <c r="AL977" t="e">
        <f>VLOOKUP(L977,'[1]Tuyến cáp H04'!$B:$E,3,0)/1000</f>
        <v>#N/A</v>
      </c>
      <c r="AM977" t="e">
        <f>VLOOKUP(L977,'[1]Tuyến cáp H04'!$B:$E,4,0)</f>
        <v>#N/A</v>
      </c>
    </row>
    <row r="978" spans="1:39" x14ac:dyDescent="0.25">
      <c r="A978" s="1" t="s">
        <v>9439</v>
      </c>
      <c r="B978" s="1" t="s">
        <v>8347</v>
      </c>
      <c r="C978" s="1" t="s">
        <v>8348</v>
      </c>
      <c r="D978" s="1" t="s">
        <v>8074</v>
      </c>
      <c r="E978" s="1" t="s">
        <v>8075</v>
      </c>
      <c r="F978" s="1" t="s">
        <v>9440</v>
      </c>
      <c r="G978" s="1" t="s">
        <v>14129</v>
      </c>
      <c r="H978" s="1" t="s">
        <v>14130</v>
      </c>
      <c r="I978" s="1" t="s">
        <v>15090</v>
      </c>
      <c r="J978" s="1" t="s">
        <v>23</v>
      </c>
      <c r="K978" s="1"/>
      <c r="L978" s="1" t="s">
        <v>9441</v>
      </c>
      <c r="M978" s="1" t="s">
        <v>9441</v>
      </c>
      <c r="N978" s="12" t="b">
        <f t="shared" si="75"/>
        <v>1</v>
      </c>
      <c r="O978" s="1" t="s">
        <v>9442</v>
      </c>
      <c r="P978" s="1" t="s">
        <v>9443</v>
      </c>
      <c r="Q978" s="1" t="s">
        <v>9444</v>
      </c>
      <c r="R978" s="1" t="s">
        <v>9445</v>
      </c>
      <c r="S978" s="1" t="s">
        <v>9446</v>
      </c>
      <c r="T978" s="1" t="s">
        <v>9447</v>
      </c>
      <c r="U978" s="1" t="s">
        <v>9448</v>
      </c>
      <c r="V978" s="13">
        <f>COUNTIF(L978:$M$1659,L978)</f>
        <v>4</v>
      </c>
      <c r="W978" s="1" t="s">
        <v>9449</v>
      </c>
      <c r="X978">
        <v>97.72</v>
      </c>
      <c r="Y978">
        <v>15.88</v>
      </c>
      <c r="Z978">
        <v>13.071588</v>
      </c>
      <c r="AA978">
        <v>109.275789</v>
      </c>
      <c r="AB978">
        <v>81.84</v>
      </c>
      <c r="AC978">
        <v>13.094094999999999</v>
      </c>
      <c r="AD978">
        <v>109.292637</v>
      </c>
      <c r="AE978" s="5">
        <f t="shared" si="76"/>
        <v>2.3820000000000001E-2</v>
      </c>
      <c r="AF978" s="5">
        <f t="shared" si="77"/>
        <v>0.12276000000000001</v>
      </c>
      <c r="AG978" s="1" t="str">
        <f>TRIM(LEFT(L978,FIND("-",L978)-1))</f>
        <v>PC11</v>
      </c>
      <c r="AH978" s="1" t="str">
        <f>TRIM(RIGHT(L978, LEN(L978) - FIND("-", L978)))</f>
        <v>PC08</v>
      </c>
      <c r="AJ978">
        <f t="shared" si="78"/>
        <v>1.5880000000000002E-2</v>
      </c>
      <c r="AK978">
        <f t="shared" si="79"/>
        <v>8.184000000000001E-2</v>
      </c>
      <c r="AL978">
        <f>VLOOKUP(L978,'[1]Tuyến cáp H04'!$B:$E,3,0)/1000</f>
        <v>26.952000000000002</v>
      </c>
      <c r="AM978" t="str">
        <f>VLOOKUP(L978,'[1]Tuyến cáp H04'!$B:$E,4,0)</f>
        <v>Mạng cấp 3</v>
      </c>
    </row>
    <row r="979" spans="1:39" x14ac:dyDescent="0.25">
      <c r="A979" s="1" t="s">
        <v>9450</v>
      </c>
      <c r="B979" s="1" t="s">
        <v>9451</v>
      </c>
      <c r="C979" s="1" t="s">
        <v>9452</v>
      </c>
      <c r="D979" s="1" t="s">
        <v>9453</v>
      </c>
      <c r="E979" s="1" t="s">
        <v>9454</v>
      </c>
      <c r="F979" s="1" t="s">
        <v>9455</v>
      </c>
      <c r="G979" s="1" t="s">
        <v>14129</v>
      </c>
      <c r="H979" s="1" t="s">
        <v>14130</v>
      </c>
      <c r="I979" s="1" t="s">
        <v>15091</v>
      </c>
      <c r="J979" s="1" t="s">
        <v>23</v>
      </c>
      <c r="K979" s="1"/>
      <c r="L979" s="1" t="s">
        <v>9456</v>
      </c>
      <c r="M979" s="1" t="s">
        <v>9456</v>
      </c>
      <c r="N979" s="12" t="b">
        <f t="shared" si="75"/>
        <v>1</v>
      </c>
      <c r="O979" s="1" t="s">
        <v>9457</v>
      </c>
      <c r="P979" s="1" t="s">
        <v>9458</v>
      </c>
      <c r="Q979" s="1" t="s">
        <v>9459</v>
      </c>
      <c r="R979" s="1" t="s">
        <v>9460</v>
      </c>
      <c r="S979" s="1" t="s">
        <v>9461</v>
      </c>
      <c r="T979" s="1" t="s">
        <v>9453</v>
      </c>
      <c r="U979" s="1" t="s">
        <v>9462</v>
      </c>
      <c r="V979" s="13">
        <f>COUNTIF(L979:$M$1659,L979)</f>
        <v>6</v>
      </c>
      <c r="W979" s="1" t="s">
        <v>9463</v>
      </c>
      <c r="X979">
        <v>413.21</v>
      </c>
      <c r="Y979">
        <v>412.87</v>
      </c>
      <c r="Z979">
        <v>13.164842</v>
      </c>
      <c r="AA979">
        <v>109.28851</v>
      </c>
      <c r="AB979">
        <v>0.34</v>
      </c>
      <c r="AC979">
        <v>13.181704</v>
      </c>
      <c r="AD979">
        <v>109.287283</v>
      </c>
      <c r="AE979" s="5">
        <f t="shared" si="76"/>
        <v>0.61930500000000011</v>
      </c>
      <c r="AF979" s="5">
        <f t="shared" si="77"/>
        <v>5.1000000000000004E-4</v>
      </c>
      <c r="AG979" s="1" t="str">
        <f>TRIM(LEFT(L979,FIND("-",L979)-1))</f>
        <v>CAT Phú Yên</v>
      </c>
      <c r="AH979" s="1" t="str">
        <f>TRIM(RIGHT(L979, LEN(L979) - FIND("-", L979)))</f>
        <v>Tuy An Nam</v>
      </c>
      <c r="AJ979">
        <f t="shared" si="78"/>
        <v>0.41287000000000001</v>
      </c>
      <c r="AK979">
        <f t="shared" si="79"/>
        <v>3.4000000000000002E-4</v>
      </c>
      <c r="AL979">
        <f>VLOOKUP(L979,'[1]Tuyến cáp H04'!$B:$E,3,0)/1000</f>
        <v>8.3849999999999998</v>
      </c>
      <c r="AM979" t="str">
        <f>VLOOKUP(L979,'[1]Tuyến cáp H04'!$B:$E,4,0)</f>
        <v>Mạng cấp 4</v>
      </c>
    </row>
    <row r="980" spans="1:39" x14ac:dyDescent="0.25">
      <c r="A980" s="1" t="s">
        <v>9464</v>
      </c>
      <c r="B980" s="1" t="s">
        <v>9453</v>
      </c>
      <c r="C980" s="1" t="s">
        <v>9454</v>
      </c>
      <c r="D980" s="1" t="s">
        <v>9465</v>
      </c>
      <c r="E980" s="1" t="s">
        <v>9466</v>
      </c>
      <c r="F980" s="1" t="s">
        <v>9467</v>
      </c>
      <c r="G980" s="1" t="s">
        <v>14129</v>
      </c>
      <c r="H980" s="1" t="s">
        <v>14130</v>
      </c>
      <c r="I980" s="1" t="s">
        <v>15092</v>
      </c>
      <c r="J980" s="1" t="s">
        <v>23</v>
      </c>
      <c r="K980" s="1"/>
      <c r="L980" s="1" t="s">
        <v>9468</v>
      </c>
      <c r="M980" s="1" t="s">
        <v>9468</v>
      </c>
      <c r="N980" s="12" t="b">
        <f t="shared" si="75"/>
        <v>1</v>
      </c>
      <c r="O980" s="1" t="s">
        <v>9469</v>
      </c>
      <c r="P980" s="1" t="s">
        <v>9470</v>
      </c>
      <c r="Q980" s="1" t="s">
        <v>9471</v>
      </c>
      <c r="R980" s="1" t="s">
        <v>9472</v>
      </c>
      <c r="S980" s="1" t="s">
        <v>9473</v>
      </c>
      <c r="T980" s="1" t="s">
        <v>9474</v>
      </c>
      <c r="U980" s="1" t="s">
        <v>9475</v>
      </c>
      <c r="V980" s="13">
        <f>COUNTIF(L980:$M$1659,L980)</f>
        <v>2</v>
      </c>
      <c r="W980" s="1" t="s">
        <v>9476</v>
      </c>
      <c r="X980">
        <v>222.54</v>
      </c>
      <c r="Y980">
        <v>175.83</v>
      </c>
      <c r="Z980">
        <v>13.183259</v>
      </c>
      <c r="AA980">
        <v>109.28698300000001</v>
      </c>
      <c r="AB980">
        <v>46.71</v>
      </c>
      <c r="AC980">
        <v>13.201929</v>
      </c>
      <c r="AD980">
        <v>109.276332</v>
      </c>
      <c r="AE980" s="5">
        <f t="shared" si="76"/>
        <v>0.26374500000000001</v>
      </c>
      <c r="AF980" s="5">
        <f t="shared" si="77"/>
        <v>7.0065000000000002E-2</v>
      </c>
      <c r="AG980" s="1" t="str">
        <f>TRIM(LEFT(L980,FIND("-",L980)-1))</f>
        <v>Tuy An Nam</v>
      </c>
      <c r="AH980" s="1" t="str">
        <f>TRIM(RIGHT(L980, LEN(L980) - FIND("-", L980)))</f>
        <v>Ô Loan</v>
      </c>
      <c r="AJ980">
        <f t="shared" si="78"/>
        <v>0.17583000000000001</v>
      </c>
      <c r="AK980">
        <f t="shared" si="79"/>
        <v>4.6710000000000002E-2</v>
      </c>
      <c r="AL980">
        <f>VLOOKUP(L980,'[1]Tuyến cáp H04'!$B:$E,3,0)/1000</f>
        <v>8.7910000000000004</v>
      </c>
      <c r="AM980" t="str">
        <f>VLOOKUP(L980,'[1]Tuyến cáp H04'!$B:$E,4,0)</f>
        <v>Mạng cấp 4</v>
      </c>
    </row>
    <row r="981" spans="1:39" x14ac:dyDescent="0.25">
      <c r="A981" s="1" t="s">
        <v>9477</v>
      </c>
      <c r="B981" s="1" t="s">
        <v>9478</v>
      </c>
      <c r="C981" s="1" t="s">
        <v>9479</v>
      </c>
      <c r="D981" s="1" t="s">
        <v>9480</v>
      </c>
      <c r="E981" s="1" t="s">
        <v>9481</v>
      </c>
      <c r="F981" s="1" t="s">
        <v>9482</v>
      </c>
      <c r="G981" s="1" t="s">
        <v>14129</v>
      </c>
      <c r="H981" s="1" t="s">
        <v>14130</v>
      </c>
      <c r="I981" s="1" t="s">
        <v>15093</v>
      </c>
      <c r="J981" s="1" t="s">
        <v>23</v>
      </c>
      <c r="K981" s="1"/>
      <c r="L981" s="1" t="s">
        <v>9483</v>
      </c>
      <c r="M981" s="1" t="s">
        <v>9483</v>
      </c>
      <c r="N981" s="12" t="b">
        <f t="shared" si="75"/>
        <v>1</v>
      </c>
      <c r="O981" s="1" t="s">
        <v>9484</v>
      </c>
      <c r="P981" s="1" t="s">
        <v>9485</v>
      </c>
      <c r="Q981" s="1" t="s">
        <v>9486</v>
      </c>
      <c r="R981" s="1" t="s">
        <v>9487</v>
      </c>
      <c r="S981" s="1" t="s">
        <v>9488</v>
      </c>
      <c r="T981" s="1" t="s">
        <v>9489</v>
      </c>
      <c r="U981" s="1" t="s">
        <v>9490</v>
      </c>
      <c r="V981" s="13">
        <f>COUNTIF(L981:$M$1659,L981)</f>
        <v>8</v>
      </c>
      <c r="W981" s="1" t="s">
        <v>9491</v>
      </c>
      <c r="X981">
        <v>1135.25</v>
      </c>
      <c r="Y981">
        <v>1102.79</v>
      </c>
      <c r="Z981">
        <v>13.342204000000001</v>
      </c>
      <c r="AA981">
        <v>109.247726</v>
      </c>
      <c r="AB981">
        <v>32.46</v>
      </c>
      <c r="AC981">
        <v>13.340761000000001</v>
      </c>
      <c r="AD981">
        <v>109.254114</v>
      </c>
      <c r="AE981" s="5">
        <f t="shared" si="76"/>
        <v>1.654185</v>
      </c>
      <c r="AF981" s="5">
        <f t="shared" si="77"/>
        <v>4.8689999999999997E-2</v>
      </c>
      <c r="AG981" s="1" t="str">
        <f>TRIM(LEFT(L981,FIND("-",L981)-1))</f>
        <v>Tuy An Đông</v>
      </c>
      <c r="AH981" s="1" t="str">
        <f>TRIM(RIGHT(L981, LEN(L981) - FIND("-", L981)))</f>
        <v>TTCMKV TX Sông Cầu</v>
      </c>
      <c r="AJ981">
        <f t="shared" si="78"/>
        <v>1.1027899999999999</v>
      </c>
      <c r="AK981">
        <f t="shared" si="79"/>
        <v>3.2460000000000003E-2</v>
      </c>
      <c r="AL981">
        <f>VLOOKUP(L981,'[1]Tuyến cáp H04'!$B:$E,3,0)/1000</f>
        <v>25.989000000000001</v>
      </c>
      <c r="AM981" t="str">
        <f>VLOOKUP(L981,'[1]Tuyến cáp H04'!$B:$E,4,0)</f>
        <v>Mạng cấp 4</v>
      </c>
    </row>
    <row r="982" spans="1:39" x14ac:dyDescent="0.25">
      <c r="A982" s="1" t="s">
        <v>9492</v>
      </c>
      <c r="B982" s="1" t="s">
        <v>9480</v>
      </c>
      <c r="C982" s="1" t="s">
        <v>9481</v>
      </c>
      <c r="D982" s="1" t="s">
        <v>8108</v>
      </c>
      <c r="E982" s="1" t="s">
        <v>8109</v>
      </c>
      <c r="F982" s="1" t="s">
        <v>9493</v>
      </c>
      <c r="G982" s="1" t="s">
        <v>14129</v>
      </c>
      <c r="H982" s="1" t="s">
        <v>14130</v>
      </c>
      <c r="I982" s="1" t="s">
        <v>15094</v>
      </c>
      <c r="J982" s="1" t="s">
        <v>23</v>
      </c>
      <c r="K982" s="1"/>
      <c r="L982" s="1" t="s">
        <v>9483</v>
      </c>
      <c r="M982" s="1" t="s">
        <v>9483</v>
      </c>
      <c r="N982" s="12" t="b">
        <f t="shared" si="75"/>
        <v>1</v>
      </c>
      <c r="O982" s="1" t="s">
        <v>9494</v>
      </c>
      <c r="P982" s="1" t="s">
        <v>9488</v>
      </c>
      <c r="Q982" s="1" t="s">
        <v>9489</v>
      </c>
      <c r="R982" s="1" t="s">
        <v>9490</v>
      </c>
      <c r="S982" s="1" t="s">
        <v>9495</v>
      </c>
      <c r="T982" s="1" t="s">
        <v>9496</v>
      </c>
      <c r="U982" s="1" t="s">
        <v>9497</v>
      </c>
      <c r="V982" s="13">
        <f>COUNTIF(L982:$M$1659,L982)</f>
        <v>6</v>
      </c>
      <c r="W982" s="1" t="s">
        <v>9491</v>
      </c>
      <c r="X982">
        <v>2601.3200000000002</v>
      </c>
      <c r="Y982">
        <v>32.46</v>
      </c>
      <c r="Z982">
        <v>13.340761000000001</v>
      </c>
      <c r="AA982">
        <v>109.254114</v>
      </c>
      <c r="AB982">
        <v>2568.86</v>
      </c>
      <c r="AC982">
        <v>13.331121</v>
      </c>
      <c r="AD982">
        <v>109.21918100000001</v>
      </c>
      <c r="AE982" s="5">
        <f t="shared" si="76"/>
        <v>4.8689999999999997E-2</v>
      </c>
      <c r="AF982" s="5">
        <f t="shared" si="77"/>
        <v>3.8532899999999999</v>
      </c>
      <c r="AG982" s="1" t="str">
        <f>TRIM(LEFT(L982,FIND("-",L982)-1))</f>
        <v>Tuy An Đông</v>
      </c>
      <c r="AH982" s="1" t="str">
        <f>TRIM(RIGHT(L982, LEN(L982) - FIND("-", L982)))</f>
        <v>TTCMKV TX Sông Cầu</v>
      </c>
      <c r="AJ982">
        <f t="shared" si="78"/>
        <v>3.2460000000000003E-2</v>
      </c>
      <c r="AK982">
        <f t="shared" si="79"/>
        <v>2.5688599999999999</v>
      </c>
      <c r="AL982">
        <f>VLOOKUP(L982,'[1]Tuyến cáp H04'!$B:$E,3,0)/1000</f>
        <v>25.989000000000001</v>
      </c>
      <c r="AM982" t="str">
        <f>VLOOKUP(L982,'[1]Tuyến cáp H04'!$B:$E,4,0)</f>
        <v>Mạng cấp 4</v>
      </c>
    </row>
    <row r="983" spans="1:39" x14ac:dyDescent="0.25">
      <c r="A983" s="1" t="s">
        <v>9498</v>
      </c>
      <c r="B983" s="1" t="s">
        <v>8106</v>
      </c>
      <c r="C983" s="1" t="s">
        <v>8107</v>
      </c>
      <c r="D983" s="1" t="s">
        <v>9499</v>
      </c>
      <c r="E983" s="1" t="s">
        <v>9500</v>
      </c>
      <c r="F983" s="1" t="s">
        <v>9501</v>
      </c>
      <c r="G983" s="1" t="s">
        <v>14129</v>
      </c>
      <c r="H983" s="1" t="s">
        <v>14130</v>
      </c>
      <c r="I983" s="1" t="s">
        <v>15095</v>
      </c>
      <c r="J983" s="1" t="s">
        <v>23</v>
      </c>
      <c r="K983" s="1"/>
      <c r="L983" s="1" t="s">
        <v>8111</v>
      </c>
      <c r="M983" s="1" t="s">
        <v>8111</v>
      </c>
      <c r="N983" s="12" t="b">
        <f t="shared" si="75"/>
        <v>1</v>
      </c>
      <c r="O983" s="1" t="s">
        <v>9502</v>
      </c>
      <c r="P983" s="1" t="s">
        <v>8113</v>
      </c>
      <c r="Q983" s="1" t="s">
        <v>8114</v>
      </c>
      <c r="R983" s="1" t="s">
        <v>8115</v>
      </c>
      <c r="S983" s="1" t="s">
        <v>9503</v>
      </c>
      <c r="T983" s="1" t="s">
        <v>9504</v>
      </c>
      <c r="U983" s="1" t="s">
        <v>9505</v>
      </c>
      <c r="V983" s="13">
        <f>COUNTIF(L983:$M$1659,L983)</f>
        <v>18</v>
      </c>
      <c r="W983" s="1" t="s">
        <v>8119</v>
      </c>
      <c r="X983">
        <v>491.83</v>
      </c>
      <c r="Y983">
        <v>234.35</v>
      </c>
      <c r="Z983">
        <v>13.203866</v>
      </c>
      <c r="AA983">
        <v>109.269097</v>
      </c>
      <c r="AB983">
        <v>257.48</v>
      </c>
      <c r="AC983">
        <v>13.240807</v>
      </c>
      <c r="AD983">
        <v>109.255388</v>
      </c>
      <c r="AE983" s="5">
        <f t="shared" si="76"/>
        <v>0.35152499999999998</v>
      </c>
      <c r="AF983" s="5">
        <f t="shared" si="77"/>
        <v>0.38622000000000001</v>
      </c>
      <c r="AG983" s="1" t="str">
        <f>TRIM(LEFT(L983,FIND("-",L983)-1))</f>
        <v>Sông Cầu</v>
      </c>
      <c r="AH983" s="1" t="str">
        <f>TRIM(RIGHT(L983, LEN(L983) - FIND("-", L983)))</f>
        <v>TT2 Tuy Hòa</v>
      </c>
      <c r="AJ983">
        <f t="shared" si="78"/>
        <v>0.23435</v>
      </c>
      <c r="AK983">
        <f t="shared" si="79"/>
        <v>0.25748000000000004</v>
      </c>
      <c r="AL983">
        <f>VLOOKUP(L983,'[1]Tuyến cáp H04'!$B:$E,3,0)/1000</f>
        <v>48.265999999999998</v>
      </c>
      <c r="AM983" t="str">
        <f>VLOOKUP(L983,'[1]Tuyến cáp H04'!$B:$E,4,0)</f>
        <v>Mạng cấp 3</v>
      </c>
    </row>
    <row r="984" spans="1:39" x14ac:dyDescent="0.25">
      <c r="A984" s="1" t="s">
        <v>9506</v>
      </c>
      <c r="B984" s="1" t="s">
        <v>9499</v>
      </c>
      <c r="C984" s="1" t="s">
        <v>9500</v>
      </c>
      <c r="D984" s="1" t="s">
        <v>9507</v>
      </c>
      <c r="E984" s="1" t="s">
        <v>9508</v>
      </c>
      <c r="F984" s="1" t="s">
        <v>9509</v>
      </c>
      <c r="G984" s="1" t="s">
        <v>14129</v>
      </c>
      <c r="H984" s="1" t="s">
        <v>14130</v>
      </c>
      <c r="I984" s="1" t="s">
        <v>15096</v>
      </c>
      <c r="J984" s="1" t="s">
        <v>23</v>
      </c>
      <c r="K984" s="1"/>
      <c r="L984" s="1" t="s">
        <v>8111</v>
      </c>
      <c r="M984" s="1" t="s">
        <v>8111</v>
      </c>
      <c r="N984" s="12" t="b">
        <f t="shared" si="75"/>
        <v>1</v>
      </c>
      <c r="O984" s="1" t="s">
        <v>9510</v>
      </c>
      <c r="P984" s="1" t="s">
        <v>9503</v>
      </c>
      <c r="Q984" s="1" t="s">
        <v>9504</v>
      </c>
      <c r="R984" s="1" t="s">
        <v>9505</v>
      </c>
      <c r="S984" s="1" t="s">
        <v>9511</v>
      </c>
      <c r="T984" s="1" t="s">
        <v>9512</v>
      </c>
      <c r="U984" s="1" t="s">
        <v>9513</v>
      </c>
      <c r="V984" s="13">
        <f>COUNTIF(L984:$M$1659,L984)</f>
        <v>16</v>
      </c>
      <c r="W984" s="1" t="s">
        <v>8119</v>
      </c>
      <c r="X984">
        <v>472.31</v>
      </c>
      <c r="Y984">
        <v>257.48</v>
      </c>
      <c r="Z984">
        <v>13.240807</v>
      </c>
      <c r="AA984">
        <v>109.255388</v>
      </c>
      <c r="AB984">
        <v>214.83</v>
      </c>
      <c r="AC984">
        <v>13.262245999999999</v>
      </c>
      <c r="AD984">
        <v>109.250433</v>
      </c>
      <c r="AE984" s="5">
        <f t="shared" si="76"/>
        <v>0.38622000000000001</v>
      </c>
      <c r="AF984" s="5">
        <f t="shared" si="77"/>
        <v>0.322245</v>
      </c>
      <c r="AG984" s="1" t="str">
        <f>TRIM(LEFT(L984,FIND("-",L984)-1))</f>
        <v>Sông Cầu</v>
      </c>
      <c r="AH984" s="1" t="str">
        <f>TRIM(RIGHT(L984, LEN(L984) - FIND("-", L984)))</f>
        <v>TT2 Tuy Hòa</v>
      </c>
      <c r="AJ984">
        <f t="shared" si="78"/>
        <v>0.25748000000000004</v>
      </c>
      <c r="AK984">
        <f t="shared" si="79"/>
        <v>0.21483000000000002</v>
      </c>
      <c r="AL984">
        <f>VLOOKUP(L984,'[1]Tuyến cáp H04'!$B:$E,3,0)/1000</f>
        <v>48.265999999999998</v>
      </c>
      <c r="AM984" t="str">
        <f>VLOOKUP(L984,'[1]Tuyến cáp H04'!$B:$E,4,0)</f>
        <v>Mạng cấp 3</v>
      </c>
    </row>
    <row r="985" spans="1:39" x14ac:dyDescent="0.25">
      <c r="A985" s="1" t="s">
        <v>9514</v>
      </c>
      <c r="B985" s="1" t="s">
        <v>9515</v>
      </c>
      <c r="C985" s="1" t="s">
        <v>9516</v>
      </c>
      <c r="D985" s="1" t="s">
        <v>8108</v>
      </c>
      <c r="E985" s="1" t="s">
        <v>8109</v>
      </c>
      <c r="F985" s="1" t="s">
        <v>9517</v>
      </c>
      <c r="G985" s="1" t="s">
        <v>14129</v>
      </c>
      <c r="H985" s="1" t="s">
        <v>14130</v>
      </c>
      <c r="I985" s="1" t="s">
        <v>15097</v>
      </c>
      <c r="J985" s="1" t="s">
        <v>23</v>
      </c>
      <c r="K985" s="1"/>
      <c r="L985" s="1" t="s">
        <v>8111</v>
      </c>
      <c r="M985" s="1" t="s">
        <v>8111</v>
      </c>
      <c r="N985" s="12" t="b">
        <f t="shared" si="75"/>
        <v>1</v>
      </c>
      <c r="O985" s="1" t="s">
        <v>9518</v>
      </c>
      <c r="P985" s="1" t="s">
        <v>6859</v>
      </c>
      <c r="Q985" s="1" t="s">
        <v>9519</v>
      </c>
      <c r="R985" s="1" t="s">
        <v>9520</v>
      </c>
      <c r="S985" s="1" t="s">
        <v>8116</v>
      </c>
      <c r="T985" s="1" t="s">
        <v>8117</v>
      </c>
      <c r="U985" s="1" t="s">
        <v>8118</v>
      </c>
      <c r="V985" s="13">
        <f>COUNTIF(L985:$M$1659,L985)</f>
        <v>14</v>
      </c>
      <c r="W985" s="1" t="s">
        <v>8119</v>
      </c>
      <c r="X985">
        <v>248.97</v>
      </c>
      <c r="Y985">
        <v>115.37</v>
      </c>
      <c r="Z985">
        <v>13.295128</v>
      </c>
      <c r="AA985">
        <v>109.234527</v>
      </c>
      <c r="AB985">
        <v>133.6</v>
      </c>
      <c r="AC985">
        <v>13.308895</v>
      </c>
      <c r="AD985">
        <v>109.214591</v>
      </c>
      <c r="AE985" s="5">
        <f t="shared" si="76"/>
        <v>0.17305500000000001</v>
      </c>
      <c r="AF985" s="5">
        <f t="shared" si="77"/>
        <v>0.20039999999999997</v>
      </c>
      <c r="AG985" s="1" t="str">
        <f>TRIM(LEFT(L985,FIND("-",L985)-1))</f>
        <v>Sông Cầu</v>
      </c>
      <c r="AH985" s="1" t="str">
        <f>TRIM(RIGHT(L985, LEN(L985) - FIND("-", L985)))</f>
        <v>TT2 Tuy Hòa</v>
      </c>
      <c r="AJ985">
        <f t="shared" si="78"/>
        <v>0.11537</v>
      </c>
      <c r="AK985">
        <f t="shared" si="79"/>
        <v>0.1336</v>
      </c>
      <c r="AL985">
        <f>VLOOKUP(L985,'[1]Tuyến cáp H04'!$B:$E,3,0)/1000</f>
        <v>48.265999999999998</v>
      </c>
      <c r="AM985" t="str">
        <f>VLOOKUP(L985,'[1]Tuyến cáp H04'!$B:$E,4,0)</f>
        <v>Mạng cấp 3</v>
      </c>
    </row>
    <row r="986" spans="1:39" x14ac:dyDescent="0.25">
      <c r="A986" s="1" t="s">
        <v>9521</v>
      </c>
      <c r="B986" s="1" t="s">
        <v>9522</v>
      </c>
      <c r="C986" s="1" t="s">
        <v>9523</v>
      </c>
      <c r="D986" s="1" t="s">
        <v>8108</v>
      </c>
      <c r="E986" s="1" t="s">
        <v>8109</v>
      </c>
      <c r="F986" s="1" t="s">
        <v>9524</v>
      </c>
      <c r="G986" s="1" t="s">
        <v>14129</v>
      </c>
      <c r="H986" s="1" t="s">
        <v>14130</v>
      </c>
      <c r="I986" s="1" t="s">
        <v>15098</v>
      </c>
      <c r="J986" s="1" t="s">
        <v>23</v>
      </c>
      <c r="K986" s="1"/>
      <c r="L986" s="1" t="s">
        <v>8111</v>
      </c>
      <c r="M986" s="1" t="s">
        <v>8111</v>
      </c>
      <c r="N986" s="12" t="b">
        <f t="shared" si="75"/>
        <v>1</v>
      </c>
      <c r="O986" s="1" t="s">
        <v>9525</v>
      </c>
      <c r="P986" s="1" t="s">
        <v>9526</v>
      </c>
      <c r="Q986" s="1" t="s">
        <v>9527</v>
      </c>
      <c r="R986" s="1" t="s">
        <v>9528</v>
      </c>
      <c r="S986" s="1" t="s">
        <v>8116</v>
      </c>
      <c r="T986" s="1" t="s">
        <v>8117</v>
      </c>
      <c r="U986" s="1" t="s">
        <v>8118</v>
      </c>
      <c r="V986" s="13">
        <f>COUNTIF(L986:$M$1659,L986)</f>
        <v>12</v>
      </c>
      <c r="W986" s="1" t="s">
        <v>8119</v>
      </c>
      <c r="X986">
        <v>376.04</v>
      </c>
      <c r="Y986">
        <v>242.45</v>
      </c>
      <c r="Z986">
        <v>13.32213</v>
      </c>
      <c r="AA986">
        <v>109.21287100000001</v>
      </c>
      <c r="AB986">
        <v>133.6</v>
      </c>
      <c r="AC986">
        <v>13.308895</v>
      </c>
      <c r="AD986">
        <v>109.214591</v>
      </c>
      <c r="AE986" s="5">
        <f t="shared" si="76"/>
        <v>0.36367499999999997</v>
      </c>
      <c r="AF986" s="5">
        <f t="shared" si="77"/>
        <v>0.20039999999999997</v>
      </c>
      <c r="AG986" s="1" t="str">
        <f>TRIM(LEFT(L986,FIND("-",L986)-1))</f>
        <v>Sông Cầu</v>
      </c>
      <c r="AH986" s="1" t="str">
        <f>TRIM(RIGHT(L986, LEN(L986) - FIND("-", L986)))</f>
        <v>TT2 Tuy Hòa</v>
      </c>
      <c r="AJ986">
        <f t="shared" si="78"/>
        <v>0.24245</v>
      </c>
      <c r="AK986">
        <f t="shared" si="79"/>
        <v>0.1336</v>
      </c>
      <c r="AL986">
        <f>VLOOKUP(L986,'[1]Tuyến cáp H04'!$B:$E,3,0)/1000</f>
        <v>48.265999999999998</v>
      </c>
      <c r="AM986" t="str">
        <f>VLOOKUP(L986,'[1]Tuyến cáp H04'!$B:$E,4,0)</f>
        <v>Mạng cấp 3</v>
      </c>
    </row>
    <row r="987" spans="1:39" x14ac:dyDescent="0.25">
      <c r="A987" s="1" t="s">
        <v>9529</v>
      </c>
      <c r="B987" s="1" t="s">
        <v>8108</v>
      </c>
      <c r="C987" s="1" t="s">
        <v>8109</v>
      </c>
      <c r="D987" s="1" t="s">
        <v>9530</v>
      </c>
      <c r="E987" s="1" t="s">
        <v>9531</v>
      </c>
      <c r="F987" s="1" t="s">
        <v>9532</v>
      </c>
      <c r="G987" s="1" t="s">
        <v>14129</v>
      </c>
      <c r="H987" s="1" t="s">
        <v>14130</v>
      </c>
      <c r="I987" s="1" t="s">
        <v>15099</v>
      </c>
      <c r="J987" s="1" t="s">
        <v>23</v>
      </c>
      <c r="K987" s="1"/>
      <c r="L987" s="1" t="s">
        <v>8124</v>
      </c>
      <c r="M987" s="1" t="s">
        <v>8124</v>
      </c>
      <c r="N987" s="12" t="b">
        <f t="shared" si="75"/>
        <v>1</v>
      </c>
      <c r="O987" s="1" t="s">
        <v>9533</v>
      </c>
      <c r="P987" s="1" t="s">
        <v>8126</v>
      </c>
      <c r="Q987" s="1" t="s">
        <v>8127</v>
      </c>
      <c r="R987" s="1" t="s">
        <v>8128</v>
      </c>
      <c r="S987" s="1" t="s">
        <v>9534</v>
      </c>
      <c r="T987" s="1" t="s">
        <v>9535</v>
      </c>
      <c r="U987" s="1" t="s">
        <v>9536</v>
      </c>
      <c r="V987" s="13">
        <f>COUNTIF(L987:$M$1659,L987)</f>
        <v>6</v>
      </c>
      <c r="W987" s="1" t="s">
        <v>8132</v>
      </c>
      <c r="X987">
        <v>776.74</v>
      </c>
      <c r="Y987">
        <v>61.31</v>
      </c>
      <c r="Z987">
        <v>13.307845</v>
      </c>
      <c r="AA987">
        <v>109.215296</v>
      </c>
      <c r="AB987">
        <v>715.43</v>
      </c>
      <c r="AC987">
        <v>13.33548</v>
      </c>
      <c r="AD987">
        <v>109.165701</v>
      </c>
      <c r="AE987" s="5">
        <f t="shared" si="76"/>
        <v>9.1965000000000005E-2</v>
      </c>
      <c r="AF987" s="5">
        <f t="shared" si="77"/>
        <v>1.073145</v>
      </c>
      <c r="AG987" s="1" t="str">
        <f>TRIM(LEFT(L987,FIND("-",L987)-1))</f>
        <v>Xuân Đài</v>
      </c>
      <c r="AH987" s="1" t="str">
        <f>TRIM(RIGHT(L987, LEN(L987) - FIND("-", L987)))</f>
        <v>Tuy An Bắc</v>
      </c>
      <c r="AJ987">
        <f t="shared" si="78"/>
        <v>6.1310000000000003E-2</v>
      </c>
      <c r="AK987">
        <f t="shared" si="79"/>
        <v>0.7154299999999999</v>
      </c>
      <c r="AL987" t="e">
        <f>VLOOKUP(L987,'[1]Tuyến cáp H04'!$B:$E,3,0)/1000</f>
        <v>#N/A</v>
      </c>
      <c r="AM987" t="e">
        <f>VLOOKUP(L987,'[1]Tuyến cáp H04'!$B:$E,4,0)</f>
        <v>#N/A</v>
      </c>
    </row>
    <row r="988" spans="1:39" x14ac:dyDescent="0.25">
      <c r="A988" s="1" t="s">
        <v>9537</v>
      </c>
      <c r="B988" s="1" t="s">
        <v>9538</v>
      </c>
      <c r="C988" s="1" t="s">
        <v>9539</v>
      </c>
      <c r="D988" s="1" t="s">
        <v>8121</v>
      </c>
      <c r="E988" s="1" t="s">
        <v>8122</v>
      </c>
      <c r="F988" s="1" t="s">
        <v>9540</v>
      </c>
      <c r="G988" s="1" t="s">
        <v>14129</v>
      </c>
      <c r="H988" s="1" t="s">
        <v>14130</v>
      </c>
      <c r="I988" s="1" t="s">
        <v>15100</v>
      </c>
      <c r="J988" s="1" t="s">
        <v>23</v>
      </c>
      <c r="K988" s="1"/>
      <c r="L988" s="1" t="s">
        <v>9541</v>
      </c>
      <c r="M988" s="1" t="s">
        <v>9541</v>
      </c>
      <c r="N988" s="12" t="b">
        <f t="shared" si="75"/>
        <v>1</v>
      </c>
      <c r="O988" s="1" t="s">
        <v>9542</v>
      </c>
      <c r="P988" s="1" t="s">
        <v>9543</v>
      </c>
      <c r="Q988" s="1" t="s">
        <v>9544</v>
      </c>
      <c r="R988" s="1" t="s">
        <v>9545</v>
      </c>
      <c r="S988" s="1" t="s">
        <v>9546</v>
      </c>
      <c r="T988" s="1" t="s">
        <v>9547</v>
      </c>
      <c r="U988" s="1" t="s">
        <v>9548</v>
      </c>
      <c r="V988" s="13">
        <f>COUNTIF(L988:$M$1659,L988)</f>
        <v>2</v>
      </c>
      <c r="W988" s="1" t="s">
        <v>9549</v>
      </c>
      <c r="X988">
        <v>120.95</v>
      </c>
      <c r="Y988">
        <v>106.03</v>
      </c>
      <c r="Z988">
        <v>13.398467</v>
      </c>
      <c r="AA988">
        <v>109.104494</v>
      </c>
      <c r="AB988">
        <v>14.92</v>
      </c>
      <c r="AC988">
        <v>13.377414999999999</v>
      </c>
      <c r="AD988">
        <v>109.108029</v>
      </c>
      <c r="AE988" s="5">
        <f t="shared" si="76"/>
        <v>0.15904500000000002</v>
      </c>
      <c r="AF988" s="5">
        <f t="shared" si="77"/>
        <v>2.2380000000000001E-2</v>
      </c>
      <c r="AG988" s="1" t="str">
        <f>TRIM(LEFT(L988,FIND("-",L988)-1))</f>
        <v>Xuân Lãnh</v>
      </c>
      <c r="AH988" s="1" t="str">
        <f>TRIM(RIGHT(L988, LEN(L988) - FIND("-", L988)))</f>
        <v>Đồng Xuân</v>
      </c>
      <c r="AJ988">
        <f t="shared" si="78"/>
        <v>0.10603</v>
      </c>
      <c r="AK988">
        <f t="shared" si="79"/>
        <v>1.4919999999999999E-2</v>
      </c>
      <c r="AL988">
        <f>VLOOKUP(L988,'[1]Tuyến cáp H04'!$B:$E,3,0)/1000</f>
        <v>16.41</v>
      </c>
      <c r="AM988" t="str">
        <f>VLOOKUP(L988,'[1]Tuyến cáp H04'!$B:$E,4,0)</f>
        <v>Mạng cấp 4</v>
      </c>
    </row>
    <row r="989" spans="1:39" x14ac:dyDescent="0.25">
      <c r="A989" s="1" t="s">
        <v>9550</v>
      </c>
      <c r="B989" s="1" t="s">
        <v>8108</v>
      </c>
      <c r="C989" s="1" t="s">
        <v>8109</v>
      </c>
      <c r="D989" s="1" t="s">
        <v>9551</v>
      </c>
      <c r="E989" s="1" t="s">
        <v>9552</v>
      </c>
      <c r="F989" s="1" t="s">
        <v>9553</v>
      </c>
      <c r="G989" s="1" t="s">
        <v>14129</v>
      </c>
      <c r="H989" s="1" t="s">
        <v>14130</v>
      </c>
      <c r="I989" s="1" t="s">
        <v>15101</v>
      </c>
      <c r="J989" s="1" t="s">
        <v>23</v>
      </c>
      <c r="K989" s="1"/>
      <c r="L989" s="1" t="s">
        <v>8124</v>
      </c>
      <c r="M989" s="1" t="s">
        <v>8124</v>
      </c>
      <c r="N989" s="12" t="b">
        <f t="shared" si="75"/>
        <v>1</v>
      </c>
      <c r="O989" s="1" t="s">
        <v>9554</v>
      </c>
      <c r="P989" s="1" t="s">
        <v>8126</v>
      </c>
      <c r="Q989" s="1" t="s">
        <v>8127</v>
      </c>
      <c r="R989" s="1" t="s">
        <v>8128</v>
      </c>
      <c r="S989" s="1" t="s">
        <v>9555</v>
      </c>
      <c r="T989" s="1" t="s">
        <v>9556</v>
      </c>
      <c r="U989" s="1" t="s">
        <v>9557</v>
      </c>
      <c r="V989" s="13">
        <f>COUNTIF(L989:$M$1659,L989)</f>
        <v>4</v>
      </c>
      <c r="W989" s="1" t="s">
        <v>8132</v>
      </c>
      <c r="X989">
        <v>227.93</v>
      </c>
      <c r="Y989">
        <v>61.31</v>
      </c>
      <c r="Z989">
        <v>13.307845</v>
      </c>
      <c r="AA989">
        <v>109.215296</v>
      </c>
      <c r="AB989">
        <v>166.62</v>
      </c>
      <c r="AC989">
        <v>13.318313</v>
      </c>
      <c r="AD989">
        <v>109.18471099999999</v>
      </c>
      <c r="AE989" s="5">
        <f t="shared" si="76"/>
        <v>9.1965000000000005E-2</v>
      </c>
      <c r="AF989" s="5">
        <f t="shared" si="77"/>
        <v>0.24993000000000001</v>
      </c>
      <c r="AG989" s="1" t="str">
        <f>TRIM(LEFT(L989,FIND("-",L989)-1))</f>
        <v>Xuân Đài</v>
      </c>
      <c r="AH989" s="1" t="str">
        <f>TRIM(RIGHT(L989, LEN(L989) - FIND("-", L989)))</f>
        <v>Tuy An Bắc</v>
      </c>
      <c r="AJ989">
        <f t="shared" si="78"/>
        <v>6.1310000000000003E-2</v>
      </c>
      <c r="AK989">
        <f t="shared" si="79"/>
        <v>0.16662000000000002</v>
      </c>
      <c r="AL989" t="e">
        <f>VLOOKUP(L989,'[1]Tuyến cáp H04'!$B:$E,3,0)/1000</f>
        <v>#N/A</v>
      </c>
      <c r="AM989" t="e">
        <f>VLOOKUP(L989,'[1]Tuyến cáp H04'!$B:$E,4,0)</f>
        <v>#N/A</v>
      </c>
    </row>
    <row r="990" spans="1:39" x14ac:dyDescent="0.25">
      <c r="A990" s="1" t="s">
        <v>9558</v>
      </c>
      <c r="B990" s="1" t="s">
        <v>9559</v>
      </c>
      <c r="C990" s="1" t="s">
        <v>9560</v>
      </c>
      <c r="D990" s="1" t="s">
        <v>8121</v>
      </c>
      <c r="E990" s="1" t="s">
        <v>8122</v>
      </c>
      <c r="F990" s="1" t="s">
        <v>9561</v>
      </c>
      <c r="G990" s="1" t="s">
        <v>14129</v>
      </c>
      <c r="H990" s="1" t="s">
        <v>14130</v>
      </c>
      <c r="I990" s="1" t="s">
        <v>15102</v>
      </c>
      <c r="J990" s="1" t="s">
        <v>23</v>
      </c>
      <c r="K990" s="1"/>
      <c r="L990" s="1" t="s">
        <v>9562</v>
      </c>
      <c r="M990" s="1" t="s">
        <v>9562</v>
      </c>
      <c r="N990" s="12" t="b">
        <f t="shared" si="75"/>
        <v>1</v>
      </c>
      <c r="O990" s="1" t="s">
        <v>9563</v>
      </c>
      <c r="P990" s="1" t="s">
        <v>9564</v>
      </c>
      <c r="Q990" s="1" t="s">
        <v>9565</v>
      </c>
      <c r="R990" s="1" t="s">
        <v>9566</v>
      </c>
      <c r="S990" s="1" t="s">
        <v>9567</v>
      </c>
      <c r="T990" s="1" t="s">
        <v>9568</v>
      </c>
      <c r="U990" s="1" t="s">
        <v>9569</v>
      </c>
      <c r="V990" s="13">
        <f>COUNTIF(L990:$M$1659,L990)</f>
        <v>4</v>
      </c>
      <c r="W990" s="1" t="s">
        <v>9570</v>
      </c>
      <c r="X990">
        <v>1147.72</v>
      </c>
      <c r="Y990">
        <v>57.21</v>
      </c>
      <c r="Z990">
        <v>13.364934999999999</v>
      </c>
      <c r="AA990">
        <v>109.125821</v>
      </c>
      <c r="AB990">
        <v>1090.51</v>
      </c>
      <c r="AC990">
        <v>13.369785</v>
      </c>
      <c r="AD990">
        <v>109.114576</v>
      </c>
      <c r="AE990" s="5">
        <f t="shared" si="76"/>
        <v>8.5815000000000002E-2</v>
      </c>
      <c r="AF990" s="5">
        <f t="shared" si="77"/>
        <v>1.6357649999999999</v>
      </c>
      <c r="AG990" s="1" t="str">
        <f>TRIM(LEFT(L990,FIND("-",L990)-1))</f>
        <v>Tuy An Tây</v>
      </c>
      <c r="AH990" s="1" t="str">
        <f>TRIM(RIGHT(L990, LEN(L990) - FIND("-", L990)))</f>
        <v>TTCMKV Đồng
 Xuân</v>
      </c>
      <c r="AJ990">
        <f t="shared" si="78"/>
        <v>5.7210000000000004E-2</v>
      </c>
      <c r="AK990">
        <f t="shared" si="79"/>
        <v>1.0905100000000001</v>
      </c>
      <c r="AL990" t="e">
        <f>VLOOKUP(L990,'[1]Tuyến cáp H04'!$B:$E,3,0)/1000</f>
        <v>#N/A</v>
      </c>
      <c r="AM990" t="e">
        <f>VLOOKUP(L990,'[1]Tuyến cáp H04'!$B:$E,4,0)</f>
        <v>#N/A</v>
      </c>
    </row>
    <row r="991" spans="1:39" x14ac:dyDescent="0.25">
      <c r="A991" s="1" t="s">
        <v>9571</v>
      </c>
      <c r="B991" s="1" t="s">
        <v>8108</v>
      </c>
      <c r="C991" s="1" t="s">
        <v>8109</v>
      </c>
      <c r="D991" s="1" t="s">
        <v>9572</v>
      </c>
      <c r="E991" s="1" t="s">
        <v>9573</v>
      </c>
      <c r="F991" s="1" t="s">
        <v>9574</v>
      </c>
      <c r="G991" s="1" t="s">
        <v>14129</v>
      </c>
      <c r="H991" s="1" t="s">
        <v>14130</v>
      </c>
      <c r="I991" s="1" t="s">
        <v>15103</v>
      </c>
      <c r="J991" s="1" t="s">
        <v>23</v>
      </c>
      <c r="K991" s="1"/>
      <c r="L991" s="1" t="s">
        <v>8124</v>
      </c>
      <c r="M991" s="1" t="s">
        <v>8124</v>
      </c>
      <c r="N991" s="12" t="b">
        <f t="shared" si="75"/>
        <v>1</v>
      </c>
      <c r="O991" s="1" t="s">
        <v>9575</v>
      </c>
      <c r="P991" s="1" t="s">
        <v>8126</v>
      </c>
      <c r="Q991" s="1" t="s">
        <v>8127</v>
      </c>
      <c r="R991" s="1" t="s">
        <v>8128</v>
      </c>
      <c r="S991" s="1" t="s">
        <v>9576</v>
      </c>
      <c r="T991" s="1" t="s">
        <v>9577</v>
      </c>
      <c r="U991" s="1" t="s">
        <v>9578</v>
      </c>
      <c r="V991" s="13">
        <f>COUNTIF(L991:$M$1659,L991)</f>
        <v>2</v>
      </c>
      <c r="W991" s="1" t="s">
        <v>8132</v>
      </c>
      <c r="X991">
        <v>4426.9799999999996</v>
      </c>
      <c r="Y991">
        <v>61.31</v>
      </c>
      <c r="Z991">
        <v>13.307845</v>
      </c>
      <c r="AA991">
        <v>109.215296</v>
      </c>
      <c r="AB991">
        <v>4365.67</v>
      </c>
      <c r="AC991">
        <v>13.322787</v>
      </c>
      <c r="AD991">
        <v>109.175021</v>
      </c>
      <c r="AE991" s="5">
        <f t="shared" si="76"/>
        <v>9.1965000000000005E-2</v>
      </c>
      <c r="AF991" s="5">
        <f t="shared" si="77"/>
        <v>6.5485050000000005</v>
      </c>
      <c r="AG991" s="1" t="str">
        <f>TRIM(LEFT(L991,FIND("-",L991)-1))</f>
        <v>Xuân Đài</v>
      </c>
      <c r="AH991" s="1" t="str">
        <f>TRIM(RIGHT(L991, LEN(L991) - FIND("-", L991)))</f>
        <v>Tuy An Bắc</v>
      </c>
      <c r="AJ991">
        <f t="shared" si="78"/>
        <v>6.1310000000000003E-2</v>
      </c>
      <c r="AK991">
        <f t="shared" si="79"/>
        <v>4.3656699999999997</v>
      </c>
      <c r="AL991" t="e">
        <f>VLOOKUP(L991,'[1]Tuyến cáp H04'!$B:$E,3,0)/1000</f>
        <v>#N/A</v>
      </c>
      <c r="AM991" t="e">
        <f>VLOOKUP(L991,'[1]Tuyến cáp H04'!$B:$E,4,0)</f>
        <v>#N/A</v>
      </c>
    </row>
    <row r="992" spans="1:39" x14ac:dyDescent="0.25">
      <c r="A992" s="1" t="s">
        <v>9579</v>
      </c>
      <c r="B992" s="1" t="s">
        <v>9580</v>
      </c>
      <c r="C992" s="1" t="s">
        <v>9581</v>
      </c>
      <c r="D992" s="1" t="s">
        <v>8121</v>
      </c>
      <c r="E992" s="1" t="s">
        <v>8122</v>
      </c>
      <c r="F992" s="1" t="s">
        <v>9582</v>
      </c>
      <c r="G992" s="1" t="s">
        <v>14129</v>
      </c>
      <c r="H992" s="1" t="s">
        <v>14130</v>
      </c>
      <c r="I992" s="1" t="s">
        <v>15104</v>
      </c>
      <c r="J992" s="1" t="s">
        <v>23</v>
      </c>
      <c r="K992" s="1"/>
      <c r="L992" s="1" t="s">
        <v>9562</v>
      </c>
      <c r="M992" s="1" t="s">
        <v>9562</v>
      </c>
      <c r="N992" s="12" t="b">
        <f t="shared" si="75"/>
        <v>1</v>
      </c>
      <c r="O992" s="1" t="s">
        <v>9583</v>
      </c>
      <c r="P992" s="1" t="s">
        <v>9584</v>
      </c>
      <c r="Q992" s="1" t="s">
        <v>9585</v>
      </c>
      <c r="R992" s="1" t="s">
        <v>9586</v>
      </c>
      <c r="S992" s="1" t="s">
        <v>9567</v>
      </c>
      <c r="T992" s="1" t="s">
        <v>9568</v>
      </c>
      <c r="U992" s="1" t="s">
        <v>9569</v>
      </c>
      <c r="V992" s="13">
        <f>COUNTIF(L992:$M$1659,L992)</f>
        <v>2</v>
      </c>
      <c r="W992" s="1" t="s">
        <v>9570</v>
      </c>
      <c r="X992">
        <v>6852.7</v>
      </c>
      <c r="Y992">
        <v>5762.19</v>
      </c>
      <c r="Z992">
        <v>13.256083</v>
      </c>
      <c r="AA992">
        <v>109.17153999999999</v>
      </c>
      <c r="AB992">
        <v>1090.51</v>
      </c>
      <c r="AC992">
        <v>13.369785</v>
      </c>
      <c r="AD992">
        <v>109.114576</v>
      </c>
      <c r="AE992" s="5">
        <f t="shared" si="76"/>
        <v>8.6432850000000006</v>
      </c>
      <c r="AF992" s="5">
        <f t="shared" si="77"/>
        <v>1.6357649999999999</v>
      </c>
      <c r="AG992" s="1" t="str">
        <f>TRIM(LEFT(L992,FIND("-",L992)-1))</f>
        <v>Tuy An Tây</v>
      </c>
      <c r="AH992" s="1" t="str">
        <f>TRIM(RIGHT(L992, LEN(L992) - FIND("-", L992)))</f>
        <v>TTCMKV Đồng
 Xuân</v>
      </c>
      <c r="AJ992">
        <f t="shared" si="78"/>
        <v>5.7621899999999995</v>
      </c>
      <c r="AK992">
        <f t="shared" si="79"/>
        <v>1.0905100000000001</v>
      </c>
      <c r="AL992" t="e">
        <f>VLOOKUP(L992,'[1]Tuyến cáp H04'!$B:$E,3,0)/1000</f>
        <v>#N/A</v>
      </c>
      <c r="AM992" t="e">
        <f>VLOOKUP(L992,'[1]Tuyến cáp H04'!$B:$E,4,0)</f>
        <v>#N/A</v>
      </c>
    </row>
    <row r="993" spans="1:39" x14ac:dyDescent="0.25">
      <c r="A993" s="1" t="s">
        <v>9587</v>
      </c>
      <c r="B993" s="1" t="s">
        <v>8121</v>
      </c>
      <c r="C993" s="1" t="s">
        <v>8122</v>
      </c>
      <c r="D993" s="1" t="s">
        <v>9588</v>
      </c>
      <c r="E993" s="1" t="s">
        <v>9589</v>
      </c>
      <c r="F993" s="1" t="s">
        <v>9590</v>
      </c>
      <c r="G993" s="1" t="s">
        <v>14129</v>
      </c>
      <c r="H993" s="1" t="s">
        <v>14130</v>
      </c>
      <c r="I993" s="1" t="s">
        <v>15105</v>
      </c>
      <c r="J993" s="1" t="s">
        <v>23</v>
      </c>
      <c r="K993" s="1"/>
      <c r="L993" s="1" t="s">
        <v>9591</v>
      </c>
      <c r="M993" s="1" t="s">
        <v>9591</v>
      </c>
      <c r="N993" s="12" t="b">
        <f t="shared" si="75"/>
        <v>1</v>
      </c>
      <c r="O993" s="1" t="s">
        <v>9592</v>
      </c>
      <c r="P993" s="1" t="s">
        <v>9593</v>
      </c>
      <c r="Q993" s="1" t="s">
        <v>9594</v>
      </c>
      <c r="R993" s="1" t="s">
        <v>9595</v>
      </c>
      <c r="S993" s="1" t="s">
        <v>9596</v>
      </c>
      <c r="T993" s="1" t="s">
        <v>9597</v>
      </c>
      <c r="U993" s="1" t="s">
        <v>9598</v>
      </c>
      <c r="V993" s="13">
        <f>COUNTIF(L993:$M$1659,L993)</f>
        <v>4</v>
      </c>
      <c r="W993" s="1" t="s">
        <v>9599</v>
      </c>
      <c r="X993">
        <v>1483.39</v>
      </c>
      <c r="Y993">
        <v>276.61</v>
      </c>
      <c r="Z993">
        <v>13.378349</v>
      </c>
      <c r="AA993">
        <v>109.110418</v>
      </c>
      <c r="AB993">
        <v>1206.78</v>
      </c>
      <c r="AC993">
        <v>13.36351</v>
      </c>
      <c r="AD993">
        <v>109.092275</v>
      </c>
      <c r="AE993" s="5">
        <f t="shared" si="76"/>
        <v>0.41491500000000003</v>
      </c>
      <c r="AF993" s="5">
        <f t="shared" si="77"/>
        <v>1.8101700000000001</v>
      </c>
      <c r="AG993" s="1" t="str">
        <f>TRIM(LEFT(L993,FIND("-",L993)-1))</f>
        <v>Trại giam Xuân Phước (C10)</v>
      </c>
      <c r="AH993" s="1" t="str">
        <f>TRIM(RIGHT(L993, LEN(L993) - FIND("-", L993)))</f>
        <v>TTCMKV Đồng Xuân</v>
      </c>
      <c r="AJ993">
        <f t="shared" si="78"/>
        <v>0.27661000000000002</v>
      </c>
      <c r="AK993">
        <f t="shared" si="79"/>
        <v>1.20678</v>
      </c>
      <c r="AL993">
        <f>VLOOKUP(L993,'[1]Tuyến cáp H04'!$B:$E,3,0)/1000</f>
        <v>14.55</v>
      </c>
      <c r="AM993" t="str">
        <f>VLOOKUP(L993,'[1]Tuyến cáp H04'!$B:$E,4,0)</f>
        <v>Mạng cấp 3</v>
      </c>
    </row>
    <row r="994" spans="1:39" x14ac:dyDescent="0.25">
      <c r="A994" s="1" t="s">
        <v>9600</v>
      </c>
      <c r="B994" s="1" t="s">
        <v>9601</v>
      </c>
      <c r="C994" s="1" t="s">
        <v>9602</v>
      </c>
      <c r="D994" s="1" t="s">
        <v>9603</v>
      </c>
      <c r="E994" s="1" t="s">
        <v>9604</v>
      </c>
      <c r="F994" s="1" t="s">
        <v>9605</v>
      </c>
      <c r="G994" s="1" t="s">
        <v>14129</v>
      </c>
      <c r="H994" s="1" t="s">
        <v>14130</v>
      </c>
      <c r="I994" s="1" t="s">
        <v>15106</v>
      </c>
      <c r="J994" s="1" t="s">
        <v>23</v>
      </c>
      <c r="K994" s="1"/>
      <c r="L994" s="1" t="s">
        <v>8137</v>
      </c>
      <c r="M994" s="1" t="s">
        <v>8137</v>
      </c>
      <c r="N994" s="12" t="b">
        <f t="shared" si="75"/>
        <v>1</v>
      </c>
      <c r="O994" s="1" t="s">
        <v>9606</v>
      </c>
      <c r="P994" s="1" t="s">
        <v>9607</v>
      </c>
      <c r="Q994" s="1" t="s">
        <v>9608</v>
      </c>
      <c r="R994" s="1" t="s">
        <v>9609</v>
      </c>
      <c r="S994" s="1" t="s">
        <v>9610</v>
      </c>
      <c r="T994" s="1" t="s">
        <v>9611</v>
      </c>
      <c r="U994" s="1" t="s">
        <v>9612</v>
      </c>
      <c r="V994" s="13">
        <f>COUNTIF(L994:$M$1659,L994)</f>
        <v>2</v>
      </c>
      <c r="W994" s="1" t="s">
        <v>8145</v>
      </c>
      <c r="X994">
        <v>944.4</v>
      </c>
      <c r="Y994">
        <v>98.12</v>
      </c>
      <c r="Z994">
        <v>13.322913</v>
      </c>
      <c r="AA994">
        <v>109.079144</v>
      </c>
      <c r="AB994">
        <v>846.29</v>
      </c>
      <c r="AC994">
        <v>13.301697000000001</v>
      </c>
      <c r="AD994">
        <v>109.07306699999999</v>
      </c>
      <c r="AE994" s="5">
        <f t="shared" si="76"/>
        <v>0.14718000000000001</v>
      </c>
      <c r="AF994" s="5">
        <f t="shared" si="77"/>
        <v>1.2694349999999999</v>
      </c>
      <c r="AG994" s="1" t="str">
        <f>TRIM(LEFT(L994,FIND("-",L994)-1))</f>
        <v>CAX Sơn Định (Sơn Hòa)</v>
      </c>
      <c r="AH994" s="1" t="str">
        <f>TRIM(RIGHT(L994, LEN(L994) - FIND("-", L994)))</f>
        <v>Đồng Xuân</v>
      </c>
      <c r="AJ994">
        <f t="shared" si="78"/>
        <v>9.8119999999999999E-2</v>
      </c>
      <c r="AK994">
        <f t="shared" si="79"/>
        <v>0.84628999999999999</v>
      </c>
      <c r="AL994">
        <f>VLOOKUP(L994,'[1]Tuyến cáp H04'!$B:$E,3,0)/1000</f>
        <v>26.63</v>
      </c>
      <c r="AM994" t="str">
        <f>VLOOKUP(L994,'[1]Tuyến cáp H04'!$B:$E,4,0)</f>
        <v>Mạng cấp 3</v>
      </c>
    </row>
    <row r="995" spans="1:39" x14ac:dyDescent="0.25">
      <c r="A995" s="1" t="s">
        <v>9613</v>
      </c>
      <c r="B995" s="1" t="s">
        <v>9603</v>
      </c>
      <c r="C995" s="1" t="s">
        <v>9604</v>
      </c>
      <c r="D995" s="1" t="s">
        <v>8134</v>
      </c>
      <c r="E995" s="1" t="s">
        <v>8135</v>
      </c>
      <c r="F995" s="1" t="s">
        <v>9614</v>
      </c>
      <c r="G995" s="1" t="s">
        <v>14129</v>
      </c>
      <c r="H995" s="1" t="s">
        <v>14130</v>
      </c>
      <c r="I995" s="1" t="s">
        <v>15107</v>
      </c>
      <c r="J995" s="1" t="s">
        <v>23</v>
      </c>
      <c r="K995" s="1"/>
      <c r="L995" s="1" t="s">
        <v>8148</v>
      </c>
      <c r="M995" s="1" t="s">
        <v>8148</v>
      </c>
      <c r="N995" s="12" t="b">
        <f t="shared" si="75"/>
        <v>1</v>
      </c>
      <c r="O995" s="1" t="s">
        <v>9615</v>
      </c>
      <c r="P995" s="1" t="s">
        <v>9616</v>
      </c>
      <c r="Q995" s="1" t="s">
        <v>9617</v>
      </c>
      <c r="R995" s="1" t="s">
        <v>9618</v>
      </c>
      <c r="S995" s="1" t="s">
        <v>9619</v>
      </c>
      <c r="T995" s="1" t="s">
        <v>9620</v>
      </c>
      <c r="U995" s="1" t="s">
        <v>9621</v>
      </c>
      <c r="V995" s="13">
        <f>COUNTIF(L995:$M$1659,L995)</f>
        <v>4</v>
      </c>
      <c r="W995" s="1" t="s">
        <v>8156</v>
      </c>
      <c r="X995">
        <v>7155.68</v>
      </c>
      <c r="Y995">
        <v>125.14</v>
      </c>
      <c r="Z995">
        <v>13.29852</v>
      </c>
      <c r="AA995">
        <v>109.064847</v>
      </c>
      <c r="AB995">
        <v>7030.55</v>
      </c>
      <c r="AC995">
        <v>13.266185</v>
      </c>
      <c r="AD995">
        <v>109.047833</v>
      </c>
      <c r="AE995" s="5">
        <f t="shared" si="76"/>
        <v>0.18771000000000002</v>
      </c>
      <c r="AF995" s="5">
        <f t="shared" si="77"/>
        <v>10.545825000000001</v>
      </c>
      <c r="AG995" s="1" t="str">
        <f>TRIM(LEFT(L995,FIND("-",L995)-1))</f>
        <v>Xuân Phước</v>
      </c>
      <c r="AH995" s="1" t="str">
        <f>TRIM(RIGHT(L995, LEN(L995) - FIND("-", L995)))</f>
        <v>Vân Hòa</v>
      </c>
      <c r="AJ995">
        <f t="shared" si="78"/>
        <v>0.12514</v>
      </c>
      <c r="AK995">
        <f t="shared" si="79"/>
        <v>7.0305499999999999</v>
      </c>
      <c r="AL995">
        <f>VLOOKUP(L995,'[1]Tuyến cáp H04'!$B:$E,3,0)/1000</f>
        <v>29.954000000000001</v>
      </c>
      <c r="AM995" t="str">
        <f>VLOOKUP(L995,'[1]Tuyến cáp H04'!$B:$E,4,0)</f>
        <v>Mạng cấp 4</v>
      </c>
    </row>
    <row r="996" spans="1:39" x14ac:dyDescent="0.25">
      <c r="A996" s="1" t="s">
        <v>9622</v>
      </c>
      <c r="B996" s="1" t="s">
        <v>9623</v>
      </c>
      <c r="C996" s="1" t="s">
        <v>9624</v>
      </c>
      <c r="D996" s="1" t="s">
        <v>9147</v>
      </c>
      <c r="E996" s="1" t="s">
        <v>9148</v>
      </c>
      <c r="F996" s="1" t="s">
        <v>9625</v>
      </c>
      <c r="G996" s="1" t="s">
        <v>14129</v>
      </c>
      <c r="H996" s="1" t="s">
        <v>14130</v>
      </c>
      <c r="I996" s="1" t="s">
        <v>15108</v>
      </c>
      <c r="J996" s="1" t="s">
        <v>23</v>
      </c>
      <c r="K996" s="1"/>
      <c r="L996" s="1" t="s">
        <v>9626</v>
      </c>
      <c r="M996" s="1" t="s">
        <v>9626</v>
      </c>
      <c r="N996" s="12" t="b">
        <f t="shared" si="75"/>
        <v>1</v>
      </c>
      <c r="O996" s="1" t="s">
        <v>9627</v>
      </c>
      <c r="P996" s="1" t="s">
        <v>9628</v>
      </c>
      <c r="Q996" s="1" t="s">
        <v>9629</v>
      </c>
      <c r="R996" s="1" t="s">
        <v>9630</v>
      </c>
      <c r="S996" s="1" t="s">
        <v>9631</v>
      </c>
      <c r="T996" s="1" t="s">
        <v>9629</v>
      </c>
      <c r="U996" s="1" t="s">
        <v>9630</v>
      </c>
      <c r="V996" s="13">
        <f>COUNTIF(L996:$M$1659,L996)</f>
        <v>2</v>
      </c>
      <c r="W996" s="1" t="s">
        <v>9632</v>
      </c>
      <c r="X996">
        <v>2829.47</v>
      </c>
      <c r="Y996">
        <v>2821.78</v>
      </c>
      <c r="Z996">
        <v>12.908676</v>
      </c>
      <c r="AA996">
        <v>109.369789</v>
      </c>
      <c r="AB996">
        <v>7.69</v>
      </c>
      <c r="AC996">
        <v>12.908676</v>
      </c>
      <c r="AD996">
        <v>109.369789</v>
      </c>
      <c r="AE996" s="5">
        <f t="shared" si="76"/>
        <v>4.2326699999999997</v>
      </c>
      <c r="AF996" s="5">
        <f t="shared" si="77"/>
        <v>1.1535E-2</v>
      </c>
      <c r="AG996" s="1" t="str">
        <f>TRIM(LEFT(L996,FIND("-",L996)-1))</f>
        <v>Hòa Xuân</v>
      </c>
      <c r="AH996" s="1" t="str">
        <f>TRIM(RIGHT(L996, LEN(L996) - FIND("-", L996)))</f>
        <v>Hòa Hiệp</v>
      </c>
      <c r="AJ996">
        <f t="shared" si="78"/>
        <v>2.8217800000000004</v>
      </c>
      <c r="AK996">
        <f t="shared" si="79"/>
        <v>7.6900000000000007E-3</v>
      </c>
      <c r="AL996">
        <f>VLOOKUP(L996,'[1]Tuyến cáp H04'!$B:$E,3,0)/1000</f>
        <v>15.784000000000001</v>
      </c>
      <c r="AM996" t="str">
        <f>VLOOKUP(L996,'[1]Tuyến cáp H04'!$B:$E,4,0)</f>
        <v>Mạng cấp 4</v>
      </c>
    </row>
    <row r="997" spans="1:39" x14ac:dyDescent="0.25">
      <c r="A997" s="1" t="s">
        <v>9633</v>
      </c>
      <c r="B997" s="1" t="s">
        <v>9634</v>
      </c>
      <c r="C997" s="1" t="s">
        <v>9635</v>
      </c>
      <c r="D997" s="1" t="s">
        <v>9147</v>
      </c>
      <c r="E997" s="1" t="s">
        <v>9148</v>
      </c>
      <c r="F997" s="1" t="s">
        <v>9636</v>
      </c>
      <c r="G997" s="1" t="s">
        <v>14129</v>
      </c>
      <c r="H997" s="1" t="s">
        <v>14130</v>
      </c>
      <c r="I997" s="1" t="s">
        <v>15109</v>
      </c>
      <c r="J997" s="1" t="s">
        <v>23</v>
      </c>
      <c r="K997" s="1"/>
      <c r="L997" s="1" t="s">
        <v>9150</v>
      </c>
      <c r="M997" s="1" t="s">
        <v>9150</v>
      </c>
      <c r="N997" s="12" t="b">
        <f t="shared" si="75"/>
        <v>1</v>
      </c>
      <c r="O997" s="1" t="s">
        <v>9637</v>
      </c>
      <c r="P997" s="1" t="s">
        <v>9638</v>
      </c>
      <c r="Q997" s="1" t="s">
        <v>9639</v>
      </c>
      <c r="R997" s="1" t="s">
        <v>9640</v>
      </c>
      <c r="S997" s="1" t="s">
        <v>9155</v>
      </c>
      <c r="T997" s="1" t="s">
        <v>9156</v>
      </c>
      <c r="U997" s="1" t="s">
        <v>9157</v>
      </c>
      <c r="V997" s="13">
        <f>COUNTIF(L997:$M$1659,L997)</f>
        <v>2</v>
      </c>
      <c r="W997" s="1" t="s">
        <v>9158</v>
      </c>
      <c r="X997">
        <v>469.73</v>
      </c>
      <c r="Y997">
        <v>464.96</v>
      </c>
      <c r="Z997">
        <v>12.946676999999999</v>
      </c>
      <c r="AA997">
        <v>109.35947899999999</v>
      </c>
      <c r="AB997">
        <v>4.7699999999999996</v>
      </c>
      <c r="AC997">
        <v>12.908752</v>
      </c>
      <c r="AD997">
        <v>109.369775</v>
      </c>
      <c r="AE997" s="5">
        <f t="shared" si="76"/>
        <v>0.69743999999999995</v>
      </c>
      <c r="AF997" s="5">
        <f t="shared" si="77"/>
        <v>7.154999999999999E-3</v>
      </c>
      <c r="AG997" s="1" t="str">
        <f>TRIM(LEFT(L997,FIND("-",L997)-1))</f>
        <v>Đông Hòa</v>
      </c>
      <c r="AH997" s="1" t="str">
        <f>TRIM(RIGHT(L997, LEN(L997) - FIND("-", L997)))</f>
        <v>Hòa Xuân</v>
      </c>
      <c r="AJ997">
        <f t="shared" si="78"/>
        <v>0.46495999999999998</v>
      </c>
      <c r="AK997">
        <f t="shared" si="79"/>
        <v>4.7699999999999999E-3</v>
      </c>
      <c r="AL997">
        <f>VLOOKUP(L997,'[1]Tuyến cáp H04'!$B:$E,3,0)/1000</f>
        <v>11.542999999999999</v>
      </c>
      <c r="AM997" t="str">
        <f>VLOOKUP(L997,'[1]Tuyến cáp H04'!$B:$E,4,0)</f>
        <v>Mạng cấp 4</v>
      </c>
    </row>
    <row r="998" spans="1:39" x14ac:dyDescent="0.25">
      <c r="A998" s="1" t="s">
        <v>9641</v>
      </c>
      <c r="B998" s="1" t="s">
        <v>9642</v>
      </c>
      <c r="C998" s="1" t="s">
        <v>9643</v>
      </c>
      <c r="D998" s="1" t="s">
        <v>9193</v>
      </c>
      <c r="E998" s="1" t="s">
        <v>9194</v>
      </c>
      <c r="F998" s="1" t="s">
        <v>9644</v>
      </c>
      <c r="G998" s="1" t="s">
        <v>14129</v>
      </c>
      <c r="H998" s="1" t="s">
        <v>14130</v>
      </c>
      <c r="I998" s="1" t="s">
        <v>15110</v>
      </c>
      <c r="J998" s="1" t="s">
        <v>23</v>
      </c>
      <c r="K998" s="1"/>
      <c r="L998" s="1" t="s">
        <v>9645</v>
      </c>
      <c r="M998" s="1" t="s">
        <v>9645</v>
      </c>
      <c r="N998" s="12" t="b">
        <f t="shared" si="75"/>
        <v>1</v>
      </c>
      <c r="O998" s="1" t="s">
        <v>9646</v>
      </c>
      <c r="P998" s="1" t="s">
        <v>9647</v>
      </c>
      <c r="Q998" s="1" t="s">
        <v>9648</v>
      </c>
      <c r="R998" s="1" t="s">
        <v>9649</v>
      </c>
      <c r="S998" s="1" t="s">
        <v>9650</v>
      </c>
      <c r="T998" s="1" t="s">
        <v>9651</v>
      </c>
      <c r="U998" s="1" t="s">
        <v>9652</v>
      </c>
      <c r="V998" s="13">
        <f>COUNTIF(L998:$M$1659,L998)</f>
        <v>2</v>
      </c>
      <c r="W998" s="1" t="s">
        <v>9653</v>
      </c>
      <c r="X998">
        <v>1461.24</v>
      </c>
      <c r="Y998">
        <v>1431.52</v>
      </c>
      <c r="Z998">
        <v>12.999019000000001</v>
      </c>
      <c r="AA998">
        <v>109.374774</v>
      </c>
      <c r="AB998">
        <v>29.72</v>
      </c>
      <c r="AC998">
        <v>12.997832000000001</v>
      </c>
      <c r="AD998">
        <v>109.370374</v>
      </c>
      <c r="AE998" s="5">
        <f t="shared" si="76"/>
        <v>2.1472799999999999</v>
      </c>
      <c r="AF998" s="5">
        <f t="shared" si="77"/>
        <v>4.4580000000000002E-2</v>
      </c>
      <c r="AG998" s="1" t="str">
        <f>TRIM(LEFT(L998,FIND("-",L998)-1))</f>
        <v>Hòa Hiệp CS2</v>
      </c>
      <c r="AH998" s="1" t="str">
        <f>TRIM(RIGHT(L998, LEN(L998) - FIND("-", L998)))</f>
        <v>CAT Phú Yên</v>
      </c>
      <c r="AJ998">
        <f t="shared" si="78"/>
        <v>1.4315199999999999</v>
      </c>
      <c r="AK998">
        <f t="shared" si="79"/>
        <v>2.972E-2</v>
      </c>
      <c r="AL998">
        <f>VLOOKUP(L998,'[1]Tuyến cáp H04'!$B:$E,3,0)/1000</f>
        <v>23.792000000000002</v>
      </c>
      <c r="AM998" t="str">
        <f>VLOOKUP(L998,'[1]Tuyến cáp H04'!$B:$E,4,0)</f>
        <v>Mạng cấp 4</v>
      </c>
    </row>
    <row r="999" spans="1:39" x14ac:dyDescent="0.25">
      <c r="A999" s="1" t="s">
        <v>9654</v>
      </c>
      <c r="B999" s="1" t="s">
        <v>9655</v>
      </c>
      <c r="C999" s="1" t="s">
        <v>9656</v>
      </c>
      <c r="D999" s="1" t="s">
        <v>9657</v>
      </c>
      <c r="E999" s="1" t="s">
        <v>9658</v>
      </c>
      <c r="F999" s="1" t="s">
        <v>9659</v>
      </c>
      <c r="G999" s="1" t="s">
        <v>14129</v>
      </c>
      <c r="H999" s="1" t="s">
        <v>14130</v>
      </c>
      <c r="I999" s="1" t="s">
        <v>15111</v>
      </c>
      <c r="J999" s="1" t="s">
        <v>23</v>
      </c>
      <c r="K999" s="1"/>
      <c r="L999" s="1" t="s">
        <v>9660</v>
      </c>
      <c r="M999" s="1" t="s">
        <v>9660</v>
      </c>
      <c r="N999" s="12" t="b">
        <f t="shared" si="75"/>
        <v>1</v>
      </c>
      <c r="O999" s="1" t="s">
        <v>9661</v>
      </c>
      <c r="P999" s="1" t="s">
        <v>9662</v>
      </c>
      <c r="Q999" s="1" t="s">
        <v>9663</v>
      </c>
      <c r="R999" s="1" t="s">
        <v>9664</v>
      </c>
      <c r="S999" s="1" t="s">
        <v>9665</v>
      </c>
      <c r="T999" s="1" t="s">
        <v>9666</v>
      </c>
      <c r="U999" s="1" t="s">
        <v>9667</v>
      </c>
      <c r="V999" s="13">
        <f>COUNTIF(L999:$M$1659,L999)</f>
        <v>2</v>
      </c>
      <c r="W999" s="1" t="s">
        <v>9668</v>
      </c>
      <c r="X999">
        <v>263.62</v>
      </c>
      <c r="Y999">
        <v>215.09</v>
      </c>
      <c r="Z999">
        <v>13.099017</v>
      </c>
      <c r="AA999">
        <v>109.289473</v>
      </c>
      <c r="AB999">
        <v>48.53</v>
      </c>
      <c r="AC999">
        <v>13.095419</v>
      </c>
      <c r="AD999">
        <v>109.29175499999999</v>
      </c>
      <c r="AE999" s="5">
        <f t="shared" si="76"/>
        <v>0.32263500000000001</v>
      </c>
      <c r="AF999" s="5">
        <f t="shared" si="77"/>
        <v>7.2794999999999999E-2</v>
      </c>
      <c r="AG999" s="1" t="str">
        <f>TRIM(LEFT(L999,FIND("-",L999)-1))</f>
        <v>PA06</v>
      </c>
      <c r="AH999" s="1" t="str">
        <f>TRIM(RIGHT(L999, LEN(L999) - FIND("-", L999)))</f>
        <v>TT2 Đắk Lắk (Tuy Hòa)</v>
      </c>
      <c r="AJ999">
        <f t="shared" si="78"/>
        <v>0.21509</v>
      </c>
      <c r="AK999">
        <f t="shared" si="79"/>
        <v>4.8530000000000004E-2</v>
      </c>
      <c r="AL999" t="e">
        <f>VLOOKUP(L999,'[1]Tuyến cáp H04'!$B:$E,3,0)/1000</f>
        <v>#N/A</v>
      </c>
      <c r="AM999" t="e">
        <f>VLOOKUP(L999,'[1]Tuyến cáp H04'!$B:$E,4,0)</f>
        <v>#N/A</v>
      </c>
    </row>
    <row r="1000" spans="1:39" x14ac:dyDescent="0.25">
      <c r="A1000" s="1" t="s">
        <v>9669</v>
      </c>
      <c r="B1000" s="1" t="s">
        <v>9670</v>
      </c>
      <c r="C1000" s="1" t="s">
        <v>9671</v>
      </c>
      <c r="D1000" s="1" t="s">
        <v>9480</v>
      </c>
      <c r="E1000" s="1" t="s">
        <v>9481</v>
      </c>
      <c r="F1000" s="1" t="s">
        <v>9672</v>
      </c>
      <c r="G1000" s="1" t="s">
        <v>14129</v>
      </c>
      <c r="H1000" s="1" t="s">
        <v>14130</v>
      </c>
      <c r="I1000" s="1" t="s">
        <v>15112</v>
      </c>
      <c r="J1000" s="1" t="s">
        <v>23</v>
      </c>
      <c r="K1000" s="1"/>
      <c r="L1000" s="1" t="s">
        <v>9673</v>
      </c>
      <c r="M1000" s="1" t="s">
        <v>9673</v>
      </c>
      <c r="N1000" s="12" t="b">
        <f t="shared" si="75"/>
        <v>1</v>
      </c>
      <c r="O1000" s="1" t="s">
        <v>9674</v>
      </c>
      <c r="P1000" s="1" t="s">
        <v>9675</v>
      </c>
      <c r="Q1000" s="1" t="s">
        <v>9676</v>
      </c>
      <c r="R1000" s="1" t="s">
        <v>9677</v>
      </c>
      <c r="S1000" s="1" t="s">
        <v>9678</v>
      </c>
      <c r="T1000" s="1" t="s">
        <v>9679</v>
      </c>
      <c r="U1000" s="1" t="s">
        <v>9680</v>
      </c>
      <c r="V1000" s="13">
        <f>COUNTIF(L1000:$M$1659,L1000)</f>
        <v>4</v>
      </c>
      <c r="W1000" s="1" t="s">
        <v>9681</v>
      </c>
      <c r="X1000">
        <v>248.59</v>
      </c>
      <c r="Y1000">
        <v>212.95</v>
      </c>
      <c r="Z1000">
        <v>13.341809</v>
      </c>
      <c r="AA1000">
        <v>109.254057</v>
      </c>
      <c r="AB1000">
        <v>35.630000000000003</v>
      </c>
      <c r="AC1000">
        <v>13.340781</v>
      </c>
      <c r="AD1000">
        <v>109.254279</v>
      </c>
      <c r="AE1000" s="5">
        <f t="shared" si="76"/>
        <v>0.31942499999999996</v>
      </c>
      <c r="AF1000" s="5">
        <f t="shared" si="77"/>
        <v>5.3445000000000006E-2</v>
      </c>
      <c r="AG1000" s="1" t="str">
        <f>TRIM(LEFT(L1000,FIND("-",L1000)-1))</f>
        <v>Ô Loan</v>
      </c>
      <c r="AH1000" s="1" t="str">
        <f>TRIM(RIGHT(L1000, LEN(L1000) - FIND("-", L1000)))</f>
        <v>Tuy An Đông</v>
      </c>
      <c r="AJ1000">
        <f t="shared" si="78"/>
        <v>0.21295</v>
      </c>
      <c r="AK1000">
        <f t="shared" si="79"/>
        <v>3.5630000000000002E-2</v>
      </c>
      <c r="AL1000">
        <f>VLOOKUP(L1000,'[1]Tuyến cáp H04'!$B:$E,3,0)/1000</f>
        <v>20.734000000000002</v>
      </c>
      <c r="AM1000" t="str">
        <f>VLOOKUP(L1000,'[1]Tuyến cáp H04'!$B:$E,4,0)</f>
        <v>Mạng cấp 4</v>
      </c>
    </row>
    <row r="1001" spans="1:39" x14ac:dyDescent="0.25">
      <c r="A1001" s="1" t="s">
        <v>9682</v>
      </c>
      <c r="B1001" s="1" t="s">
        <v>9683</v>
      </c>
      <c r="C1001" s="1" t="s">
        <v>9684</v>
      </c>
      <c r="D1001" s="1" t="s">
        <v>9499</v>
      </c>
      <c r="E1001" s="1" t="s">
        <v>9500</v>
      </c>
      <c r="F1001" s="1" t="s">
        <v>9685</v>
      </c>
      <c r="G1001" s="1" t="s">
        <v>14129</v>
      </c>
      <c r="H1001" s="1" t="s">
        <v>14130</v>
      </c>
      <c r="I1001" s="1" t="s">
        <v>15113</v>
      </c>
      <c r="J1001" s="1" t="s">
        <v>23</v>
      </c>
      <c r="K1001" s="1"/>
      <c r="L1001" s="1" t="s">
        <v>8111</v>
      </c>
      <c r="M1001" s="1" t="s">
        <v>8111</v>
      </c>
      <c r="N1001" s="12" t="b">
        <f t="shared" si="75"/>
        <v>1</v>
      </c>
      <c r="O1001" s="1" t="s">
        <v>9686</v>
      </c>
      <c r="P1001" s="1" t="s">
        <v>9687</v>
      </c>
      <c r="Q1001" s="1" t="s">
        <v>9688</v>
      </c>
      <c r="R1001" s="1" t="s">
        <v>9689</v>
      </c>
      <c r="S1001" s="1" t="s">
        <v>9503</v>
      </c>
      <c r="T1001" s="1" t="s">
        <v>9504</v>
      </c>
      <c r="U1001" s="1" t="s">
        <v>9505</v>
      </c>
      <c r="V1001" s="13">
        <f>COUNTIF(L1001:$M$1659,L1001)</f>
        <v>10</v>
      </c>
      <c r="W1001" s="1" t="s">
        <v>8119</v>
      </c>
      <c r="X1001">
        <v>1451.42</v>
      </c>
      <c r="Y1001">
        <v>1193.94</v>
      </c>
      <c r="Z1001">
        <v>13.251925</v>
      </c>
      <c r="AA1001">
        <v>109.251918</v>
      </c>
      <c r="AB1001">
        <v>257.48</v>
      </c>
      <c r="AC1001">
        <v>13.240807</v>
      </c>
      <c r="AD1001">
        <v>109.255388</v>
      </c>
      <c r="AE1001" s="5">
        <f t="shared" si="76"/>
        <v>1.79091</v>
      </c>
      <c r="AF1001" s="5">
        <f t="shared" si="77"/>
        <v>0.38622000000000001</v>
      </c>
      <c r="AG1001" s="1" t="str">
        <f>TRIM(LEFT(L1001,FIND("-",L1001)-1))</f>
        <v>Sông Cầu</v>
      </c>
      <c r="AH1001" s="1" t="str">
        <f>TRIM(RIGHT(L1001, LEN(L1001) - FIND("-", L1001)))</f>
        <v>TT2 Tuy Hòa</v>
      </c>
      <c r="AJ1001">
        <f t="shared" si="78"/>
        <v>1.19394</v>
      </c>
      <c r="AK1001">
        <f t="shared" si="79"/>
        <v>0.25748000000000004</v>
      </c>
      <c r="AL1001">
        <f>VLOOKUP(L1001,'[1]Tuyến cáp H04'!$B:$E,3,0)/1000</f>
        <v>48.265999999999998</v>
      </c>
      <c r="AM1001" t="str">
        <f>VLOOKUP(L1001,'[1]Tuyến cáp H04'!$B:$E,4,0)</f>
        <v>Mạng cấp 3</v>
      </c>
    </row>
    <row r="1002" spans="1:39" x14ac:dyDescent="0.25">
      <c r="A1002" s="1" t="s">
        <v>9690</v>
      </c>
      <c r="B1002" s="1" t="s">
        <v>9691</v>
      </c>
      <c r="C1002" s="1" t="s">
        <v>9692</v>
      </c>
      <c r="D1002" s="1" t="s">
        <v>9499</v>
      </c>
      <c r="E1002" s="1" t="s">
        <v>9500</v>
      </c>
      <c r="F1002" s="1" t="s">
        <v>9693</v>
      </c>
      <c r="G1002" s="1" t="s">
        <v>14129</v>
      </c>
      <c r="H1002" s="1" t="s">
        <v>14130</v>
      </c>
      <c r="I1002" s="1" t="s">
        <v>15114</v>
      </c>
      <c r="J1002" s="1" t="s">
        <v>23</v>
      </c>
      <c r="K1002" s="1"/>
      <c r="L1002" s="1" t="s">
        <v>8111</v>
      </c>
      <c r="M1002" s="1" t="s">
        <v>8111</v>
      </c>
      <c r="N1002" s="12" t="b">
        <f t="shared" si="75"/>
        <v>1</v>
      </c>
      <c r="O1002" s="1" t="s">
        <v>9694</v>
      </c>
      <c r="P1002" s="1" t="s">
        <v>9695</v>
      </c>
      <c r="Q1002" s="1" t="s">
        <v>9696</v>
      </c>
      <c r="R1002" s="1" t="s">
        <v>9697</v>
      </c>
      <c r="S1002" s="1" t="s">
        <v>9503</v>
      </c>
      <c r="T1002" s="1" t="s">
        <v>9504</v>
      </c>
      <c r="U1002" s="1" t="s">
        <v>9505</v>
      </c>
      <c r="V1002" s="13">
        <f>COUNTIF(L1002:$M$1659,L1002)</f>
        <v>8</v>
      </c>
      <c r="W1002" s="1" t="s">
        <v>8119</v>
      </c>
      <c r="X1002">
        <v>2584.96</v>
      </c>
      <c r="Y1002">
        <v>2327.48</v>
      </c>
      <c r="Z1002">
        <v>13.246874999999999</v>
      </c>
      <c r="AA1002">
        <v>109.25350400000001</v>
      </c>
      <c r="AB1002">
        <v>257.48</v>
      </c>
      <c r="AC1002">
        <v>13.240807</v>
      </c>
      <c r="AD1002">
        <v>109.255388</v>
      </c>
      <c r="AE1002" s="5">
        <f t="shared" si="76"/>
        <v>3.4912200000000002</v>
      </c>
      <c r="AF1002" s="5">
        <f t="shared" si="77"/>
        <v>0.38622000000000001</v>
      </c>
      <c r="AG1002" s="1" t="str">
        <f>TRIM(LEFT(L1002,FIND("-",L1002)-1))</f>
        <v>Sông Cầu</v>
      </c>
      <c r="AH1002" s="1" t="str">
        <f>TRIM(RIGHT(L1002, LEN(L1002) - FIND("-", L1002)))</f>
        <v>TT2 Tuy Hòa</v>
      </c>
      <c r="AJ1002">
        <f t="shared" si="78"/>
        <v>2.32748</v>
      </c>
      <c r="AK1002">
        <f t="shared" si="79"/>
        <v>0.25748000000000004</v>
      </c>
      <c r="AL1002">
        <f>VLOOKUP(L1002,'[1]Tuyến cáp H04'!$B:$E,3,0)/1000</f>
        <v>48.265999999999998</v>
      </c>
      <c r="AM1002" t="str">
        <f>VLOOKUP(L1002,'[1]Tuyến cáp H04'!$B:$E,4,0)</f>
        <v>Mạng cấp 3</v>
      </c>
    </row>
    <row r="1003" spans="1:39" x14ac:dyDescent="0.25">
      <c r="A1003" s="1" t="s">
        <v>9698</v>
      </c>
      <c r="B1003" s="1" t="s">
        <v>9699</v>
      </c>
      <c r="C1003" s="1" t="s">
        <v>9700</v>
      </c>
      <c r="D1003" s="1" t="s">
        <v>8121</v>
      </c>
      <c r="E1003" s="1" t="s">
        <v>8122</v>
      </c>
      <c r="F1003" s="1" t="s">
        <v>9701</v>
      </c>
      <c r="G1003" s="1" t="s">
        <v>14129</v>
      </c>
      <c r="H1003" s="1" t="s">
        <v>14130</v>
      </c>
      <c r="I1003" s="1" t="s">
        <v>15115</v>
      </c>
      <c r="J1003" s="1" t="s">
        <v>23</v>
      </c>
      <c r="K1003" s="1"/>
      <c r="L1003" s="1" t="s">
        <v>9591</v>
      </c>
      <c r="M1003" s="1" t="s">
        <v>9591</v>
      </c>
      <c r="N1003" s="12" t="b">
        <f t="shared" si="75"/>
        <v>1</v>
      </c>
      <c r="O1003" s="1" t="s">
        <v>9702</v>
      </c>
      <c r="P1003" s="1" t="s">
        <v>9703</v>
      </c>
      <c r="Q1003" s="1" t="s">
        <v>9704</v>
      </c>
      <c r="R1003" s="1" t="s">
        <v>9705</v>
      </c>
      <c r="S1003" s="1" t="s">
        <v>9593</v>
      </c>
      <c r="T1003" s="1" t="s">
        <v>9594</v>
      </c>
      <c r="U1003" s="1" t="s">
        <v>9595</v>
      </c>
      <c r="V1003" s="13">
        <f>COUNTIF(L1003:$M$1659,L1003)</f>
        <v>2</v>
      </c>
      <c r="W1003" s="1" t="s">
        <v>9599</v>
      </c>
      <c r="X1003">
        <v>692.49</v>
      </c>
      <c r="Y1003">
        <v>415.89</v>
      </c>
      <c r="Z1003">
        <v>13.364877999999999</v>
      </c>
      <c r="AA1003">
        <v>109.098874</v>
      </c>
      <c r="AB1003">
        <v>276.61</v>
      </c>
      <c r="AC1003">
        <v>13.378349</v>
      </c>
      <c r="AD1003">
        <v>109.110418</v>
      </c>
      <c r="AE1003" s="5">
        <f t="shared" si="76"/>
        <v>0.62383500000000003</v>
      </c>
      <c r="AF1003" s="5">
        <f t="shared" si="77"/>
        <v>0.41491500000000003</v>
      </c>
      <c r="AG1003" s="1" t="str">
        <f>TRIM(LEFT(L1003,FIND("-",L1003)-1))</f>
        <v>Trại giam Xuân Phước (C10)</v>
      </c>
      <c r="AH1003" s="1" t="str">
        <f>TRIM(RIGHT(L1003, LEN(L1003) - FIND("-", L1003)))</f>
        <v>TTCMKV Đồng Xuân</v>
      </c>
      <c r="AJ1003">
        <f t="shared" si="78"/>
        <v>0.41588999999999998</v>
      </c>
      <c r="AK1003">
        <f t="shared" si="79"/>
        <v>0.27661000000000002</v>
      </c>
      <c r="AL1003">
        <f>VLOOKUP(L1003,'[1]Tuyến cáp H04'!$B:$E,3,0)/1000</f>
        <v>14.55</v>
      </c>
      <c r="AM1003" t="str">
        <f>VLOOKUP(L1003,'[1]Tuyến cáp H04'!$B:$E,4,0)</f>
        <v>Mạng cấp 3</v>
      </c>
    </row>
    <row r="1004" spans="1:39" x14ac:dyDescent="0.25">
      <c r="A1004" s="1" t="s">
        <v>9706</v>
      </c>
      <c r="B1004" s="1" t="s">
        <v>9707</v>
      </c>
      <c r="C1004" s="1" t="s">
        <v>9708</v>
      </c>
      <c r="D1004" s="1" t="s">
        <v>9258</v>
      </c>
      <c r="E1004" s="1" t="s">
        <v>9259</v>
      </c>
      <c r="F1004" s="1" t="s">
        <v>9709</v>
      </c>
      <c r="G1004" s="1" t="s">
        <v>14129</v>
      </c>
      <c r="H1004" s="1" t="s">
        <v>14130</v>
      </c>
      <c r="I1004" s="1" t="s">
        <v>15116</v>
      </c>
      <c r="J1004" s="1" t="s">
        <v>23</v>
      </c>
      <c r="K1004" s="1"/>
      <c r="L1004" s="1" t="s">
        <v>9233</v>
      </c>
      <c r="M1004" s="1" t="s">
        <v>9233</v>
      </c>
      <c r="N1004" s="12" t="b">
        <f t="shared" si="75"/>
        <v>1</v>
      </c>
      <c r="O1004" s="1" t="s">
        <v>9710</v>
      </c>
      <c r="P1004" s="1" t="s">
        <v>9711</v>
      </c>
      <c r="Q1004" s="1" t="s">
        <v>9712</v>
      </c>
      <c r="R1004" s="1" t="s">
        <v>9713</v>
      </c>
      <c r="S1004" s="1" t="s">
        <v>9714</v>
      </c>
      <c r="T1004" s="1" t="s">
        <v>9715</v>
      </c>
      <c r="U1004" s="1" t="s">
        <v>9716</v>
      </c>
      <c r="V1004" s="13">
        <f>COUNTIF(L1004:$M$1659,L1004)</f>
        <v>2</v>
      </c>
      <c r="W1004" s="1" t="s">
        <v>9241</v>
      </c>
      <c r="X1004">
        <v>151.4</v>
      </c>
      <c r="Y1004">
        <v>130.26</v>
      </c>
      <c r="Z1004">
        <v>12.964807</v>
      </c>
      <c r="AA1004">
        <v>109.181684</v>
      </c>
      <c r="AB1004">
        <v>21.14</v>
      </c>
      <c r="AC1004">
        <v>12.964556999999999</v>
      </c>
      <c r="AD1004">
        <v>109.183734</v>
      </c>
      <c r="AE1004" s="5">
        <f t="shared" si="76"/>
        <v>0.19538999999999998</v>
      </c>
      <c r="AF1004" s="5">
        <f t="shared" si="77"/>
        <v>3.1710000000000002E-2</v>
      </c>
      <c r="AG1004" s="1" t="str">
        <f>TRIM(LEFT(L1004,FIND("-",L1004)-1))</f>
        <v>Sơn Thành</v>
      </c>
      <c r="AH1004" s="1" t="str">
        <f>TRIM(RIGHT(L1004, LEN(L1004) - FIND("-", L1004)))</f>
        <v>Hòa Mỹ</v>
      </c>
      <c r="AJ1004">
        <f t="shared" si="78"/>
        <v>0.13025999999999999</v>
      </c>
      <c r="AK1004">
        <f t="shared" si="79"/>
        <v>2.1139999999999999E-2</v>
      </c>
      <c r="AL1004">
        <f>VLOOKUP(L1004,'[1]Tuyến cáp H04'!$B:$E,3,0)/1000</f>
        <v>11.445</v>
      </c>
      <c r="AM1004" t="str">
        <f>VLOOKUP(L1004,'[1]Tuyến cáp H04'!$B:$E,4,0)</f>
        <v>Mạng cấp 4</v>
      </c>
    </row>
    <row r="1005" spans="1:39" x14ac:dyDescent="0.25">
      <c r="A1005" s="1" t="s">
        <v>9717</v>
      </c>
      <c r="B1005" s="1" t="s">
        <v>9718</v>
      </c>
      <c r="C1005" s="1" t="s">
        <v>9719</v>
      </c>
      <c r="D1005" s="1" t="s">
        <v>9258</v>
      </c>
      <c r="E1005" s="1" t="s">
        <v>9259</v>
      </c>
      <c r="F1005" s="1" t="s">
        <v>9720</v>
      </c>
      <c r="G1005" s="1" t="s">
        <v>14129</v>
      </c>
      <c r="H1005" s="1" t="s">
        <v>14130</v>
      </c>
      <c r="I1005" s="1" t="s">
        <v>15117</v>
      </c>
      <c r="J1005" s="1" t="s">
        <v>23</v>
      </c>
      <c r="K1005" s="1"/>
      <c r="L1005" s="1" t="s">
        <v>9261</v>
      </c>
      <c r="M1005" s="1" t="s">
        <v>9261</v>
      </c>
      <c r="N1005" s="12" t="b">
        <f t="shared" si="75"/>
        <v>1</v>
      </c>
      <c r="O1005" s="1" t="s">
        <v>9721</v>
      </c>
      <c r="P1005" s="1" t="s">
        <v>9722</v>
      </c>
      <c r="Q1005" s="1" t="s">
        <v>9723</v>
      </c>
      <c r="R1005" s="1" t="s">
        <v>9724</v>
      </c>
      <c r="S1005" s="1" t="s">
        <v>9266</v>
      </c>
      <c r="T1005" s="1" t="s">
        <v>9267</v>
      </c>
      <c r="U1005" s="1" t="s">
        <v>9268</v>
      </c>
      <c r="V1005" s="13">
        <f>COUNTIF(L1005:$M$1659,L1005)</f>
        <v>4</v>
      </c>
      <c r="W1005" s="1" t="s">
        <v>9269</v>
      </c>
      <c r="X1005">
        <v>677.37</v>
      </c>
      <c r="Y1005">
        <v>665.51</v>
      </c>
      <c r="Z1005">
        <v>12.943085</v>
      </c>
      <c r="AA1005">
        <v>109.207543</v>
      </c>
      <c r="AB1005">
        <v>11.86</v>
      </c>
      <c r="AC1005">
        <v>12.964506</v>
      </c>
      <c r="AD1005">
        <v>109.18393500000001</v>
      </c>
      <c r="AE1005" s="5">
        <f t="shared" si="76"/>
        <v>0.99826499999999996</v>
      </c>
      <c r="AF1005" s="5">
        <f t="shared" si="77"/>
        <v>1.779E-2</v>
      </c>
      <c r="AG1005" s="1" t="str">
        <f>TRIM(LEFT(L1005,FIND("-",L1005)-1))</f>
        <v>Hòa Mỹ</v>
      </c>
      <c r="AH1005" s="1" t="str">
        <f>TRIM(RIGHT(L1005, LEN(L1005) - FIND("-", L1005)))</f>
        <v>Hòa Thịnh</v>
      </c>
      <c r="AJ1005">
        <f t="shared" si="78"/>
        <v>0.66551000000000005</v>
      </c>
      <c r="AK1005">
        <f t="shared" si="79"/>
        <v>1.1859999999999999E-2</v>
      </c>
      <c r="AL1005">
        <f>VLOOKUP(L1005,'[1]Tuyến cáp H04'!$B:$E,3,0)/1000</f>
        <v>13.688000000000001</v>
      </c>
      <c r="AM1005" t="str">
        <f>VLOOKUP(L1005,'[1]Tuyến cáp H04'!$B:$E,4,0)</f>
        <v>Mạng cấp 4</v>
      </c>
    </row>
    <row r="1006" spans="1:39" x14ac:dyDescent="0.25">
      <c r="A1006" s="1" t="s">
        <v>9725</v>
      </c>
      <c r="B1006" s="1" t="s">
        <v>9245</v>
      </c>
      <c r="C1006" s="1" t="s">
        <v>9246</v>
      </c>
      <c r="D1006" s="1" t="s">
        <v>9726</v>
      </c>
      <c r="E1006" s="1" t="s">
        <v>9727</v>
      </c>
      <c r="F1006" s="1" t="s">
        <v>9728</v>
      </c>
      <c r="G1006" s="1" t="s">
        <v>14129</v>
      </c>
      <c r="H1006" s="1" t="s">
        <v>14130</v>
      </c>
      <c r="I1006" s="1" t="s">
        <v>15118</v>
      </c>
      <c r="J1006" s="1" t="s">
        <v>23</v>
      </c>
      <c r="K1006" s="1"/>
      <c r="L1006" s="1" t="s">
        <v>9248</v>
      </c>
      <c r="M1006" s="1" t="s">
        <v>9248</v>
      </c>
      <c r="N1006" s="12" t="b">
        <f t="shared" si="75"/>
        <v>1</v>
      </c>
      <c r="O1006" s="1" t="s">
        <v>9729</v>
      </c>
      <c r="P1006" s="1" t="s">
        <v>9730</v>
      </c>
      <c r="Q1006" s="1" t="s">
        <v>9731</v>
      </c>
      <c r="R1006" s="1" t="s">
        <v>9732</v>
      </c>
      <c r="S1006" s="1" t="s">
        <v>9733</v>
      </c>
      <c r="T1006" s="1" t="s">
        <v>9734</v>
      </c>
      <c r="U1006" s="1" t="s">
        <v>9735</v>
      </c>
      <c r="V1006" s="13">
        <f>COUNTIF(L1006:$M$1659,L1006)</f>
        <v>2</v>
      </c>
      <c r="W1006" s="1" t="s">
        <v>9256</v>
      </c>
      <c r="X1006">
        <v>2798.35</v>
      </c>
      <c r="Y1006">
        <v>3.63</v>
      </c>
      <c r="Z1006">
        <v>12.932778000000001</v>
      </c>
      <c r="AA1006">
        <v>109.23916800000001</v>
      </c>
      <c r="AB1006">
        <v>2794.71</v>
      </c>
      <c r="AC1006">
        <v>12.939657</v>
      </c>
      <c r="AD1006">
        <v>109.238243</v>
      </c>
      <c r="AE1006" s="5">
        <f t="shared" si="76"/>
        <v>5.4450000000000002E-3</v>
      </c>
      <c r="AF1006" s="5">
        <f t="shared" si="77"/>
        <v>4.1920650000000004</v>
      </c>
      <c r="AG1006" s="1" t="str">
        <f>TRIM(LEFT(L1006,FIND("-",L1006)-1))</f>
        <v>Hòa Thịnh</v>
      </c>
      <c r="AH1006" s="1" t="str">
        <f>TRIM(RIGHT(L1006, LEN(L1006) - FIND("-", L1006)))</f>
        <v>TTCMKV Tây Hòa</v>
      </c>
      <c r="AJ1006">
        <f t="shared" si="78"/>
        <v>3.63E-3</v>
      </c>
      <c r="AK1006">
        <f t="shared" si="79"/>
        <v>2.7947100000000002</v>
      </c>
      <c r="AL1006">
        <f>VLOOKUP(L1006,'[1]Tuyến cáp H04'!$B:$E,3,0)/1000</f>
        <v>10.246</v>
      </c>
      <c r="AM1006" t="str">
        <f>VLOOKUP(L1006,'[1]Tuyến cáp H04'!$B:$E,4,0)</f>
        <v>Mạng cấp 4</v>
      </c>
    </row>
    <row r="1007" spans="1:39" x14ac:dyDescent="0.25">
      <c r="A1007" s="1" t="s">
        <v>9736</v>
      </c>
      <c r="B1007" s="1" t="s">
        <v>9737</v>
      </c>
      <c r="C1007" s="1" t="s">
        <v>9738</v>
      </c>
      <c r="D1007" s="1" t="s">
        <v>9302</v>
      </c>
      <c r="E1007" s="1" t="s">
        <v>9303</v>
      </c>
      <c r="F1007" s="1" t="s">
        <v>9739</v>
      </c>
      <c r="G1007" s="1" t="s">
        <v>14129</v>
      </c>
      <c r="H1007" s="1" t="s">
        <v>14130</v>
      </c>
      <c r="I1007" s="1" t="s">
        <v>15119</v>
      </c>
      <c r="J1007" s="1" t="s">
        <v>23</v>
      </c>
      <c r="K1007" s="1"/>
      <c r="L1007" s="1" t="s">
        <v>9316</v>
      </c>
      <c r="M1007" s="1" t="s">
        <v>9316</v>
      </c>
      <c r="N1007" s="12" t="b">
        <f t="shared" si="75"/>
        <v>1</v>
      </c>
      <c r="O1007" s="1" t="s">
        <v>9740</v>
      </c>
      <c r="P1007" s="1" t="s">
        <v>9741</v>
      </c>
      <c r="Q1007" s="1" t="s">
        <v>9742</v>
      </c>
      <c r="R1007" s="1" t="s">
        <v>9743</v>
      </c>
      <c r="S1007" s="1" t="s">
        <v>9318</v>
      </c>
      <c r="T1007" s="1" t="s">
        <v>9319</v>
      </c>
      <c r="U1007" s="1" t="s">
        <v>9320</v>
      </c>
      <c r="V1007" s="13">
        <f>COUNTIF(L1007:$M$1659,L1007)</f>
        <v>2</v>
      </c>
      <c r="W1007" s="1" t="s">
        <v>9324</v>
      </c>
      <c r="X1007">
        <v>54.42</v>
      </c>
      <c r="Y1007">
        <v>27.87</v>
      </c>
      <c r="Z1007">
        <v>13.049759</v>
      </c>
      <c r="AA1007">
        <v>108.97462400000001</v>
      </c>
      <c r="AB1007">
        <v>26.55</v>
      </c>
      <c r="AC1007">
        <v>13.049868999999999</v>
      </c>
      <c r="AD1007">
        <v>108.97868800000001</v>
      </c>
      <c r="AE1007" s="5">
        <f t="shared" si="76"/>
        <v>4.1805000000000002E-2</v>
      </c>
      <c r="AF1007" s="5">
        <f t="shared" si="77"/>
        <v>3.9825000000000006E-2</v>
      </c>
      <c r="AG1007" s="1" t="str">
        <f>TRIM(LEFT(L1007,FIND("-",L1007)-1))</f>
        <v>Sơn Hòa</v>
      </c>
      <c r="AH1007" s="1" t="str">
        <f>TRIM(RIGHT(L1007, LEN(L1007) - FIND("-", L1007)))</f>
        <v>CAX Sơn Định (Sơn Hòa)</v>
      </c>
      <c r="AJ1007">
        <f t="shared" si="78"/>
        <v>2.7870000000000002E-2</v>
      </c>
      <c r="AK1007">
        <f t="shared" si="79"/>
        <v>2.6550000000000001E-2</v>
      </c>
      <c r="AL1007">
        <f>VLOOKUP(L1007,'[1]Tuyến cáp H04'!$B:$E,3,0)/1000</f>
        <v>38.549999999999997</v>
      </c>
      <c r="AM1007" t="str">
        <f>VLOOKUP(L1007,'[1]Tuyến cáp H04'!$B:$E,4,0)</f>
        <v>Mạng cấp 3</v>
      </c>
    </row>
    <row r="1008" spans="1:39" x14ac:dyDescent="0.25">
      <c r="A1008" s="1" t="s">
        <v>9744</v>
      </c>
      <c r="B1008" s="1" t="s">
        <v>9745</v>
      </c>
      <c r="C1008" s="1" t="s">
        <v>9746</v>
      </c>
      <c r="D1008" s="1" t="s">
        <v>9364</v>
      </c>
      <c r="E1008" s="1" t="s">
        <v>9365</v>
      </c>
      <c r="F1008" s="1" t="s">
        <v>9747</v>
      </c>
      <c r="G1008" s="1" t="s">
        <v>14129</v>
      </c>
      <c r="H1008" s="1" t="s">
        <v>14130</v>
      </c>
      <c r="I1008" s="1" t="s">
        <v>15120</v>
      </c>
      <c r="J1008" s="1" t="s">
        <v>23</v>
      </c>
      <c r="K1008" s="1"/>
      <c r="L1008" s="1" t="s">
        <v>9337</v>
      </c>
      <c r="M1008" s="1" t="s">
        <v>9337</v>
      </c>
      <c r="N1008" s="12" t="b">
        <f t="shared" si="75"/>
        <v>1</v>
      </c>
      <c r="O1008" s="1" t="s">
        <v>9748</v>
      </c>
      <c r="P1008" s="1" t="s">
        <v>9749</v>
      </c>
      <c r="Q1008" s="1" t="s">
        <v>9750</v>
      </c>
      <c r="R1008" s="1" t="s">
        <v>9751</v>
      </c>
      <c r="S1008" s="1" t="s">
        <v>9752</v>
      </c>
      <c r="T1008" s="1" t="s">
        <v>9753</v>
      </c>
      <c r="U1008" s="1" t="s">
        <v>9754</v>
      </c>
      <c r="V1008" s="13">
        <f>COUNTIF(L1008:$M$1659,L1008)</f>
        <v>2</v>
      </c>
      <c r="W1008" s="1" t="s">
        <v>9345</v>
      </c>
      <c r="X1008">
        <v>796.65</v>
      </c>
      <c r="Y1008">
        <v>785.41</v>
      </c>
      <c r="Z1008">
        <v>13.078198</v>
      </c>
      <c r="AA1008">
        <v>109.219561</v>
      </c>
      <c r="AB1008">
        <v>11.24</v>
      </c>
      <c r="AC1008">
        <v>13.081939</v>
      </c>
      <c r="AD1008">
        <v>109.216229</v>
      </c>
      <c r="AE1008" s="5">
        <f t="shared" si="76"/>
        <v>1.178115</v>
      </c>
      <c r="AF1008" s="5">
        <f t="shared" si="77"/>
        <v>1.686E-2</v>
      </c>
      <c r="AG1008" s="1" t="str">
        <f>TRIM(LEFT(L1008,FIND("-",L1008)-1))</f>
        <v>TTCMKV Phú Hòa</v>
      </c>
      <c r="AH1008" s="1" t="str">
        <f>TRIM(RIGHT(L1008, LEN(L1008) - FIND("-", L1008)))</f>
        <v>Phú Hòa 2</v>
      </c>
      <c r="AJ1008">
        <f t="shared" si="78"/>
        <v>0.78540999999999994</v>
      </c>
      <c r="AK1008">
        <f t="shared" si="79"/>
        <v>1.124E-2</v>
      </c>
      <c r="AL1008">
        <f>VLOOKUP(L1008,'[1]Tuyến cáp H04'!$B:$E,3,0)/1000</f>
        <v>14.364000000000001</v>
      </c>
      <c r="AM1008" t="str">
        <f>VLOOKUP(L1008,'[1]Tuyến cáp H04'!$B:$E,4,0)</f>
        <v>Mạng cấp 4</v>
      </c>
    </row>
    <row r="1009" spans="1:39" x14ac:dyDescent="0.25">
      <c r="A1009" s="1" t="s">
        <v>9477</v>
      </c>
      <c r="B1009" s="1" t="s">
        <v>9478</v>
      </c>
      <c r="C1009" s="1" t="s">
        <v>9479</v>
      </c>
      <c r="D1009" s="1" t="s">
        <v>9480</v>
      </c>
      <c r="E1009" s="1" t="s">
        <v>9481</v>
      </c>
      <c r="F1009" s="1" t="s">
        <v>9482</v>
      </c>
      <c r="G1009" s="1" t="s">
        <v>14129</v>
      </c>
      <c r="H1009" s="1" t="s">
        <v>14130</v>
      </c>
      <c r="I1009" s="1" t="s">
        <v>15093</v>
      </c>
      <c r="J1009" s="1" t="s">
        <v>23</v>
      </c>
      <c r="K1009" s="1"/>
      <c r="L1009" s="1" t="s">
        <v>9483</v>
      </c>
      <c r="M1009" s="1" t="s">
        <v>9483</v>
      </c>
      <c r="N1009" s="12" t="b">
        <f t="shared" si="75"/>
        <v>1</v>
      </c>
      <c r="O1009" s="1" t="s">
        <v>9484</v>
      </c>
      <c r="P1009" s="1" t="s">
        <v>9485</v>
      </c>
      <c r="Q1009" s="1" t="s">
        <v>9486</v>
      </c>
      <c r="R1009" s="1" t="s">
        <v>9487</v>
      </c>
      <c r="S1009" s="1" t="s">
        <v>9488</v>
      </c>
      <c r="T1009" s="1" t="s">
        <v>9489</v>
      </c>
      <c r="U1009" s="1" t="s">
        <v>9490</v>
      </c>
      <c r="V1009" s="13">
        <f>COUNTIF(L1009:$M$1659,L1009)</f>
        <v>4</v>
      </c>
      <c r="W1009" s="1" t="s">
        <v>9491</v>
      </c>
      <c r="X1009">
        <v>1135.25</v>
      </c>
      <c r="Y1009">
        <v>1102.79</v>
      </c>
      <c r="Z1009">
        <v>13.342204000000001</v>
      </c>
      <c r="AA1009">
        <v>109.247726</v>
      </c>
      <c r="AB1009">
        <v>32.46</v>
      </c>
      <c r="AC1009">
        <v>13.340761000000001</v>
      </c>
      <c r="AD1009">
        <v>109.254114</v>
      </c>
      <c r="AE1009" s="5">
        <f t="shared" si="76"/>
        <v>1.654185</v>
      </c>
      <c r="AF1009" s="5">
        <f t="shared" si="77"/>
        <v>4.8689999999999997E-2</v>
      </c>
      <c r="AG1009" s="1" t="str">
        <f>TRIM(LEFT(L1009,FIND("-",L1009)-1))</f>
        <v>Tuy An Đông</v>
      </c>
      <c r="AH1009" s="1" t="str">
        <f>TRIM(RIGHT(L1009, LEN(L1009) - FIND("-", L1009)))</f>
        <v>TTCMKV TX Sông Cầu</v>
      </c>
      <c r="AJ1009">
        <f t="shared" si="78"/>
        <v>1.1027899999999999</v>
      </c>
      <c r="AK1009">
        <f t="shared" si="79"/>
        <v>3.2460000000000003E-2</v>
      </c>
      <c r="AL1009">
        <f>VLOOKUP(L1009,'[1]Tuyến cáp H04'!$B:$E,3,0)/1000</f>
        <v>25.989000000000001</v>
      </c>
      <c r="AM1009" t="str">
        <f>VLOOKUP(L1009,'[1]Tuyến cáp H04'!$B:$E,4,0)</f>
        <v>Mạng cấp 4</v>
      </c>
    </row>
    <row r="1010" spans="1:39" x14ac:dyDescent="0.25">
      <c r="A1010" s="1" t="s">
        <v>9755</v>
      </c>
      <c r="B1010" s="1" t="s">
        <v>9756</v>
      </c>
      <c r="C1010" s="1" t="s">
        <v>9757</v>
      </c>
      <c r="D1010" s="1" t="s">
        <v>9480</v>
      </c>
      <c r="E1010" s="1" t="s">
        <v>9481</v>
      </c>
      <c r="F1010" s="1" t="s">
        <v>9758</v>
      </c>
      <c r="G1010" s="1" t="s">
        <v>14129</v>
      </c>
      <c r="H1010" s="1" t="s">
        <v>14130</v>
      </c>
      <c r="I1010" s="1" t="s">
        <v>15121</v>
      </c>
      <c r="J1010" s="1" t="s">
        <v>23</v>
      </c>
      <c r="K1010" s="1"/>
      <c r="L1010" s="1" t="s">
        <v>9483</v>
      </c>
      <c r="M1010" s="1" t="s">
        <v>9483</v>
      </c>
      <c r="N1010" s="12" t="b">
        <f t="shared" si="75"/>
        <v>1</v>
      </c>
      <c r="O1010" s="1" t="s">
        <v>9759</v>
      </c>
      <c r="P1010" s="1" t="s">
        <v>9760</v>
      </c>
      <c r="Q1010" s="1" t="s">
        <v>9761</v>
      </c>
      <c r="R1010" s="1" t="s">
        <v>9762</v>
      </c>
      <c r="S1010" s="1" t="s">
        <v>9488</v>
      </c>
      <c r="T1010" s="1" t="s">
        <v>9489</v>
      </c>
      <c r="U1010" s="1" t="s">
        <v>9490</v>
      </c>
      <c r="V1010" s="13">
        <f>COUNTIF(L1010:$M$1659,L1010)</f>
        <v>2</v>
      </c>
      <c r="W1010" s="1" t="s">
        <v>9491</v>
      </c>
      <c r="X1010">
        <v>80.45</v>
      </c>
      <c r="Y1010">
        <v>47.99</v>
      </c>
      <c r="Z1010">
        <v>13.333803</v>
      </c>
      <c r="AA1010">
        <v>109.22730300000001</v>
      </c>
      <c r="AB1010">
        <v>32.46</v>
      </c>
      <c r="AC1010">
        <v>13.340761000000001</v>
      </c>
      <c r="AD1010">
        <v>109.254114</v>
      </c>
      <c r="AE1010" s="5">
        <f t="shared" si="76"/>
        <v>7.1984999999999993E-2</v>
      </c>
      <c r="AF1010" s="5">
        <f t="shared" si="77"/>
        <v>4.8689999999999997E-2</v>
      </c>
      <c r="AG1010" s="1" t="str">
        <f>TRIM(LEFT(L1010,FIND("-",L1010)-1))</f>
        <v>Tuy An Đông</v>
      </c>
      <c r="AH1010" s="1" t="str">
        <f>TRIM(RIGHT(L1010, LEN(L1010) - FIND("-", L1010)))</f>
        <v>TTCMKV TX Sông Cầu</v>
      </c>
      <c r="AJ1010">
        <f t="shared" si="78"/>
        <v>4.7990000000000005E-2</v>
      </c>
      <c r="AK1010">
        <f t="shared" si="79"/>
        <v>3.2460000000000003E-2</v>
      </c>
      <c r="AL1010">
        <f>VLOOKUP(L1010,'[1]Tuyến cáp H04'!$B:$E,3,0)/1000</f>
        <v>25.989000000000001</v>
      </c>
      <c r="AM1010" t="str">
        <f>VLOOKUP(L1010,'[1]Tuyến cáp H04'!$B:$E,4,0)</f>
        <v>Mạng cấp 4</v>
      </c>
    </row>
    <row r="1011" spans="1:39" x14ac:dyDescent="0.25">
      <c r="A1011" s="1" t="s">
        <v>9763</v>
      </c>
      <c r="B1011" s="1" t="s">
        <v>9764</v>
      </c>
      <c r="C1011" s="1" t="s">
        <v>9765</v>
      </c>
      <c r="D1011" s="1" t="s">
        <v>9499</v>
      </c>
      <c r="E1011" s="1" t="s">
        <v>9500</v>
      </c>
      <c r="F1011" s="1" t="s">
        <v>9766</v>
      </c>
      <c r="G1011" s="1" t="s">
        <v>14129</v>
      </c>
      <c r="H1011" s="1" t="s">
        <v>14130</v>
      </c>
      <c r="I1011" s="1" t="s">
        <v>15122</v>
      </c>
      <c r="J1011" s="1" t="s">
        <v>23</v>
      </c>
      <c r="K1011" s="1"/>
      <c r="L1011" s="1" t="s">
        <v>9673</v>
      </c>
      <c r="M1011" s="1" t="s">
        <v>9673</v>
      </c>
      <c r="N1011" s="12" t="b">
        <f t="shared" si="75"/>
        <v>1</v>
      </c>
      <c r="O1011" s="1" t="s">
        <v>9767</v>
      </c>
      <c r="P1011" s="1" t="s">
        <v>9768</v>
      </c>
      <c r="Q1011" s="1" t="s">
        <v>9769</v>
      </c>
      <c r="R1011" s="1" t="s">
        <v>9770</v>
      </c>
      <c r="S1011" s="1" t="s">
        <v>9771</v>
      </c>
      <c r="T1011" s="1" t="s">
        <v>9772</v>
      </c>
      <c r="U1011" s="1" t="s">
        <v>9773</v>
      </c>
      <c r="V1011" s="13">
        <f>COUNTIF(L1011:$M$1659,L1011)</f>
        <v>2</v>
      </c>
      <c r="W1011" s="1" t="s">
        <v>9774</v>
      </c>
      <c r="X1011">
        <v>365.18</v>
      </c>
      <c r="Y1011">
        <v>363.62</v>
      </c>
      <c r="Z1011">
        <v>13.226704</v>
      </c>
      <c r="AA1011">
        <v>109.263869</v>
      </c>
      <c r="AB1011">
        <v>1.57</v>
      </c>
      <c r="AC1011">
        <v>13.240076999999999</v>
      </c>
      <c r="AD1011">
        <v>109.25763000000001</v>
      </c>
      <c r="AE1011" s="5">
        <f t="shared" si="76"/>
        <v>0.54543000000000008</v>
      </c>
      <c r="AF1011" s="5">
        <f t="shared" si="77"/>
        <v>2.3549999999999999E-3</v>
      </c>
      <c r="AG1011" s="1" t="str">
        <f>TRIM(LEFT(L1011,FIND("-",L1011)-1))</f>
        <v>Ô Loan</v>
      </c>
      <c r="AH1011" s="1" t="str">
        <f>TRIM(RIGHT(L1011, LEN(L1011) - FIND("-", L1011)))</f>
        <v>Tuy An Đông</v>
      </c>
      <c r="AJ1011">
        <f t="shared" si="78"/>
        <v>0.36362</v>
      </c>
      <c r="AK1011">
        <f t="shared" si="79"/>
        <v>1.57E-3</v>
      </c>
      <c r="AL1011">
        <f>VLOOKUP(L1011,'[1]Tuyến cáp H04'!$B:$E,3,0)/1000</f>
        <v>20.734000000000002</v>
      </c>
      <c r="AM1011" t="str">
        <f>VLOOKUP(L1011,'[1]Tuyến cáp H04'!$B:$E,4,0)</f>
        <v>Mạng cấp 4</v>
      </c>
    </row>
    <row r="1012" spans="1:39" x14ac:dyDescent="0.25">
      <c r="A1012" s="1" t="s">
        <v>9775</v>
      </c>
      <c r="B1012" s="1" t="s">
        <v>9776</v>
      </c>
      <c r="C1012" s="1" t="s">
        <v>9777</v>
      </c>
      <c r="D1012" s="1" t="s">
        <v>9453</v>
      </c>
      <c r="E1012" s="1" t="s">
        <v>9454</v>
      </c>
      <c r="F1012" s="1" t="s">
        <v>9778</v>
      </c>
      <c r="G1012" s="1" t="s">
        <v>14129</v>
      </c>
      <c r="H1012" s="1" t="s">
        <v>14130</v>
      </c>
      <c r="I1012" s="1" t="s">
        <v>15123</v>
      </c>
      <c r="J1012" s="1" t="s">
        <v>23</v>
      </c>
      <c r="K1012" s="1"/>
      <c r="L1012" s="1" t="s">
        <v>9456</v>
      </c>
      <c r="M1012" s="1" t="s">
        <v>9456</v>
      </c>
      <c r="N1012" s="12" t="b">
        <f t="shared" si="75"/>
        <v>1</v>
      </c>
      <c r="O1012" s="1" t="s">
        <v>9779</v>
      </c>
      <c r="P1012" s="1" t="s">
        <v>9780</v>
      </c>
      <c r="Q1012" s="1" t="s">
        <v>9781</v>
      </c>
      <c r="R1012" s="1" t="s">
        <v>9782</v>
      </c>
      <c r="S1012" s="1" t="s">
        <v>9461</v>
      </c>
      <c r="T1012" s="1" t="s">
        <v>9453</v>
      </c>
      <c r="U1012" s="1" t="s">
        <v>9462</v>
      </c>
      <c r="V1012" s="13">
        <f>COUNTIF(L1012:$M$1659,L1012)</f>
        <v>4</v>
      </c>
      <c r="W1012" s="1" t="s">
        <v>9463</v>
      </c>
      <c r="X1012">
        <v>78.67</v>
      </c>
      <c r="Y1012">
        <v>78.33</v>
      </c>
      <c r="Z1012">
        <v>13.174818999999999</v>
      </c>
      <c r="AA1012">
        <v>109.29135599999999</v>
      </c>
      <c r="AB1012">
        <v>0.34</v>
      </c>
      <c r="AC1012">
        <v>13.181704</v>
      </c>
      <c r="AD1012">
        <v>109.287283</v>
      </c>
      <c r="AE1012" s="5">
        <f t="shared" si="76"/>
        <v>0.117495</v>
      </c>
      <c r="AF1012" s="5">
        <f t="shared" si="77"/>
        <v>5.1000000000000004E-4</v>
      </c>
      <c r="AG1012" s="1" t="str">
        <f>TRIM(LEFT(L1012,FIND("-",L1012)-1))</f>
        <v>CAT Phú Yên</v>
      </c>
      <c r="AH1012" s="1" t="str">
        <f>TRIM(RIGHT(L1012, LEN(L1012) - FIND("-", L1012)))</f>
        <v>Tuy An Nam</v>
      </c>
      <c r="AJ1012">
        <f t="shared" si="78"/>
        <v>7.8329999999999997E-2</v>
      </c>
      <c r="AK1012">
        <f t="shared" si="79"/>
        <v>3.4000000000000002E-4</v>
      </c>
      <c r="AL1012">
        <f>VLOOKUP(L1012,'[1]Tuyến cáp H04'!$B:$E,3,0)/1000</f>
        <v>8.3849999999999998</v>
      </c>
      <c r="AM1012" t="str">
        <f>VLOOKUP(L1012,'[1]Tuyến cáp H04'!$B:$E,4,0)</f>
        <v>Mạng cấp 4</v>
      </c>
    </row>
    <row r="1013" spans="1:39" x14ac:dyDescent="0.25">
      <c r="A1013" s="1" t="s">
        <v>9783</v>
      </c>
      <c r="B1013" s="1" t="s">
        <v>9784</v>
      </c>
      <c r="C1013" s="1" t="s">
        <v>9785</v>
      </c>
      <c r="D1013" s="1" t="s">
        <v>9603</v>
      </c>
      <c r="E1013" s="1" t="s">
        <v>9604</v>
      </c>
      <c r="F1013" s="1" t="s">
        <v>9786</v>
      </c>
      <c r="G1013" s="1" t="s">
        <v>14129</v>
      </c>
      <c r="H1013" s="1" t="s">
        <v>14130</v>
      </c>
      <c r="I1013" s="1" t="s">
        <v>15124</v>
      </c>
      <c r="J1013" s="1" t="s">
        <v>23</v>
      </c>
      <c r="K1013" s="1"/>
      <c r="L1013" s="1" t="s">
        <v>9787</v>
      </c>
      <c r="M1013" s="1" t="s">
        <v>9787</v>
      </c>
      <c r="N1013" s="12" t="b">
        <f t="shared" si="75"/>
        <v>1</v>
      </c>
      <c r="O1013" s="1" t="s">
        <v>9788</v>
      </c>
      <c r="P1013" s="1" t="s">
        <v>9789</v>
      </c>
      <c r="Q1013" s="1" t="s">
        <v>9790</v>
      </c>
      <c r="R1013" s="1" t="s">
        <v>9791</v>
      </c>
      <c r="S1013" s="1" t="s">
        <v>9792</v>
      </c>
      <c r="T1013" s="1" t="s">
        <v>9793</v>
      </c>
      <c r="U1013" s="1" t="s">
        <v>9794</v>
      </c>
      <c r="V1013" s="13">
        <f>COUNTIF(L1013:$M$1659,L1013)</f>
        <v>2</v>
      </c>
      <c r="W1013" s="1" t="s">
        <v>9795</v>
      </c>
      <c r="X1013">
        <v>172.66</v>
      </c>
      <c r="Y1013">
        <v>118.95</v>
      </c>
      <c r="Z1013">
        <v>13.311693</v>
      </c>
      <c r="AA1013">
        <v>109.046639</v>
      </c>
      <c r="AB1013">
        <v>53.71</v>
      </c>
      <c r="AC1013">
        <v>13.298667</v>
      </c>
      <c r="AD1013">
        <v>109.065563</v>
      </c>
      <c r="AE1013" s="5">
        <f t="shared" si="76"/>
        <v>0.178425</v>
      </c>
      <c r="AF1013" s="5">
        <f t="shared" si="77"/>
        <v>8.0564999999999998E-2</v>
      </c>
      <c r="AG1013" s="1" t="str">
        <f>TRIM(LEFT(L1013,FIND("-",L1013)-1))</f>
        <v>Phú Mỡ</v>
      </c>
      <c r="AH1013" s="1" t="str">
        <f>TRIM(RIGHT(L1013, LEN(L1013) - FIND("-", L1013)))</f>
        <v>Xuân Phước</v>
      </c>
      <c r="AJ1013">
        <f t="shared" si="78"/>
        <v>0.11895</v>
      </c>
      <c r="AK1013">
        <f t="shared" si="79"/>
        <v>5.3710000000000001E-2</v>
      </c>
      <c r="AL1013">
        <f>VLOOKUP(L1013,'[1]Tuyến cáp H04'!$B:$E,3,0)/1000</f>
        <v>12.504</v>
      </c>
      <c r="AM1013" t="str">
        <f>VLOOKUP(L1013,'[1]Tuyến cáp H04'!$B:$E,4,0)</f>
        <v>Mạng cấp 4</v>
      </c>
    </row>
    <row r="1014" spans="1:39" x14ac:dyDescent="0.25">
      <c r="A1014" s="1" t="s">
        <v>9796</v>
      </c>
      <c r="B1014" s="1" t="s">
        <v>9797</v>
      </c>
      <c r="C1014" s="1" t="s">
        <v>9798</v>
      </c>
      <c r="D1014" s="1" t="s">
        <v>9603</v>
      </c>
      <c r="E1014" s="1" t="s">
        <v>9604</v>
      </c>
      <c r="F1014" s="1" t="s">
        <v>9799</v>
      </c>
      <c r="G1014" s="1" t="s">
        <v>14129</v>
      </c>
      <c r="H1014" s="1" t="s">
        <v>14130</v>
      </c>
      <c r="I1014" s="1" t="s">
        <v>15125</v>
      </c>
      <c r="J1014" s="1" t="s">
        <v>23</v>
      </c>
      <c r="K1014" s="1"/>
      <c r="L1014" s="1" t="s">
        <v>8148</v>
      </c>
      <c r="M1014" s="1" t="s">
        <v>8148</v>
      </c>
      <c r="N1014" s="12" t="b">
        <f t="shared" si="75"/>
        <v>1</v>
      </c>
      <c r="O1014" s="1" t="s">
        <v>2174</v>
      </c>
      <c r="P1014" s="1" t="s">
        <v>9800</v>
      </c>
      <c r="Q1014" s="1" t="s">
        <v>9801</v>
      </c>
      <c r="R1014" s="1" t="s">
        <v>9802</v>
      </c>
      <c r="S1014" s="1" t="s">
        <v>9616</v>
      </c>
      <c r="T1014" s="1" t="s">
        <v>9617</v>
      </c>
      <c r="U1014" s="1" t="s">
        <v>9618</v>
      </c>
      <c r="V1014" s="13">
        <f>COUNTIF(L1014:$M$1659,L1014)</f>
        <v>2</v>
      </c>
      <c r="W1014" s="1" t="s">
        <v>8156</v>
      </c>
      <c r="X1014">
        <v>727.92</v>
      </c>
      <c r="Y1014">
        <v>602.78</v>
      </c>
      <c r="Z1014">
        <v>13.27576</v>
      </c>
      <c r="AA1014">
        <v>109.06242399999999</v>
      </c>
      <c r="AB1014">
        <v>125.14</v>
      </c>
      <c r="AC1014">
        <v>13.29852</v>
      </c>
      <c r="AD1014">
        <v>109.064847</v>
      </c>
      <c r="AE1014" s="5">
        <f t="shared" si="76"/>
        <v>0.90416999999999992</v>
      </c>
      <c r="AF1014" s="5">
        <f t="shared" si="77"/>
        <v>0.18771000000000002</v>
      </c>
      <c r="AG1014" s="1" t="str">
        <f>TRIM(LEFT(L1014,FIND("-",L1014)-1))</f>
        <v>Xuân Phước</v>
      </c>
      <c r="AH1014" s="1" t="str">
        <f>TRIM(RIGHT(L1014, LEN(L1014) - FIND("-", L1014)))</f>
        <v>Vân Hòa</v>
      </c>
      <c r="AJ1014">
        <f t="shared" si="78"/>
        <v>0.60277999999999998</v>
      </c>
      <c r="AK1014">
        <f t="shared" si="79"/>
        <v>0.12514</v>
      </c>
      <c r="AL1014">
        <f>VLOOKUP(L1014,'[1]Tuyến cáp H04'!$B:$E,3,0)/1000</f>
        <v>29.954000000000001</v>
      </c>
      <c r="AM1014" t="str">
        <f>VLOOKUP(L1014,'[1]Tuyến cáp H04'!$B:$E,4,0)</f>
        <v>Mạng cấp 4</v>
      </c>
    </row>
    <row r="1015" spans="1:39" x14ac:dyDescent="0.25">
      <c r="A1015" s="1" t="s">
        <v>9803</v>
      </c>
      <c r="B1015" s="1" t="s">
        <v>9804</v>
      </c>
      <c r="C1015" s="1" t="s">
        <v>9805</v>
      </c>
      <c r="D1015" s="1" t="s">
        <v>8218</v>
      </c>
      <c r="E1015" s="1" t="s">
        <v>8219</v>
      </c>
      <c r="F1015" s="1" t="s">
        <v>9806</v>
      </c>
      <c r="G1015" s="1" t="s">
        <v>14129</v>
      </c>
      <c r="H1015" s="1" t="s">
        <v>14130</v>
      </c>
      <c r="I1015" s="1" t="s">
        <v>15126</v>
      </c>
      <c r="J1015" s="1" t="s">
        <v>23</v>
      </c>
      <c r="K1015" s="1"/>
      <c r="L1015" s="1" t="s">
        <v>8221</v>
      </c>
      <c r="M1015" s="1" t="s">
        <v>8221</v>
      </c>
      <c r="N1015" s="12" t="b">
        <f t="shared" si="75"/>
        <v>1</v>
      </c>
      <c r="O1015" s="1" t="s">
        <v>9807</v>
      </c>
      <c r="P1015" s="1" t="s">
        <v>9808</v>
      </c>
      <c r="Q1015" s="1" t="s">
        <v>9809</v>
      </c>
      <c r="R1015" s="1" t="s">
        <v>9810</v>
      </c>
      <c r="S1015" s="1" t="s">
        <v>8226</v>
      </c>
      <c r="T1015" s="1" t="s">
        <v>8227</v>
      </c>
      <c r="U1015" s="1" t="s">
        <v>8228</v>
      </c>
      <c r="V1015" s="13">
        <f>COUNTIF(L1015:$M$1659,L1015)</f>
        <v>2</v>
      </c>
      <c r="W1015" s="1" t="s">
        <v>8229</v>
      </c>
      <c r="X1015">
        <v>2927.54</v>
      </c>
      <c r="Y1015">
        <v>2654.73</v>
      </c>
      <c r="Z1015">
        <v>13.128857</v>
      </c>
      <c r="AA1015">
        <v>108.32411</v>
      </c>
      <c r="AB1015">
        <v>272.81</v>
      </c>
      <c r="AC1015">
        <v>13.118876999999999</v>
      </c>
      <c r="AD1015">
        <v>108.329477</v>
      </c>
      <c r="AE1015" s="5">
        <f t="shared" si="76"/>
        <v>3.9820950000000002</v>
      </c>
      <c r="AF1015" s="5">
        <f t="shared" si="77"/>
        <v>0.40921500000000005</v>
      </c>
      <c r="AG1015" s="1" t="e">
        <f>TRIM(LEFT(L1015,FIND("-",L1015)-1))</f>
        <v>#VALUE!</v>
      </c>
      <c r="AH1015" s="1" t="e">
        <f>TRIM(RIGHT(L1015, LEN(L1015) - FIND("-", L1015)))</f>
        <v>#VALUE!</v>
      </c>
      <c r="AJ1015">
        <f t="shared" si="78"/>
        <v>2.6547299999999998</v>
      </c>
      <c r="AK1015">
        <f t="shared" si="79"/>
        <v>0.27281</v>
      </c>
      <c r="AL1015" t="e">
        <f>VLOOKUP(L1015,'[1]Tuyến cáp H04'!$B:$E,3,0)/1000</f>
        <v>#N/A</v>
      </c>
      <c r="AM1015" t="e">
        <f>VLOOKUP(L1015,'[1]Tuyến cáp H04'!$B:$E,4,0)</f>
        <v>#N/A</v>
      </c>
    </row>
    <row r="1016" spans="1:39" x14ac:dyDescent="0.25">
      <c r="A1016" s="1" t="s">
        <v>9811</v>
      </c>
      <c r="B1016" s="1" t="s">
        <v>9812</v>
      </c>
      <c r="C1016" s="1" t="s">
        <v>9813</v>
      </c>
      <c r="D1016" s="1" t="s">
        <v>9101</v>
      </c>
      <c r="E1016" s="1" t="s">
        <v>9102</v>
      </c>
      <c r="F1016" s="1" t="s">
        <v>9814</v>
      </c>
      <c r="G1016" s="1" t="s">
        <v>14129</v>
      </c>
      <c r="H1016" s="1" t="s">
        <v>14130</v>
      </c>
      <c r="I1016" s="1" t="s">
        <v>15127</v>
      </c>
      <c r="J1016" s="1" t="s">
        <v>23</v>
      </c>
      <c r="K1016" s="1"/>
      <c r="L1016" s="1" t="s">
        <v>8350</v>
      </c>
      <c r="M1016" s="1" t="s">
        <v>8350</v>
      </c>
      <c r="N1016" s="12" t="b">
        <f t="shared" si="75"/>
        <v>1</v>
      </c>
      <c r="O1016" s="1" t="s">
        <v>9815</v>
      </c>
      <c r="P1016" s="1" t="s">
        <v>9816</v>
      </c>
      <c r="Q1016" s="1" t="s">
        <v>9817</v>
      </c>
      <c r="R1016" s="1" t="s">
        <v>9818</v>
      </c>
      <c r="S1016" s="1" t="s">
        <v>9108</v>
      </c>
      <c r="T1016" s="1" t="s">
        <v>9109</v>
      </c>
      <c r="U1016" s="1" t="s">
        <v>9110</v>
      </c>
      <c r="V1016" s="13">
        <f>COUNTIF(L1016:$M$1659,L1016)</f>
        <v>28</v>
      </c>
      <c r="W1016" s="1" t="s">
        <v>8358</v>
      </c>
      <c r="X1016">
        <v>193.16</v>
      </c>
      <c r="Y1016">
        <v>91.78</v>
      </c>
      <c r="Z1016">
        <v>12.750474000000001</v>
      </c>
      <c r="AA1016">
        <v>108.16580399999999</v>
      </c>
      <c r="AB1016">
        <v>101.38</v>
      </c>
      <c r="AC1016">
        <v>12.753318999999999</v>
      </c>
      <c r="AD1016">
        <v>108.169235</v>
      </c>
      <c r="AE1016" s="5">
        <f t="shared" si="76"/>
        <v>0.13767000000000001</v>
      </c>
      <c r="AF1016" s="5">
        <f t="shared" si="77"/>
        <v>0.15206999999999998</v>
      </c>
      <c r="AG1016" s="1" t="str">
        <f>TRIM(LEFT(L1016,FIND("-",L1016)-1))</f>
        <v>TT1 Đăk Lăk</v>
      </c>
      <c r="AH1016" s="1" t="str">
        <f>TRIM(RIGHT(L1016, LEN(L1016) - FIND("-", L1016)))</f>
        <v>ILA Ea Kar</v>
      </c>
      <c r="AJ1016">
        <f t="shared" si="78"/>
        <v>9.178E-2</v>
      </c>
      <c r="AK1016">
        <f t="shared" si="79"/>
        <v>0.10138</v>
      </c>
      <c r="AL1016" t="e">
        <f>VLOOKUP(L1016,'[1]Tuyến cáp H04'!$B:$E,3,0)/1000</f>
        <v>#N/A</v>
      </c>
      <c r="AM1016" t="e">
        <f>VLOOKUP(L1016,'[1]Tuyến cáp H04'!$B:$E,4,0)</f>
        <v>#N/A</v>
      </c>
    </row>
    <row r="1017" spans="1:39" x14ac:dyDescent="0.25">
      <c r="A1017" s="1" t="s">
        <v>9819</v>
      </c>
      <c r="B1017" s="1" t="s">
        <v>9820</v>
      </c>
      <c r="C1017" s="1" t="s">
        <v>9821</v>
      </c>
      <c r="D1017" s="1" t="s">
        <v>8332</v>
      </c>
      <c r="E1017" s="1" t="s">
        <v>8333</v>
      </c>
      <c r="F1017" s="1" t="s">
        <v>9822</v>
      </c>
      <c r="G1017" s="1" t="s">
        <v>14129</v>
      </c>
      <c r="H1017" s="1" t="s">
        <v>14130</v>
      </c>
      <c r="I1017" s="1" t="s">
        <v>15128</v>
      </c>
      <c r="J1017" s="1" t="s">
        <v>23</v>
      </c>
      <c r="K1017" s="1"/>
      <c r="L1017" s="1" t="s">
        <v>9823</v>
      </c>
      <c r="M1017" s="1" t="s">
        <v>9823</v>
      </c>
      <c r="N1017" s="12" t="b">
        <f t="shared" si="75"/>
        <v>1</v>
      </c>
      <c r="O1017" s="1" t="s">
        <v>9824</v>
      </c>
      <c r="P1017" s="1" t="s">
        <v>9825</v>
      </c>
      <c r="Q1017" s="1" t="s">
        <v>9826</v>
      </c>
      <c r="R1017" s="1" t="s">
        <v>9827</v>
      </c>
      <c r="S1017" s="1" t="s">
        <v>9828</v>
      </c>
      <c r="T1017" s="1" t="s">
        <v>9829</v>
      </c>
      <c r="U1017" s="1" t="s">
        <v>9830</v>
      </c>
      <c r="V1017" s="13">
        <f>COUNTIF(L1017:$M$1659,L1017)</f>
        <v>2</v>
      </c>
      <c r="W1017" s="1" t="s">
        <v>9831</v>
      </c>
      <c r="X1017">
        <v>64.790000000000006</v>
      </c>
      <c r="Y1017">
        <v>53.24</v>
      </c>
      <c r="Z1017">
        <v>12.916411</v>
      </c>
      <c r="AA1017">
        <v>108.26605000000001</v>
      </c>
      <c r="AB1017">
        <v>11.55</v>
      </c>
      <c r="AC1017">
        <v>12.916282000000001</v>
      </c>
      <c r="AD1017">
        <v>108.266552</v>
      </c>
      <c r="AE1017" s="5">
        <f t="shared" si="76"/>
        <v>7.986E-2</v>
      </c>
      <c r="AF1017" s="5">
        <f t="shared" si="77"/>
        <v>1.7325000000000004E-2</v>
      </c>
      <c r="AG1017" s="1" t="str">
        <f>TRIM(LEFT(L1017,FIND("-",L1017)-1))</f>
        <v>Ea Drông</v>
      </c>
      <c r="AH1017" s="1" t="str">
        <f>TRIM(RIGHT(L1017, LEN(L1017) - FIND("-", L1017)))</f>
        <v>TTCMKV Thị xã Buôn
Hồ"</v>
      </c>
      <c r="AJ1017">
        <f t="shared" si="78"/>
        <v>5.3240000000000003E-2</v>
      </c>
      <c r="AK1017">
        <f t="shared" si="79"/>
        <v>1.1550000000000001E-2</v>
      </c>
      <c r="AL1017" t="e">
        <f>VLOOKUP(L1017,'[1]Tuyến cáp H04'!$B:$E,3,0)/1000</f>
        <v>#N/A</v>
      </c>
      <c r="AM1017" t="e">
        <f>VLOOKUP(L1017,'[1]Tuyến cáp H04'!$B:$E,4,0)</f>
        <v>#N/A</v>
      </c>
    </row>
    <row r="1018" spans="1:39" x14ac:dyDescent="0.25">
      <c r="A1018" s="1" t="s">
        <v>9832</v>
      </c>
      <c r="B1018" s="1" t="s">
        <v>9833</v>
      </c>
      <c r="C1018" s="1" t="s">
        <v>9834</v>
      </c>
      <c r="D1018" s="1" t="s">
        <v>8569</v>
      </c>
      <c r="E1018" s="1" t="s">
        <v>8570</v>
      </c>
      <c r="F1018" s="1" t="s">
        <v>9835</v>
      </c>
      <c r="G1018" s="1" t="s">
        <v>14129</v>
      </c>
      <c r="H1018" s="1" t="s">
        <v>14130</v>
      </c>
      <c r="I1018" s="1" t="s">
        <v>15129</v>
      </c>
      <c r="J1018" s="1" t="s">
        <v>23</v>
      </c>
      <c r="K1018" s="1"/>
      <c r="L1018" s="1" t="s">
        <v>9089</v>
      </c>
      <c r="M1018" s="1" t="s">
        <v>9089</v>
      </c>
      <c r="N1018" s="12" t="b">
        <f t="shared" si="75"/>
        <v>1</v>
      </c>
      <c r="O1018" s="1" t="s">
        <v>9836</v>
      </c>
      <c r="P1018" s="1" t="s">
        <v>9837</v>
      </c>
      <c r="Q1018" s="1" t="s">
        <v>9838</v>
      </c>
      <c r="R1018" s="1" t="s">
        <v>9839</v>
      </c>
      <c r="S1018" s="1" t="s">
        <v>9840</v>
      </c>
      <c r="T1018" s="1" t="s">
        <v>9841</v>
      </c>
      <c r="U1018" s="1" t="s">
        <v>9842</v>
      </c>
      <c r="V1018" s="13">
        <f>COUNTIF(L1018:$M$1659,L1018)</f>
        <v>2</v>
      </c>
      <c r="W1018" s="1" t="s">
        <v>9843</v>
      </c>
      <c r="X1018">
        <v>433.61</v>
      </c>
      <c r="Y1018">
        <v>360.14</v>
      </c>
      <c r="Z1018">
        <v>12.703111</v>
      </c>
      <c r="AA1018">
        <v>108.074478</v>
      </c>
      <c r="AB1018">
        <v>73.47</v>
      </c>
      <c r="AC1018">
        <v>12.712294999999999</v>
      </c>
      <c r="AD1018">
        <v>108.06672</v>
      </c>
      <c r="AE1018" s="5">
        <f t="shared" si="76"/>
        <v>0.54021000000000008</v>
      </c>
      <c r="AF1018" s="5">
        <f t="shared" si="77"/>
        <v>0.110205</v>
      </c>
      <c r="AG1018" s="1" t="str">
        <f>TRIM(LEFT(L1018,FIND("-",L1018)-1))</f>
        <v>Trại tạm giam Buôn Mê Thuột</v>
      </c>
      <c r="AH1018" s="1" t="str">
        <f>TRIM(RIGHT(L1018, LEN(L1018) - FIND("-", L1018)))</f>
        <v>TT1 Đăk Lăk</v>
      </c>
      <c r="AJ1018">
        <f t="shared" si="78"/>
        <v>0.36013999999999996</v>
      </c>
      <c r="AK1018">
        <f t="shared" si="79"/>
        <v>7.3469999999999994E-2</v>
      </c>
      <c r="AL1018">
        <f>VLOOKUP(L1018,'[1]Tuyến cáp H04'!$B:$E,3,0)/1000</f>
        <v>5.3780000000000001</v>
      </c>
      <c r="AM1018" t="str">
        <f>VLOOKUP(L1018,'[1]Tuyến cáp H04'!$B:$E,4,0)</f>
        <v>Mạng cấp 3</v>
      </c>
    </row>
    <row r="1019" spans="1:39" x14ac:dyDescent="0.25">
      <c r="A1019" s="1" t="s">
        <v>9844</v>
      </c>
      <c r="B1019" s="1" t="s">
        <v>9845</v>
      </c>
      <c r="C1019" s="1" t="s">
        <v>9846</v>
      </c>
      <c r="D1019" s="1" t="s">
        <v>9847</v>
      </c>
      <c r="E1019" s="1" t="s">
        <v>9848</v>
      </c>
      <c r="F1019" s="1" t="s">
        <v>9849</v>
      </c>
      <c r="G1019" s="1" t="s">
        <v>14281</v>
      </c>
      <c r="H1019" s="1" t="s">
        <v>14282</v>
      </c>
      <c r="I1019" s="1" t="s">
        <v>15130</v>
      </c>
      <c r="J1019" s="1" t="s">
        <v>23</v>
      </c>
      <c r="K1019" s="1"/>
      <c r="L1019" s="1" t="s">
        <v>8111</v>
      </c>
      <c r="M1019" s="1" t="s">
        <v>8111</v>
      </c>
      <c r="N1019" s="12" t="b">
        <f t="shared" si="75"/>
        <v>1</v>
      </c>
      <c r="O1019" s="1" t="s">
        <v>9850</v>
      </c>
      <c r="P1019" s="1" t="s">
        <v>9851</v>
      </c>
      <c r="Q1019" s="1" t="s">
        <v>9852</v>
      </c>
      <c r="R1019" s="1" t="s">
        <v>9853</v>
      </c>
      <c r="S1019" s="1" t="s">
        <v>9854</v>
      </c>
      <c r="T1019" s="1" t="s">
        <v>9855</v>
      </c>
      <c r="U1019" s="1" t="s">
        <v>9856</v>
      </c>
      <c r="V1019" s="13">
        <f>COUNTIF(L1019:$M$1659,L1019)</f>
        <v>6</v>
      </c>
      <c r="W1019" s="1" t="s">
        <v>8119</v>
      </c>
      <c r="X1019">
        <v>392.55</v>
      </c>
      <c r="Y1019">
        <v>192.47</v>
      </c>
      <c r="Z1019">
        <v>13.130394000000001</v>
      </c>
      <c r="AA1019">
        <v>109.27485799999999</v>
      </c>
      <c r="AB1019">
        <v>200.08</v>
      </c>
      <c r="AC1019">
        <v>13.111753</v>
      </c>
      <c r="AD1019">
        <v>109.28274</v>
      </c>
      <c r="AE1019" s="5">
        <f t="shared" si="76"/>
        <v>0.28870499999999999</v>
      </c>
      <c r="AF1019" s="5">
        <f t="shared" si="77"/>
        <v>0.30012</v>
      </c>
      <c r="AG1019" s="1" t="str">
        <f>TRIM(LEFT(L1019,FIND("-",L1019)-1))</f>
        <v>Sông Cầu</v>
      </c>
      <c r="AH1019" s="1" t="str">
        <f>TRIM(RIGHT(L1019, LEN(L1019) - FIND("-", L1019)))</f>
        <v>TT2 Tuy Hòa</v>
      </c>
      <c r="AJ1019">
        <f t="shared" si="78"/>
        <v>0.19247</v>
      </c>
      <c r="AK1019">
        <f t="shared" si="79"/>
        <v>0.20008000000000001</v>
      </c>
      <c r="AL1019">
        <f>VLOOKUP(L1019,'[1]Tuyến cáp H04'!$B:$E,3,0)/1000</f>
        <v>48.265999999999998</v>
      </c>
      <c r="AM1019" t="str">
        <f>VLOOKUP(L1019,'[1]Tuyến cáp H04'!$B:$E,4,0)</f>
        <v>Mạng cấp 3</v>
      </c>
    </row>
    <row r="1020" spans="1:39" x14ac:dyDescent="0.25">
      <c r="A1020" s="1" t="s">
        <v>9857</v>
      </c>
      <c r="B1020" s="1" t="s">
        <v>9847</v>
      </c>
      <c r="C1020" s="1" t="s">
        <v>9848</v>
      </c>
      <c r="D1020" s="1" t="s">
        <v>9657</v>
      </c>
      <c r="E1020" s="1" t="s">
        <v>9658</v>
      </c>
      <c r="F1020" s="1" t="s">
        <v>9858</v>
      </c>
      <c r="G1020" s="1" t="s">
        <v>14281</v>
      </c>
      <c r="H1020" s="1" t="s">
        <v>14282</v>
      </c>
      <c r="I1020" s="1" t="s">
        <v>15131</v>
      </c>
      <c r="J1020" s="1" t="s">
        <v>23</v>
      </c>
      <c r="K1020" s="1"/>
      <c r="L1020" s="1" t="s">
        <v>8111</v>
      </c>
      <c r="M1020" s="1" t="s">
        <v>8111</v>
      </c>
      <c r="N1020" s="12" t="b">
        <f t="shared" si="75"/>
        <v>1</v>
      </c>
      <c r="O1020" s="1" t="s">
        <v>9859</v>
      </c>
      <c r="P1020" s="1" t="s">
        <v>9854</v>
      </c>
      <c r="Q1020" s="1" t="s">
        <v>9855</v>
      </c>
      <c r="R1020" s="1" t="s">
        <v>9856</v>
      </c>
      <c r="S1020" s="1" t="s">
        <v>9860</v>
      </c>
      <c r="T1020" s="1" t="s">
        <v>9861</v>
      </c>
      <c r="U1020" s="1" t="s">
        <v>9862</v>
      </c>
      <c r="V1020" s="13">
        <f>COUNTIF(L1020:$M$1659,L1020)</f>
        <v>4</v>
      </c>
      <c r="W1020" s="1" t="s">
        <v>8119</v>
      </c>
      <c r="X1020">
        <v>347.65</v>
      </c>
      <c r="Y1020">
        <v>200.08</v>
      </c>
      <c r="Z1020">
        <v>13.111753</v>
      </c>
      <c r="AA1020">
        <v>109.28274</v>
      </c>
      <c r="AB1020">
        <v>147.58000000000001</v>
      </c>
      <c r="AC1020">
        <v>13.094139</v>
      </c>
      <c r="AD1020">
        <v>109.29262799999999</v>
      </c>
      <c r="AE1020" s="5">
        <f t="shared" si="76"/>
        <v>0.30012</v>
      </c>
      <c r="AF1020" s="5">
        <f t="shared" si="77"/>
        <v>0.22137000000000001</v>
      </c>
      <c r="AG1020" s="1" t="str">
        <f>TRIM(LEFT(L1020,FIND("-",L1020)-1))</f>
        <v>Sông Cầu</v>
      </c>
      <c r="AH1020" s="1" t="str">
        <f>TRIM(RIGHT(L1020, LEN(L1020) - FIND("-", L1020)))</f>
        <v>TT2 Tuy Hòa</v>
      </c>
      <c r="AJ1020">
        <f t="shared" si="78"/>
        <v>0.20008000000000001</v>
      </c>
      <c r="AK1020">
        <f t="shared" si="79"/>
        <v>0.14758000000000002</v>
      </c>
      <c r="AL1020">
        <f>VLOOKUP(L1020,'[1]Tuyến cáp H04'!$B:$E,3,0)/1000</f>
        <v>48.265999999999998</v>
      </c>
      <c r="AM1020" t="str">
        <f>VLOOKUP(L1020,'[1]Tuyến cáp H04'!$B:$E,4,0)</f>
        <v>Mạng cấp 3</v>
      </c>
    </row>
    <row r="1021" spans="1:39" x14ac:dyDescent="0.25">
      <c r="A1021" s="1" t="s">
        <v>9863</v>
      </c>
      <c r="B1021" s="1" t="s">
        <v>9657</v>
      </c>
      <c r="C1021" s="1" t="s">
        <v>9658</v>
      </c>
      <c r="D1021" s="1" t="s">
        <v>9018</v>
      </c>
      <c r="E1021" s="1" t="s">
        <v>9019</v>
      </c>
      <c r="F1021" s="1" t="s">
        <v>9864</v>
      </c>
      <c r="G1021" s="1" t="s">
        <v>14281</v>
      </c>
      <c r="H1021" s="1" t="s">
        <v>14282</v>
      </c>
      <c r="I1021" s="1" t="s">
        <v>15132</v>
      </c>
      <c r="J1021" s="1" t="s">
        <v>23</v>
      </c>
      <c r="K1021" s="1"/>
      <c r="L1021" s="1" t="s">
        <v>9865</v>
      </c>
      <c r="M1021" s="1" t="s">
        <v>9865</v>
      </c>
      <c r="N1021" s="12" t="b">
        <f t="shared" si="75"/>
        <v>1</v>
      </c>
      <c r="O1021" s="1" t="s">
        <v>9866</v>
      </c>
      <c r="P1021" s="1" t="s">
        <v>9867</v>
      </c>
      <c r="Q1021" s="1" t="s">
        <v>9868</v>
      </c>
      <c r="R1021" s="1" t="s">
        <v>9869</v>
      </c>
      <c r="S1021" s="1" t="s">
        <v>9870</v>
      </c>
      <c r="T1021" s="1" t="s">
        <v>9871</v>
      </c>
      <c r="U1021" s="1" t="s">
        <v>9872</v>
      </c>
      <c r="V1021" s="13">
        <f>COUNTIF(L1021:$M$1659,L1021)</f>
        <v>4</v>
      </c>
      <c r="W1021" s="1" t="s">
        <v>9873</v>
      </c>
      <c r="X1021">
        <v>18.809999999999999</v>
      </c>
      <c r="Y1021">
        <v>6.02</v>
      </c>
      <c r="Z1021">
        <v>13.094963</v>
      </c>
      <c r="AA1021">
        <v>109.291572</v>
      </c>
      <c r="AB1021">
        <v>12.79</v>
      </c>
      <c r="AC1021">
        <v>13.093813000000001</v>
      </c>
      <c r="AD1021">
        <v>109.29109099999999</v>
      </c>
      <c r="AE1021" s="5">
        <f t="shared" si="76"/>
        <v>9.0299999999999998E-3</v>
      </c>
      <c r="AF1021" s="5">
        <f t="shared" si="77"/>
        <v>1.9184999999999997E-2</v>
      </c>
      <c r="AG1021" s="1" t="str">
        <f>TRIM(LEFT(L1021,FIND("-",L1021)-1))</f>
        <v>PC07</v>
      </c>
      <c r="AH1021" s="1" t="str">
        <f>TRIM(RIGHT(L1021, LEN(L1021) - FIND("-", L1021)))</f>
        <v>PC11</v>
      </c>
      <c r="AJ1021">
        <f t="shared" si="78"/>
        <v>6.0199999999999993E-3</v>
      </c>
      <c r="AK1021">
        <f t="shared" si="79"/>
        <v>1.2789999999999999E-2</v>
      </c>
      <c r="AL1021">
        <f>VLOOKUP(L1021,'[1]Tuyến cáp H04'!$B:$E,3,0)/1000</f>
        <v>0.372</v>
      </c>
      <c r="AM1021" t="str">
        <f>VLOOKUP(L1021,'[1]Tuyến cáp H04'!$B:$E,4,0)</f>
        <v>Mạng cấp 3</v>
      </c>
    </row>
    <row r="1022" spans="1:39" x14ac:dyDescent="0.25">
      <c r="A1022" s="1" t="s">
        <v>9874</v>
      </c>
      <c r="B1022" s="1" t="s">
        <v>9018</v>
      </c>
      <c r="C1022" s="1" t="s">
        <v>9019</v>
      </c>
      <c r="D1022" s="1" t="s">
        <v>9875</v>
      </c>
      <c r="E1022" s="1" t="s">
        <v>9876</v>
      </c>
      <c r="F1022" s="1" t="s">
        <v>9877</v>
      </c>
      <c r="G1022" s="1" t="s">
        <v>14281</v>
      </c>
      <c r="H1022" s="1" t="s">
        <v>14282</v>
      </c>
      <c r="I1022" s="1" t="s">
        <v>15133</v>
      </c>
      <c r="J1022" s="1" t="s">
        <v>23</v>
      </c>
      <c r="K1022" s="1"/>
      <c r="L1022" s="1" t="s">
        <v>9878</v>
      </c>
      <c r="M1022" s="1" t="s">
        <v>9878</v>
      </c>
      <c r="N1022" s="12" t="b">
        <f t="shared" si="75"/>
        <v>1</v>
      </c>
      <c r="O1022" s="1" t="s">
        <v>9879</v>
      </c>
      <c r="P1022" s="1" t="s">
        <v>9880</v>
      </c>
      <c r="Q1022" s="1" t="s">
        <v>9881</v>
      </c>
      <c r="R1022" s="1" t="s">
        <v>9882</v>
      </c>
      <c r="S1022" s="1" t="s">
        <v>1017</v>
      </c>
      <c r="T1022" s="1" t="s">
        <v>9883</v>
      </c>
      <c r="U1022" s="1" t="s">
        <v>9884</v>
      </c>
      <c r="V1022" s="13">
        <f>COUNTIF(L1022:$M$1659,L1022)</f>
        <v>4</v>
      </c>
      <c r="W1022" s="1" t="s">
        <v>9885</v>
      </c>
      <c r="X1022">
        <v>165.06</v>
      </c>
      <c r="Y1022">
        <v>161.49</v>
      </c>
      <c r="Z1022">
        <v>13.094086000000001</v>
      </c>
      <c r="AA1022">
        <v>109.292655</v>
      </c>
      <c r="AB1022">
        <v>3.57</v>
      </c>
      <c r="AC1022">
        <v>13.088816</v>
      </c>
      <c r="AD1022">
        <v>109.299329</v>
      </c>
      <c r="AE1022" s="5">
        <f t="shared" si="76"/>
        <v>0.24223500000000001</v>
      </c>
      <c r="AF1022" s="5">
        <f t="shared" si="77"/>
        <v>5.3549999999999995E-3</v>
      </c>
      <c r="AG1022" s="1" t="str">
        <f>TRIM(LEFT(L1022,FIND("-",L1022)-1))</f>
        <v>TT2 Đăk Lăk (Tuy Hòa)</v>
      </c>
      <c r="AH1022" s="1" t="str">
        <f>TRIM(RIGHT(L1022, LEN(L1022) - FIND("-", L1022)))</f>
        <v>PC06</v>
      </c>
      <c r="AJ1022">
        <f t="shared" si="78"/>
        <v>0.16149000000000002</v>
      </c>
      <c r="AK1022">
        <f t="shared" si="79"/>
        <v>3.5699999999999998E-3</v>
      </c>
      <c r="AL1022">
        <f>VLOOKUP(L1022,'[1]Tuyến cáp H04'!$B:$E,3,0)/1000</f>
        <v>1.96</v>
      </c>
      <c r="AM1022" t="str">
        <f>VLOOKUP(L1022,'[1]Tuyến cáp H04'!$B:$E,4,0)</f>
        <v>Mạng cấp 3</v>
      </c>
    </row>
    <row r="1023" spans="1:39" x14ac:dyDescent="0.25">
      <c r="A1023" s="1" t="s">
        <v>9886</v>
      </c>
      <c r="B1023" s="1" t="s">
        <v>9875</v>
      </c>
      <c r="C1023" s="1" t="s">
        <v>9876</v>
      </c>
      <c r="D1023" s="1" t="s">
        <v>9887</v>
      </c>
      <c r="E1023" s="1" t="s">
        <v>9888</v>
      </c>
      <c r="F1023" s="1" t="s">
        <v>9889</v>
      </c>
      <c r="G1023" s="1" t="s">
        <v>14281</v>
      </c>
      <c r="H1023" s="1" t="s">
        <v>14282</v>
      </c>
      <c r="I1023" s="1" t="s">
        <v>15134</v>
      </c>
      <c r="J1023" s="1" t="s">
        <v>23</v>
      </c>
      <c r="K1023" s="1"/>
      <c r="L1023" s="1" t="s">
        <v>8925</v>
      </c>
      <c r="M1023" s="1" t="s">
        <v>8925</v>
      </c>
      <c r="N1023" s="12" t="b">
        <f t="shared" si="75"/>
        <v>1</v>
      </c>
      <c r="O1023" s="1" t="s">
        <v>9890</v>
      </c>
      <c r="P1023" s="1" t="s">
        <v>9891</v>
      </c>
      <c r="Q1023" s="1" t="s">
        <v>9892</v>
      </c>
      <c r="R1023" s="1" t="s">
        <v>9893</v>
      </c>
      <c r="S1023" s="1" t="s">
        <v>9894</v>
      </c>
      <c r="T1023" s="1" t="s">
        <v>9895</v>
      </c>
      <c r="U1023" s="1" t="s">
        <v>9896</v>
      </c>
      <c r="V1023" s="13">
        <f>COUNTIF(L1023:$M$1659,L1023)</f>
        <v>4</v>
      </c>
      <c r="W1023" s="1" t="s">
        <v>8933</v>
      </c>
      <c r="X1023">
        <v>196.33</v>
      </c>
      <c r="Y1023">
        <v>43.3</v>
      </c>
      <c r="Z1023">
        <v>13.089169</v>
      </c>
      <c r="AA1023">
        <v>109.29942800000001</v>
      </c>
      <c r="AB1023">
        <v>153.02000000000001</v>
      </c>
      <c r="AC1023">
        <v>13.086256000000001</v>
      </c>
      <c r="AD1023">
        <v>109.30136299999999</v>
      </c>
      <c r="AE1023" s="5">
        <f t="shared" si="76"/>
        <v>6.4949999999999994E-2</v>
      </c>
      <c r="AF1023" s="5">
        <f t="shared" si="77"/>
        <v>0.22953000000000004</v>
      </c>
      <c r="AG1023" s="1" t="str">
        <f>TRIM(LEFT(L1023,FIND("-",L1023)-1))</f>
        <v>TT2 Đăk Lăk (Tuy Hòa)</v>
      </c>
      <c r="AH1023" s="1" t="str">
        <f>TRIM(RIGHT(L1023, LEN(L1023) - FIND("-", L1023)))</f>
        <v>Cơ quan điều tra
 Tuy Hòa</v>
      </c>
      <c r="AJ1023">
        <f t="shared" si="78"/>
        <v>4.3299999999999998E-2</v>
      </c>
      <c r="AK1023">
        <f t="shared" si="79"/>
        <v>0.15302000000000002</v>
      </c>
      <c r="AL1023" t="e">
        <f>VLOOKUP(L1023,'[1]Tuyến cáp H04'!$B:$E,3,0)/1000</f>
        <v>#N/A</v>
      </c>
      <c r="AM1023" t="e">
        <f>VLOOKUP(L1023,'[1]Tuyến cáp H04'!$B:$E,4,0)</f>
        <v>#N/A</v>
      </c>
    </row>
    <row r="1024" spans="1:39" x14ac:dyDescent="0.25">
      <c r="A1024" s="1" t="s">
        <v>9897</v>
      </c>
      <c r="B1024" s="1" t="s">
        <v>9898</v>
      </c>
      <c r="C1024" s="1" t="s">
        <v>9899</v>
      </c>
      <c r="D1024" s="1" t="s">
        <v>9900</v>
      </c>
      <c r="E1024" s="1" t="s">
        <v>9901</v>
      </c>
      <c r="F1024" s="1" t="s">
        <v>9902</v>
      </c>
      <c r="G1024" s="1" t="s">
        <v>14281</v>
      </c>
      <c r="H1024" s="1" t="s">
        <v>14282</v>
      </c>
      <c r="I1024" s="1" t="s">
        <v>15135</v>
      </c>
      <c r="J1024" s="1" t="s">
        <v>23</v>
      </c>
      <c r="K1024" s="1"/>
      <c r="L1024" s="1" t="s">
        <v>9903</v>
      </c>
      <c r="M1024" s="1" t="s">
        <v>9903</v>
      </c>
      <c r="N1024" s="12" t="b">
        <f t="shared" si="75"/>
        <v>1</v>
      </c>
      <c r="O1024" s="1" t="s">
        <v>9904</v>
      </c>
      <c r="P1024" s="1" t="s">
        <v>9905</v>
      </c>
      <c r="Q1024" s="1" t="s">
        <v>9906</v>
      </c>
      <c r="R1024" s="1" t="s">
        <v>9907</v>
      </c>
      <c r="S1024" s="1" t="s">
        <v>9908</v>
      </c>
      <c r="T1024" s="1" t="s">
        <v>9909</v>
      </c>
      <c r="U1024" s="1" t="s">
        <v>9910</v>
      </c>
      <c r="V1024" s="13">
        <f>COUNTIF(L1024:$M$1659,L1024)</f>
        <v>4</v>
      </c>
      <c r="W1024" s="1" t="s">
        <v>9911</v>
      </c>
      <c r="X1024">
        <v>305.94</v>
      </c>
      <c r="Y1024">
        <v>289.02</v>
      </c>
      <c r="Z1024">
        <v>13.094658000000001</v>
      </c>
      <c r="AA1024">
        <v>109.314221</v>
      </c>
      <c r="AB1024">
        <v>16.920000000000002</v>
      </c>
      <c r="AC1024">
        <v>13.089726000000001</v>
      </c>
      <c r="AD1024">
        <v>109.309629</v>
      </c>
      <c r="AE1024" s="5">
        <f t="shared" si="76"/>
        <v>0.43352999999999997</v>
      </c>
      <c r="AF1024" s="5">
        <f t="shared" si="77"/>
        <v>2.5380000000000003E-2</v>
      </c>
      <c r="AG1024" s="1" t="str">
        <f>TRIM(LEFT(L1024,FIND("-",L1024)-1))</f>
        <v>Phú Yên</v>
      </c>
      <c r="AH1024" s="1" t="str">
        <f>TRIM(RIGHT(L1024, LEN(L1024) - FIND("-", L1024)))</f>
        <v>CAT Phú Yên</v>
      </c>
      <c r="AJ1024">
        <f t="shared" si="78"/>
        <v>0.28902</v>
      </c>
      <c r="AK1024">
        <f t="shared" si="79"/>
        <v>1.6920000000000001E-2</v>
      </c>
      <c r="AL1024">
        <f>VLOOKUP(L1024,'[1]Tuyến cáp H04'!$B:$E,3,0)/1000</f>
        <v>9.9039999999999999</v>
      </c>
      <c r="AM1024" t="str">
        <f>VLOOKUP(L1024,'[1]Tuyến cáp H04'!$B:$E,4,0)</f>
        <v>Mạng cấp 4</v>
      </c>
    </row>
    <row r="1025" spans="1:39" x14ac:dyDescent="0.25">
      <c r="A1025" s="1" t="s">
        <v>9912</v>
      </c>
      <c r="B1025" s="1" t="s">
        <v>9900</v>
      </c>
      <c r="C1025" s="1" t="s">
        <v>9901</v>
      </c>
      <c r="D1025" s="1" t="s">
        <v>9913</v>
      </c>
      <c r="E1025" s="1" t="s">
        <v>9914</v>
      </c>
      <c r="F1025" s="1" t="s">
        <v>9915</v>
      </c>
      <c r="G1025" s="1" t="s">
        <v>14281</v>
      </c>
      <c r="H1025" s="1" t="s">
        <v>14282</v>
      </c>
      <c r="I1025" s="1" t="s">
        <v>15136</v>
      </c>
      <c r="J1025" s="1" t="s">
        <v>23</v>
      </c>
      <c r="K1025" s="1"/>
      <c r="L1025" s="1" t="s">
        <v>9903</v>
      </c>
      <c r="M1025" s="1" t="s">
        <v>9903</v>
      </c>
      <c r="N1025" s="12" t="b">
        <f t="shared" si="75"/>
        <v>1</v>
      </c>
      <c r="O1025" s="1" t="s">
        <v>9916</v>
      </c>
      <c r="P1025" s="1" t="s">
        <v>9908</v>
      </c>
      <c r="Q1025" s="1" t="s">
        <v>9909</v>
      </c>
      <c r="R1025" s="1" t="s">
        <v>9910</v>
      </c>
      <c r="S1025" s="1" t="s">
        <v>9917</v>
      </c>
      <c r="T1025" s="1" t="s">
        <v>9918</v>
      </c>
      <c r="U1025" s="1" t="s">
        <v>9919</v>
      </c>
      <c r="V1025" s="13">
        <f>COUNTIF(L1025:$M$1659,L1025)</f>
        <v>2</v>
      </c>
      <c r="W1025" s="1" t="s">
        <v>9911</v>
      </c>
      <c r="X1025">
        <v>225.82</v>
      </c>
      <c r="Y1025">
        <v>16.920000000000002</v>
      </c>
      <c r="Z1025">
        <v>13.089726000000001</v>
      </c>
      <c r="AA1025">
        <v>109.309629</v>
      </c>
      <c r="AB1025">
        <v>208.9</v>
      </c>
      <c r="AC1025">
        <v>13.088728</v>
      </c>
      <c r="AD1025">
        <v>109.30623900000001</v>
      </c>
      <c r="AE1025" s="5">
        <f t="shared" si="76"/>
        <v>2.5380000000000003E-2</v>
      </c>
      <c r="AF1025" s="5">
        <f t="shared" si="77"/>
        <v>0.31335000000000002</v>
      </c>
      <c r="AG1025" s="1" t="str">
        <f>TRIM(LEFT(L1025,FIND("-",L1025)-1))</f>
        <v>Phú Yên</v>
      </c>
      <c r="AH1025" s="1" t="str">
        <f>TRIM(RIGHT(L1025, LEN(L1025) - FIND("-", L1025)))</f>
        <v>CAT Phú Yên</v>
      </c>
      <c r="AJ1025">
        <f t="shared" si="78"/>
        <v>1.6920000000000001E-2</v>
      </c>
      <c r="AK1025">
        <f t="shared" si="79"/>
        <v>0.2089</v>
      </c>
      <c r="AL1025">
        <f>VLOOKUP(L1025,'[1]Tuyến cáp H04'!$B:$E,3,0)/1000</f>
        <v>9.9039999999999999</v>
      </c>
      <c r="AM1025" t="str">
        <f>VLOOKUP(L1025,'[1]Tuyến cáp H04'!$B:$E,4,0)</f>
        <v>Mạng cấp 4</v>
      </c>
    </row>
    <row r="1026" spans="1:39" x14ac:dyDescent="0.25">
      <c r="A1026" s="1" t="s">
        <v>9920</v>
      </c>
      <c r="B1026" s="1" t="s">
        <v>9921</v>
      </c>
      <c r="C1026" s="1" t="s">
        <v>9922</v>
      </c>
      <c r="D1026" s="1" t="s">
        <v>9923</v>
      </c>
      <c r="E1026" s="1" t="s">
        <v>9924</v>
      </c>
      <c r="F1026" s="1" t="s">
        <v>9925</v>
      </c>
      <c r="G1026" s="1" t="s">
        <v>14281</v>
      </c>
      <c r="H1026" s="1" t="s">
        <v>14282</v>
      </c>
      <c r="I1026" s="1" t="s">
        <v>15137</v>
      </c>
      <c r="J1026" s="1" t="s">
        <v>23</v>
      </c>
      <c r="K1026" s="1"/>
      <c r="L1026" s="1" t="s">
        <v>9456</v>
      </c>
      <c r="M1026" s="1" t="s">
        <v>9456</v>
      </c>
      <c r="N1026" s="12" t="b">
        <f t="shared" si="75"/>
        <v>1</v>
      </c>
      <c r="O1026" s="1" t="s">
        <v>9926</v>
      </c>
      <c r="P1026" s="1" t="s">
        <v>9927</v>
      </c>
      <c r="Q1026" s="1" t="s">
        <v>9928</v>
      </c>
      <c r="R1026" s="1" t="s">
        <v>9929</v>
      </c>
      <c r="S1026" s="1" t="s">
        <v>9930</v>
      </c>
      <c r="T1026" s="1" t="s">
        <v>9931</v>
      </c>
      <c r="U1026" s="1" t="s">
        <v>9932</v>
      </c>
      <c r="V1026" s="13">
        <f>COUNTIF(L1026:$M$1659,L1026)</f>
        <v>2</v>
      </c>
      <c r="W1026" s="1" t="s">
        <v>9933</v>
      </c>
      <c r="X1026">
        <v>1502.01</v>
      </c>
      <c r="Y1026">
        <v>656.9</v>
      </c>
      <c r="Z1026">
        <v>13.141819999999999</v>
      </c>
      <c r="AA1026">
        <v>109.28716300000001</v>
      </c>
      <c r="AB1026">
        <v>845.11</v>
      </c>
      <c r="AC1026">
        <v>13.117717000000001</v>
      </c>
      <c r="AD1026">
        <v>109.302817</v>
      </c>
      <c r="AE1026" s="5">
        <f t="shared" si="76"/>
        <v>0.98534999999999995</v>
      </c>
      <c r="AF1026" s="5">
        <f t="shared" si="77"/>
        <v>1.267665</v>
      </c>
      <c r="AG1026" s="1" t="str">
        <f>TRIM(LEFT(L1026,FIND("-",L1026)-1))</f>
        <v>CAT Phú Yên</v>
      </c>
      <c r="AH1026" s="1" t="str">
        <f>TRIM(RIGHT(L1026, LEN(L1026) - FIND("-", L1026)))</f>
        <v>Tuy An Nam</v>
      </c>
      <c r="AJ1026">
        <f t="shared" si="78"/>
        <v>0.65689999999999993</v>
      </c>
      <c r="AK1026">
        <f t="shared" si="79"/>
        <v>0.84511000000000003</v>
      </c>
      <c r="AL1026">
        <f>VLOOKUP(L1026,'[1]Tuyến cáp H04'!$B:$E,3,0)/1000</f>
        <v>8.3849999999999998</v>
      </c>
      <c r="AM1026" t="str">
        <f>VLOOKUP(L1026,'[1]Tuyến cáp H04'!$B:$E,4,0)</f>
        <v>Mạng cấp 4</v>
      </c>
    </row>
    <row r="1027" spans="1:39" x14ac:dyDescent="0.25">
      <c r="A1027" s="1" t="s">
        <v>9934</v>
      </c>
      <c r="B1027" s="1" t="s">
        <v>9923</v>
      </c>
      <c r="C1027" s="1" t="s">
        <v>9924</v>
      </c>
      <c r="D1027" s="1" t="s">
        <v>9935</v>
      </c>
      <c r="E1027" s="1" t="s">
        <v>9936</v>
      </c>
      <c r="F1027" s="1" t="s">
        <v>9937</v>
      </c>
      <c r="G1027" s="1" t="s">
        <v>14281</v>
      </c>
      <c r="H1027" s="1" t="s">
        <v>14282</v>
      </c>
      <c r="I1027" s="1" t="s">
        <v>15138</v>
      </c>
      <c r="J1027" s="1" t="s">
        <v>23</v>
      </c>
      <c r="K1027" s="1"/>
      <c r="L1027" s="1" t="s">
        <v>9135</v>
      </c>
      <c r="M1027" s="1" t="s">
        <v>9135</v>
      </c>
      <c r="N1027" s="12" t="b">
        <f t="shared" ref="N1027:N1090" si="80">L1027=M1027</f>
        <v>1</v>
      </c>
      <c r="O1027" s="1" t="s">
        <v>9938</v>
      </c>
      <c r="P1027" s="1" t="s">
        <v>9939</v>
      </c>
      <c r="Q1027" s="1" t="s">
        <v>9940</v>
      </c>
      <c r="R1027" s="1" t="s">
        <v>9941</v>
      </c>
      <c r="S1027" s="1" t="s">
        <v>9942</v>
      </c>
      <c r="T1027" s="1" t="s">
        <v>9943</v>
      </c>
      <c r="U1027" s="1" t="s">
        <v>9944</v>
      </c>
      <c r="V1027" s="13">
        <f>COUNTIF(L1027:$M$1659,L1027)</f>
        <v>8</v>
      </c>
      <c r="W1027" s="1" t="s">
        <v>9143</v>
      </c>
      <c r="X1027">
        <v>1033.82</v>
      </c>
      <c r="Y1027">
        <v>745.28</v>
      </c>
      <c r="Z1027">
        <v>13.116629</v>
      </c>
      <c r="AA1027">
        <v>109.30365399999999</v>
      </c>
      <c r="AB1027">
        <v>288.54000000000002</v>
      </c>
      <c r="AC1027">
        <v>13.108523</v>
      </c>
      <c r="AD1027">
        <v>109.304092</v>
      </c>
      <c r="AE1027" s="5">
        <f t="shared" ref="AE1027:AE1090" si="81">Y1027*1.5/1000</f>
        <v>1.11792</v>
      </c>
      <c r="AF1027" s="5">
        <f t="shared" ref="AF1027:AF1090" si="82">AB1027*1.5/1000</f>
        <v>0.43281000000000008</v>
      </c>
      <c r="AG1027" s="1" t="str">
        <f>TRIM(LEFT(L1027,FIND("-",L1027)-1))</f>
        <v>CAT PHÚ YÊN</v>
      </c>
      <c r="AH1027" s="1" t="str">
        <f>TRIM(RIGHT(L1027, LEN(L1027) - FIND("-", L1027)))</f>
        <v>Cảng hàng không Tuy Hòa</v>
      </c>
      <c r="AJ1027">
        <f t="shared" ref="AJ1027:AJ1090" si="83">Y1027/1000</f>
        <v>0.74527999999999994</v>
      </c>
      <c r="AK1027">
        <f t="shared" ref="AK1027:AK1090" si="84">AB1027/1000</f>
        <v>0.28854000000000002</v>
      </c>
      <c r="AL1027" t="e">
        <f>VLOOKUP(L1027,'[1]Tuyến cáp H04'!$B:$E,3,0)/1000</f>
        <v>#N/A</v>
      </c>
      <c r="AM1027" t="e">
        <f>VLOOKUP(L1027,'[1]Tuyến cáp H04'!$B:$E,4,0)</f>
        <v>#N/A</v>
      </c>
    </row>
    <row r="1028" spans="1:39" x14ac:dyDescent="0.25">
      <c r="A1028" s="1" t="s">
        <v>9945</v>
      </c>
      <c r="B1028" s="1" t="s">
        <v>9921</v>
      </c>
      <c r="C1028" s="1" t="s">
        <v>9922</v>
      </c>
      <c r="D1028" s="1" t="s">
        <v>9946</v>
      </c>
      <c r="E1028" s="1" t="s">
        <v>9947</v>
      </c>
      <c r="F1028" s="1" t="s">
        <v>9948</v>
      </c>
      <c r="G1028" s="1" t="s">
        <v>14281</v>
      </c>
      <c r="H1028" s="1" t="s">
        <v>14282</v>
      </c>
      <c r="I1028" s="1" t="s">
        <v>15139</v>
      </c>
      <c r="J1028" s="1" t="s">
        <v>23</v>
      </c>
      <c r="K1028" s="1"/>
      <c r="L1028" s="1" t="s">
        <v>8111</v>
      </c>
      <c r="M1028" s="1" t="s">
        <v>8111</v>
      </c>
      <c r="N1028" s="12" t="b">
        <f t="shared" si="80"/>
        <v>1</v>
      </c>
      <c r="O1028" s="1" t="s">
        <v>9949</v>
      </c>
      <c r="P1028" s="1" t="s">
        <v>9950</v>
      </c>
      <c r="Q1028" s="1" t="s">
        <v>9951</v>
      </c>
      <c r="R1028" s="1" t="s">
        <v>9952</v>
      </c>
      <c r="S1028" s="1" t="s">
        <v>9953</v>
      </c>
      <c r="T1028" s="1" t="s">
        <v>9954</v>
      </c>
      <c r="U1028" s="1" t="s">
        <v>9955</v>
      </c>
      <c r="V1028" s="13">
        <f>COUNTIF(L1028:$M$1659,L1028)</f>
        <v>2</v>
      </c>
      <c r="W1028" s="1" t="s">
        <v>8119</v>
      </c>
      <c r="X1028">
        <v>3290.52</v>
      </c>
      <c r="Y1028">
        <v>342.96</v>
      </c>
      <c r="Z1028">
        <v>13.143236999999999</v>
      </c>
      <c r="AA1028">
        <v>109.27804500000001</v>
      </c>
      <c r="AB1028">
        <v>2947.56</v>
      </c>
      <c r="AC1028">
        <v>13.093349999999999</v>
      </c>
      <c r="AD1028">
        <v>109.29304399999999</v>
      </c>
      <c r="AE1028" s="5">
        <f t="shared" si="81"/>
        <v>0.5144399999999999</v>
      </c>
      <c r="AF1028" s="5">
        <f t="shared" si="82"/>
        <v>4.4213399999999998</v>
      </c>
      <c r="AG1028" s="1" t="str">
        <f>TRIM(LEFT(L1028,FIND("-",L1028)-1))</f>
        <v>Sông Cầu</v>
      </c>
      <c r="AH1028" s="1" t="str">
        <f>TRIM(RIGHT(L1028, LEN(L1028) - FIND("-", L1028)))</f>
        <v>TT2 Tuy Hòa</v>
      </c>
      <c r="AJ1028">
        <f t="shared" si="83"/>
        <v>0.34295999999999999</v>
      </c>
      <c r="AK1028">
        <f t="shared" si="84"/>
        <v>2.9475599999999997</v>
      </c>
      <c r="AL1028">
        <f>VLOOKUP(L1028,'[1]Tuyến cáp H04'!$B:$E,3,0)/1000</f>
        <v>48.265999999999998</v>
      </c>
      <c r="AM1028" t="str">
        <f>VLOOKUP(L1028,'[1]Tuyến cáp H04'!$B:$E,4,0)</f>
        <v>Mạng cấp 3</v>
      </c>
    </row>
    <row r="1029" spans="1:39" x14ac:dyDescent="0.25">
      <c r="A1029" s="1" t="s">
        <v>9956</v>
      </c>
      <c r="B1029" s="1" t="s">
        <v>9946</v>
      </c>
      <c r="C1029" s="1" t="s">
        <v>9947</v>
      </c>
      <c r="D1029" s="1" t="s">
        <v>9957</v>
      </c>
      <c r="E1029" s="1" t="s">
        <v>9958</v>
      </c>
      <c r="F1029" s="1" t="s">
        <v>9959</v>
      </c>
      <c r="G1029" s="1" t="s">
        <v>14281</v>
      </c>
      <c r="H1029" s="1" t="s">
        <v>14282</v>
      </c>
      <c r="I1029" s="1" t="s">
        <v>15140</v>
      </c>
      <c r="J1029" s="1" t="s">
        <v>23</v>
      </c>
      <c r="K1029" s="1"/>
      <c r="L1029" s="1" t="s">
        <v>8925</v>
      </c>
      <c r="M1029" s="1" t="s">
        <v>8925</v>
      </c>
      <c r="N1029" s="12" t="b">
        <f t="shared" si="80"/>
        <v>1</v>
      </c>
      <c r="O1029" s="1" t="s">
        <v>9960</v>
      </c>
      <c r="P1029" s="1" t="s">
        <v>9961</v>
      </c>
      <c r="Q1029" s="1" t="s">
        <v>9962</v>
      </c>
      <c r="R1029" s="1" t="s">
        <v>9963</v>
      </c>
      <c r="S1029" s="1" t="s">
        <v>9964</v>
      </c>
      <c r="T1029" s="1" t="s">
        <v>9965</v>
      </c>
      <c r="U1029" s="1" t="s">
        <v>9966</v>
      </c>
      <c r="V1029" s="13">
        <f>COUNTIF(L1029:$M$1659,L1029)</f>
        <v>2</v>
      </c>
      <c r="W1029" s="1" t="s">
        <v>9967</v>
      </c>
      <c r="X1029">
        <v>74.53</v>
      </c>
      <c r="Y1029">
        <v>20.2</v>
      </c>
      <c r="Z1029">
        <v>13.094965999999999</v>
      </c>
      <c r="AA1029">
        <v>109.32032599999999</v>
      </c>
      <c r="AB1029">
        <v>54.33</v>
      </c>
      <c r="AC1029">
        <v>13.087904999999999</v>
      </c>
      <c r="AD1029">
        <v>109.311836</v>
      </c>
      <c r="AE1029" s="5">
        <f t="shared" si="81"/>
        <v>3.0299999999999997E-2</v>
      </c>
      <c r="AF1029" s="5">
        <f t="shared" si="82"/>
        <v>8.1494999999999998E-2</v>
      </c>
      <c r="AG1029" s="1" t="str">
        <f>TRIM(LEFT(L1029,FIND("-",L1029)-1))</f>
        <v>TT2 Đăk Lăk (Tuy Hòa)</v>
      </c>
      <c r="AH1029" s="1" t="str">
        <f>TRIM(RIGHT(L1029, LEN(L1029) - FIND("-", L1029)))</f>
        <v>Cơ quan điều tra
 Tuy Hòa</v>
      </c>
      <c r="AJ1029">
        <f t="shared" si="83"/>
        <v>2.0199999999999999E-2</v>
      </c>
      <c r="AK1029">
        <f t="shared" si="84"/>
        <v>5.4329999999999996E-2</v>
      </c>
      <c r="AL1029" t="e">
        <f>VLOOKUP(L1029,'[1]Tuyến cáp H04'!$B:$E,3,0)/1000</f>
        <v>#N/A</v>
      </c>
      <c r="AM1029" t="e">
        <f>VLOOKUP(L1029,'[1]Tuyến cáp H04'!$B:$E,4,0)</f>
        <v>#N/A</v>
      </c>
    </row>
    <row r="1030" spans="1:39" x14ac:dyDescent="0.25">
      <c r="A1030" s="1" t="s">
        <v>9968</v>
      </c>
      <c r="B1030" s="1" t="s">
        <v>9957</v>
      </c>
      <c r="C1030" s="1" t="s">
        <v>9958</v>
      </c>
      <c r="D1030" s="1" t="s">
        <v>9957</v>
      </c>
      <c r="E1030" s="1" t="s">
        <v>9958</v>
      </c>
      <c r="F1030" s="1" t="s">
        <v>9969</v>
      </c>
      <c r="G1030" s="1" t="s">
        <v>14281</v>
      </c>
      <c r="H1030" s="1" t="s">
        <v>14282</v>
      </c>
      <c r="I1030" s="1" t="s">
        <v>15141</v>
      </c>
      <c r="J1030" s="1" t="s">
        <v>23</v>
      </c>
      <c r="K1030" s="1"/>
      <c r="L1030" s="1" t="s">
        <v>9970</v>
      </c>
      <c r="M1030" s="1" t="s">
        <v>9970</v>
      </c>
      <c r="N1030" s="12" t="b">
        <f t="shared" si="80"/>
        <v>1</v>
      </c>
      <c r="O1030" s="1" t="s">
        <v>9971</v>
      </c>
      <c r="P1030" s="1" t="s">
        <v>9972</v>
      </c>
      <c r="Q1030" s="1" t="s">
        <v>9973</v>
      </c>
      <c r="R1030" s="1" t="s">
        <v>9974</v>
      </c>
      <c r="S1030" s="1" t="s">
        <v>9972</v>
      </c>
      <c r="T1030" s="1" t="s">
        <v>9973</v>
      </c>
      <c r="U1030" s="1" t="s">
        <v>9974</v>
      </c>
      <c r="V1030" s="13">
        <f>COUNTIF(L1030:$M$1659,L1030)</f>
        <v>4</v>
      </c>
      <c r="W1030" s="1" t="s">
        <v>9975</v>
      </c>
      <c r="X1030">
        <v>8.68</v>
      </c>
      <c r="Y1030">
        <v>4.34</v>
      </c>
      <c r="Z1030">
        <v>13.088093000000001</v>
      </c>
      <c r="AA1030">
        <v>109.31225999999999</v>
      </c>
      <c r="AB1030">
        <v>4.34</v>
      </c>
      <c r="AC1030">
        <v>13.088093000000001</v>
      </c>
      <c r="AD1030">
        <v>109.31225999999999</v>
      </c>
      <c r="AE1030" s="5">
        <f t="shared" si="81"/>
        <v>6.5100000000000002E-3</v>
      </c>
      <c r="AF1030" s="5">
        <f t="shared" si="82"/>
        <v>6.5100000000000002E-3</v>
      </c>
      <c r="AG1030" s="1" t="str">
        <f>TRIM(LEFT(L1030,FIND("-",L1030)-1))</f>
        <v>Cơ quan điều tra Tuy Hòa</v>
      </c>
      <c r="AH1030" s="1" t="str">
        <f>TRIM(RIGHT(L1030, LEN(L1030) - FIND("-", L1030)))</f>
        <v>PA08</v>
      </c>
      <c r="AJ1030">
        <f t="shared" si="83"/>
        <v>4.3400000000000001E-3</v>
      </c>
      <c r="AK1030">
        <f t="shared" si="84"/>
        <v>4.3400000000000001E-3</v>
      </c>
      <c r="AL1030">
        <f>VLOOKUP(L1030,'[1]Tuyến cáp H04'!$B:$E,3,0)/1000</f>
        <v>2.27</v>
      </c>
      <c r="AM1030" t="str">
        <f>VLOOKUP(L1030,'[1]Tuyến cáp H04'!$B:$E,4,0)</f>
        <v>Mạng cấp 3</v>
      </c>
    </row>
    <row r="1031" spans="1:39" x14ac:dyDescent="0.25">
      <c r="A1031" s="1" t="s">
        <v>9976</v>
      </c>
      <c r="B1031" s="1" t="s">
        <v>9957</v>
      </c>
      <c r="C1031" s="1" t="s">
        <v>9958</v>
      </c>
      <c r="D1031" s="1" t="s">
        <v>9913</v>
      </c>
      <c r="E1031" s="1" t="s">
        <v>9914</v>
      </c>
      <c r="F1031" s="1" t="s">
        <v>9977</v>
      </c>
      <c r="G1031" s="1" t="s">
        <v>14281</v>
      </c>
      <c r="H1031" s="1" t="s">
        <v>14282</v>
      </c>
      <c r="I1031" s="1" t="s">
        <v>15142</v>
      </c>
      <c r="J1031" s="1" t="s">
        <v>23</v>
      </c>
      <c r="K1031" s="1"/>
      <c r="L1031" s="1" t="s">
        <v>9135</v>
      </c>
      <c r="M1031" s="1" t="s">
        <v>9135</v>
      </c>
      <c r="N1031" s="12" t="b">
        <f t="shared" si="80"/>
        <v>1</v>
      </c>
      <c r="O1031" s="1" t="s">
        <v>9978</v>
      </c>
      <c r="P1031" s="1" t="s">
        <v>9979</v>
      </c>
      <c r="Q1031" s="1" t="s">
        <v>9980</v>
      </c>
      <c r="R1031" s="1" t="s">
        <v>9981</v>
      </c>
      <c r="S1031" s="1" t="s">
        <v>9982</v>
      </c>
      <c r="T1031" s="1" t="s">
        <v>9226</v>
      </c>
      <c r="U1031" s="1" t="s">
        <v>9227</v>
      </c>
      <c r="V1031" s="13">
        <f>COUNTIF(L1031:$M$1659,L1031)</f>
        <v>6</v>
      </c>
      <c r="W1031" s="1" t="s">
        <v>9228</v>
      </c>
      <c r="X1031">
        <v>306.38</v>
      </c>
      <c r="Y1031">
        <v>104.02</v>
      </c>
      <c r="Z1031">
        <v>13.088291</v>
      </c>
      <c r="AA1031">
        <v>109.313238</v>
      </c>
      <c r="AB1031">
        <v>202.36</v>
      </c>
      <c r="AC1031">
        <v>13.087066999999999</v>
      </c>
      <c r="AD1031">
        <v>109.308887</v>
      </c>
      <c r="AE1031" s="5">
        <f t="shared" si="81"/>
        <v>0.15603</v>
      </c>
      <c r="AF1031" s="5">
        <f t="shared" si="82"/>
        <v>0.30354000000000003</v>
      </c>
      <c r="AG1031" s="1" t="str">
        <f>TRIM(LEFT(L1031,FIND("-",L1031)-1))</f>
        <v>CAT PHÚ YÊN</v>
      </c>
      <c r="AH1031" s="1" t="str">
        <f>TRIM(RIGHT(L1031, LEN(L1031) - FIND("-", L1031)))</f>
        <v>Cảng hàng không Tuy Hòa</v>
      </c>
      <c r="AJ1031">
        <f t="shared" si="83"/>
        <v>0.10402</v>
      </c>
      <c r="AK1031">
        <f t="shared" si="84"/>
        <v>0.20236000000000001</v>
      </c>
      <c r="AL1031" t="e">
        <f>VLOOKUP(L1031,'[1]Tuyến cáp H04'!$B:$E,3,0)/1000</f>
        <v>#N/A</v>
      </c>
      <c r="AM1031" t="e">
        <f>VLOOKUP(L1031,'[1]Tuyến cáp H04'!$B:$E,4,0)</f>
        <v>#N/A</v>
      </c>
    </row>
    <row r="1032" spans="1:39" x14ac:dyDescent="0.25">
      <c r="A1032" s="1" t="s">
        <v>9983</v>
      </c>
      <c r="B1032" s="1" t="s">
        <v>9984</v>
      </c>
      <c r="C1032" s="1" t="s">
        <v>9985</v>
      </c>
      <c r="D1032" s="1" t="s">
        <v>8347</v>
      </c>
      <c r="E1032" s="1" t="s">
        <v>8348</v>
      </c>
      <c r="F1032" s="1" t="s">
        <v>9986</v>
      </c>
      <c r="G1032" s="1" t="s">
        <v>14281</v>
      </c>
      <c r="H1032" s="1" t="s">
        <v>14282</v>
      </c>
      <c r="I1032" s="1" t="s">
        <v>15143</v>
      </c>
      <c r="J1032" s="1" t="s">
        <v>23</v>
      </c>
      <c r="K1032" s="1"/>
      <c r="L1032" s="1" t="s">
        <v>9441</v>
      </c>
      <c r="M1032" s="1" t="s">
        <v>9441</v>
      </c>
      <c r="N1032" s="12" t="b">
        <f t="shared" si="80"/>
        <v>1</v>
      </c>
      <c r="O1032" s="1" t="s">
        <v>9987</v>
      </c>
      <c r="P1032" s="1" t="s">
        <v>9988</v>
      </c>
      <c r="Q1032" s="1" t="s">
        <v>9989</v>
      </c>
      <c r="R1032" s="1" t="s">
        <v>9990</v>
      </c>
      <c r="S1032" s="1" t="s">
        <v>9443</v>
      </c>
      <c r="T1032" s="1" t="s">
        <v>9444</v>
      </c>
      <c r="U1032" s="1" t="s">
        <v>9445</v>
      </c>
      <c r="V1032" s="13">
        <f>COUNTIF(L1032:$M$1659,L1032)</f>
        <v>2</v>
      </c>
      <c r="W1032" s="1" t="s">
        <v>9449</v>
      </c>
      <c r="X1032">
        <v>738.12</v>
      </c>
      <c r="Y1032">
        <v>722.25</v>
      </c>
      <c r="Z1032">
        <v>13.074517999999999</v>
      </c>
      <c r="AA1032">
        <v>109.27986900000001</v>
      </c>
      <c r="AB1032">
        <v>15.88</v>
      </c>
      <c r="AC1032">
        <v>13.071588</v>
      </c>
      <c r="AD1032">
        <v>109.275789</v>
      </c>
      <c r="AE1032" s="5">
        <f t="shared" si="81"/>
        <v>1.083375</v>
      </c>
      <c r="AF1032" s="5">
        <f t="shared" si="82"/>
        <v>2.3820000000000001E-2</v>
      </c>
      <c r="AG1032" s="1" t="str">
        <f>TRIM(LEFT(L1032,FIND("-",L1032)-1))</f>
        <v>PC11</v>
      </c>
      <c r="AH1032" s="1" t="str">
        <f>TRIM(RIGHT(L1032, LEN(L1032) - FIND("-", L1032)))</f>
        <v>PC08</v>
      </c>
      <c r="AJ1032">
        <f t="shared" si="83"/>
        <v>0.72224999999999995</v>
      </c>
      <c r="AK1032">
        <f t="shared" si="84"/>
        <v>1.5880000000000002E-2</v>
      </c>
      <c r="AL1032">
        <f>VLOOKUP(L1032,'[1]Tuyến cáp H04'!$B:$E,3,0)/1000</f>
        <v>26.952000000000002</v>
      </c>
      <c r="AM1032" t="str">
        <f>VLOOKUP(L1032,'[1]Tuyến cáp H04'!$B:$E,4,0)</f>
        <v>Mạng cấp 3</v>
      </c>
    </row>
    <row r="1033" spans="1:39" x14ac:dyDescent="0.25">
      <c r="A1033" s="1" t="s">
        <v>9991</v>
      </c>
      <c r="B1033" s="1" t="s">
        <v>9992</v>
      </c>
      <c r="C1033" s="1" t="s">
        <v>9993</v>
      </c>
      <c r="D1033" s="1" t="s">
        <v>8935</v>
      </c>
      <c r="E1033" s="1" t="s">
        <v>8936</v>
      </c>
      <c r="F1033" s="1" t="s">
        <v>9994</v>
      </c>
      <c r="G1033" s="1" t="s">
        <v>14281</v>
      </c>
      <c r="H1033" s="1" t="s">
        <v>14282</v>
      </c>
      <c r="I1033" s="1" t="s">
        <v>15144</v>
      </c>
      <c r="J1033" s="1" t="s">
        <v>23</v>
      </c>
      <c r="K1033" s="1"/>
      <c r="L1033" s="1" t="s">
        <v>8940</v>
      </c>
      <c r="M1033" s="1" t="s">
        <v>8940</v>
      </c>
      <c r="N1033" s="12" t="b">
        <f t="shared" si="80"/>
        <v>1</v>
      </c>
      <c r="O1033" s="1" t="s">
        <v>9995</v>
      </c>
      <c r="P1033" s="1" t="s">
        <v>9996</v>
      </c>
      <c r="Q1033" s="1" t="s">
        <v>9997</v>
      </c>
      <c r="R1033" s="1" t="s">
        <v>9998</v>
      </c>
      <c r="S1033" s="1" t="s">
        <v>2433</v>
      </c>
      <c r="T1033" s="1" t="s">
        <v>8942</v>
      </c>
      <c r="U1033" s="1" t="s">
        <v>8943</v>
      </c>
      <c r="V1033" s="13">
        <f>COUNTIF(L1033:$M$1659,L1033)</f>
        <v>2</v>
      </c>
      <c r="W1033" s="1" t="s">
        <v>8947</v>
      </c>
      <c r="X1033">
        <v>83.3</v>
      </c>
      <c r="Y1033">
        <v>81.63</v>
      </c>
      <c r="Z1033">
        <v>13.049013</v>
      </c>
      <c r="AA1033">
        <v>109.310469</v>
      </c>
      <c r="AB1033">
        <v>1.67</v>
      </c>
      <c r="AC1033">
        <v>13.052982</v>
      </c>
      <c r="AD1033">
        <v>109.310524</v>
      </c>
      <c r="AE1033" s="5">
        <f t="shared" si="81"/>
        <v>0.122445</v>
      </c>
      <c r="AF1033" s="5">
        <f t="shared" si="82"/>
        <v>2.5049999999999998E-3</v>
      </c>
      <c r="AG1033" s="1" t="str">
        <f>TRIM(LEFT(L1033,FIND("-",L1033)-1))</f>
        <v>Phú Hòa 2</v>
      </c>
      <c r="AH1033" s="1" t="str">
        <f>TRIM(RIGHT(L1033, LEN(L1033) - FIND("-", L1033)))</f>
        <v>Phú Yên</v>
      </c>
      <c r="AJ1033">
        <f t="shared" si="83"/>
        <v>8.1629999999999994E-2</v>
      </c>
      <c r="AK1033">
        <f t="shared" si="84"/>
        <v>1.6699999999999998E-3</v>
      </c>
      <c r="AL1033">
        <f>VLOOKUP(L1033,'[1]Tuyến cáp H04'!$B:$E,3,0)/1000</f>
        <v>20.920999999999999</v>
      </c>
      <c r="AM1033" t="str">
        <f>VLOOKUP(L1033,'[1]Tuyến cáp H04'!$B:$E,4,0)</f>
        <v>Mạng cấp 4</v>
      </c>
    </row>
    <row r="1034" spans="1:39" x14ac:dyDescent="0.25">
      <c r="A1034" s="1" t="s">
        <v>9999</v>
      </c>
      <c r="B1034" s="1" t="s">
        <v>10000</v>
      </c>
      <c r="C1034" s="1" t="s">
        <v>10001</v>
      </c>
      <c r="D1034" s="1" t="s">
        <v>8074</v>
      </c>
      <c r="E1034" s="1" t="s">
        <v>8075</v>
      </c>
      <c r="F1034" s="1" t="s">
        <v>10002</v>
      </c>
      <c r="G1034" s="1" t="s">
        <v>14281</v>
      </c>
      <c r="H1034" s="1" t="s">
        <v>14282</v>
      </c>
      <c r="I1034" s="1" t="s">
        <v>15145</v>
      </c>
      <c r="J1034" s="1" t="s">
        <v>23</v>
      </c>
      <c r="K1034" s="1"/>
      <c r="L1034" s="1" t="s">
        <v>9878</v>
      </c>
      <c r="M1034" s="1" t="s">
        <v>9878</v>
      </c>
      <c r="N1034" s="12" t="b">
        <f t="shared" si="80"/>
        <v>1</v>
      </c>
      <c r="O1034" s="1" t="s">
        <v>10003</v>
      </c>
      <c r="P1034" s="1" t="s">
        <v>10004</v>
      </c>
      <c r="Q1034" s="1" t="s">
        <v>10005</v>
      </c>
      <c r="R1034" s="1" t="s">
        <v>10006</v>
      </c>
      <c r="S1034" s="1" t="s">
        <v>10007</v>
      </c>
      <c r="T1034" s="1" t="s">
        <v>10008</v>
      </c>
      <c r="U1034" s="1" t="s">
        <v>10009</v>
      </c>
      <c r="V1034" s="13">
        <f>COUNTIF(L1034:$M$1659,L1034)</f>
        <v>2</v>
      </c>
      <c r="W1034" s="1" t="s">
        <v>9885</v>
      </c>
      <c r="X1034">
        <v>482.86</v>
      </c>
      <c r="Y1034">
        <v>481.9</v>
      </c>
      <c r="Z1034">
        <v>13.088972</v>
      </c>
      <c r="AA1034">
        <v>109.29941599999999</v>
      </c>
      <c r="AB1034">
        <v>0.95</v>
      </c>
      <c r="AC1034">
        <v>13.094738</v>
      </c>
      <c r="AD1034">
        <v>109.293009</v>
      </c>
      <c r="AE1034" s="5">
        <f t="shared" si="81"/>
        <v>0.72284999999999988</v>
      </c>
      <c r="AF1034" s="5">
        <f t="shared" si="82"/>
        <v>1.4249999999999998E-3</v>
      </c>
      <c r="AG1034" s="1" t="str">
        <f>TRIM(LEFT(L1034,FIND("-",L1034)-1))</f>
        <v>TT2 Đăk Lăk (Tuy Hòa)</v>
      </c>
      <c r="AH1034" s="1" t="str">
        <f>TRIM(RIGHT(L1034, LEN(L1034) - FIND("-", L1034)))</f>
        <v>PC06</v>
      </c>
      <c r="AJ1034">
        <f t="shared" si="83"/>
        <v>0.4819</v>
      </c>
      <c r="AK1034">
        <f t="shared" si="84"/>
        <v>9.5E-4</v>
      </c>
      <c r="AL1034">
        <f>VLOOKUP(L1034,'[1]Tuyến cáp H04'!$B:$E,3,0)/1000</f>
        <v>1.96</v>
      </c>
      <c r="AM1034" t="str">
        <f>VLOOKUP(L1034,'[1]Tuyến cáp H04'!$B:$E,4,0)</f>
        <v>Mạng cấp 3</v>
      </c>
    </row>
    <row r="1035" spans="1:39" x14ac:dyDescent="0.25">
      <c r="A1035" s="1" t="s">
        <v>10010</v>
      </c>
      <c r="B1035" s="1" t="s">
        <v>10011</v>
      </c>
      <c r="C1035" s="1" t="s">
        <v>10012</v>
      </c>
      <c r="D1035" s="1" t="s">
        <v>9847</v>
      </c>
      <c r="E1035" s="1" t="s">
        <v>9848</v>
      </c>
      <c r="F1035" s="1" t="s">
        <v>10013</v>
      </c>
      <c r="G1035" s="1" t="s">
        <v>14281</v>
      </c>
      <c r="H1035" s="1" t="s">
        <v>14282</v>
      </c>
      <c r="I1035" s="1" t="s">
        <v>15146</v>
      </c>
      <c r="J1035" s="1" t="s">
        <v>23</v>
      </c>
      <c r="K1035" s="1"/>
      <c r="L1035" s="1" t="s">
        <v>10014</v>
      </c>
      <c r="M1035" s="1" t="s">
        <v>10014</v>
      </c>
      <c r="N1035" s="12" t="b">
        <f t="shared" si="80"/>
        <v>1</v>
      </c>
      <c r="O1035" s="1" t="s">
        <v>10015</v>
      </c>
      <c r="P1035" s="1" t="s">
        <v>10016</v>
      </c>
      <c r="Q1035" s="1" t="s">
        <v>10017</v>
      </c>
      <c r="R1035" s="1" t="s">
        <v>10018</v>
      </c>
      <c r="S1035" s="1" t="s">
        <v>10019</v>
      </c>
      <c r="T1035" s="1" t="s">
        <v>10020</v>
      </c>
      <c r="U1035" s="1" t="s">
        <v>10021</v>
      </c>
      <c r="V1035" s="13">
        <f>COUNTIF(L1035:$M$1659,L1035)</f>
        <v>2</v>
      </c>
      <c r="W1035" s="1" t="s">
        <v>10022</v>
      </c>
      <c r="X1035">
        <v>89.32</v>
      </c>
      <c r="Y1035">
        <v>83.47</v>
      </c>
      <c r="Z1035">
        <v>13.110291999999999</v>
      </c>
      <c r="AA1035">
        <v>109.285296</v>
      </c>
      <c r="AB1035">
        <v>5.85</v>
      </c>
      <c r="AC1035">
        <v>13.112349</v>
      </c>
      <c r="AD1035">
        <v>109.28452</v>
      </c>
      <c r="AE1035" s="5">
        <f t="shared" si="81"/>
        <v>0.12520500000000001</v>
      </c>
      <c r="AF1035" s="5">
        <f t="shared" si="82"/>
        <v>8.7749999999999981E-3</v>
      </c>
      <c r="AG1035" s="1" t="str">
        <f>TRIM(LEFT(L1035,FIND("-",L1035)-1))</f>
        <v>Điểm đăng ký sát hạch lái xe (PC08)</v>
      </c>
      <c r="AH1035" s="1" t="str">
        <f>TRIM(RIGHT(L1035, LEN(L1035) - FIND("-", L1035)))</f>
        <v>TT2
 Đăk Lăk (Tuy Hòa)</v>
      </c>
      <c r="AJ1035">
        <f t="shared" si="83"/>
        <v>8.3470000000000003E-2</v>
      </c>
      <c r="AK1035">
        <f t="shared" si="84"/>
        <v>5.8499999999999993E-3</v>
      </c>
      <c r="AL1035" t="e">
        <f>VLOOKUP(L1035,'[1]Tuyến cáp H04'!$B:$E,3,0)/1000</f>
        <v>#N/A</v>
      </c>
      <c r="AM1035" t="e">
        <f>VLOOKUP(L1035,'[1]Tuyến cáp H04'!$B:$E,4,0)</f>
        <v>#N/A</v>
      </c>
    </row>
    <row r="1036" spans="1:39" x14ac:dyDescent="0.25">
      <c r="A1036" s="1" t="s">
        <v>10023</v>
      </c>
      <c r="B1036" s="1" t="s">
        <v>10024</v>
      </c>
      <c r="C1036" s="1" t="s">
        <v>10025</v>
      </c>
      <c r="D1036" s="1" t="s">
        <v>9245</v>
      </c>
      <c r="E1036" s="1" t="s">
        <v>9246</v>
      </c>
      <c r="F1036" s="1" t="s">
        <v>10026</v>
      </c>
      <c r="G1036" s="1" t="s">
        <v>14281</v>
      </c>
      <c r="H1036" s="1" t="s">
        <v>14282</v>
      </c>
      <c r="I1036" s="1" t="s">
        <v>15147</v>
      </c>
      <c r="J1036" s="1" t="s">
        <v>23</v>
      </c>
      <c r="K1036" s="1"/>
      <c r="L1036" s="1" t="s">
        <v>9261</v>
      </c>
      <c r="M1036" s="1" t="s">
        <v>9261</v>
      </c>
      <c r="N1036" s="12" t="b">
        <f t="shared" si="80"/>
        <v>1</v>
      </c>
      <c r="O1036" s="1" t="s">
        <v>10027</v>
      </c>
      <c r="P1036" s="1" t="s">
        <v>10028</v>
      </c>
      <c r="Q1036" s="1" t="s">
        <v>10029</v>
      </c>
      <c r="R1036" s="1" t="s">
        <v>10030</v>
      </c>
      <c r="S1036" s="1" t="s">
        <v>10031</v>
      </c>
      <c r="T1036" s="1" t="s">
        <v>10032</v>
      </c>
      <c r="U1036" s="1" t="s">
        <v>10033</v>
      </c>
      <c r="V1036" s="13">
        <f>COUNTIF(L1036:$M$1659,L1036)</f>
        <v>2</v>
      </c>
      <c r="W1036" s="1" t="s">
        <v>9269</v>
      </c>
      <c r="X1036">
        <v>857.89</v>
      </c>
      <c r="Y1036">
        <v>853.99</v>
      </c>
      <c r="Z1036">
        <v>12.92977</v>
      </c>
      <c r="AA1036">
        <v>109.239602</v>
      </c>
      <c r="AB1036">
        <v>3.9</v>
      </c>
      <c r="AC1036">
        <v>12.932771000000001</v>
      </c>
      <c r="AD1036">
        <v>109.23917299999999</v>
      </c>
      <c r="AE1036" s="5">
        <f t="shared" si="81"/>
        <v>1.280985</v>
      </c>
      <c r="AF1036" s="5">
        <f t="shared" si="82"/>
        <v>5.8499999999999993E-3</v>
      </c>
      <c r="AG1036" s="1" t="str">
        <f>TRIM(LEFT(L1036,FIND("-",L1036)-1))</f>
        <v>Hòa Mỹ</v>
      </c>
      <c r="AH1036" s="1" t="str">
        <f>TRIM(RIGHT(L1036, LEN(L1036) - FIND("-", L1036)))</f>
        <v>Hòa Thịnh</v>
      </c>
      <c r="AJ1036">
        <f t="shared" si="83"/>
        <v>0.85399000000000003</v>
      </c>
      <c r="AK1036">
        <f t="shared" si="84"/>
        <v>3.8999999999999998E-3</v>
      </c>
      <c r="AL1036">
        <f>VLOOKUP(L1036,'[1]Tuyến cáp H04'!$B:$E,3,0)/1000</f>
        <v>13.688000000000001</v>
      </c>
      <c r="AM1036" t="str">
        <f>VLOOKUP(L1036,'[1]Tuyến cáp H04'!$B:$E,4,0)</f>
        <v>Mạng cấp 4</v>
      </c>
    </row>
    <row r="1037" spans="1:39" x14ac:dyDescent="0.25">
      <c r="A1037" s="1" t="s">
        <v>10034</v>
      </c>
      <c r="B1037" s="1" t="s">
        <v>9657</v>
      </c>
      <c r="C1037" s="1" t="s">
        <v>9658</v>
      </c>
      <c r="D1037" s="1" t="s">
        <v>10035</v>
      </c>
      <c r="E1037" s="1" t="s">
        <v>10036</v>
      </c>
      <c r="F1037" s="1" t="s">
        <v>10037</v>
      </c>
      <c r="G1037" s="1" t="s">
        <v>14281</v>
      </c>
      <c r="H1037" s="1" t="s">
        <v>14282</v>
      </c>
      <c r="I1037" s="1" t="s">
        <v>15148</v>
      </c>
      <c r="J1037" s="1" t="s">
        <v>23</v>
      </c>
      <c r="K1037" s="1"/>
      <c r="L1037" s="1" t="s">
        <v>9865</v>
      </c>
      <c r="M1037" s="1" t="s">
        <v>9865</v>
      </c>
      <c r="N1037" s="12" t="b">
        <f t="shared" si="80"/>
        <v>1</v>
      </c>
      <c r="O1037" s="1" t="s">
        <v>10038</v>
      </c>
      <c r="P1037" s="1" t="s">
        <v>9867</v>
      </c>
      <c r="Q1037" s="1" t="s">
        <v>9868</v>
      </c>
      <c r="R1037" s="1" t="s">
        <v>9869</v>
      </c>
      <c r="S1037" s="1" t="s">
        <v>10039</v>
      </c>
      <c r="T1037" s="1" t="s">
        <v>10040</v>
      </c>
      <c r="U1037" s="1" t="s">
        <v>10041</v>
      </c>
      <c r="V1037" s="13">
        <f>COUNTIF(L1037:$M$1659,L1037)</f>
        <v>2</v>
      </c>
      <c r="W1037" s="1" t="s">
        <v>9873</v>
      </c>
      <c r="X1037">
        <v>84.83</v>
      </c>
      <c r="Y1037">
        <v>6.02</v>
      </c>
      <c r="Z1037">
        <v>13.094963</v>
      </c>
      <c r="AA1037">
        <v>109.291572</v>
      </c>
      <c r="AB1037">
        <v>78.81</v>
      </c>
      <c r="AC1037">
        <v>13.093843</v>
      </c>
      <c r="AD1037">
        <v>109.291611</v>
      </c>
      <c r="AE1037" s="5">
        <f t="shared" si="81"/>
        <v>9.0299999999999998E-3</v>
      </c>
      <c r="AF1037" s="5">
        <f t="shared" si="82"/>
        <v>0.118215</v>
      </c>
      <c r="AG1037" s="1" t="str">
        <f>TRIM(LEFT(L1037,FIND("-",L1037)-1))</f>
        <v>PC07</v>
      </c>
      <c r="AH1037" s="1" t="str">
        <f>TRIM(RIGHT(L1037, LEN(L1037) - FIND("-", L1037)))</f>
        <v>PC11</v>
      </c>
      <c r="AJ1037">
        <f t="shared" si="83"/>
        <v>6.0199999999999993E-3</v>
      </c>
      <c r="AK1037">
        <f t="shared" si="84"/>
        <v>7.8810000000000005E-2</v>
      </c>
      <c r="AL1037">
        <f>VLOOKUP(L1037,'[1]Tuyến cáp H04'!$B:$E,3,0)/1000</f>
        <v>0.372</v>
      </c>
      <c r="AM1037" t="str">
        <f>VLOOKUP(L1037,'[1]Tuyến cáp H04'!$B:$E,4,0)</f>
        <v>Mạng cấp 3</v>
      </c>
    </row>
    <row r="1038" spans="1:39" x14ac:dyDescent="0.25">
      <c r="A1038" s="1" t="s">
        <v>10042</v>
      </c>
      <c r="B1038" s="1" t="s">
        <v>9923</v>
      </c>
      <c r="C1038" s="1" t="s">
        <v>9924</v>
      </c>
      <c r="D1038" s="1" t="s">
        <v>10043</v>
      </c>
      <c r="E1038" s="1" t="s">
        <v>10044</v>
      </c>
      <c r="F1038" s="1" t="s">
        <v>10045</v>
      </c>
      <c r="G1038" s="1" t="s">
        <v>14281</v>
      </c>
      <c r="H1038" s="1" t="s">
        <v>14282</v>
      </c>
      <c r="I1038" s="1" t="s">
        <v>15149</v>
      </c>
      <c r="J1038" s="1" t="s">
        <v>23</v>
      </c>
      <c r="K1038" s="1"/>
      <c r="L1038" s="1" t="s">
        <v>9135</v>
      </c>
      <c r="M1038" s="1" t="s">
        <v>9135</v>
      </c>
      <c r="N1038" s="12" t="b">
        <f t="shared" si="80"/>
        <v>1</v>
      </c>
      <c r="O1038" s="1" t="s">
        <v>10046</v>
      </c>
      <c r="P1038" s="1" t="s">
        <v>9939</v>
      </c>
      <c r="Q1038" s="1" t="s">
        <v>9940</v>
      </c>
      <c r="R1038" s="1" t="s">
        <v>9941</v>
      </c>
      <c r="S1038" s="1" t="s">
        <v>10047</v>
      </c>
      <c r="T1038" s="1" t="s">
        <v>10048</v>
      </c>
      <c r="U1038" s="1" t="s">
        <v>10049</v>
      </c>
      <c r="V1038" s="13">
        <f>COUNTIF(L1038:$M$1659,L1038)</f>
        <v>4</v>
      </c>
      <c r="W1038" s="1" t="s">
        <v>9143</v>
      </c>
      <c r="X1038">
        <v>1319.1</v>
      </c>
      <c r="Y1038">
        <v>745.28</v>
      </c>
      <c r="Z1038">
        <v>13.116629</v>
      </c>
      <c r="AA1038">
        <v>109.30365399999999</v>
      </c>
      <c r="AB1038">
        <v>573.82000000000005</v>
      </c>
      <c r="AC1038">
        <v>13.115219</v>
      </c>
      <c r="AD1038">
        <v>109.29927600000001</v>
      </c>
      <c r="AE1038" s="5">
        <f t="shared" si="81"/>
        <v>1.11792</v>
      </c>
      <c r="AF1038" s="5">
        <f t="shared" si="82"/>
        <v>0.86073</v>
      </c>
      <c r="AG1038" s="1" t="str">
        <f>TRIM(LEFT(L1038,FIND("-",L1038)-1))</f>
        <v>CAT PHÚ YÊN</v>
      </c>
      <c r="AH1038" s="1" t="str">
        <f>TRIM(RIGHT(L1038, LEN(L1038) - FIND("-", L1038)))</f>
        <v>Cảng hàng không Tuy Hòa</v>
      </c>
      <c r="AJ1038">
        <f t="shared" si="83"/>
        <v>0.74527999999999994</v>
      </c>
      <c r="AK1038">
        <f t="shared" si="84"/>
        <v>0.57382</v>
      </c>
      <c r="AL1038" t="e">
        <f>VLOOKUP(L1038,'[1]Tuyến cáp H04'!$B:$E,3,0)/1000</f>
        <v>#N/A</v>
      </c>
      <c r="AM1038" t="e">
        <f>VLOOKUP(L1038,'[1]Tuyến cáp H04'!$B:$E,4,0)</f>
        <v>#N/A</v>
      </c>
    </row>
    <row r="1039" spans="1:39" x14ac:dyDescent="0.25">
      <c r="A1039" s="1" t="s">
        <v>10050</v>
      </c>
      <c r="B1039" s="1" t="s">
        <v>9923</v>
      </c>
      <c r="C1039" s="1" t="s">
        <v>9924</v>
      </c>
      <c r="D1039" s="1" t="s">
        <v>10051</v>
      </c>
      <c r="E1039" s="1" t="s">
        <v>10052</v>
      </c>
      <c r="F1039" s="1" t="s">
        <v>10053</v>
      </c>
      <c r="G1039" s="1" t="s">
        <v>14281</v>
      </c>
      <c r="H1039" s="1" t="s">
        <v>14282</v>
      </c>
      <c r="I1039" s="1" t="s">
        <v>15150</v>
      </c>
      <c r="J1039" s="1" t="s">
        <v>23</v>
      </c>
      <c r="K1039" s="1"/>
      <c r="L1039" s="1" t="s">
        <v>9135</v>
      </c>
      <c r="M1039" s="1" t="s">
        <v>9135</v>
      </c>
      <c r="N1039" s="12" t="b">
        <f t="shared" si="80"/>
        <v>1</v>
      </c>
      <c r="O1039" s="1" t="s">
        <v>10054</v>
      </c>
      <c r="P1039" s="1" t="s">
        <v>9939</v>
      </c>
      <c r="Q1039" s="1" t="s">
        <v>9940</v>
      </c>
      <c r="R1039" s="1" t="s">
        <v>9941</v>
      </c>
      <c r="S1039" s="1" t="s">
        <v>10055</v>
      </c>
      <c r="T1039" s="1" t="s">
        <v>10048</v>
      </c>
      <c r="U1039" s="1" t="s">
        <v>10049</v>
      </c>
      <c r="V1039" s="13">
        <f>COUNTIF(L1039:$M$1659,L1039)</f>
        <v>2</v>
      </c>
      <c r="W1039" s="1" t="s">
        <v>9143</v>
      </c>
      <c r="X1039">
        <v>977.79</v>
      </c>
      <c r="Y1039">
        <v>745.28</v>
      </c>
      <c r="Z1039">
        <v>13.116629</v>
      </c>
      <c r="AA1039">
        <v>109.30365399999999</v>
      </c>
      <c r="AB1039">
        <v>232.51</v>
      </c>
      <c r="AC1039">
        <v>13.115219</v>
      </c>
      <c r="AD1039">
        <v>109.29927600000001</v>
      </c>
      <c r="AE1039" s="5">
        <f t="shared" si="81"/>
        <v>1.11792</v>
      </c>
      <c r="AF1039" s="5">
        <f t="shared" si="82"/>
        <v>0.34876499999999999</v>
      </c>
      <c r="AG1039" s="1" t="str">
        <f>TRIM(LEFT(L1039,FIND("-",L1039)-1))</f>
        <v>CAT PHÚ YÊN</v>
      </c>
      <c r="AH1039" s="1" t="str">
        <f>TRIM(RIGHT(L1039, LEN(L1039) - FIND("-", L1039)))</f>
        <v>Cảng hàng không Tuy Hòa</v>
      </c>
      <c r="AJ1039">
        <f t="shared" si="83"/>
        <v>0.74527999999999994</v>
      </c>
      <c r="AK1039">
        <f t="shared" si="84"/>
        <v>0.23250999999999999</v>
      </c>
      <c r="AL1039" t="e">
        <f>VLOOKUP(L1039,'[1]Tuyến cáp H04'!$B:$E,3,0)/1000</f>
        <v>#N/A</v>
      </c>
      <c r="AM1039" t="e">
        <f>VLOOKUP(L1039,'[1]Tuyến cáp H04'!$B:$E,4,0)</f>
        <v>#N/A</v>
      </c>
    </row>
    <row r="1040" spans="1:39" x14ac:dyDescent="0.25">
      <c r="A1040" s="1" t="s">
        <v>10056</v>
      </c>
      <c r="B1040" s="1" t="s">
        <v>9657</v>
      </c>
      <c r="C1040" s="1" t="s">
        <v>9658</v>
      </c>
      <c r="D1040" s="1" t="s">
        <v>10057</v>
      </c>
      <c r="E1040" s="1" t="s">
        <v>10058</v>
      </c>
      <c r="F1040" s="1" t="s">
        <v>10059</v>
      </c>
      <c r="G1040" s="1" t="s">
        <v>14281</v>
      </c>
      <c r="H1040" s="1" t="s">
        <v>14282</v>
      </c>
      <c r="I1040" s="1" t="s">
        <v>15151</v>
      </c>
      <c r="J1040" s="1" t="s">
        <v>23</v>
      </c>
      <c r="K1040" s="1"/>
      <c r="L1040" s="1" t="s">
        <v>10060</v>
      </c>
      <c r="M1040" s="1" t="s">
        <v>10060</v>
      </c>
      <c r="N1040" s="12" t="b">
        <f t="shared" si="80"/>
        <v>1</v>
      </c>
      <c r="O1040" s="1" t="s">
        <v>10061</v>
      </c>
      <c r="P1040" s="1" t="s">
        <v>10062</v>
      </c>
      <c r="Q1040" s="1" t="s">
        <v>10063</v>
      </c>
      <c r="R1040" s="1" t="s">
        <v>10064</v>
      </c>
      <c r="S1040" s="1" t="s">
        <v>10065</v>
      </c>
      <c r="T1040" s="1" t="s">
        <v>10066</v>
      </c>
      <c r="U1040" s="1" t="s">
        <v>10067</v>
      </c>
      <c r="V1040" s="13">
        <f>COUNTIF(L1040:$M$1659,L1040)</f>
        <v>2</v>
      </c>
      <c r="W1040" s="1" t="s">
        <v>10068</v>
      </c>
      <c r="X1040">
        <v>89.51</v>
      </c>
      <c r="Y1040">
        <v>44</v>
      </c>
      <c r="Z1040">
        <v>13.094901</v>
      </c>
      <c r="AA1040">
        <v>109.291991</v>
      </c>
      <c r="AB1040">
        <v>45.51</v>
      </c>
      <c r="AC1040">
        <v>13.105964999999999</v>
      </c>
      <c r="AD1040">
        <v>109.28790600000001</v>
      </c>
      <c r="AE1040" s="5">
        <f t="shared" si="81"/>
        <v>6.6000000000000003E-2</v>
      </c>
      <c r="AF1040" s="5">
        <f t="shared" si="82"/>
        <v>6.8265000000000006E-2</v>
      </c>
      <c r="AG1040" s="1" t="str">
        <f>TRIM(LEFT(L1040,FIND("-",L1040)-1))</f>
        <v>PK02</v>
      </c>
      <c r="AH1040" s="1" t="str">
        <f>TRIM(RIGHT(L1040, LEN(L1040) - FIND("-", L1040)))</f>
        <v>TT2 Đăk Lăk (Tuy Hòa)</v>
      </c>
      <c r="AJ1040">
        <f t="shared" si="83"/>
        <v>4.3999999999999997E-2</v>
      </c>
      <c r="AK1040">
        <f t="shared" si="84"/>
        <v>4.5509999999999995E-2</v>
      </c>
      <c r="AL1040">
        <f>VLOOKUP(L1040,'[1]Tuyến cáp H04'!$B:$E,3,0)/1000</f>
        <v>8.3049999999999997</v>
      </c>
      <c r="AM1040" t="str">
        <f>VLOOKUP(L1040,'[1]Tuyến cáp H04'!$B:$E,4,0)</f>
        <v>Mạng cấp 3</v>
      </c>
    </row>
    <row r="1041" spans="1:39" x14ac:dyDescent="0.25">
      <c r="A1041" s="1" t="s">
        <v>10069</v>
      </c>
      <c r="B1041" s="1" t="s">
        <v>10070</v>
      </c>
      <c r="C1041" s="1" t="s">
        <v>10071</v>
      </c>
      <c r="D1041" s="1" t="s">
        <v>8108</v>
      </c>
      <c r="E1041" s="1" t="s">
        <v>8109</v>
      </c>
      <c r="F1041" s="1" t="s">
        <v>10072</v>
      </c>
      <c r="G1041" s="1" t="s">
        <v>14281</v>
      </c>
      <c r="H1041" s="1" t="s">
        <v>14282</v>
      </c>
      <c r="I1041" s="1" t="s">
        <v>15152</v>
      </c>
      <c r="J1041" s="1" t="s">
        <v>23</v>
      </c>
      <c r="K1041" s="1"/>
      <c r="L1041" s="1" t="s">
        <v>10073</v>
      </c>
      <c r="M1041" s="1" t="s">
        <v>10073</v>
      </c>
      <c r="N1041" s="12" t="b">
        <f t="shared" si="80"/>
        <v>1</v>
      </c>
      <c r="O1041" s="1" t="s">
        <v>10074</v>
      </c>
      <c r="P1041" s="1" t="s">
        <v>10075</v>
      </c>
      <c r="Q1041" s="1" t="s">
        <v>10076</v>
      </c>
      <c r="R1041" s="1" t="s">
        <v>10077</v>
      </c>
      <c r="S1041" s="1" t="s">
        <v>10078</v>
      </c>
      <c r="T1041" s="1" t="s">
        <v>10079</v>
      </c>
      <c r="U1041" s="1" t="s">
        <v>10080</v>
      </c>
      <c r="V1041" s="13">
        <f>COUNTIF(L1041:$M$1659,L1041)</f>
        <v>2</v>
      </c>
      <c r="W1041" s="1" t="s">
        <v>10081</v>
      </c>
      <c r="X1041">
        <v>342.65</v>
      </c>
      <c r="Y1041">
        <v>128.97999999999999</v>
      </c>
      <c r="Z1041">
        <v>13.263899</v>
      </c>
      <c r="AA1041">
        <v>109.203452</v>
      </c>
      <c r="AB1041">
        <v>213.67</v>
      </c>
      <c r="AC1041">
        <v>13.306805000000001</v>
      </c>
      <c r="AD1041">
        <v>109.21437899999999</v>
      </c>
      <c r="AE1041" s="5">
        <f t="shared" si="81"/>
        <v>0.19346999999999998</v>
      </c>
      <c r="AF1041" s="5">
        <f t="shared" si="82"/>
        <v>0.32050499999999998</v>
      </c>
      <c r="AG1041" s="1" t="str">
        <f>TRIM(LEFT(L1041,FIND("-",L1041)-1))</f>
        <v>Tuy An Bắc</v>
      </c>
      <c r="AH1041" s="1" t="str">
        <f>TRIM(RIGHT(L1041, LEN(L1041) - FIND("-", L1041)))</f>
        <v>Tuy An Tây</v>
      </c>
      <c r="AJ1041">
        <f t="shared" si="83"/>
        <v>0.12897999999999998</v>
      </c>
      <c r="AK1041">
        <f t="shared" si="84"/>
        <v>0.21367</v>
      </c>
      <c r="AL1041">
        <f>VLOOKUP(L1041,'[1]Tuyến cáp H04'!$B:$E,3,0)/1000</f>
        <v>11.901</v>
      </c>
      <c r="AM1041" t="str">
        <f>VLOOKUP(L1041,'[1]Tuyến cáp H04'!$B:$E,4,0)</f>
        <v>Mạng cấp 4</v>
      </c>
    </row>
    <row r="1042" spans="1:39" x14ac:dyDescent="0.25">
      <c r="A1042" s="1" t="s">
        <v>10082</v>
      </c>
      <c r="B1042" s="1" t="s">
        <v>10083</v>
      </c>
      <c r="C1042" s="1" t="s">
        <v>10084</v>
      </c>
      <c r="D1042" s="1" t="s">
        <v>9900</v>
      </c>
      <c r="E1042" s="1" t="s">
        <v>9901</v>
      </c>
      <c r="F1042" s="1" t="s">
        <v>10085</v>
      </c>
      <c r="G1042" s="1" t="s">
        <v>14281</v>
      </c>
      <c r="H1042" s="1" t="s">
        <v>14282</v>
      </c>
      <c r="I1042" s="1" t="s">
        <v>15153</v>
      </c>
      <c r="J1042" s="1" t="s">
        <v>23</v>
      </c>
      <c r="K1042" s="1"/>
      <c r="L1042" s="1" t="s">
        <v>9970</v>
      </c>
      <c r="M1042" s="1" t="s">
        <v>9970</v>
      </c>
      <c r="N1042" s="12" t="b">
        <f t="shared" si="80"/>
        <v>1</v>
      </c>
      <c r="O1042" s="1" t="s">
        <v>10086</v>
      </c>
      <c r="P1042" s="1" t="s">
        <v>10087</v>
      </c>
      <c r="Q1042" s="1" t="s">
        <v>10088</v>
      </c>
      <c r="R1042" s="1" t="s">
        <v>10089</v>
      </c>
      <c r="S1042" s="1" t="s">
        <v>10090</v>
      </c>
      <c r="T1042" s="1" t="s">
        <v>10091</v>
      </c>
      <c r="U1042" s="1" t="s">
        <v>10092</v>
      </c>
      <c r="V1042" s="13">
        <f>COUNTIF(L1042:$M$1659,L1042)</f>
        <v>2</v>
      </c>
      <c r="W1042" s="1" t="s">
        <v>10093</v>
      </c>
      <c r="X1042">
        <v>197.97</v>
      </c>
      <c r="Y1042">
        <v>181.29</v>
      </c>
      <c r="Z1042">
        <v>13.090185999999999</v>
      </c>
      <c r="AA1042">
        <v>109.3113</v>
      </c>
      <c r="AB1042">
        <v>16.68</v>
      </c>
      <c r="AC1042">
        <v>13.089724</v>
      </c>
      <c r="AD1042">
        <v>109.309628</v>
      </c>
      <c r="AE1042" s="5">
        <f t="shared" si="81"/>
        <v>0.27193499999999998</v>
      </c>
      <c r="AF1042" s="5">
        <f t="shared" si="82"/>
        <v>2.5020000000000001E-2</v>
      </c>
      <c r="AG1042" s="1" t="str">
        <f>TRIM(LEFT(L1042,FIND("-",L1042)-1))</f>
        <v>Cơ quan điều tra Tuy Hòa</v>
      </c>
      <c r="AH1042" s="1" t="str">
        <f>TRIM(RIGHT(L1042, LEN(L1042) - FIND("-", L1042)))</f>
        <v>PA08</v>
      </c>
      <c r="AJ1042">
        <f t="shared" si="83"/>
        <v>0.18128999999999998</v>
      </c>
      <c r="AK1042">
        <f t="shared" si="84"/>
        <v>1.668E-2</v>
      </c>
      <c r="AL1042">
        <f>VLOOKUP(L1042,'[1]Tuyến cáp H04'!$B:$E,3,0)/1000</f>
        <v>2.27</v>
      </c>
      <c r="AM1042" t="str">
        <f>VLOOKUP(L1042,'[1]Tuyến cáp H04'!$B:$E,4,0)</f>
        <v>Mạng cấp 3</v>
      </c>
    </row>
    <row r="1043" spans="1:39" x14ac:dyDescent="0.25">
      <c r="A1043" s="1" t="s">
        <v>10094</v>
      </c>
      <c r="B1043" s="1" t="s">
        <v>8061</v>
      </c>
      <c r="C1043" s="1" t="s">
        <v>8062</v>
      </c>
      <c r="D1043" s="1" t="s">
        <v>8059</v>
      </c>
      <c r="E1043" s="1" t="s">
        <v>8060</v>
      </c>
      <c r="F1043" s="1" t="s">
        <v>10095</v>
      </c>
      <c r="G1043" s="1" t="s">
        <v>14281</v>
      </c>
      <c r="H1043" s="1" t="s">
        <v>14282</v>
      </c>
      <c r="I1043" s="1" t="s">
        <v>15154</v>
      </c>
      <c r="J1043" s="1" t="s">
        <v>23</v>
      </c>
      <c r="K1043" s="1"/>
      <c r="L1043" s="1" t="s">
        <v>8064</v>
      </c>
      <c r="M1043" s="1" t="s">
        <v>8064</v>
      </c>
      <c r="N1043" s="12" t="b">
        <f t="shared" si="80"/>
        <v>1</v>
      </c>
      <c r="O1043" s="1" t="s">
        <v>8065</v>
      </c>
      <c r="P1043" s="1" t="s">
        <v>8069</v>
      </c>
      <c r="Q1043" s="1" t="s">
        <v>8070</v>
      </c>
      <c r="R1043" s="1" t="s">
        <v>8071</v>
      </c>
      <c r="S1043" s="1" t="s">
        <v>8066</v>
      </c>
      <c r="T1043" s="1" t="s">
        <v>8067</v>
      </c>
      <c r="U1043" s="1" t="s">
        <v>8068</v>
      </c>
      <c r="V1043" s="13">
        <f>COUNTIF(L1043:$M$1659,L1043)</f>
        <v>2</v>
      </c>
      <c r="W1043" s="1" t="s">
        <v>8072</v>
      </c>
      <c r="X1043">
        <v>2472.34</v>
      </c>
      <c r="Y1043">
        <v>151.21</v>
      </c>
      <c r="Z1043">
        <v>12.983107</v>
      </c>
      <c r="AA1043">
        <v>109.095792</v>
      </c>
      <c r="AB1043">
        <v>2321.14</v>
      </c>
      <c r="AC1043">
        <v>13.021641000000001</v>
      </c>
      <c r="AD1043">
        <v>109.280637</v>
      </c>
      <c r="AE1043" s="5">
        <f t="shared" si="81"/>
        <v>0.22681499999999999</v>
      </c>
      <c r="AF1043" s="5">
        <f t="shared" si="82"/>
        <v>3.4817100000000001</v>
      </c>
      <c r="AG1043" s="1" t="str">
        <f>TRIM(LEFT(L1043,FIND("-",L1043)-1))</f>
        <v>ILA Sơn Thành</v>
      </c>
      <c r="AH1043" s="1" t="str">
        <f>TRIM(RIGHT(L1043, LEN(L1043) - FIND("-", L1043)))</f>
        <v>TT2 Đăk Lăk (Tuy Hòa)</v>
      </c>
      <c r="AJ1043">
        <f t="shared" si="83"/>
        <v>0.15121000000000001</v>
      </c>
      <c r="AK1043">
        <f t="shared" si="84"/>
        <v>2.3211399999999998</v>
      </c>
      <c r="AL1043" t="e">
        <f>VLOOKUP(L1043,'[1]Tuyến cáp H04'!$B:$E,3,0)/1000</f>
        <v>#N/A</v>
      </c>
      <c r="AM1043" t="e">
        <f>VLOOKUP(L1043,'[1]Tuyến cáp H04'!$B:$E,4,0)</f>
        <v>#N/A</v>
      </c>
    </row>
    <row r="1044" spans="1:39" x14ac:dyDescent="0.25">
      <c r="A1044" s="1" t="s">
        <v>10096</v>
      </c>
      <c r="B1044" s="1" t="s">
        <v>8362</v>
      </c>
      <c r="C1044" s="1" t="s">
        <v>10097</v>
      </c>
      <c r="D1044" s="1" t="s">
        <v>8554</v>
      </c>
      <c r="E1044" s="1" t="s">
        <v>8555</v>
      </c>
      <c r="F1044" s="1" t="s">
        <v>10098</v>
      </c>
      <c r="G1044" s="1" t="s">
        <v>14281</v>
      </c>
      <c r="H1044" s="1" t="s">
        <v>14282</v>
      </c>
      <c r="I1044" s="1" t="s">
        <v>15155</v>
      </c>
      <c r="J1044" s="1" t="s">
        <v>23</v>
      </c>
      <c r="K1044" s="1"/>
      <c r="L1044" s="1" t="s">
        <v>10099</v>
      </c>
      <c r="M1044" s="1" t="s">
        <v>10099</v>
      </c>
      <c r="N1044" s="12" t="b">
        <f t="shared" si="80"/>
        <v>1</v>
      </c>
      <c r="O1044" s="1" t="s">
        <v>10100</v>
      </c>
      <c r="P1044" s="1" t="s">
        <v>10101</v>
      </c>
      <c r="Q1044" s="1" t="s">
        <v>10102</v>
      </c>
      <c r="R1044" s="1" t="s">
        <v>10103</v>
      </c>
      <c r="S1044" s="1" t="s">
        <v>10104</v>
      </c>
      <c r="T1044" s="1" t="s">
        <v>10105</v>
      </c>
      <c r="U1044" s="1" t="s">
        <v>10106</v>
      </c>
      <c r="V1044" s="13">
        <f>COUNTIF(L1044:$M$1659,L1044)</f>
        <v>12</v>
      </c>
      <c r="W1044" s="1" t="s">
        <v>10107</v>
      </c>
      <c r="X1044">
        <v>1284.02</v>
      </c>
      <c r="Y1044">
        <v>581.76</v>
      </c>
      <c r="Z1044">
        <v>12.682363</v>
      </c>
      <c r="AA1044">
        <v>108.040537</v>
      </c>
      <c r="AB1044">
        <v>702.27</v>
      </c>
      <c r="AC1044">
        <v>12.681628999999999</v>
      </c>
      <c r="AD1044">
        <v>108.04693399999999</v>
      </c>
      <c r="AE1044" s="5">
        <f t="shared" si="81"/>
        <v>0.87263999999999997</v>
      </c>
      <c r="AF1044" s="5">
        <f t="shared" si="82"/>
        <v>1.0534049999999999</v>
      </c>
      <c r="AG1044" s="1" t="str">
        <f>TRIM(LEFT(L1044,FIND("-",L1044)-1))</f>
        <v>CAT Đắk Lắk</v>
      </c>
      <c r="AH1044" s="1" t="str">
        <f>TRIM(RIGHT(L1044, LEN(L1044) - FIND("-", L1044)))</f>
        <v>Thành Nhất</v>
      </c>
      <c r="AJ1044">
        <f t="shared" si="83"/>
        <v>0.58175999999999994</v>
      </c>
      <c r="AK1044">
        <f t="shared" si="84"/>
        <v>0.70226999999999995</v>
      </c>
      <c r="AL1044">
        <f>VLOOKUP(L1044,'[1]Tuyến cáp H04'!$B:$E,3,0)/1000</f>
        <v>4.242</v>
      </c>
      <c r="AM1044" t="str">
        <f>VLOOKUP(L1044,'[1]Tuyến cáp H04'!$B:$E,4,0)</f>
        <v>Mạng cấp 4</v>
      </c>
    </row>
    <row r="1045" spans="1:39" x14ac:dyDescent="0.25">
      <c r="A1045" s="1" t="s">
        <v>10096</v>
      </c>
      <c r="B1045" s="1" t="s">
        <v>8362</v>
      </c>
      <c r="C1045" s="1" t="s">
        <v>10097</v>
      </c>
      <c r="D1045" s="1" t="s">
        <v>8554</v>
      </c>
      <c r="E1045" s="1" t="s">
        <v>8555</v>
      </c>
      <c r="F1045" s="1" t="s">
        <v>10098</v>
      </c>
      <c r="G1045" s="1" t="s">
        <v>14281</v>
      </c>
      <c r="H1045" s="1" t="s">
        <v>14282</v>
      </c>
      <c r="I1045" s="1" t="s">
        <v>15155</v>
      </c>
      <c r="J1045" s="1" t="s">
        <v>23</v>
      </c>
      <c r="K1045" s="1"/>
      <c r="L1045" s="1" t="s">
        <v>10099</v>
      </c>
      <c r="M1045" s="1" t="s">
        <v>10099</v>
      </c>
      <c r="N1045" s="12" t="b">
        <f t="shared" si="80"/>
        <v>1</v>
      </c>
      <c r="O1045" s="1" t="s">
        <v>10100</v>
      </c>
      <c r="P1045" s="1" t="s">
        <v>10101</v>
      </c>
      <c r="Q1045" s="1" t="s">
        <v>10102</v>
      </c>
      <c r="R1045" s="1" t="s">
        <v>10103</v>
      </c>
      <c r="S1045" s="1" t="s">
        <v>10104</v>
      </c>
      <c r="T1045" s="1" t="s">
        <v>10105</v>
      </c>
      <c r="U1045" s="1" t="s">
        <v>10106</v>
      </c>
      <c r="V1045" s="13">
        <f>COUNTIF(L1045:$M$1659,L1045)</f>
        <v>10</v>
      </c>
      <c r="W1045" s="1" t="s">
        <v>10107</v>
      </c>
      <c r="X1045">
        <v>1284.02</v>
      </c>
      <c r="Y1045">
        <v>581.76</v>
      </c>
      <c r="Z1045">
        <v>12.682363</v>
      </c>
      <c r="AA1045">
        <v>108.040537</v>
      </c>
      <c r="AB1045">
        <v>702.27</v>
      </c>
      <c r="AC1045">
        <v>12.681628999999999</v>
      </c>
      <c r="AD1045">
        <v>108.04693399999999</v>
      </c>
      <c r="AE1045" s="5">
        <f t="shared" si="81"/>
        <v>0.87263999999999997</v>
      </c>
      <c r="AF1045" s="5">
        <f t="shared" si="82"/>
        <v>1.0534049999999999</v>
      </c>
      <c r="AG1045" s="1" t="str">
        <f>TRIM(LEFT(L1045,FIND("-",L1045)-1))</f>
        <v>CAT Đắk Lắk</v>
      </c>
      <c r="AH1045" s="1" t="str">
        <f>TRIM(RIGHT(L1045, LEN(L1045) - FIND("-", L1045)))</f>
        <v>Thành Nhất</v>
      </c>
      <c r="AJ1045">
        <f t="shared" si="83"/>
        <v>0.58175999999999994</v>
      </c>
      <c r="AK1045">
        <f t="shared" si="84"/>
        <v>0.70226999999999995</v>
      </c>
      <c r="AL1045">
        <f>VLOOKUP(L1045,'[1]Tuyến cáp H04'!$B:$E,3,0)/1000</f>
        <v>4.242</v>
      </c>
      <c r="AM1045" t="str">
        <f>VLOOKUP(L1045,'[1]Tuyến cáp H04'!$B:$E,4,0)</f>
        <v>Mạng cấp 4</v>
      </c>
    </row>
    <row r="1046" spans="1:39" x14ac:dyDescent="0.25">
      <c r="A1046" s="1" t="s">
        <v>10108</v>
      </c>
      <c r="B1046" s="1" t="s">
        <v>8554</v>
      </c>
      <c r="C1046" s="1" t="s">
        <v>8555</v>
      </c>
      <c r="D1046" s="1" t="s">
        <v>8362</v>
      </c>
      <c r="E1046" s="1" t="s">
        <v>10097</v>
      </c>
      <c r="F1046" s="1" t="s">
        <v>10109</v>
      </c>
      <c r="G1046" s="1" t="s">
        <v>14281</v>
      </c>
      <c r="H1046" s="1" t="s">
        <v>14282</v>
      </c>
      <c r="I1046" s="1" t="s">
        <v>15156</v>
      </c>
      <c r="J1046" s="1" t="s">
        <v>23</v>
      </c>
      <c r="K1046" s="1"/>
      <c r="L1046" s="1" t="s">
        <v>10099</v>
      </c>
      <c r="M1046" s="1" t="s">
        <v>10099</v>
      </c>
      <c r="N1046" s="12" t="b">
        <f t="shared" si="80"/>
        <v>1</v>
      </c>
      <c r="O1046" s="1" t="s">
        <v>10100</v>
      </c>
      <c r="P1046" s="1" t="s">
        <v>10104</v>
      </c>
      <c r="Q1046" s="1" t="s">
        <v>10105</v>
      </c>
      <c r="R1046" s="1" t="s">
        <v>10106</v>
      </c>
      <c r="S1046" s="1" t="s">
        <v>10101</v>
      </c>
      <c r="T1046" s="1" t="s">
        <v>10102</v>
      </c>
      <c r="U1046" s="1" t="s">
        <v>10103</v>
      </c>
      <c r="V1046" s="13">
        <f>COUNTIF(L1046:$M$1659,L1046)</f>
        <v>8</v>
      </c>
      <c r="W1046" s="1" t="s">
        <v>10107</v>
      </c>
      <c r="X1046">
        <v>1284.02</v>
      </c>
      <c r="Y1046">
        <v>702.27</v>
      </c>
      <c r="Z1046">
        <v>12.681628999999999</v>
      </c>
      <c r="AA1046">
        <v>108.04693399999999</v>
      </c>
      <c r="AB1046">
        <v>581.76</v>
      </c>
      <c r="AC1046">
        <v>12.682363</v>
      </c>
      <c r="AD1046">
        <v>108.040537</v>
      </c>
      <c r="AE1046" s="5">
        <f t="shared" si="81"/>
        <v>1.0534049999999999</v>
      </c>
      <c r="AF1046" s="5">
        <f t="shared" si="82"/>
        <v>0.87263999999999997</v>
      </c>
      <c r="AG1046" s="1" t="str">
        <f>TRIM(LEFT(L1046,FIND("-",L1046)-1))</f>
        <v>CAT Đắk Lắk</v>
      </c>
      <c r="AH1046" s="1" t="str">
        <f>TRIM(RIGHT(L1046, LEN(L1046) - FIND("-", L1046)))</f>
        <v>Thành Nhất</v>
      </c>
      <c r="AJ1046">
        <f t="shared" si="83"/>
        <v>0.70226999999999995</v>
      </c>
      <c r="AK1046">
        <f t="shared" si="84"/>
        <v>0.58175999999999994</v>
      </c>
      <c r="AL1046">
        <f>VLOOKUP(L1046,'[1]Tuyến cáp H04'!$B:$E,3,0)/1000</f>
        <v>4.242</v>
      </c>
      <c r="AM1046" t="str">
        <f>VLOOKUP(L1046,'[1]Tuyến cáp H04'!$B:$E,4,0)</f>
        <v>Mạng cấp 4</v>
      </c>
    </row>
    <row r="1047" spans="1:39" x14ac:dyDescent="0.25">
      <c r="A1047" s="1" t="s">
        <v>10110</v>
      </c>
      <c r="B1047" s="1" t="s">
        <v>10111</v>
      </c>
      <c r="C1047" s="1" t="s">
        <v>10112</v>
      </c>
      <c r="D1047" s="1" t="s">
        <v>8643</v>
      </c>
      <c r="E1047" s="1" t="s">
        <v>8644</v>
      </c>
      <c r="F1047" s="1" t="s">
        <v>10113</v>
      </c>
      <c r="G1047" s="1" t="s">
        <v>14281</v>
      </c>
      <c r="H1047" s="1" t="s">
        <v>14282</v>
      </c>
      <c r="I1047" s="1" t="s">
        <v>15157</v>
      </c>
      <c r="J1047" s="1" t="s">
        <v>23</v>
      </c>
      <c r="K1047" s="1"/>
      <c r="L1047" s="1" t="s">
        <v>8293</v>
      </c>
      <c r="M1047" s="1" t="s">
        <v>8293</v>
      </c>
      <c r="N1047" s="12" t="b">
        <f t="shared" si="80"/>
        <v>1</v>
      </c>
      <c r="O1047" s="1" t="s">
        <v>10114</v>
      </c>
      <c r="P1047" s="1" t="s">
        <v>10115</v>
      </c>
      <c r="Q1047" s="1" t="s">
        <v>8299</v>
      </c>
      <c r="R1047" s="1" t="s">
        <v>8300</v>
      </c>
      <c r="S1047" s="1" t="s">
        <v>8857</v>
      </c>
      <c r="T1047" s="1" t="s">
        <v>8858</v>
      </c>
      <c r="U1047" s="1" t="s">
        <v>8859</v>
      </c>
      <c r="V1047" s="13">
        <f>COUNTIF(L1047:$M$1659,L1047)</f>
        <v>6</v>
      </c>
      <c r="W1047" s="1" t="s">
        <v>8301</v>
      </c>
      <c r="X1047">
        <v>8912.4699999999993</v>
      </c>
      <c r="Y1047">
        <v>8868.01</v>
      </c>
      <c r="Z1047">
        <v>12.853419000000001</v>
      </c>
      <c r="AA1047">
        <v>108.10435699999999</v>
      </c>
      <c r="AB1047">
        <v>44.45</v>
      </c>
      <c r="AC1047">
        <v>12.910539</v>
      </c>
      <c r="AD1047">
        <v>108.190575</v>
      </c>
      <c r="AE1047" s="5">
        <f t="shared" si="81"/>
        <v>13.302014999999999</v>
      </c>
      <c r="AF1047" s="5">
        <f t="shared" si="82"/>
        <v>6.6675000000000012E-2</v>
      </c>
      <c r="AG1047" s="1" t="str">
        <f>TRIM(LEFT(L1047,FIND("-",L1047)-1))</f>
        <v>Cư M'ga</v>
      </c>
      <c r="AH1047" s="1" t="str">
        <f>TRIM(RIGHT(L1047, LEN(L1047) - FIND("-", L1047)))</f>
        <v>Buôn Hồ</v>
      </c>
      <c r="AJ1047">
        <f t="shared" si="83"/>
        <v>8.8680099999999999</v>
      </c>
      <c r="AK1047">
        <f t="shared" si="84"/>
        <v>4.4450000000000003E-2</v>
      </c>
      <c r="AL1047">
        <f>VLOOKUP(L1047,'[1]Tuyến cáp H04'!$B:$E,3,0)/1000</f>
        <v>38.145000000000003</v>
      </c>
      <c r="AM1047" t="str">
        <f>VLOOKUP(L1047,'[1]Tuyến cáp H04'!$B:$E,4,0)</f>
        <v>Mạng cấp 3</v>
      </c>
    </row>
    <row r="1048" spans="1:39" x14ac:dyDescent="0.25">
      <c r="A1048" s="1" t="s">
        <v>10116</v>
      </c>
      <c r="B1048" s="1" t="s">
        <v>10117</v>
      </c>
      <c r="C1048" s="1" t="s">
        <v>10118</v>
      </c>
      <c r="D1048" s="1" t="s">
        <v>8643</v>
      </c>
      <c r="E1048" s="1" t="s">
        <v>8644</v>
      </c>
      <c r="F1048" s="1" t="s">
        <v>10119</v>
      </c>
      <c r="G1048" s="1" t="s">
        <v>14281</v>
      </c>
      <c r="H1048" s="1" t="s">
        <v>14282</v>
      </c>
      <c r="I1048" s="1" t="s">
        <v>15158</v>
      </c>
      <c r="J1048" s="1" t="s">
        <v>23</v>
      </c>
      <c r="K1048" s="1"/>
      <c r="L1048" s="1" t="s">
        <v>10120</v>
      </c>
      <c r="M1048" s="1" t="s">
        <v>10120</v>
      </c>
      <c r="N1048" s="12" t="b">
        <f t="shared" si="80"/>
        <v>1</v>
      </c>
      <c r="O1048" s="1" t="s">
        <v>10121</v>
      </c>
      <c r="P1048" s="1" t="s">
        <v>10122</v>
      </c>
      <c r="Q1048" s="1" t="s">
        <v>10123</v>
      </c>
      <c r="R1048" s="1" t="s">
        <v>10124</v>
      </c>
      <c r="S1048" s="1" t="s">
        <v>10125</v>
      </c>
      <c r="T1048" s="1" t="s">
        <v>10126</v>
      </c>
      <c r="U1048" s="1" t="s">
        <v>10127</v>
      </c>
      <c r="V1048" s="13">
        <f>COUNTIF(L1048:$M$1659,L1048)</f>
        <v>2</v>
      </c>
      <c r="W1048" s="1" t="s">
        <v>10128</v>
      </c>
      <c r="X1048">
        <v>10015.73</v>
      </c>
      <c r="Y1048">
        <v>73.569999999999993</v>
      </c>
      <c r="Z1048">
        <v>12.788779999999999</v>
      </c>
      <c r="AA1048">
        <v>108.21725499999999</v>
      </c>
      <c r="AB1048">
        <v>9942.16</v>
      </c>
      <c r="AC1048">
        <v>12.840890999999999</v>
      </c>
      <c r="AD1048">
        <v>108.24750899999999</v>
      </c>
      <c r="AE1048" s="5">
        <f t="shared" si="81"/>
        <v>0.11035499999999999</v>
      </c>
      <c r="AF1048" s="5">
        <f t="shared" si="82"/>
        <v>14.91324</v>
      </c>
      <c r="AG1048" s="1" t="str">
        <f>TRIM(LEFT(L1048,FIND("-",L1048)-1))</f>
        <v>Cuôr Đăng</v>
      </c>
      <c r="AH1048" s="1" t="str">
        <f>TRIM(RIGHT(L1048, LEN(L1048) - FIND("-", L1048)))</f>
        <v>Cư Bao</v>
      </c>
      <c r="AJ1048">
        <f t="shared" si="83"/>
        <v>7.3569999999999997E-2</v>
      </c>
      <c r="AK1048">
        <f t="shared" si="84"/>
        <v>9.9421599999999994</v>
      </c>
      <c r="AL1048">
        <f>VLOOKUP(L1048,'[1]Tuyến cáp H04'!$B:$E,3,0)/1000</f>
        <v>15.755000000000001</v>
      </c>
      <c r="AM1048" t="str">
        <f>VLOOKUP(L1048,'[1]Tuyến cáp H04'!$B:$E,4,0)</f>
        <v>Mạng cấp 4</v>
      </c>
    </row>
    <row r="1049" spans="1:39" x14ac:dyDescent="0.25">
      <c r="A1049" s="1" t="s">
        <v>10129</v>
      </c>
      <c r="B1049" s="1" t="s">
        <v>8554</v>
      </c>
      <c r="C1049" s="1" t="s">
        <v>8555</v>
      </c>
      <c r="D1049" s="1" t="s">
        <v>10117</v>
      </c>
      <c r="E1049" s="1" t="s">
        <v>10118</v>
      </c>
      <c r="F1049" s="1" t="s">
        <v>10130</v>
      </c>
      <c r="G1049" s="1" t="s">
        <v>14281</v>
      </c>
      <c r="H1049" s="1" t="s">
        <v>14282</v>
      </c>
      <c r="I1049" s="1" t="s">
        <v>15159</v>
      </c>
      <c r="J1049" s="1" t="s">
        <v>23</v>
      </c>
      <c r="K1049" s="1"/>
      <c r="L1049" s="1" t="s">
        <v>8350</v>
      </c>
      <c r="M1049" s="1" t="s">
        <v>8350</v>
      </c>
      <c r="N1049" s="12" t="b">
        <f t="shared" si="80"/>
        <v>1</v>
      </c>
      <c r="O1049" s="1" t="s">
        <v>10131</v>
      </c>
      <c r="P1049" s="1" t="s">
        <v>8590</v>
      </c>
      <c r="Q1049" s="1" t="s">
        <v>8353</v>
      </c>
      <c r="R1049" s="1" t="s">
        <v>8354</v>
      </c>
      <c r="S1049" s="1" t="s">
        <v>10132</v>
      </c>
      <c r="T1049" s="1" t="s">
        <v>8965</v>
      </c>
      <c r="U1049" s="1" t="s">
        <v>8966</v>
      </c>
      <c r="V1049" s="13">
        <f>COUNTIF(L1049:$M$1659,L1049)</f>
        <v>26</v>
      </c>
      <c r="W1049" s="1" t="s">
        <v>8358</v>
      </c>
      <c r="X1049">
        <v>1861.86</v>
      </c>
      <c r="Y1049">
        <v>1750.11</v>
      </c>
      <c r="Z1049">
        <v>12.690893000000001</v>
      </c>
      <c r="AA1049">
        <v>108.06744999999999</v>
      </c>
      <c r="AB1049">
        <v>111.75</v>
      </c>
      <c r="AC1049">
        <v>12.789365</v>
      </c>
      <c r="AD1049">
        <v>108.217463</v>
      </c>
      <c r="AE1049" s="5">
        <f t="shared" si="81"/>
        <v>2.625165</v>
      </c>
      <c r="AF1049" s="5">
        <f t="shared" si="82"/>
        <v>0.167625</v>
      </c>
      <c r="AG1049" s="1" t="str">
        <f>TRIM(LEFT(L1049,FIND("-",L1049)-1))</f>
        <v>TT1 Đăk Lăk</v>
      </c>
      <c r="AH1049" s="1" t="str">
        <f>TRIM(RIGHT(L1049, LEN(L1049) - FIND("-", L1049)))</f>
        <v>ILA Ea Kar</v>
      </c>
      <c r="AJ1049">
        <f t="shared" si="83"/>
        <v>1.7501099999999998</v>
      </c>
      <c r="AK1049">
        <f t="shared" si="84"/>
        <v>0.11175</v>
      </c>
      <c r="AL1049" t="e">
        <f>VLOOKUP(L1049,'[1]Tuyến cáp H04'!$B:$E,3,0)/1000</f>
        <v>#N/A</v>
      </c>
      <c r="AM1049" t="e">
        <f>VLOOKUP(L1049,'[1]Tuyến cáp H04'!$B:$E,4,0)</f>
        <v>#N/A</v>
      </c>
    </row>
    <row r="1050" spans="1:39" x14ac:dyDescent="0.25">
      <c r="A1050" s="1" t="s">
        <v>10133</v>
      </c>
      <c r="B1050" s="1" t="s">
        <v>8362</v>
      </c>
      <c r="C1050" s="1" t="s">
        <v>10097</v>
      </c>
      <c r="D1050" s="1" t="s">
        <v>8643</v>
      </c>
      <c r="E1050" s="1" t="s">
        <v>8644</v>
      </c>
      <c r="F1050" s="1" t="s">
        <v>10134</v>
      </c>
      <c r="G1050" s="1" t="s">
        <v>14281</v>
      </c>
      <c r="H1050" s="1" t="s">
        <v>14282</v>
      </c>
      <c r="I1050" s="1" t="s">
        <v>15160</v>
      </c>
      <c r="J1050" s="1" t="s">
        <v>23</v>
      </c>
      <c r="K1050" s="1"/>
      <c r="L1050" s="1" t="s">
        <v>8350</v>
      </c>
      <c r="M1050" s="1" t="s">
        <v>8350</v>
      </c>
      <c r="N1050" s="12" t="b">
        <f t="shared" si="80"/>
        <v>1</v>
      </c>
      <c r="O1050" s="1" t="s">
        <v>10135</v>
      </c>
      <c r="P1050" s="1" t="s">
        <v>10136</v>
      </c>
      <c r="Q1050" s="1" t="s">
        <v>8353</v>
      </c>
      <c r="R1050" s="1" t="s">
        <v>8354</v>
      </c>
      <c r="S1050" s="1" t="s">
        <v>10137</v>
      </c>
      <c r="T1050" s="1" t="s">
        <v>10138</v>
      </c>
      <c r="U1050" s="1" t="s">
        <v>10139</v>
      </c>
      <c r="V1050" s="13">
        <f>COUNTIF(L1050:$M$1659,L1050)</f>
        <v>24</v>
      </c>
      <c r="W1050" s="1" t="s">
        <v>8358</v>
      </c>
      <c r="X1050">
        <v>15390.47</v>
      </c>
      <c r="Y1050">
        <v>3610.38</v>
      </c>
      <c r="Z1050">
        <v>12.690893000000001</v>
      </c>
      <c r="AA1050">
        <v>108.06744999999999</v>
      </c>
      <c r="AB1050">
        <v>11780.09</v>
      </c>
      <c r="AC1050">
        <v>12.813561999999999</v>
      </c>
      <c r="AD1050">
        <v>108.23357</v>
      </c>
      <c r="AE1050" s="5">
        <f t="shared" si="81"/>
        <v>5.4155699999999998</v>
      </c>
      <c r="AF1050" s="5">
        <f t="shared" si="82"/>
        <v>17.670135000000002</v>
      </c>
      <c r="AG1050" s="1" t="str">
        <f>TRIM(LEFT(L1050,FIND("-",L1050)-1))</f>
        <v>TT1 Đăk Lăk</v>
      </c>
      <c r="AH1050" s="1" t="str">
        <f>TRIM(RIGHT(L1050, LEN(L1050) - FIND("-", L1050)))</f>
        <v>ILA Ea Kar</v>
      </c>
      <c r="AJ1050">
        <f t="shared" si="83"/>
        <v>3.6103800000000001</v>
      </c>
      <c r="AK1050">
        <f t="shared" si="84"/>
        <v>11.78009</v>
      </c>
      <c r="AL1050" t="e">
        <f>VLOOKUP(L1050,'[1]Tuyến cáp H04'!$B:$E,3,0)/1000</f>
        <v>#N/A</v>
      </c>
      <c r="AM1050" t="e">
        <f>VLOOKUP(L1050,'[1]Tuyến cáp H04'!$B:$E,4,0)</f>
        <v>#N/A</v>
      </c>
    </row>
    <row r="1051" spans="1:39" x14ac:dyDescent="0.25">
      <c r="A1051" s="1" t="s">
        <v>10140</v>
      </c>
      <c r="B1051" s="1" t="s">
        <v>8643</v>
      </c>
      <c r="C1051" s="1" t="s">
        <v>8644</v>
      </c>
      <c r="D1051" s="1" t="s">
        <v>8260</v>
      </c>
      <c r="E1051" s="1" t="s">
        <v>8261</v>
      </c>
      <c r="F1051" s="1" t="s">
        <v>10141</v>
      </c>
      <c r="G1051" s="1" t="s">
        <v>14281</v>
      </c>
      <c r="H1051" s="1" t="s">
        <v>14282</v>
      </c>
      <c r="I1051" s="1" t="s">
        <v>15161</v>
      </c>
      <c r="J1051" s="1" t="s">
        <v>23</v>
      </c>
      <c r="K1051" s="1"/>
      <c r="L1051" s="1" t="s">
        <v>8728</v>
      </c>
      <c r="M1051" s="1" t="s">
        <v>8728</v>
      </c>
      <c r="N1051" s="12" t="b">
        <f t="shared" si="80"/>
        <v>1</v>
      </c>
      <c r="O1051" s="1" t="s">
        <v>10142</v>
      </c>
      <c r="P1051" s="1" t="s">
        <v>8918</v>
      </c>
      <c r="Q1051" s="1" t="s">
        <v>8919</v>
      </c>
      <c r="R1051" s="1" t="s">
        <v>8920</v>
      </c>
      <c r="S1051" s="1" t="s">
        <v>10143</v>
      </c>
      <c r="T1051" s="1" t="s">
        <v>8875</v>
      </c>
      <c r="U1051" s="1" t="s">
        <v>8876</v>
      </c>
      <c r="V1051" s="13">
        <f>COUNTIF(L1051:$M$1659,L1051)</f>
        <v>2</v>
      </c>
      <c r="W1051" s="1" t="s">
        <v>8736</v>
      </c>
      <c r="X1051">
        <v>9248.6200000000008</v>
      </c>
      <c r="Y1051">
        <v>55.55</v>
      </c>
      <c r="Z1051">
        <v>12.910633000000001</v>
      </c>
      <c r="AA1051">
        <v>108.190708</v>
      </c>
      <c r="AB1051">
        <v>9193.08</v>
      </c>
      <c r="AC1051">
        <v>12.930183</v>
      </c>
      <c r="AD1051">
        <v>108.26278600000001</v>
      </c>
      <c r="AE1051" s="5">
        <f t="shared" si="81"/>
        <v>8.3324999999999982E-2</v>
      </c>
      <c r="AF1051" s="5">
        <f t="shared" si="82"/>
        <v>13.789619999999999</v>
      </c>
      <c r="AG1051" s="1" t="str">
        <f>TRIM(LEFT(L1051,FIND("-",L1051)-1))</f>
        <v>Ea Tul</v>
      </c>
      <c r="AH1051" s="1" t="str">
        <f>TRIM(RIGHT(L1051, LEN(L1051) - FIND("-", L1051)))</f>
        <v>Buôn Hồ</v>
      </c>
      <c r="AJ1051">
        <f t="shared" si="83"/>
        <v>5.5549999999999995E-2</v>
      </c>
      <c r="AK1051">
        <f t="shared" si="84"/>
        <v>9.1930800000000001</v>
      </c>
      <c r="AL1051">
        <f>VLOOKUP(L1051,'[1]Tuyến cáp H04'!$B:$E,3,0)/1000</f>
        <v>13.702999999999999</v>
      </c>
      <c r="AM1051" t="str">
        <f>VLOOKUP(L1051,'[1]Tuyến cáp H04'!$B:$E,4,0)</f>
        <v>Mạng cấp 4</v>
      </c>
    </row>
    <row r="1052" spans="1:39" x14ac:dyDescent="0.25">
      <c r="A1052" s="1" t="s">
        <v>10144</v>
      </c>
      <c r="B1052" s="1" t="s">
        <v>8260</v>
      </c>
      <c r="C1052" s="1" t="s">
        <v>8261</v>
      </c>
      <c r="D1052" s="1" t="s">
        <v>8810</v>
      </c>
      <c r="E1052" s="1" t="s">
        <v>8811</v>
      </c>
      <c r="F1052" s="1" t="s">
        <v>10145</v>
      </c>
      <c r="G1052" s="1" t="s">
        <v>14281</v>
      </c>
      <c r="H1052" s="1" t="s">
        <v>14282</v>
      </c>
      <c r="I1052" s="1" t="s">
        <v>15162</v>
      </c>
      <c r="J1052" s="1" t="s">
        <v>23</v>
      </c>
      <c r="K1052" s="1"/>
      <c r="L1052" s="1" t="s">
        <v>8813</v>
      </c>
      <c r="M1052" s="1" t="s">
        <v>8813</v>
      </c>
      <c r="N1052" s="12" t="b">
        <f t="shared" si="80"/>
        <v>1</v>
      </c>
      <c r="O1052" s="1" t="s">
        <v>10146</v>
      </c>
      <c r="P1052" s="1" t="s">
        <v>10147</v>
      </c>
      <c r="Q1052" s="1" t="s">
        <v>8816</v>
      </c>
      <c r="R1052" s="1" t="s">
        <v>8817</v>
      </c>
      <c r="S1052" s="1" t="s">
        <v>8818</v>
      </c>
      <c r="T1052" s="1" t="s">
        <v>8819</v>
      </c>
      <c r="U1052" s="1" t="s">
        <v>8820</v>
      </c>
      <c r="V1052" s="13">
        <f>COUNTIF(L1052:$M$1659,L1052)</f>
        <v>6</v>
      </c>
      <c r="W1052" s="1" t="s">
        <v>8821</v>
      </c>
      <c r="X1052">
        <v>3248.76</v>
      </c>
      <c r="Y1052">
        <v>3113.58</v>
      </c>
      <c r="Z1052">
        <v>12.924609999999999</v>
      </c>
      <c r="AA1052">
        <v>108.35176800000001</v>
      </c>
      <c r="AB1052">
        <v>135.18</v>
      </c>
      <c r="AC1052">
        <v>12.88081</v>
      </c>
      <c r="AD1052">
        <v>108.38649100000001</v>
      </c>
      <c r="AE1052" s="5">
        <f t="shared" si="81"/>
        <v>4.6703700000000001</v>
      </c>
      <c r="AF1052" s="5">
        <f t="shared" si="82"/>
        <v>0.20277000000000001</v>
      </c>
      <c r="AG1052" s="1" t="str">
        <f>TRIM(LEFT(L1052,FIND("-",L1052)-1))</f>
        <v>Ea Kar</v>
      </c>
      <c r="AH1052" s="1" t="str">
        <f>TRIM(RIGHT(L1052, LEN(L1052) - FIND("-", L1052)))</f>
        <v>KRông Năng</v>
      </c>
      <c r="AJ1052">
        <f t="shared" si="83"/>
        <v>3.1135799999999998</v>
      </c>
      <c r="AK1052">
        <f t="shared" si="84"/>
        <v>0.13517999999999999</v>
      </c>
      <c r="AL1052">
        <f>VLOOKUP(L1052,'[1]Tuyến cáp H04'!$B:$E,3,0)/1000</f>
        <v>28.914000000000001</v>
      </c>
      <c r="AM1052" t="str">
        <f>VLOOKUP(L1052,'[1]Tuyến cáp H04'!$B:$E,4,0)</f>
        <v>Mạng cấp 3</v>
      </c>
    </row>
    <row r="1053" spans="1:39" x14ac:dyDescent="0.25">
      <c r="A1053" s="1" t="s">
        <v>10148</v>
      </c>
      <c r="B1053" s="1" t="s">
        <v>8810</v>
      </c>
      <c r="C1053" s="1" t="s">
        <v>8811</v>
      </c>
      <c r="D1053" s="1" t="s">
        <v>8332</v>
      </c>
      <c r="E1053" s="1" t="s">
        <v>8333</v>
      </c>
      <c r="F1053" s="1" t="s">
        <v>10149</v>
      </c>
      <c r="G1053" s="1" t="s">
        <v>14281</v>
      </c>
      <c r="H1053" s="1" t="s">
        <v>14282</v>
      </c>
      <c r="I1053" s="1" t="s">
        <v>15163</v>
      </c>
      <c r="J1053" s="1" t="s">
        <v>23</v>
      </c>
      <c r="K1053" s="1"/>
      <c r="L1053" s="1" t="s">
        <v>8813</v>
      </c>
      <c r="M1053" s="1" t="s">
        <v>8813</v>
      </c>
      <c r="N1053" s="12" t="b">
        <f t="shared" si="80"/>
        <v>1</v>
      </c>
      <c r="O1053" s="1" t="s">
        <v>8814</v>
      </c>
      <c r="P1053" s="1" t="s">
        <v>8818</v>
      </c>
      <c r="Q1053" s="1" t="s">
        <v>8819</v>
      </c>
      <c r="R1053" s="1" t="s">
        <v>8820</v>
      </c>
      <c r="S1053" s="1" t="s">
        <v>8815</v>
      </c>
      <c r="T1053" s="1" t="s">
        <v>8816</v>
      </c>
      <c r="U1053" s="1" t="s">
        <v>8817</v>
      </c>
      <c r="V1053" s="13">
        <f>COUNTIF(L1053:$M$1659,L1053)</f>
        <v>4</v>
      </c>
      <c r="W1053" s="1" t="s">
        <v>8821</v>
      </c>
      <c r="X1053">
        <v>9422.7900000000009</v>
      </c>
      <c r="Y1053">
        <v>135.18</v>
      </c>
      <c r="Z1053">
        <v>12.88081</v>
      </c>
      <c r="AA1053">
        <v>108.38649100000001</v>
      </c>
      <c r="AB1053">
        <v>9287.61</v>
      </c>
      <c r="AC1053">
        <v>12.924609999999999</v>
      </c>
      <c r="AD1053">
        <v>108.35176800000001</v>
      </c>
      <c r="AE1053" s="5">
        <f t="shared" si="81"/>
        <v>0.20277000000000001</v>
      </c>
      <c r="AF1053" s="5">
        <f t="shared" si="82"/>
        <v>13.931415000000001</v>
      </c>
      <c r="AG1053" s="1" t="str">
        <f>TRIM(LEFT(L1053,FIND("-",L1053)-1))</f>
        <v>Ea Kar</v>
      </c>
      <c r="AH1053" s="1" t="str">
        <f>TRIM(RIGHT(L1053, LEN(L1053) - FIND("-", L1053)))</f>
        <v>KRông Năng</v>
      </c>
      <c r="AJ1053">
        <f t="shared" si="83"/>
        <v>0.13517999999999999</v>
      </c>
      <c r="AK1053">
        <f t="shared" si="84"/>
        <v>9.2876100000000008</v>
      </c>
      <c r="AL1053">
        <f>VLOOKUP(L1053,'[1]Tuyến cáp H04'!$B:$E,3,0)/1000</f>
        <v>28.914000000000001</v>
      </c>
      <c r="AM1053" t="str">
        <f>VLOOKUP(L1053,'[1]Tuyến cáp H04'!$B:$E,4,0)</f>
        <v>Mạng cấp 3</v>
      </c>
    </row>
    <row r="1054" spans="1:39" x14ac:dyDescent="0.25">
      <c r="A1054" s="1" t="s">
        <v>10150</v>
      </c>
      <c r="B1054" s="1" t="s">
        <v>8332</v>
      </c>
      <c r="C1054" s="1" t="s">
        <v>8333</v>
      </c>
      <c r="D1054" s="1" t="s">
        <v>8554</v>
      </c>
      <c r="E1054" s="1" t="s">
        <v>8555</v>
      </c>
      <c r="F1054" s="1" t="s">
        <v>10151</v>
      </c>
      <c r="G1054" s="1" t="s">
        <v>14281</v>
      </c>
      <c r="H1054" s="1" t="s">
        <v>14282</v>
      </c>
      <c r="I1054" s="1" t="s">
        <v>15164</v>
      </c>
      <c r="J1054" s="1" t="s">
        <v>23</v>
      </c>
      <c r="K1054" s="1"/>
      <c r="L1054" s="1" t="s">
        <v>8350</v>
      </c>
      <c r="M1054" s="1" t="s">
        <v>8350</v>
      </c>
      <c r="N1054" s="12" t="b">
        <f t="shared" si="80"/>
        <v>1</v>
      </c>
      <c r="O1054" s="1" t="s">
        <v>10152</v>
      </c>
      <c r="P1054" s="1" t="s">
        <v>10153</v>
      </c>
      <c r="Q1054" s="1" t="s">
        <v>10154</v>
      </c>
      <c r="R1054" s="1" t="s">
        <v>10155</v>
      </c>
      <c r="S1054" s="1" t="s">
        <v>8590</v>
      </c>
      <c r="T1054" s="1" t="s">
        <v>8353</v>
      </c>
      <c r="U1054" s="1" t="s">
        <v>8354</v>
      </c>
      <c r="V1054" s="13">
        <f>COUNTIF(L1054:$M$1659,L1054)</f>
        <v>22</v>
      </c>
      <c r="W1054" s="1" t="s">
        <v>8358</v>
      </c>
      <c r="X1054">
        <v>13265.44</v>
      </c>
      <c r="Y1054">
        <v>11515.33</v>
      </c>
      <c r="Z1054">
        <v>12.815362</v>
      </c>
      <c r="AA1054">
        <v>108.24225800000001</v>
      </c>
      <c r="AB1054">
        <v>1750.11</v>
      </c>
      <c r="AC1054">
        <v>12.690893000000001</v>
      </c>
      <c r="AD1054">
        <v>108.06744999999999</v>
      </c>
      <c r="AE1054" s="5">
        <f t="shared" si="81"/>
        <v>17.272994999999998</v>
      </c>
      <c r="AF1054" s="5">
        <f t="shared" si="82"/>
        <v>2.625165</v>
      </c>
      <c r="AG1054" s="1" t="str">
        <f>TRIM(LEFT(L1054,FIND("-",L1054)-1))</f>
        <v>TT1 Đăk Lăk</v>
      </c>
      <c r="AH1054" s="1" t="str">
        <f>TRIM(RIGHT(L1054, LEN(L1054) - FIND("-", L1054)))</f>
        <v>ILA Ea Kar</v>
      </c>
      <c r="AJ1054">
        <f t="shared" si="83"/>
        <v>11.515330000000001</v>
      </c>
      <c r="AK1054">
        <f t="shared" si="84"/>
        <v>1.7501099999999998</v>
      </c>
      <c r="AL1054" t="e">
        <f>VLOOKUP(L1054,'[1]Tuyến cáp H04'!$B:$E,3,0)/1000</f>
        <v>#N/A</v>
      </c>
      <c r="AM1054" t="e">
        <f>VLOOKUP(L1054,'[1]Tuyến cáp H04'!$B:$E,4,0)</f>
        <v>#N/A</v>
      </c>
    </row>
    <row r="1055" spans="1:39" x14ac:dyDescent="0.25">
      <c r="A1055" s="1" t="s">
        <v>10156</v>
      </c>
      <c r="B1055" s="1" t="s">
        <v>8470</v>
      </c>
      <c r="C1055" s="1" t="s">
        <v>8471</v>
      </c>
      <c r="D1055" s="1" t="s">
        <v>8810</v>
      </c>
      <c r="E1055" s="1" t="s">
        <v>8811</v>
      </c>
      <c r="F1055" s="1" t="s">
        <v>10157</v>
      </c>
      <c r="G1055" s="1" t="s">
        <v>14281</v>
      </c>
      <c r="H1055" s="1" t="s">
        <v>14282</v>
      </c>
      <c r="I1055" s="1" t="s">
        <v>15165</v>
      </c>
      <c r="J1055" s="1" t="s">
        <v>23</v>
      </c>
      <c r="K1055" s="1"/>
      <c r="L1055" s="1" t="s">
        <v>10158</v>
      </c>
      <c r="M1055" s="1" t="s">
        <v>10158</v>
      </c>
      <c r="N1055" s="12" t="b">
        <f t="shared" si="80"/>
        <v>1</v>
      </c>
      <c r="O1055" s="1" t="s">
        <v>10159</v>
      </c>
      <c r="P1055" s="1" t="s">
        <v>10160</v>
      </c>
      <c r="Q1055" s="1" t="s">
        <v>10161</v>
      </c>
      <c r="R1055" s="1" t="s">
        <v>10162</v>
      </c>
      <c r="S1055" s="1" t="s">
        <v>10163</v>
      </c>
      <c r="T1055" s="1" t="s">
        <v>10164</v>
      </c>
      <c r="U1055" s="1" t="s">
        <v>10165</v>
      </c>
      <c r="V1055" s="13">
        <f>COUNTIF(L1055:$M$1659,L1055)</f>
        <v>4</v>
      </c>
      <c r="W1055" s="1" t="s">
        <v>10166</v>
      </c>
      <c r="X1055">
        <v>5249.55</v>
      </c>
      <c r="Y1055">
        <v>70.81</v>
      </c>
      <c r="Z1055">
        <v>12.81155</v>
      </c>
      <c r="AA1055">
        <v>108.48330900000001</v>
      </c>
      <c r="AB1055">
        <v>5178.75</v>
      </c>
      <c r="AC1055">
        <v>12.852957999999999</v>
      </c>
      <c r="AD1055">
        <v>108.423523</v>
      </c>
      <c r="AE1055" s="5">
        <f t="shared" si="81"/>
        <v>0.106215</v>
      </c>
      <c r="AF1055" s="5">
        <f t="shared" si="82"/>
        <v>7.7681250000000004</v>
      </c>
      <c r="AG1055" s="1" t="e">
        <f>TRIM(LEFT(L1055,FIND("-",L1055)-1))</f>
        <v>#VALUE!</v>
      </c>
      <c r="AH1055" s="1" t="e">
        <f>TRIM(RIGHT(L1055, LEN(L1055) - FIND("-", L1055)))</f>
        <v>#VALUE!</v>
      </c>
      <c r="AJ1055">
        <f t="shared" si="83"/>
        <v>7.0809999999999998E-2</v>
      </c>
      <c r="AK1055">
        <f t="shared" si="84"/>
        <v>5.17875</v>
      </c>
      <c r="AL1055" t="e">
        <f>VLOOKUP(L1055,'[1]Tuyến cáp H04'!$B:$E,3,0)/1000</f>
        <v>#N/A</v>
      </c>
      <c r="AM1055" t="e">
        <f>VLOOKUP(L1055,'[1]Tuyến cáp H04'!$B:$E,4,0)</f>
        <v>#N/A</v>
      </c>
    </row>
    <row r="1056" spans="1:39" x14ac:dyDescent="0.25">
      <c r="A1056" s="1" t="s">
        <v>10167</v>
      </c>
      <c r="B1056" s="1" t="s">
        <v>10168</v>
      </c>
      <c r="C1056" s="1" t="s">
        <v>10169</v>
      </c>
      <c r="D1056" s="1" t="s">
        <v>8470</v>
      </c>
      <c r="E1056" s="1" t="s">
        <v>8471</v>
      </c>
      <c r="F1056" s="1" t="s">
        <v>10170</v>
      </c>
      <c r="G1056" s="1" t="s">
        <v>14281</v>
      </c>
      <c r="H1056" s="1" t="s">
        <v>14282</v>
      </c>
      <c r="I1056" s="1" t="s">
        <v>15166</v>
      </c>
      <c r="J1056" s="1" t="s">
        <v>23</v>
      </c>
      <c r="K1056" s="1"/>
      <c r="L1056" s="1" t="s">
        <v>8350</v>
      </c>
      <c r="M1056" s="1" t="s">
        <v>8350</v>
      </c>
      <c r="N1056" s="12" t="b">
        <f t="shared" si="80"/>
        <v>1</v>
      </c>
      <c r="O1056" s="1" t="s">
        <v>10171</v>
      </c>
      <c r="P1056" s="1" t="s">
        <v>10172</v>
      </c>
      <c r="Q1056" s="1" t="s">
        <v>10173</v>
      </c>
      <c r="R1056" s="1" t="s">
        <v>10174</v>
      </c>
      <c r="S1056" s="1" t="s">
        <v>8477</v>
      </c>
      <c r="T1056" s="1" t="s">
        <v>8356</v>
      </c>
      <c r="U1056" s="1" t="s">
        <v>8357</v>
      </c>
      <c r="V1056" s="13">
        <f>COUNTIF(L1056:$M$1659,L1056)</f>
        <v>20</v>
      </c>
      <c r="W1056" s="1" t="s">
        <v>8358</v>
      </c>
      <c r="X1056">
        <v>8086.6</v>
      </c>
      <c r="Y1056">
        <v>8017.36</v>
      </c>
      <c r="Z1056">
        <v>12.778797000000001</v>
      </c>
      <c r="AA1056">
        <v>108.205924</v>
      </c>
      <c r="AB1056">
        <v>69.25</v>
      </c>
      <c r="AC1056">
        <v>12.811565999999999</v>
      </c>
      <c r="AD1056">
        <v>108.483311</v>
      </c>
      <c r="AE1056" s="5">
        <f t="shared" si="81"/>
        <v>12.026039999999998</v>
      </c>
      <c r="AF1056" s="5">
        <f t="shared" si="82"/>
        <v>0.103875</v>
      </c>
      <c r="AG1056" s="1" t="str">
        <f>TRIM(LEFT(L1056,FIND("-",L1056)-1))</f>
        <v>TT1 Đăk Lăk</v>
      </c>
      <c r="AH1056" s="1" t="str">
        <f>TRIM(RIGHT(L1056, LEN(L1056) - FIND("-", L1056)))</f>
        <v>ILA Ea Kar</v>
      </c>
      <c r="AJ1056">
        <f t="shared" si="83"/>
        <v>8.01736</v>
      </c>
      <c r="AK1056">
        <f t="shared" si="84"/>
        <v>6.9250000000000006E-2</v>
      </c>
      <c r="AL1056" t="e">
        <f>VLOOKUP(L1056,'[1]Tuyến cáp H04'!$B:$E,3,0)/1000</f>
        <v>#N/A</v>
      </c>
      <c r="AM1056" t="e">
        <f>VLOOKUP(L1056,'[1]Tuyến cáp H04'!$B:$E,4,0)</f>
        <v>#N/A</v>
      </c>
    </row>
    <row r="1057" spans="1:39" x14ac:dyDescent="0.25">
      <c r="A1057" s="1" t="s">
        <v>10175</v>
      </c>
      <c r="B1057" s="1" t="s">
        <v>8554</v>
      </c>
      <c r="C1057" s="1" t="s">
        <v>8555</v>
      </c>
      <c r="D1057" s="1" t="s">
        <v>10168</v>
      </c>
      <c r="E1057" s="1" t="s">
        <v>10169</v>
      </c>
      <c r="F1057" s="1" t="s">
        <v>10176</v>
      </c>
      <c r="G1057" s="1" t="s">
        <v>14281</v>
      </c>
      <c r="H1057" s="1" t="s">
        <v>14282</v>
      </c>
      <c r="I1057" s="1" t="s">
        <v>15167</v>
      </c>
      <c r="J1057" s="1" t="s">
        <v>23</v>
      </c>
      <c r="K1057" s="1"/>
      <c r="L1057" s="1" t="s">
        <v>9043</v>
      </c>
      <c r="M1057" s="1" t="s">
        <v>9043</v>
      </c>
      <c r="N1057" s="12" t="b">
        <f t="shared" si="80"/>
        <v>1</v>
      </c>
      <c r="O1057" s="1" t="s">
        <v>10177</v>
      </c>
      <c r="P1057" s="1" t="s">
        <v>10178</v>
      </c>
      <c r="Q1057" s="1" t="s">
        <v>10179</v>
      </c>
      <c r="R1057" s="1" t="s">
        <v>10180</v>
      </c>
      <c r="S1057" s="1" t="s">
        <v>10181</v>
      </c>
      <c r="T1057" s="1" t="s">
        <v>10182</v>
      </c>
      <c r="U1057" s="1" t="s">
        <v>10183</v>
      </c>
      <c r="V1057" s="13">
        <f>COUNTIF(L1057:$M$1659,L1057)</f>
        <v>22</v>
      </c>
      <c r="W1057" s="1" t="s">
        <v>9051</v>
      </c>
      <c r="X1057">
        <v>2711.82</v>
      </c>
      <c r="Y1057">
        <v>2489.64</v>
      </c>
      <c r="Z1057">
        <v>12.684058</v>
      </c>
      <c r="AA1057">
        <v>108.075749</v>
      </c>
      <c r="AB1057">
        <v>222.19</v>
      </c>
      <c r="AC1057">
        <v>12.716179</v>
      </c>
      <c r="AD1057">
        <v>108.23956200000001</v>
      </c>
      <c r="AE1057" s="5">
        <f t="shared" si="81"/>
        <v>3.7344599999999999</v>
      </c>
      <c r="AF1057" s="5">
        <f t="shared" si="82"/>
        <v>0.33328499999999994</v>
      </c>
      <c r="AG1057" s="1" t="str">
        <f>TRIM(LEFT(L1057,FIND("-",L1057)-1))</f>
        <v>TT1 Đăk Lăk</v>
      </c>
      <c r="AH1057" s="1" t="str">
        <f>TRIM(RIGHT(L1057, LEN(L1057) - FIND("-", L1057)))</f>
        <v>ILA Ea Pal</v>
      </c>
      <c r="AJ1057">
        <f t="shared" si="83"/>
        <v>2.4896400000000001</v>
      </c>
      <c r="AK1057">
        <f t="shared" si="84"/>
        <v>0.22219</v>
      </c>
      <c r="AL1057" t="e">
        <f>VLOOKUP(L1057,'[1]Tuyến cáp H04'!$B:$E,3,0)/1000</f>
        <v>#N/A</v>
      </c>
      <c r="AM1057" t="e">
        <f>VLOOKUP(L1057,'[1]Tuyến cáp H04'!$B:$E,4,0)</f>
        <v>#N/A</v>
      </c>
    </row>
    <row r="1058" spans="1:39" x14ac:dyDescent="0.25">
      <c r="A1058" s="1" t="s">
        <v>10184</v>
      </c>
      <c r="B1058" s="1" t="s">
        <v>10185</v>
      </c>
      <c r="C1058" s="1" t="s">
        <v>10186</v>
      </c>
      <c r="D1058" s="1" t="s">
        <v>8442</v>
      </c>
      <c r="E1058" s="1" t="s">
        <v>8443</v>
      </c>
      <c r="F1058" s="1" t="s">
        <v>10187</v>
      </c>
      <c r="G1058" s="1" t="s">
        <v>14281</v>
      </c>
      <c r="H1058" s="1" t="s">
        <v>14282</v>
      </c>
      <c r="I1058" s="1" t="s">
        <v>15168</v>
      </c>
      <c r="J1058" s="1" t="s">
        <v>23</v>
      </c>
      <c r="K1058" s="1"/>
      <c r="L1058" s="1" t="s">
        <v>10188</v>
      </c>
      <c r="M1058" s="1" t="s">
        <v>10188</v>
      </c>
      <c r="N1058" s="12" t="b">
        <f t="shared" si="80"/>
        <v>1</v>
      </c>
      <c r="O1058" s="1" t="s">
        <v>10189</v>
      </c>
      <c r="P1058" s="1" t="s">
        <v>10190</v>
      </c>
      <c r="Q1058" s="1" t="s">
        <v>10191</v>
      </c>
      <c r="R1058" s="1" t="s">
        <v>10192</v>
      </c>
      <c r="S1058" s="1" t="s">
        <v>10193</v>
      </c>
      <c r="T1058" s="1" t="s">
        <v>10194</v>
      </c>
      <c r="U1058" s="1" t="s">
        <v>10195</v>
      </c>
      <c r="V1058" s="13">
        <f>COUNTIF(L1058:$M$1659,L1058)</f>
        <v>4</v>
      </c>
      <c r="W1058" s="1" t="s">
        <v>10196</v>
      </c>
      <c r="X1058">
        <v>7948.64</v>
      </c>
      <c r="Y1058">
        <v>7831.89</v>
      </c>
      <c r="Z1058">
        <v>12.567697000000001</v>
      </c>
      <c r="AA1058">
        <v>108.120884</v>
      </c>
      <c r="AB1058">
        <v>116.75</v>
      </c>
      <c r="AC1058">
        <v>12.559718</v>
      </c>
      <c r="AD1058">
        <v>108.162858</v>
      </c>
      <c r="AE1058" s="5">
        <f t="shared" si="81"/>
        <v>11.747835</v>
      </c>
      <c r="AF1058" s="5">
        <f t="shared" si="82"/>
        <v>0.175125</v>
      </c>
      <c r="AG1058" s="1" t="str">
        <f>TRIM(LEFT(L1058,FIND("-",L1058)-1))</f>
        <v>KRông Ana</v>
      </c>
      <c r="AH1058" s="1" t="str">
        <f>TRIM(RIGHT(L1058, LEN(L1058) - FIND("-", L1058)))</f>
        <v>Cư Kuin</v>
      </c>
      <c r="AJ1058">
        <f t="shared" si="83"/>
        <v>7.8318900000000005</v>
      </c>
      <c r="AK1058">
        <f t="shared" si="84"/>
        <v>0.11675000000000001</v>
      </c>
      <c r="AL1058">
        <f>VLOOKUP(L1058,'[1]Tuyến cáp H04'!$B:$E,3,0)/1000</f>
        <v>31.129000000000001</v>
      </c>
      <c r="AM1058" t="str">
        <f>VLOOKUP(L1058,'[1]Tuyến cáp H04'!$B:$E,4,0)</f>
        <v>Mạng cấp 3</v>
      </c>
    </row>
    <row r="1059" spans="1:39" x14ac:dyDescent="0.25">
      <c r="A1059" s="1" t="s">
        <v>10197</v>
      </c>
      <c r="B1059" s="1" t="s">
        <v>8442</v>
      </c>
      <c r="C1059" s="1" t="s">
        <v>8443</v>
      </c>
      <c r="D1059" s="1" t="s">
        <v>8510</v>
      </c>
      <c r="E1059" s="1" t="s">
        <v>8511</v>
      </c>
      <c r="F1059" s="1" t="s">
        <v>10198</v>
      </c>
      <c r="G1059" s="1" t="s">
        <v>14281</v>
      </c>
      <c r="H1059" s="1" t="s">
        <v>14282</v>
      </c>
      <c r="I1059" s="1" t="s">
        <v>15169</v>
      </c>
      <c r="J1059" s="1" t="s">
        <v>23</v>
      </c>
      <c r="K1059" s="1"/>
      <c r="L1059" s="1" t="s">
        <v>9043</v>
      </c>
      <c r="M1059" s="1" t="s">
        <v>9043</v>
      </c>
      <c r="N1059" s="12" t="b">
        <f t="shared" si="80"/>
        <v>1</v>
      </c>
      <c r="O1059" s="1" t="s">
        <v>10199</v>
      </c>
      <c r="P1059" s="1" t="s">
        <v>10200</v>
      </c>
      <c r="Q1059" s="1" t="s">
        <v>10201</v>
      </c>
      <c r="R1059" s="1" t="s">
        <v>10202</v>
      </c>
      <c r="S1059" s="1" t="s">
        <v>10203</v>
      </c>
      <c r="T1059" s="1" t="s">
        <v>10204</v>
      </c>
      <c r="U1059" s="1" t="s">
        <v>10205</v>
      </c>
      <c r="V1059" s="13">
        <f>COUNTIF(L1059:$M$1659,L1059)</f>
        <v>20</v>
      </c>
      <c r="W1059" s="1" t="s">
        <v>9051</v>
      </c>
      <c r="X1059">
        <v>16251.38</v>
      </c>
      <c r="Y1059">
        <v>15501.01</v>
      </c>
      <c r="Z1059">
        <v>12.699287</v>
      </c>
      <c r="AA1059">
        <v>108.16922700000001</v>
      </c>
      <c r="AB1059">
        <v>750.37</v>
      </c>
      <c r="AC1059">
        <v>12.661210000000001</v>
      </c>
      <c r="AD1059">
        <v>108.347521</v>
      </c>
      <c r="AE1059" s="5">
        <f t="shared" si="81"/>
        <v>23.251514999999998</v>
      </c>
      <c r="AF1059" s="5">
        <f t="shared" si="82"/>
        <v>1.1255550000000001</v>
      </c>
      <c r="AG1059" s="1" t="str">
        <f>TRIM(LEFT(L1059,FIND("-",L1059)-1))</f>
        <v>TT1 Đăk Lăk</v>
      </c>
      <c r="AH1059" s="1" t="str">
        <f>TRIM(RIGHT(L1059, LEN(L1059) - FIND("-", L1059)))</f>
        <v>ILA Ea Pal</v>
      </c>
      <c r="AJ1059">
        <f t="shared" si="83"/>
        <v>15.501010000000001</v>
      </c>
      <c r="AK1059">
        <f t="shared" si="84"/>
        <v>0.75036999999999998</v>
      </c>
      <c r="AL1059" t="e">
        <f>VLOOKUP(L1059,'[1]Tuyến cáp H04'!$B:$E,3,0)/1000</f>
        <v>#N/A</v>
      </c>
      <c r="AM1059" t="e">
        <f>VLOOKUP(L1059,'[1]Tuyến cáp H04'!$B:$E,4,0)</f>
        <v>#N/A</v>
      </c>
    </row>
    <row r="1060" spans="1:39" x14ac:dyDescent="0.25">
      <c r="A1060" s="1" t="s">
        <v>10206</v>
      </c>
      <c r="B1060" s="1" t="s">
        <v>8510</v>
      </c>
      <c r="C1060" s="1" t="s">
        <v>8511</v>
      </c>
      <c r="D1060" s="1" t="s">
        <v>10168</v>
      </c>
      <c r="E1060" s="1" t="s">
        <v>10169</v>
      </c>
      <c r="F1060" s="1" t="s">
        <v>10207</v>
      </c>
      <c r="G1060" s="1" t="s">
        <v>14281</v>
      </c>
      <c r="H1060" s="1" t="s">
        <v>14282</v>
      </c>
      <c r="I1060" s="1" t="s">
        <v>15170</v>
      </c>
      <c r="J1060" s="1" t="s">
        <v>23</v>
      </c>
      <c r="K1060" s="1"/>
      <c r="L1060" s="1" t="s">
        <v>9043</v>
      </c>
      <c r="M1060" s="1" t="s">
        <v>9043</v>
      </c>
      <c r="N1060" s="12" t="b">
        <f t="shared" si="80"/>
        <v>1</v>
      </c>
      <c r="O1060" s="1" t="s">
        <v>10208</v>
      </c>
      <c r="P1060" s="1" t="s">
        <v>10203</v>
      </c>
      <c r="Q1060" s="1" t="s">
        <v>10204</v>
      </c>
      <c r="R1060" s="1" t="s">
        <v>10205</v>
      </c>
      <c r="S1060" s="1" t="s">
        <v>10181</v>
      </c>
      <c r="T1060" s="1" t="s">
        <v>10182</v>
      </c>
      <c r="U1060" s="1" t="s">
        <v>10183</v>
      </c>
      <c r="V1060" s="13">
        <f>COUNTIF(L1060:$M$1659,L1060)</f>
        <v>18</v>
      </c>
      <c r="W1060" s="1" t="s">
        <v>9051</v>
      </c>
      <c r="X1060">
        <v>972.56</v>
      </c>
      <c r="Y1060">
        <v>750.37</v>
      </c>
      <c r="Z1060">
        <v>12.661210000000001</v>
      </c>
      <c r="AA1060">
        <v>108.347521</v>
      </c>
      <c r="AB1060">
        <v>222.19</v>
      </c>
      <c r="AC1060">
        <v>12.716179</v>
      </c>
      <c r="AD1060">
        <v>108.23956200000001</v>
      </c>
      <c r="AE1060" s="5">
        <f t="shared" si="81"/>
        <v>1.1255550000000001</v>
      </c>
      <c r="AF1060" s="5">
        <f t="shared" si="82"/>
        <v>0.33328499999999994</v>
      </c>
      <c r="AG1060" s="1" t="str">
        <f>TRIM(LEFT(L1060,FIND("-",L1060)-1))</f>
        <v>TT1 Đăk Lăk</v>
      </c>
      <c r="AH1060" s="1" t="str">
        <f>TRIM(RIGHT(L1060, LEN(L1060) - FIND("-", L1060)))</f>
        <v>ILA Ea Pal</v>
      </c>
      <c r="AJ1060">
        <f t="shared" si="83"/>
        <v>0.75036999999999998</v>
      </c>
      <c r="AK1060">
        <f t="shared" si="84"/>
        <v>0.22219</v>
      </c>
      <c r="AL1060" t="e">
        <f>VLOOKUP(L1060,'[1]Tuyến cáp H04'!$B:$E,3,0)/1000</f>
        <v>#N/A</v>
      </c>
      <c r="AM1060" t="e">
        <f>VLOOKUP(L1060,'[1]Tuyến cáp H04'!$B:$E,4,0)</f>
        <v>#N/A</v>
      </c>
    </row>
    <row r="1061" spans="1:39" x14ac:dyDescent="0.25">
      <c r="A1061" s="1" t="s">
        <v>10175</v>
      </c>
      <c r="B1061" s="1" t="s">
        <v>8554</v>
      </c>
      <c r="C1061" s="1" t="s">
        <v>8555</v>
      </c>
      <c r="D1061" s="1" t="s">
        <v>10168</v>
      </c>
      <c r="E1061" s="1" t="s">
        <v>10169</v>
      </c>
      <c r="F1061" s="1" t="s">
        <v>10176</v>
      </c>
      <c r="G1061" s="1" t="s">
        <v>14281</v>
      </c>
      <c r="H1061" s="1" t="s">
        <v>14282</v>
      </c>
      <c r="I1061" s="1" t="s">
        <v>15167</v>
      </c>
      <c r="J1061" s="1" t="s">
        <v>23</v>
      </c>
      <c r="K1061" s="1"/>
      <c r="L1061" s="1" t="s">
        <v>9043</v>
      </c>
      <c r="M1061" s="1" t="s">
        <v>9043</v>
      </c>
      <c r="N1061" s="12" t="b">
        <f t="shared" si="80"/>
        <v>1</v>
      </c>
      <c r="O1061" s="1" t="s">
        <v>10177</v>
      </c>
      <c r="P1061" s="1" t="s">
        <v>10178</v>
      </c>
      <c r="Q1061" s="1" t="s">
        <v>10179</v>
      </c>
      <c r="R1061" s="1" t="s">
        <v>10180</v>
      </c>
      <c r="S1061" s="1" t="s">
        <v>10181</v>
      </c>
      <c r="T1061" s="1" t="s">
        <v>10182</v>
      </c>
      <c r="U1061" s="1" t="s">
        <v>10183</v>
      </c>
      <c r="V1061" s="13">
        <f>COUNTIF(L1061:$M$1659,L1061)</f>
        <v>16</v>
      </c>
      <c r="W1061" s="1" t="s">
        <v>9051</v>
      </c>
      <c r="X1061">
        <v>2711.82</v>
      </c>
      <c r="Y1061">
        <v>2489.64</v>
      </c>
      <c r="Z1061">
        <v>12.684058</v>
      </c>
      <c r="AA1061">
        <v>108.075749</v>
      </c>
      <c r="AB1061">
        <v>222.19</v>
      </c>
      <c r="AC1061">
        <v>12.716179</v>
      </c>
      <c r="AD1061">
        <v>108.23956200000001</v>
      </c>
      <c r="AE1061" s="5">
        <f t="shared" si="81"/>
        <v>3.7344599999999999</v>
      </c>
      <c r="AF1061" s="5">
        <f t="shared" si="82"/>
        <v>0.33328499999999994</v>
      </c>
      <c r="AG1061" s="1" t="str">
        <f>TRIM(LEFT(L1061,FIND("-",L1061)-1))</f>
        <v>TT1 Đăk Lăk</v>
      </c>
      <c r="AH1061" s="1" t="str">
        <f>TRIM(RIGHT(L1061, LEN(L1061) - FIND("-", L1061)))</f>
        <v>ILA Ea Pal</v>
      </c>
      <c r="AJ1061">
        <f t="shared" si="83"/>
        <v>2.4896400000000001</v>
      </c>
      <c r="AK1061">
        <f t="shared" si="84"/>
        <v>0.22219</v>
      </c>
      <c r="AL1061" t="e">
        <f>VLOOKUP(L1061,'[1]Tuyến cáp H04'!$B:$E,3,0)/1000</f>
        <v>#N/A</v>
      </c>
      <c r="AM1061" t="e">
        <f>VLOOKUP(L1061,'[1]Tuyến cáp H04'!$B:$E,4,0)</f>
        <v>#N/A</v>
      </c>
    </row>
    <row r="1062" spans="1:39" x14ac:dyDescent="0.25">
      <c r="A1062" s="1" t="s">
        <v>10209</v>
      </c>
      <c r="B1062" s="1" t="s">
        <v>10210</v>
      </c>
      <c r="C1062" s="1" t="s">
        <v>10211</v>
      </c>
      <c r="D1062" s="1" t="s">
        <v>10212</v>
      </c>
      <c r="E1062" s="1" t="s">
        <v>10213</v>
      </c>
      <c r="F1062" s="1" t="s">
        <v>10214</v>
      </c>
      <c r="G1062" s="1" t="s">
        <v>14281</v>
      </c>
      <c r="H1062" s="1" t="s">
        <v>14282</v>
      </c>
      <c r="I1062" s="1" t="s">
        <v>15171</v>
      </c>
      <c r="J1062" s="1" t="s">
        <v>23</v>
      </c>
      <c r="K1062" s="1"/>
      <c r="L1062" s="1" t="s">
        <v>10215</v>
      </c>
      <c r="M1062" s="1" t="s">
        <v>10215</v>
      </c>
      <c r="N1062" s="12" t="b">
        <f t="shared" si="80"/>
        <v>1</v>
      </c>
      <c r="O1062" s="1" t="s">
        <v>10216</v>
      </c>
      <c r="P1062" s="1" t="s">
        <v>10217</v>
      </c>
      <c r="Q1062" s="1" t="s">
        <v>10218</v>
      </c>
      <c r="R1062" s="1" t="s">
        <v>10219</v>
      </c>
      <c r="S1062" s="1" t="s">
        <v>10220</v>
      </c>
      <c r="T1062" s="1" t="s">
        <v>10221</v>
      </c>
      <c r="U1062" s="1" t="s">
        <v>10222</v>
      </c>
      <c r="V1062" s="13">
        <f>COUNTIF(L1062:$M$1659,L1062)</f>
        <v>2</v>
      </c>
      <c r="W1062" s="1" t="s">
        <v>10223</v>
      </c>
      <c r="X1062">
        <v>119.77</v>
      </c>
      <c r="Y1062">
        <v>117.93</v>
      </c>
      <c r="Z1062">
        <v>12.813067</v>
      </c>
      <c r="AA1062">
        <v>108.51879599999999</v>
      </c>
      <c r="AB1062">
        <v>1.84</v>
      </c>
      <c r="AC1062">
        <v>12.803341</v>
      </c>
      <c r="AD1062">
        <v>108.541213</v>
      </c>
      <c r="AE1062" s="5">
        <f t="shared" si="81"/>
        <v>0.176895</v>
      </c>
      <c r="AF1062" s="5">
        <f t="shared" si="82"/>
        <v>2.7600000000000003E-3</v>
      </c>
      <c r="AG1062" s="1" t="str">
        <f>TRIM(LEFT(L1062,FIND("-",L1062)-1))</f>
        <v>Ea Knốp</v>
      </c>
      <c r="AH1062" s="1" t="str">
        <f>TRIM(RIGHT(L1062, LEN(L1062) - FIND("-", L1062)))</f>
        <v>TTCMKV Ea Kar</v>
      </c>
      <c r="AJ1062">
        <f t="shared" si="83"/>
        <v>0.11793000000000001</v>
      </c>
      <c r="AK1062">
        <f t="shared" si="84"/>
        <v>1.8400000000000001E-3</v>
      </c>
      <c r="AL1062">
        <f>VLOOKUP(L1062,'[1]Tuyến cáp H04'!$B:$E,3,0)/1000</f>
        <v>7.01</v>
      </c>
      <c r="AM1062" t="str">
        <f>VLOOKUP(L1062,'[1]Tuyến cáp H04'!$B:$E,4,0)</f>
        <v>Mạng cấp 4</v>
      </c>
    </row>
    <row r="1063" spans="1:39" x14ac:dyDescent="0.25">
      <c r="A1063" s="1" t="s">
        <v>10224</v>
      </c>
      <c r="B1063" s="1" t="s">
        <v>10212</v>
      </c>
      <c r="C1063" s="1" t="s">
        <v>10213</v>
      </c>
      <c r="D1063" s="1" t="s">
        <v>10225</v>
      </c>
      <c r="E1063" s="1" t="s">
        <v>10226</v>
      </c>
      <c r="F1063" s="1" t="s">
        <v>10227</v>
      </c>
      <c r="G1063" s="1" t="s">
        <v>14281</v>
      </c>
      <c r="H1063" s="1" t="s">
        <v>14282</v>
      </c>
      <c r="I1063" s="1" t="s">
        <v>15172</v>
      </c>
      <c r="J1063" s="1" t="s">
        <v>23</v>
      </c>
      <c r="K1063" s="1"/>
      <c r="L1063" s="1" t="s">
        <v>10228</v>
      </c>
      <c r="M1063" s="1" t="s">
        <v>10228</v>
      </c>
      <c r="N1063" s="12" t="b">
        <f t="shared" si="80"/>
        <v>1</v>
      </c>
      <c r="O1063" s="1" t="s">
        <v>10229</v>
      </c>
      <c r="P1063" s="1" t="s">
        <v>10230</v>
      </c>
      <c r="Q1063" s="1" t="s">
        <v>10231</v>
      </c>
      <c r="R1063" s="1" t="s">
        <v>10232</v>
      </c>
      <c r="S1063" s="1" t="s">
        <v>10233</v>
      </c>
      <c r="T1063" s="1" t="s">
        <v>10234</v>
      </c>
      <c r="U1063" s="1" t="s">
        <v>10235</v>
      </c>
      <c r="V1063" s="13">
        <f>COUNTIF(L1063:$M$1659,L1063)</f>
        <v>2</v>
      </c>
      <c r="W1063" s="1" t="s">
        <v>10236</v>
      </c>
      <c r="X1063">
        <v>1343.96</v>
      </c>
      <c r="Y1063">
        <v>226.79</v>
      </c>
      <c r="Z1063">
        <v>12.805263999999999</v>
      </c>
      <c r="AA1063">
        <v>108.54186300000001</v>
      </c>
      <c r="AB1063">
        <v>1117.17</v>
      </c>
      <c r="AC1063">
        <v>12.811743999999999</v>
      </c>
      <c r="AD1063">
        <v>108.470349</v>
      </c>
      <c r="AE1063" s="5">
        <f t="shared" si="81"/>
        <v>0.34018500000000002</v>
      </c>
      <c r="AF1063" s="5">
        <f t="shared" si="82"/>
        <v>1.6757550000000001</v>
      </c>
      <c r="AG1063" s="1" t="str">
        <f>TRIM(LEFT(L1063,FIND("-",L1063)-1))</f>
        <v>Trung thế 472EKA__1</v>
      </c>
      <c r="AH1063" s="1" t="str">
        <f>TRIM(RIGHT(L1063, LEN(L1063) - FIND("-", L1063)))</f>
        <v>2-3_C5__5</v>
      </c>
      <c r="AJ1063">
        <f t="shared" si="83"/>
        <v>0.22678999999999999</v>
      </c>
      <c r="AK1063">
        <f t="shared" si="84"/>
        <v>1.11717</v>
      </c>
      <c r="AL1063" t="e">
        <f>VLOOKUP(L1063,'[1]Tuyến cáp H04'!$B:$E,3,0)/1000</f>
        <v>#N/A</v>
      </c>
      <c r="AM1063" t="e">
        <f>VLOOKUP(L1063,'[1]Tuyến cáp H04'!$B:$E,4,0)</f>
        <v>#N/A</v>
      </c>
    </row>
    <row r="1064" spans="1:39" x14ac:dyDescent="0.25">
      <c r="A1064" s="1" t="s">
        <v>10237</v>
      </c>
      <c r="B1064" s="1" t="s">
        <v>8470</v>
      </c>
      <c r="C1064" s="1" t="s">
        <v>8471</v>
      </c>
      <c r="D1064" s="1" t="s">
        <v>10225</v>
      </c>
      <c r="E1064" s="1" t="s">
        <v>10226</v>
      </c>
      <c r="F1064" s="1" t="s">
        <v>10238</v>
      </c>
      <c r="G1064" s="1" t="s">
        <v>14281</v>
      </c>
      <c r="H1064" s="1" t="s">
        <v>14282</v>
      </c>
      <c r="I1064" s="1" t="s">
        <v>15173</v>
      </c>
      <c r="J1064" s="1" t="s">
        <v>23</v>
      </c>
      <c r="K1064" s="1"/>
      <c r="L1064" s="1" t="s">
        <v>8350</v>
      </c>
      <c r="M1064" s="1" t="s">
        <v>8350</v>
      </c>
      <c r="N1064" s="12" t="b">
        <f t="shared" si="80"/>
        <v>1</v>
      </c>
      <c r="O1064" s="1" t="s">
        <v>10239</v>
      </c>
      <c r="P1064" s="1" t="s">
        <v>8477</v>
      </c>
      <c r="Q1064" s="1" t="s">
        <v>8356</v>
      </c>
      <c r="R1064" s="1" t="s">
        <v>8357</v>
      </c>
      <c r="S1064" s="1" t="s">
        <v>10240</v>
      </c>
      <c r="T1064" s="1" t="s">
        <v>10241</v>
      </c>
      <c r="U1064" s="1" t="s">
        <v>10242</v>
      </c>
      <c r="V1064" s="13">
        <f>COUNTIF(L1064:$M$1659,L1064)</f>
        <v>18</v>
      </c>
      <c r="W1064" s="1" t="s">
        <v>8358</v>
      </c>
      <c r="X1064">
        <v>116.89</v>
      </c>
      <c r="Y1064">
        <v>69.25</v>
      </c>
      <c r="Z1064">
        <v>12.811565999999999</v>
      </c>
      <c r="AA1064">
        <v>108.483311</v>
      </c>
      <c r="AB1064">
        <v>47.64</v>
      </c>
      <c r="AC1064">
        <v>12.812188000000001</v>
      </c>
      <c r="AD1064">
        <v>108.45995600000001</v>
      </c>
      <c r="AE1064" s="5">
        <f t="shared" si="81"/>
        <v>0.103875</v>
      </c>
      <c r="AF1064" s="5">
        <f t="shared" si="82"/>
        <v>7.146000000000001E-2</v>
      </c>
      <c r="AG1064" s="1" t="str">
        <f>TRIM(LEFT(L1064,FIND("-",L1064)-1))</f>
        <v>TT1 Đăk Lăk</v>
      </c>
      <c r="AH1064" s="1" t="str">
        <f>TRIM(RIGHT(L1064, LEN(L1064) - FIND("-", L1064)))</f>
        <v>ILA Ea Kar</v>
      </c>
      <c r="AJ1064">
        <f t="shared" si="83"/>
        <v>6.9250000000000006E-2</v>
      </c>
      <c r="AK1064">
        <f t="shared" si="84"/>
        <v>4.7640000000000002E-2</v>
      </c>
      <c r="AL1064" t="e">
        <f>VLOOKUP(L1064,'[1]Tuyến cáp H04'!$B:$E,3,0)/1000</f>
        <v>#N/A</v>
      </c>
      <c r="AM1064" t="e">
        <f>VLOOKUP(L1064,'[1]Tuyến cáp H04'!$B:$E,4,0)</f>
        <v>#N/A</v>
      </c>
    </row>
    <row r="1065" spans="1:39" x14ac:dyDescent="0.25">
      <c r="A1065" s="1" t="s">
        <v>10243</v>
      </c>
      <c r="B1065" s="1" t="s">
        <v>8470</v>
      </c>
      <c r="C1065" s="1" t="s">
        <v>8471</v>
      </c>
      <c r="D1065" s="1" t="s">
        <v>10244</v>
      </c>
      <c r="E1065" s="1" t="s">
        <v>10245</v>
      </c>
      <c r="F1065" s="1" t="s">
        <v>10246</v>
      </c>
      <c r="G1065" s="1" t="s">
        <v>14281</v>
      </c>
      <c r="H1065" s="1" t="s">
        <v>14282</v>
      </c>
      <c r="I1065" s="1" t="s">
        <v>15174</v>
      </c>
      <c r="J1065" s="1" t="s">
        <v>23</v>
      </c>
      <c r="K1065" s="1"/>
      <c r="L1065" s="1" t="s">
        <v>10158</v>
      </c>
      <c r="M1065" s="1" t="s">
        <v>10158</v>
      </c>
      <c r="N1065" s="12" t="b">
        <f t="shared" si="80"/>
        <v>1</v>
      </c>
      <c r="O1065" s="1" t="s">
        <v>10247</v>
      </c>
      <c r="P1065" s="1" t="s">
        <v>10160</v>
      </c>
      <c r="Q1065" s="1" t="s">
        <v>10161</v>
      </c>
      <c r="R1065" s="1" t="s">
        <v>10162</v>
      </c>
      <c r="S1065" s="1" t="s">
        <v>10248</v>
      </c>
      <c r="T1065" s="1" t="s">
        <v>10249</v>
      </c>
      <c r="U1065" s="1" t="s">
        <v>10250</v>
      </c>
      <c r="V1065" s="13">
        <f>COUNTIF(L1065:$M$1659,L1065)</f>
        <v>2</v>
      </c>
      <c r="W1065" s="1" t="s">
        <v>10166</v>
      </c>
      <c r="X1065">
        <v>175.65</v>
      </c>
      <c r="Y1065">
        <v>70.81</v>
      </c>
      <c r="Z1065">
        <v>12.81155</v>
      </c>
      <c r="AA1065">
        <v>108.48330900000001</v>
      </c>
      <c r="AB1065">
        <v>104.85</v>
      </c>
      <c r="AC1065">
        <v>12.841301</v>
      </c>
      <c r="AD1065">
        <v>108.430002</v>
      </c>
      <c r="AE1065" s="5">
        <f t="shared" si="81"/>
        <v>0.106215</v>
      </c>
      <c r="AF1065" s="5">
        <f t="shared" si="82"/>
        <v>0.15727499999999997</v>
      </c>
      <c r="AG1065" s="1" t="e">
        <f>TRIM(LEFT(L1065,FIND("-",L1065)-1))</f>
        <v>#VALUE!</v>
      </c>
      <c r="AH1065" s="1" t="e">
        <f>TRIM(RIGHT(L1065, LEN(L1065) - FIND("-", L1065)))</f>
        <v>#VALUE!</v>
      </c>
      <c r="AJ1065">
        <f t="shared" si="83"/>
        <v>7.0809999999999998E-2</v>
      </c>
      <c r="AK1065">
        <f t="shared" si="84"/>
        <v>0.10485</v>
      </c>
      <c r="AL1065" t="e">
        <f>VLOOKUP(L1065,'[1]Tuyến cáp H04'!$B:$E,3,0)/1000</f>
        <v>#N/A</v>
      </c>
      <c r="AM1065" t="e">
        <f>VLOOKUP(L1065,'[1]Tuyến cáp H04'!$B:$E,4,0)</f>
        <v>#N/A</v>
      </c>
    </row>
    <row r="1066" spans="1:39" x14ac:dyDescent="0.25">
      <c r="A1066" s="1" t="s">
        <v>10251</v>
      </c>
      <c r="B1066" s="1" t="s">
        <v>10252</v>
      </c>
      <c r="C1066" s="1" t="s">
        <v>10253</v>
      </c>
      <c r="D1066" s="1" t="s">
        <v>8470</v>
      </c>
      <c r="E1066" s="1" t="s">
        <v>8471</v>
      </c>
      <c r="F1066" s="1" t="s">
        <v>10254</v>
      </c>
      <c r="G1066" s="1" t="s">
        <v>14281</v>
      </c>
      <c r="H1066" s="1" t="s">
        <v>14282</v>
      </c>
      <c r="I1066" s="1" t="s">
        <v>15175</v>
      </c>
      <c r="J1066" s="1" t="s">
        <v>23</v>
      </c>
      <c r="K1066" s="1"/>
      <c r="L1066" s="1" t="s">
        <v>8350</v>
      </c>
      <c r="M1066" s="1" t="s">
        <v>8350</v>
      </c>
      <c r="N1066" s="12" t="b">
        <f t="shared" si="80"/>
        <v>1</v>
      </c>
      <c r="O1066" s="1" t="s">
        <v>10255</v>
      </c>
      <c r="P1066" s="1" t="s">
        <v>10256</v>
      </c>
      <c r="Q1066" s="1" t="s">
        <v>10257</v>
      </c>
      <c r="R1066" s="1" t="s">
        <v>10258</v>
      </c>
      <c r="S1066" s="1" t="s">
        <v>8477</v>
      </c>
      <c r="T1066" s="1" t="s">
        <v>8356</v>
      </c>
      <c r="U1066" s="1" t="s">
        <v>8357</v>
      </c>
      <c r="V1066" s="13">
        <f>COUNTIF(L1066:$M$1659,L1066)</f>
        <v>16</v>
      </c>
      <c r="W1066" s="1" t="s">
        <v>8358</v>
      </c>
      <c r="X1066">
        <v>1380.85</v>
      </c>
      <c r="Y1066">
        <v>1311.61</v>
      </c>
      <c r="Z1066">
        <v>12.770509000000001</v>
      </c>
      <c r="AA1066">
        <v>108.405835</v>
      </c>
      <c r="AB1066">
        <v>69.25</v>
      </c>
      <c r="AC1066">
        <v>12.811565999999999</v>
      </c>
      <c r="AD1066">
        <v>108.483311</v>
      </c>
      <c r="AE1066" s="5">
        <f t="shared" si="81"/>
        <v>1.9674149999999999</v>
      </c>
      <c r="AF1066" s="5">
        <f t="shared" si="82"/>
        <v>0.103875</v>
      </c>
      <c r="AG1066" s="1" t="str">
        <f>TRIM(LEFT(L1066,FIND("-",L1066)-1))</f>
        <v>TT1 Đăk Lăk</v>
      </c>
      <c r="AH1066" s="1" t="str">
        <f>TRIM(RIGHT(L1066, LEN(L1066) - FIND("-", L1066)))</f>
        <v>ILA Ea Kar</v>
      </c>
      <c r="AJ1066">
        <f t="shared" si="83"/>
        <v>1.3116099999999999</v>
      </c>
      <c r="AK1066">
        <f t="shared" si="84"/>
        <v>6.9250000000000006E-2</v>
      </c>
      <c r="AL1066" t="e">
        <f>VLOOKUP(L1066,'[1]Tuyến cáp H04'!$B:$E,3,0)/1000</f>
        <v>#N/A</v>
      </c>
      <c r="AM1066" t="e">
        <f>VLOOKUP(L1066,'[1]Tuyến cáp H04'!$B:$E,4,0)</f>
        <v>#N/A</v>
      </c>
    </row>
    <row r="1067" spans="1:39" x14ac:dyDescent="0.25">
      <c r="A1067" s="1" t="s">
        <v>10259</v>
      </c>
      <c r="B1067" s="1" t="s">
        <v>10260</v>
      </c>
      <c r="C1067" s="1" t="s">
        <v>10261</v>
      </c>
      <c r="D1067" s="1" t="s">
        <v>10252</v>
      </c>
      <c r="E1067" s="1" t="s">
        <v>10253</v>
      </c>
      <c r="F1067" s="1" t="s">
        <v>10262</v>
      </c>
      <c r="G1067" s="1" t="s">
        <v>14281</v>
      </c>
      <c r="H1067" s="1" t="s">
        <v>14282</v>
      </c>
      <c r="I1067" s="1" t="s">
        <v>15176</v>
      </c>
      <c r="J1067" s="1" t="s">
        <v>23</v>
      </c>
      <c r="K1067" s="1"/>
      <c r="L1067" s="1" t="s">
        <v>10263</v>
      </c>
      <c r="M1067" s="1" t="s">
        <v>10263</v>
      </c>
      <c r="N1067" s="12" t="b">
        <f t="shared" si="80"/>
        <v>1</v>
      </c>
      <c r="O1067" s="1" t="s">
        <v>10264</v>
      </c>
      <c r="P1067" s="1" t="s">
        <v>10265</v>
      </c>
      <c r="Q1067" s="1" t="s">
        <v>10266</v>
      </c>
      <c r="R1067" s="1" t="s">
        <v>10267</v>
      </c>
      <c r="S1067" s="1" t="s">
        <v>10268</v>
      </c>
      <c r="T1067" s="1" t="s">
        <v>10269</v>
      </c>
      <c r="U1067" s="1" t="s">
        <v>10270</v>
      </c>
      <c r="V1067" s="13">
        <f>COUNTIF(L1067:$M$1659,L1067)</f>
        <v>6</v>
      </c>
      <c r="W1067" s="1" t="s">
        <v>10271</v>
      </c>
      <c r="X1067">
        <v>1467.87</v>
      </c>
      <c r="Y1067">
        <v>85.4</v>
      </c>
      <c r="Z1067">
        <v>12.727708</v>
      </c>
      <c r="AA1067">
        <v>108.36395400000001</v>
      </c>
      <c r="AB1067">
        <v>1382.47</v>
      </c>
      <c r="AC1067">
        <v>12.769828</v>
      </c>
      <c r="AD1067">
        <v>108.40437</v>
      </c>
      <c r="AE1067" s="5">
        <f t="shared" si="81"/>
        <v>0.12810000000000002</v>
      </c>
      <c r="AF1067" s="5">
        <f t="shared" si="82"/>
        <v>2.0737049999999999</v>
      </c>
      <c r="AG1067" s="1" t="str">
        <f>TRIM(LEFT(L1067,FIND("-",L1067)-1))</f>
        <v>KRông Păk</v>
      </c>
      <c r="AH1067" s="1" t="str">
        <f>TRIM(RIGHT(L1067, LEN(L1067) - FIND("-", L1067)))</f>
        <v>Trại giam Đăk Tân (C10)</v>
      </c>
      <c r="AJ1067">
        <f t="shared" si="83"/>
        <v>8.5400000000000004E-2</v>
      </c>
      <c r="AK1067">
        <f t="shared" si="84"/>
        <v>1.3824700000000001</v>
      </c>
      <c r="AL1067">
        <f>VLOOKUP(L1067,'[1]Tuyến cáp H04'!$B:$E,3,0)/1000</f>
        <v>53.56</v>
      </c>
      <c r="AM1067" t="str">
        <f>VLOOKUP(L1067,'[1]Tuyến cáp H04'!$B:$E,4,0)</f>
        <v>Mạng cấp 3</v>
      </c>
    </row>
    <row r="1068" spans="1:39" x14ac:dyDescent="0.25">
      <c r="A1068" s="1" t="s">
        <v>10272</v>
      </c>
      <c r="B1068" s="1" t="s">
        <v>10168</v>
      </c>
      <c r="C1068" s="1" t="s">
        <v>10169</v>
      </c>
      <c r="D1068" s="1" t="s">
        <v>10260</v>
      </c>
      <c r="E1068" s="1" t="s">
        <v>10261</v>
      </c>
      <c r="F1068" s="1" t="s">
        <v>10273</v>
      </c>
      <c r="G1068" s="1" t="s">
        <v>14281</v>
      </c>
      <c r="H1068" s="1" t="s">
        <v>14282</v>
      </c>
      <c r="I1068" s="1" t="s">
        <v>15177</v>
      </c>
      <c r="J1068" s="1" t="s">
        <v>23</v>
      </c>
      <c r="K1068" s="1"/>
      <c r="L1068" s="1" t="s">
        <v>9043</v>
      </c>
      <c r="M1068" s="1" t="s">
        <v>9043</v>
      </c>
      <c r="N1068" s="12" t="b">
        <f t="shared" si="80"/>
        <v>1</v>
      </c>
      <c r="O1068" s="1" t="s">
        <v>10274</v>
      </c>
      <c r="P1068" s="1" t="s">
        <v>10181</v>
      </c>
      <c r="Q1068" s="1" t="s">
        <v>10182</v>
      </c>
      <c r="R1068" s="1" t="s">
        <v>10183</v>
      </c>
      <c r="S1068" s="1" t="s">
        <v>10275</v>
      </c>
      <c r="T1068" s="1" t="s">
        <v>10276</v>
      </c>
      <c r="U1068" s="1" t="s">
        <v>10277</v>
      </c>
      <c r="V1068" s="13">
        <f>COUNTIF(L1068:$M$1659,L1068)</f>
        <v>14</v>
      </c>
      <c r="W1068" s="1" t="s">
        <v>9051</v>
      </c>
      <c r="X1068">
        <v>5159.71</v>
      </c>
      <c r="Y1068">
        <v>222.19</v>
      </c>
      <c r="Z1068">
        <v>12.716179</v>
      </c>
      <c r="AA1068">
        <v>108.23956200000001</v>
      </c>
      <c r="AB1068">
        <v>4937.53</v>
      </c>
      <c r="AC1068">
        <v>12.699309</v>
      </c>
      <c r="AD1068">
        <v>108.328397</v>
      </c>
      <c r="AE1068" s="5">
        <f t="shared" si="81"/>
        <v>0.33328499999999994</v>
      </c>
      <c r="AF1068" s="5">
        <f t="shared" si="82"/>
        <v>7.4062950000000001</v>
      </c>
      <c r="AG1068" s="1" t="str">
        <f>TRIM(LEFT(L1068,FIND("-",L1068)-1))</f>
        <v>TT1 Đăk Lăk</v>
      </c>
      <c r="AH1068" s="1" t="str">
        <f>TRIM(RIGHT(L1068, LEN(L1068) - FIND("-", L1068)))</f>
        <v>ILA Ea Pal</v>
      </c>
      <c r="AJ1068">
        <f t="shared" si="83"/>
        <v>0.22219</v>
      </c>
      <c r="AK1068">
        <f t="shared" si="84"/>
        <v>4.9375299999999998</v>
      </c>
      <c r="AL1068" t="e">
        <f>VLOOKUP(L1068,'[1]Tuyến cáp H04'!$B:$E,3,0)/1000</f>
        <v>#N/A</v>
      </c>
      <c r="AM1068" t="e">
        <f>VLOOKUP(L1068,'[1]Tuyến cáp H04'!$B:$E,4,0)</f>
        <v>#N/A</v>
      </c>
    </row>
    <row r="1069" spans="1:39" x14ac:dyDescent="0.25">
      <c r="A1069" s="1" t="s">
        <v>10278</v>
      </c>
      <c r="B1069" s="1" t="s">
        <v>8470</v>
      </c>
      <c r="C1069" s="1" t="s">
        <v>8471</v>
      </c>
      <c r="D1069" s="1" t="s">
        <v>10279</v>
      </c>
      <c r="E1069" s="1" t="s">
        <v>10280</v>
      </c>
      <c r="F1069" s="1" t="s">
        <v>10281</v>
      </c>
      <c r="G1069" s="1" t="s">
        <v>14281</v>
      </c>
      <c r="H1069" s="1" t="s">
        <v>14282</v>
      </c>
      <c r="I1069" s="1" t="s">
        <v>15178</v>
      </c>
      <c r="J1069" s="1" t="s">
        <v>23</v>
      </c>
      <c r="K1069" s="1"/>
      <c r="L1069" s="1" t="s">
        <v>10282</v>
      </c>
      <c r="M1069" s="1" t="s">
        <v>10282</v>
      </c>
      <c r="N1069" s="12" t="b">
        <f t="shared" si="80"/>
        <v>1</v>
      </c>
      <c r="O1069" s="1" t="s">
        <v>10283</v>
      </c>
      <c r="P1069" s="1" t="s">
        <v>10284</v>
      </c>
      <c r="Q1069" s="1" t="s">
        <v>10285</v>
      </c>
      <c r="R1069" s="1" t="s">
        <v>10286</v>
      </c>
      <c r="S1069" s="1" t="s">
        <v>10287</v>
      </c>
      <c r="T1069" s="1" t="s">
        <v>10288</v>
      </c>
      <c r="U1069" s="1" t="s">
        <v>10289</v>
      </c>
      <c r="V1069" s="13">
        <f>COUNTIF(L1069:$M$1659,L1069)</f>
        <v>4</v>
      </c>
      <c r="W1069" s="1" t="s">
        <v>10290</v>
      </c>
      <c r="X1069">
        <v>5101.38</v>
      </c>
      <c r="Y1069">
        <v>70.5</v>
      </c>
      <c r="Z1069">
        <v>12.811557000000001</v>
      </c>
      <c r="AA1069">
        <v>108.483304</v>
      </c>
      <c r="AB1069">
        <v>5030.8900000000003</v>
      </c>
      <c r="AC1069">
        <v>12.721520999999999</v>
      </c>
      <c r="AD1069">
        <v>108.48093</v>
      </c>
      <c r="AE1069" s="5">
        <f t="shared" si="81"/>
        <v>0.10575</v>
      </c>
      <c r="AF1069" s="5">
        <f t="shared" si="82"/>
        <v>7.5463350000000009</v>
      </c>
      <c r="AG1069" s="1" t="str">
        <f>TRIM(LEFT(L1069,FIND("-",L1069)-1))</f>
        <v>Ea Ô</v>
      </c>
      <c r="AH1069" s="1" t="str">
        <f>TRIM(RIGHT(L1069, LEN(L1069) - FIND("-", L1069)))</f>
        <v>TTCMKV Ea Kar</v>
      </c>
      <c r="AJ1069">
        <f t="shared" si="83"/>
        <v>7.0499999999999993E-2</v>
      </c>
      <c r="AK1069">
        <f t="shared" si="84"/>
        <v>5.0308900000000003</v>
      </c>
      <c r="AL1069">
        <f>VLOOKUP(L1069,'[1]Tuyến cáp H04'!$B:$E,3,0)/1000</f>
        <v>15.553000000000001</v>
      </c>
      <c r="AM1069" t="str">
        <f>VLOOKUP(L1069,'[1]Tuyến cáp H04'!$B:$E,4,0)</f>
        <v>Mạng cấp 4</v>
      </c>
    </row>
    <row r="1070" spans="1:39" x14ac:dyDescent="0.25">
      <c r="A1070" s="1" t="s">
        <v>10291</v>
      </c>
      <c r="B1070" s="1" t="s">
        <v>10292</v>
      </c>
      <c r="C1070" s="1" t="s">
        <v>10293</v>
      </c>
      <c r="D1070" s="1" t="s">
        <v>10294</v>
      </c>
      <c r="E1070" s="1" t="s">
        <v>10295</v>
      </c>
      <c r="F1070" s="1" t="s">
        <v>10296</v>
      </c>
      <c r="G1070" s="1" t="s">
        <v>14281</v>
      </c>
      <c r="H1070" s="1" t="s">
        <v>14282</v>
      </c>
      <c r="I1070" s="1" t="s">
        <v>15179</v>
      </c>
      <c r="J1070" s="1" t="s">
        <v>23</v>
      </c>
      <c r="K1070" s="1"/>
      <c r="L1070" s="1" t="s">
        <v>10297</v>
      </c>
      <c r="M1070" s="1" t="s">
        <v>10297</v>
      </c>
      <c r="N1070" s="12" t="b">
        <f t="shared" si="80"/>
        <v>1</v>
      </c>
      <c r="O1070" s="1" t="s">
        <v>10298</v>
      </c>
      <c r="P1070" s="1" t="s">
        <v>10299</v>
      </c>
      <c r="Q1070" s="1" t="s">
        <v>10300</v>
      </c>
      <c r="R1070" s="1" t="s">
        <v>10301</v>
      </c>
      <c r="S1070" s="1" t="s">
        <v>10302</v>
      </c>
      <c r="T1070" s="1" t="s">
        <v>10303</v>
      </c>
      <c r="U1070" s="1" t="s">
        <v>10304</v>
      </c>
      <c r="V1070" s="13">
        <f>COUNTIF(L1070:$M$1659,L1070)</f>
        <v>6</v>
      </c>
      <c r="W1070" s="1" t="s">
        <v>10305</v>
      </c>
      <c r="X1070">
        <v>7268.34</v>
      </c>
      <c r="Y1070">
        <v>127.41</v>
      </c>
      <c r="Z1070">
        <v>12.658647</v>
      </c>
      <c r="AA1070">
        <v>108.43165500000001</v>
      </c>
      <c r="AB1070">
        <v>7140.93</v>
      </c>
      <c r="AC1070">
        <v>12.634971</v>
      </c>
      <c r="AD1070">
        <v>108.39324000000001</v>
      </c>
      <c r="AE1070" s="5">
        <f t="shared" si="81"/>
        <v>0.19111500000000001</v>
      </c>
      <c r="AF1070" s="5">
        <f t="shared" si="82"/>
        <v>10.711395</v>
      </c>
      <c r="AG1070" s="1" t="e">
        <f>TRIM(LEFT(L1070,FIND("-",L1070)-1))</f>
        <v>#VALUE!</v>
      </c>
      <c r="AH1070" s="1" t="e">
        <f>TRIM(RIGHT(L1070, LEN(L1070) - FIND("-", L1070)))</f>
        <v>#VALUE!</v>
      </c>
      <c r="AJ1070">
        <f t="shared" si="83"/>
        <v>0.12741</v>
      </c>
      <c r="AK1070">
        <f t="shared" si="84"/>
        <v>7.14093</v>
      </c>
      <c r="AL1070" t="e">
        <f>VLOOKUP(L1070,'[1]Tuyến cáp H04'!$B:$E,3,0)/1000</f>
        <v>#N/A</v>
      </c>
      <c r="AM1070" t="e">
        <f>VLOOKUP(L1070,'[1]Tuyến cáp H04'!$B:$E,4,0)</f>
        <v>#N/A</v>
      </c>
    </row>
    <row r="1071" spans="1:39" x14ac:dyDescent="0.25">
      <c r="A1071" s="1" t="s">
        <v>10306</v>
      </c>
      <c r="B1071" s="1" t="s">
        <v>10307</v>
      </c>
      <c r="C1071" s="1" t="s">
        <v>10308</v>
      </c>
      <c r="D1071" s="1" t="s">
        <v>10292</v>
      </c>
      <c r="E1071" s="1" t="s">
        <v>10293</v>
      </c>
      <c r="F1071" s="1" t="s">
        <v>10309</v>
      </c>
      <c r="G1071" s="1" t="s">
        <v>14281</v>
      </c>
      <c r="H1071" s="1" t="s">
        <v>14282</v>
      </c>
      <c r="I1071" s="1" t="s">
        <v>15180</v>
      </c>
      <c r="J1071" s="1" t="s">
        <v>23</v>
      </c>
      <c r="K1071" s="1"/>
      <c r="L1071" s="1" t="s">
        <v>9043</v>
      </c>
      <c r="M1071" s="1" t="s">
        <v>9043</v>
      </c>
      <c r="N1071" s="12" t="b">
        <f t="shared" si="80"/>
        <v>1</v>
      </c>
      <c r="O1071" s="1" t="s">
        <v>10310</v>
      </c>
      <c r="P1071" s="1" t="s">
        <v>10311</v>
      </c>
      <c r="Q1071" s="1" t="s">
        <v>10312</v>
      </c>
      <c r="R1071" s="1" t="s">
        <v>10313</v>
      </c>
      <c r="S1071" s="1" t="s">
        <v>10314</v>
      </c>
      <c r="T1071" s="1" t="s">
        <v>10315</v>
      </c>
      <c r="U1071" s="1" t="s">
        <v>10316</v>
      </c>
      <c r="V1071" s="13">
        <f>COUNTIF(L1071:$M$1659,L1071)</f>
        <v>12</v>
      </c>
      <c r="W1071" s="1" t="s">
        <v>9051</v>
      </c>
      <c r="X1071">
        <v>4715.5</v>
      </c>
      <c r="Y1071">
        <v>4559.54</v>
      </c>
      <c r="Z1071">
        <v>12.654074</v>
      </c>
      <c r="AA1071">
        <v>108.369075</v>
      </c>
      <c r="AB1071">
        <v>155.96</v>
      </c>
      <c r="AC1071">
        <v>12.658018</v>
      </c>
      <c r="AD1071">
        <v>108.431682</v>
      </c>
      <c r="AE1071" s="5">
        <f t="shared" si="81"/>
        <v>6.8393099999999993</v>
      </c>
      <c r="AF1071" s="5">
        <f t="shared" si="82"/>
        <v>0.23394000000000001</v>
      </c>
      <c r="AG1071" s="1" t="str">
        <f>TRIM(LEFT(L1071,FIND("-",L1071)-1))</f>
        <v>TT1 Đăk Lăk</v>
      </c>
      <c r="AH1071" s="1" t="str">
        <f>TRIM(RIGHT(L1071, LEN(L1071) - FIND("-", L1071)))</f>
        <v>ILA Ea Pal</v>
      </c>
      <c r="AJ1071">
        <f t="shared" si="83"/>
        <v>4.5595400000000001</v>
      </c>
      <c r="AK1071">
        <f t="shared" si="84"/>
        <v>0.15596000000000002</v>
      </c>
      <c r="AL1071" t="e">
        <f>VLOOKUP(L1071,'[1]Tuyến cáp H04'!$B:$E,3,0)/1000</f>
        <v>#N/A</v>
      </c>
      <c r="AM1071" t="e">
        <f>VLOOKUP(L1071,'[1]Tuyến cáp H04'!$B:$E,4,0)</f>
        <v>#N/A</v>
      </c>
    </row>
    <row r="1072" spans="1:39" x14ac:dyDescent="0.25">
      <c r="A1072" s="1" t="s">
        <v>10317</v>
      </c>
      <c r="B1072" s="1" t="s">
        <v>8470</v>
      </c>
      <c r="C1072" s="1" t="s">
        <v>8471</v>
      </c>
      <c r="D1072" s="1" t="s">
        <v>10318</v>
      </c>
      <c r="E1072" s="1" t="s">
        <v>10319</v>
      </c>
      <c r="F1072" s="1" t="s">
        <v>10320</v>
      </c>
      <c r="G1072" s="1" t="s">
        <v>14281</v>
      </c>
      <c r="H1072" s="1" t="s">
        <v>14282</v>
      </c>
      <c r="I1072" s="1" t="s">
        <v>15181</v>
      </c>
      <c r="J1072" s="1" t="s">
        <v>23</v>
      </c>
      <c r="K1072" s="1"/>
      <c r="L1072" s="1" t="s">
        <v>10321</v>
      </c>
      <c r="M1072" s="1" t="s">
        <v>10321</v>
      </c>
      <c r="N1072" s="12" t="b">
        <f t="shared" si="80"/>
        <v>1</v>
      </c>
      <c r="O1072" s="1" t="s">
        <v>10322</v>
      </c>
      <c r="P1072" s="1" t="s">
        <v>10323</v>
      </c>
      <c r="Q1072" s="1" t="s">
        <v>10324</v>
      </c>
      <c r="R1072" s="1" t="s">
        <v>10325</v>
      </c>
      <c r="S1072" s="1" t="s">
        <v>10326</v>
      </c>
      <c r="T1072" s="1" t="s">
        <v>10327</v>
      </c>
      <c r="U1072" s="1" t="s">
        <v>10328</v>
      </c>
      <c r="V1072" s="13">
        <f>COUNTIF(L1072:$M$1659,L1072)</f>
        <v>6</v>
      </c>
      <c r="W1072" s="1" t="s">
        <v>10329</v>
      </c>
      <c r="X1072">
        <v>3730.16</v>
      </c>
      <c r="Y1072">
        <v>110.23</v>
      </c>
      <c r="Z1072">
        <v>12.81124</v>
      </c>
      <c r="AA1072">
        <v>108.48427100000001</v>
      </c>
      <c r="AB1072">
        <v>3619.92</v>
      </c>
      <c r="AC1072">
        <v>12.749832</v>
      </c>
      <c r="AD1072">
        <v>108.542889</v>
      </c>
      <c r="AE1072" s="5">
        <f t="shared" si="81"/>
        <v>0.16534499999999999</v>
      </c>
      <c r="AF1072" s="5">
        <f t="shared" si="82"/>
        <v>5.4298799999999998</v>
      </c>
      <c r="AG1072" s="1" t="e">
        <f>TRIM(LEFT(L1072,FIND("-",L1072)-1))</f>
        <v>#VALUE!</v>
      </c>
      <c r="AH1072" s="1" t="e">
        <f>TRIM(RIGHT(L1072, LEN(L1072) - FIND("-", L1072)))</f>
        <v>#VALUE!</v>
      </c>
      <c r="AJ1072">
        <f t="shared" si="83"/>
        <v>0.11023000000000001</v>
      </c>
      <c r="AK1072">
        <f t="shared" si="84"/>
        <v>3.61992</v>
      </c>
      <c r="AL1072" t="e">
        <f>VLOOKUP(L1072,'[1]Tuyến cáp H04'!$B:$E,3,0)/1000</f>
        <v>#N/A</v>
      </c>
      <c r="AM1072" t="e">
        <f>VLOOKUP(L1072,'[1]Tuyến cáp H04'!$B:$E,4,0)</f>
        <v>#N/A</v>
      </c>
    </row>
    <row r="1073" spans="1:39" x14ac:dyDescent="0.25">
      <c r="A1073" s="1" t="s">
        <v>10330</v>
      </c>
      <c r="B1073" s="1" t="s">
        <v>10318</v>
      </c>
      <c r="C1073" s="1" t="s">
        <v>10319</v>
      </c>
      <c r="D1073" s="1" t="s">
        <v>10331</v>
      </c>
      <c r="E1073" s="1" t="s">
        <v>10332</v>
      </c>
      <c r="F1073" s="1" t="s">
        <v>10333</v>
      </c>
      <c r="G1073" s="1" t="s">
        <v>14281</v>
      </c>
      <c r="H1073" s="1" t="s">
        <v>14282</v>
      </c>
      <c r="I1073" s="1" t="s">
        <v>15182</v>
      </c>
      <c r="J1073" s="1" t="s">
        <v>23</v>
      </c>
      <c r="K1073" s="1"/>
      <c r="L1073" s="1" t="s">
        <v>10321</v>
      </c>
      <c r="M1073" s="1" t="s">
        <v>10321</v>
      </c>
      <c r="N1073" s="12" t="b">
        <f t="shared" si="80"/>
        <v>1</v>
      </c>
      <c r="O1073" s="1" t="s">
        <v>10334</v>
      </c>
      <c r="P1073" s="1" t="s">
        <v>10326</v>
      </c>
      <c r="Q1073" s="1" t="s">
        <v>10327</v>
      </c>
      <c r="R1073" s="1" t="s">
        <v>10328</v>
      </c>
      <c r="S1073" s="1" t="s">
        <v>10335</v>
      </c>
      <c r="T1073" s="1" t="s">
        <v>10336</v>
      </c>
      <c r="U1073" s="1" t="s">
        <v>10337</v>
      </c>
      <c r="V1073" s="13">
        <f>COUNTIF(L1073:$M$1659,L1073)</f>
        <v>4</v>
      </c>
      <c r="W1073" s="1" t="s">
        <v>10329</v>
      </c>
      <c r="X1073">
        <v>3788.4</v>
      </c>
      <c r="Y1073">
        <v>3619.92</v>
      </c>
      <c r="Z1073">
        <v>12.749832</v>
      </c>
      <c r="AA1073">
        <v>108.542889</v>
      </c>
      <c r="AB1073">
        <v>168.48</v>
      </c>
      <c r="AC1073">
        <v>12.726937</v>
      </c>
      <c r="AD1073">
        <v>108.554203</v>
      </c>
      <c r="AE1073" s="5">
        <f t="shared" si="81"/>
        <v>5.4298799999999998</v>
      </c>
      <c r="AF1073" s="5">
        <f t="shared" si="82"/>
        <v>0.25271999999999994</v>
      </c>
      <c r="AG1073" s="1" t="e">
        <f>TRIM(LEFT(L1073,FIND("-",L1073)-1))</f>
        <v>#VALUE!</v>
      </c>
      <c r="AH1073" s="1" t="e">
        <f>TRIM(RIGHT(L1073, LEN(L1073) - FIND("-", L1073)))</f>
        <v>#VALUE!</v>
      </c>
      <c r="AJ1073">
        <f t="shared" si="83"/>
        <v>3.61992</v>
      </c>
      <c r="AK1073">
        <f t="shared" si="84"/>
        <v>0.16847999999999999</v>
      </c>
      <c r="AL1073" t="e">
        <f>VLOOKUP(L1073,'[1]Tuyến cáp H04'!$B:$E,3,0)/1000</f>
        <v>#N/A</v>
      </c>
      <c r="AM1073" t="e">
        <f>VLOOKUP(L1073,'[1]Tuyến cáp H04'!$B:$E,4,0)</f>
        <v>#N/A</v>
      </c>
    </row>
    <row r="1074" spans="1:39" x14ac:dyDescent="0.25">
      <c r="A1074" s="1" t="s">
        <v>10338</v>
      </c>
      <c r="B1074" s="1" t="s">
        <v>10339</v>
      </c>
      <c r="C1074" s="1" t="s">
        <v>10340</v>
      </c>
      <c r="D1074" s="1" t="s">
        <v>10331</v>
      </c>
      <c r="E1074" s="1" t="s">
        <v>10332</v>
      </c>
      <c r="F1074" s="1" t="s">
        <v>10341</v>
      </c>
      <c r="G1074" s="1" t="s">
        <v>14281</v>
      </c>
      <c r="H1074" s="1" t="s">
        <v>14282</v>
      </c>
      <c r="I1074" s="1" t="s">
        <v>15183</v>
      </c>
      <c r="J1074" s="1" t="s">
        <v>23</v>
      </c>
      <c r="K1074" s="1"/>
      <c r="L1074" s="1" t="s">
        <v>9043</v>
      </c>
      <c r="M1074" s="1" t="s">
        <v>9043</v>
      </c>
      <c r="N1074" s="12" t="b">
        <f t="shared" si="80"/>
        <v>1</v>
      </c>
      <c r="O1074" s="1" t="s">
        <v>10342</v>
      </c>
      <c r="P1074" s="1" t="s">
        <v>10343</v>
      </c>
      <c r="Q1074" s="1" t="s">
        <v>10344</v>
      </c>
      <c r="R1074" s="1" t="s">
        <v>10345</v>
      </c>
      <c r="S1074" s="1" t="s">
        <v>10346</v>
      </c>
      <c r="T1074" s="1" t="s">
        <v>10347</v>
      </c>
      <c r="U1074" s="1" t="s">
        <v>10348</v>
      </c>
      <c r="V1074" s="13">
        <f>COUNTIF(L1074:$M$1659,L1074)</f>
        <v>10</v>
      </c>
      <c r="W1074" s="1" t="s">
        <v>9051</v>
      </c>
      <c r="X1074">
        <v>6977.86</v>
      </c>
      <c r="Y1074">
        <v>6805.83</v>
      </c>
      <c r="Z1074">
        <v>12.700711</v>
      </c>
      <c r="AA1074">
        <v>108.503832</v>
      </c>
      <c r="AB1074">
        <v>172.02</v>
      </c>
      <c r="AC1074">
        <v>12.726613</v>
      </c>
      <c r="AD1074">
        <v>108.55382</v>
      </c>
      <c r="AE1074" s="5">
        <f t="shared" si="81"/>
        <v>10.208744999999999</v>
      </c>
      <c r="AF1074" s="5">
        <f t="shared" si="82"/>
        <v>0.25803000000000004</v>
      </c>
      <c r="AG1074" s="1" t="str">
        <f>TRIM(LEFT(L1074,FIND("-",L1074)-1))</f>
        <v>TT1 Đăk Lăk</v>
      </c>
      <c r="AH1074" s="1" t="str">
        <f>TRIM(RIGHT(L1074, LEN(L1074) - FIND("-", L1074)))</f>
        <v>ILA Ea Pal</v>
      </c>
      <c r="AJ1074">
        <f t="shared" si="83"/>
        <v>6.8058300000000003</v>
      </c>
      <c r="AK1074">
        <f t="shared" si="84"/>
        <v>0.17202000000000001</v>
      </c>
      <c r="AL1074" t="e">
        <f>VLOOKUP(L1074,'[1]Tuyến cáp H04'!$B:$E,3,0)/1000</f>
        <v>#N/A</v>
      </c>
      <c r="AM1074" t="e">
        <f>VLOOKUP(L1074,'[1]Tuyến cáp H04'!$B:$E,4,0)</f>
        <v>#N/A</v>
      </c>
    </row>
    <row r="1075" spans="1:39" x14ac:dyDescent="0.25">
      <c r="A1075" s="1" t="s">
        <v>10349</v>
      </c>
      <c r="B1075" s="1" t="s">
        <v>8554</v>
      </c>
      <c r="C1075" s="1" t="s">
        <v>8555</v>
      </c>
      <c r="D1075" s="1" t="s">
        <v>10350</v>
      </c>
      <c r="E1075" s="1" t="s">
        <v>10351</v>
      </c>
      <c r="F1075" s="1" t="s">
        <v>10352</v>
      </c>
      <c r="G1075" s="1" t="s">
        <v>14281</v>
      </c>
      <c r="H1075" s="1" t="s">
        <v>14282</v>
      </c>
      <c r="I1075" s="1" t="s">
        <v>15184</v>
      </c>
      <c r="J1075" s="1" t="s">
        <v>23</v>
      </c>
      <c r="K1075" s="1"/>
      <c r="L1075" s="1" t="s">
        <v>10353</v>
      </c>
      <c r="M1075" s="1" t="s">
        <v>10353</v>
      </c>
      <c r="N1075" s="12" t="b">
        <f t="shared" si="80"/>
        <v>1</v>
      </c>
      <c r="O1075" s="1" t="s">
        <v>10354</v>
      </c>
      <c r="P1075" s="1" t="s">
        <v>10355</v>
      </c>
      <c r="Q1075" s="1" t="s">
        <v>10356</v>
      </c>
      <c r="R1075" s="1" t="s">
        <v>10357</v>
      </c>
      <c r="S1075" s="1" t="s">
        <v>2569</v>
      </c>
      <c r="T1075" s="1" t="s">
        <v>10358</v>
      </c>
      <c r="U1075" s="1" t="s">
        <v>10359</v>
      </c>
      <c r="V1075" s="13">
        <f>COUNTIF(L1075:$M$1659,L1075)</f>
        <v>12</v>
      </c>
      <c r="W1075" s="1" t="s">
        <v>10360</v>
      </c>
      <c r="X1075">
        <v>1847.74</v>
      </c>
      <c r="Y1075">
        <v>1752</v>
      </c>
      <c r="Z1075">
        <v>12.690887</v>
      </c>
      <c r="AA1075">
        <v>108.067472</v>
      </c>
      <c r="AB1075">
        <v>95.74</v>
      </c>
      <c r="AC1075">
        <v>12.703134</v>
      </c>
      <c r="AD1075">
        <v>108.15682200000001</v>
      </c>
      <c r="AE1075" s="5">
        <f t="shared" si="81"/>
        <v>2.6280000000000001</v>
      </c>
      <c r="AF1075" s="5">
        <f t="shared" si="82"/>
        <v>0.14360999999999999</v>
      </c>
      <c r="AG1075" s="1" t="str">
        <f>TRIM(LEFT(L1075,FIND("-",L1075)-1))</f>
        <v>KRông Bông</v>
      </c>
      <c r="AH1075" s="1" t="str">
        <f>TRIM(RIGHT(L1075, LEN(L1075) - FIND("-", L1075)))</f>
        <v>TT1 Đăk Lăk</v>
      </c>
      <c r="AJ1075">
        <f t="shared" si="83"/>
        <v>1.752</v>
      </c>
      <c r="AK1075">
        <f t="shared" si="84"/>
        <v>9.5739999999999992E-2</v>
      </c>
      <c r="AL1075">
        <f>VLOOKUP(L1075,'[1]Tuyến cáp H04'!$B:$E,3,0)/1000</f>
        <v>58.271999999999998</v>
      </c>
      <c r="AM1075" t="str">
        <f>VLOOKUP(L1075,'[1]Tuyến cáp H04'!$B:$E,4,0)</f>
        <v>Mạng cấp 3</v>
      </c>
    </row>
    <row r="1076" spans="1:39" x14ac:dyDescent="0.25">
      <c r="A1076" s="1" t="s">
        <v>10361</v>
      </c>
      <c r="B1076" s="1" t="s">
        <v>10350</v>
      </c>
      <c r="C1076" s="1" t="s">
        <v>10351</v>
      </c>
      <c r="D1076" s="1" t="s">
        <v>10362</v>
      </c>
      <c r="E1076" s="1" t="s">
        <v>10363</v>
      </c>
      <c r="F1076" s="1" t="s">
        <v>10364</v>
      </c>
      <c r="G1076" s="1" t="s">
        <v>14281</v>
      </c>
      <c r="H1076" s="1" t="s">
        <v>14282</v>
      </c>
      <c r="I1076" s="1" t="s">
        <v>15185</v>
      </c>
      <c r="J1076" s="1" t="s">
        <v>23</v>
      </c>
      <c r="K1076" s="1"/>
      <c r="L1076" s="1" t="s">
        <v>10365</v>
      </c>
      <c r="M1076" s="1" t="s">
        <v>10365</v>
      </c>
      <c r="N1076" s="12" t="b">
        <f t="shared" si="80"/>
        <v>1</v>
      </c>
      <c r="O1076" s="1" t="s">
        <v>10366</v>
      </c>
      <c r="P1076" s="1" t="s">
        <v>10367</v>
      </c>
      <c r="Q1076" s="1" t="s">
        <v>10368</v>
      </c>
      <c r="R1076" s="1" t="s">
        <v>10369</v>
      </c>
      <c r="S1076" s="1" t="s">
        <v>10370</v>
      </c>
      <c r="T1076" s="1" t="s">
        <v>10371</v>
      </c>
      <c r="U1076" s="1" t="s">
        <v>10372</v>
      </c>
      <c r="V1076" s="13">
        <f>COUNTIF(L1076:$M$1659,L1076)</f>
        <v>6</v>
      </c>
      <c r="W1076" s="1" t="s">
        <v>10373</v>
      </c>
      <c r="X1076">
        <v>170.58</v>
      </c>
      <c r="Y1076">
        <v>96.45</v>
      </c>
      <c r="Z1076">
        <v>12.70313</v>
      </c>
      <c r="AA1076">
        <v>108.156829</v>
      </c>
      <c r="AB1076">
        <v>74.14</v>
      </c>
      <c r="AC1076">
        <v>12.703072000000001</v>
      </c>
      <c r="AD1076">
        <v>108.19707200000001</v>
      </c>
      <c r="AE1076" s="5">
        <f t="shared" si="81"/>
        <v>0.144675</v>
      </c>
      <c r="AF1076" s="5">
        <f t="shared" si="82"/>
        <v>0.11121</v>
      </c>
      <c r="AG1076" s="1" t="e">
        <f>TRIM(LEFT(L1076,FIND("-",L1076)-1))</f>
        <v>#VALUE!</v>
      </c>
      <c r="AH1076" s="1" t="e">
        <f>TRIM(RIGHT(L1076, LEN(L1076) - FIND("-", L1076)))</f>
        <v>#VALUE!</v>
      </c>
      <c r="AJ1076">
        <f t="shared" si="83"/>
        <v>9.6450000000000008E-2</v>
      </c>
      <c r="AK1076">
        <f t="shared" si="84"/>
        <v>7.4139999999999998E-2</v>
      </c>
      <c r="AL1076" t="e">
        <f>VLOOKUP(L1076,'[1]Tuyến cáp H04'!$B:$E,3,0)/1000</f>
        <v>#N/A</v>
      </c>
      <c r="AM1076" t="e">
        <f>VLOOKUP(L1076,'[1]Tuyến cáp H04'!$B:$E,4,0)</f>
        <v>#N/A</v>
      </c>
    </row>
    <row r="1077" spans="1:39" x14ac:dyDescent="0.25">
      <c r="A1077" s="1" t="s">
        <v>10374</v>
      </c>
      <c r="B1077" s="1" t="s">
        <v>10375</v>
      </c>
      <c r="C1077" s="1" t="s">
        <v>10376</v>
      </c>
      <c r="D1077" s="1" t="s">
        <v>8442</v>
      </c>
      <c r="E1077" s="1" t="s">
        <v>8443</v>
      </c>
      <c r="F1077" s="1" t="s">
        <v>10377</v>
      </c>
      <c r="G1077" s="1" t="s">
        <v>14281</v>
      </c>
      <c r="H1077" s="1" t="s">
        <v>14282</v>
      </c>
      <c r="I1077" s="1" t="s">
        <v>15186</v>
      </c>
      <c r="J1077" s="1" t="s">
        <v>23</v>
      </c>
      <c r="K1077" s="1"/>
      <c r="L1077" s="1" t="s">
        <v>8458</v>
      </c>
      <c r="M1077" s="1" t="s">
        <v>8458</v>
      </c>
      <c r="N1077" s="12" t="b">
        <f t="shared" si="80"/>
        <v>1</v>
      </c>
      <c r="O1077" s="1" t="s">
        <v>10378</v>
      </c>
      <c r="P1077" s="1" t="s">
        <v>10379</v>
      </c>
      <c r="Q1077" s="1" t="s">
        <v>8461</v>
      </c>
      <c r="R1077" s="1" t="s">
        <v>8462</v>
      </c>
      <c r="S1077" s="1" t="s">
        <v>8463</v>
      </c>
      <c r="T1077" s="1" t="s">
        <v>8464</v>
      </c>
      <c r="U1077" s="1" t="s">
        <v>8465</v>
      </c>
      <c r="V1077" s="13">
        <f>COUNTIF(L1077:$M$1659,L1077)</f>
        <v>2</v>
      </c>
      <c r="W1077" s="1" t="s">
        <v>8466</v>
      </c>
      <c r="X1077">
        <v>3493.74</v>
      </c>
      <c r="Y1077">
        <v>2935.12</v>
      </c>
      <c r="Z1077">
        <v>12.573183</v>
      </c>
      <c r="AA1077">
        <v>108.164991</v>
      </c>
      <c r="AB1077">
        <v>558.62</v>
      </c>
      <c r="AC1077">
        <v>12.561987</v>
      </c>
      <c r="AD1077">
        <v>108.16861900000001</v>
      </c>
      <c r="AE1077" s="5">
        <f t="shared" si="81"/>
        <v>4.4026800000000001</v>
      </c>
      <c r="AF1077" s="5">
        <f t="shared" si="82"/>
        <v>0.83793000000000006</v>
      </c>
      <c r="AG1077" s="1" t="str">
        <f>TRIM(LEFT(L1077,FIND("-",L1077)-1))</f>
        <v>Ea Ning</v>
      </c>
      <c r="AH1077" s="1" t="str">
        <f>TRIM(RIGHT(L1077, LEN(L1077) - FIND("-", L1077)))</f>
        <v>TTCMKV Cư Kuin</v>
      </c>
      <c r="AJ1077">
        <f t="shared" si="83"/>
        <v>2.93512</v>
      </c>
      <c r="AK1077">
        <f t="shared" si="84"/>
        <v>0.55862000000000001</v>
      </c>
      <c r="AL1077">
        <f>VLOOKUP(L1077,'[1]Tuyến cáp H04'!$B:$E,3,0)/1000</f>
        <v>11.569000000000001</v>
      </c>
      <c r="AM1077" t="str">
        <f>VLOOKUP(L1077,'[1]Tuyến cáp H04'!$B:$E,4,0)</f>
        <v>Mạng cấp 4</v>
      </c>
    </row>
    <row r="1078" spans="1:39" x14ac:dyDescent="0.25">
      <c r="A1078" s="1" t="s">
        <v>10380</v>
      </c>
      <c r="B1078" s="1" t="s">
        <v>8510</v>
      </c>
      <c r="C1078" s="1" t="s">
        <v>8511</v>
      </c>
      <c r="D1078" s="1" t="s">
        <v>10381</v>
      </c>
      <c r="E1078" s="1" t="s">
        <v>10382</v>
      </c>
      <c r="F1078" s="1" t="s">
        <v>10383</v>
      </c>
      <c r="G1078" s="1" t="s">
        <v>14281</v>
      </c>
      <c r="H1078" s="1" t="s">
        <v>14282</v>
      </c>
      <c r="I1078" s="1" t="s">
        <v>15187</v>
      </c>
      <c r="J1078" s="1" t="s">
        <v>23</v>
      </c>
      <c r="K1078" s="1"/>
      <c r="L1078" s="1" t="s">
        <v>8513</v>
      </c>
      <c r="M1078" s="1" t="s">
        <v>8513</v>
      </c>
      <c r="N1078" s="12" t="b">
        <f t="shared" si="80"/>
        <v>1</v>
      </c>
      <c r="O1078" s="1" t="s">
        <v>10384</v>
      </c>
      <c r="P1078" s="1" t="s">
        <v>8518</v>
      </c>
      <c r="Q1078" s="1" t="s">
        <v>8519</v>
      </c>
      <c r="R1078" s="1" t="s">
        <v>8520</v>
      </c>
      <c r="S1078" s="1" t="s">
        <v>10385</v>
      </c>
      <c r="T1078" s="1" t="s">
        <v>10386</v>
      </c>
      <c r="U1078" s="1" t="s">
        <v>10387</v>
      </c>
      <c r="V1078" s="13">
        <f>COUNTIF(L1078:$M$1659,L1078)</f>
        <v>2</v>
      </c>
      <c r="W1078" s="1" t="s">
        <v>8521</v>
      </c>
      <c r="X1078">
        <v>273.45999999999998</v>
      </c>
      <c r="Y1078">
        <v>69.150000000000006</v>
      </c>
      <c r="Z1078">
        <v>12.655666999999999</v>
      </c>
      <c r="AA1078">
        <v>108.343625</v>
      </c>
      <c r="AB1078">
        <v>204.32</v>
      </c>
      <c r="AC1078">
        <v>12.703611</v>
      </c>
      <c r="AD1078">
        <v>108.321577</v>
      </c>
      <c r="AE1078" s="5">
        <f t="shared" si="81"/>
        <v>0.10372500000000001</v>
      </c>
      <c r="AF1078" s="5">
        <f t="shared" si="82"/>
        <v>0.30648000000000003</v>
      </c>
      <c r="AG1078" s="1" t="str">
        <f>TRIM(LEFT(L1078,FIND("-",L1078)-1))</f>
        <v>Cơ sở cai nghiện (X. Tân Tiến, H. Kron Pắc)</v>
      </c>
      <c r="AH1078" s="1" t="str">
        <f>TRIM(RIGHT(L1078, LEN(L1078) - FIND("-", L1078)))</f>
        <v>TTCMKV Krong Pắc</v>
      </c>
      <c r="AJ1078">
        <f t="shared" si="83"/>
        <v>6.9150000000000003E-2</v>
      </c>
      <c r="AK1078">
        <f t="shared" si="84"/>
        <v>0.20432</v>
      </c>
      <c r="AL1078">
        <f>VLOOKUP(L1078,'[1]Tuyến cáp H04'!$B:$E,3,0)/1000</f>
        <v>8.8070000000000004</v>
      </c>
      <c r="AM1078" t="str">
        <f>VLOOKUP(L1078,'[1]Tuyến cáp H04'!$B:$E,4,0)</f>
        <v>Mạng cấp 3</v>
      </c>
    </row>
    <row r="1079" spans="1:39" x14ac:dyDescent="0.25">
      <c r="A1079" s="1" t="s">
        <v>10388</v>
      </c>
      <c r="B1079" s="1" t="s">
        <v>10389</v>
      </c>
      <c r="C1079" s="1" t="s">
        <v>10390</v>
      </c>
      <c r="D1079" s="1" t="s">
        <v>8347</v>
      </c>
      <c r="E1079" s="1" t="s">
        <v>8348</v>
      </c>
      <c r="F1079" s="1" t="s">
        <v>10391</v>
      </c>
      <c r="G1079" s="1" t="s">
        <v>14281</v>
      </c>
      <c r="H1079" s="1" t="s">
        <v>14282</v>
      </c>
      <c r="I1079" s="1" t="s">
        <v>15188</v>
      </c>
      <c r="J1079" s="1" t="s">
        <v>23</v>
      </c>
      <c r="K1079" s="1"/>
      <c r="L1079" s="1" t="s">
        <v>8350</v>
      </c>
      <c r="M1079" s="1" t="s">
        <v>8350</v>
      </c>
      <c r="N1079" s="12" t="b">
        <f t="shared" si="80"/>
        <v>1</v>
      </c>
      <c r="O1079" s="1" t="s">
        <v>10392</v>
      </c>
      <c r="P1079" s="1" t="s">
        <v>10393</v>
      </c>
      <c r="Q1079" s="1" t="s">
        <v>8353</v>
      </c>
      <c r="R1079" s="1" t="s">
        <v>8354</v>
      </c>
      <c r="S1079" s="1" t="s">
        <v>8355</v>
      </c>
      <c r="T1079" s="1" t="s">
        <v>8356</v>
      </c>
      <c r="U1079" s="1" t="s">
        <v>8357</v>
      </c>
      <c r="V1079" s="13">
        <f>COUNTIF(L1079:$M$1659,L1079)</f>
        <v>14</v>
      </c>
      <c r="W1079" s="1" t="s">
        <v>8358</v>
      </c>
      <c r="X1079">
        <v>91513.71</v>
      </c>
      <c r="Y1079">
        <v>892.22</v>
      </c>
      <c r="Z1079">
        <v>12.690893000000001</v>
      </c>
      <c r="AA1079">
        <v>108.06744999999999</v>
      </c>
      <c r="AB1079">
        <v>90621.49</v>
      </c>
      <c r="AC1079">
        <v>12.811565999999999</v>
      </c>
      <c r="AD1079">
        <v>108.483311</v>
      </c>
      <c r="AE1079" s="5">
        <f t="shared" si="81"/>
        <v>1.33833</v>
      </c>
      <c r="AF1079" s="5">
        <f t="shared" si="82"/>
        <v>135.93223500000002</v>
      </c>
      <c r="AG1079" s="1" t="str">
        <f>TRIM(LEFT(L1079,FIND("-",L1079)-1))</f>
        <v>TT1 Đăk Lăk</v>
      </c>
      <c r="AH1079" s="1" t="str">
        <f>TRIM(RIGHT(L1079, LEN(L1079) - FIND("-", L1079)))</f>
        <v>ILA Ea Kar</v>
      </c>
      <c r="AJ1079">
        <f t="shared" si="83"/>
        <v>0.89222000000000001</v>
      </c>
      <c r="AK1079">
        <f t="shared" si="84"/>
        <v>90.621490000000009</v>
      </c>
      <c r="AL1079" t="e">
        <f>VLOOKUP(L1079,'[1]Tuyến cáp H04'!$B:$E,3,0)/1000</f>
        <v>#N/A</v>
      </c>
      <c r="AM1079" t="e">
        <f>VLOOKUP(L1079,'[1]Tuyến cáp H04'!$B:$E,4,0)</f>
        <v>#N/A</v>
      </c>
    </row>
    <row r="1080" spans="1:39" x14ac:dyDescent="0.25">
      <c r="A1080" s="1" t="s">
        <v>10394</v>
      </c>
      <c r="B1080" s="1" t="s">
        <v>10395</v>
      </c>
      <c r="C1080" s="1" t="s">
        <v>10396</v>
      </c>
      <c r="D1080" s="1" t="s">
        <v>8332</v>
      </c>
      <c r="E1080" s="1" t="s">
        <v>8333</v>
      </c>
      <c r="F1080" s="1" t="s">
        <v>10397</v>
      </c>
      <c r="G1080" s="1" t="s">
        <v>14281</v>
      </c>
      <c r="H1080" s="1" t="s">
        <v>14282</v>
      </c>
      <c r="I1080" s="1" t="s">
        <v>15189</v>
      </c>
      <c r="J1080" s="1" t="s">
        <v>23</v>
      </c>
      <c r="K1080" s="1"/>
      <c r="L1080" s="1" t="s">
        <v>8163</v>
      </c>
      <c r="M1080" s="1" t="s">
        <v>8163</v>
      </c>
      <c r="N1080" s="12" t="b">
        <f t="shared" si="80"/>
        <v>1</v>
      </c>
      <c r="O1080" s="1" t="s">
        <v>10398</v>
      </c>
      <c r="P1080" s="1" t="s">
        <v>10399</v>
      </c>
      <c r="Q1080" s="1" t="s">
        <v>10400</v>
      </c>
      <c r="R1080" s="1" t="s">
        <v>10401</v>
      </c>
      <c r="S1080" s="1" t="s">
        <v>8750</v>
      </c>
      <c r="T1080" s="1" t="s">
        <v>8751</v>
      </c>
      <c r="U1080" s="1" t="s">
        <v>8752</v>
      </c>
      <c r="V1080" s="13">
        <f>COUNTIF(L1080:$M$1659,L1080)</f>
        <v>4</v>
      </c>
      <c r="W1080" s="1" t="s">
        <v>8171</v>
      </c>
      <c r="X1080">
        <v>830.55</v>
      </c>
      <c r="Y1080">
        <v>772.28</v>
      </c>
      <c r="Z1080">
        <v>12.920681999999999</v>
      </c>
      <c r="AA1080">
        <v>108.264574</v>
      </c>
      <c r="AB1080">
        <v>58.27</v>
      </c>
      <c r="AC1080">
        <v>12.916486000000001</v>
      </c>
      <c r="AD1080">
        <v>108.266068</v>
      </c>
      <c r="AE1080" s="5">
        <f t="shared" si="81"/>
        <v>1.15842</v>
      </c>
      <c r="AF1080" s="5">
        <f t="shared" si="82"/>
        <v>8.7404999999999997E-2</v>
      </c>
      <c r="AG1080" s="1" t="str">
        <f>TRIM(LEFT(L1080,FIND("-",L1080)-1))</f>
        <v>Buôn Hồ</v>
      </c>
      <c r="AH1080" s="1" t="str">
        <f>TRIM(RIGHT(L1080, LEN(L1080) - FIND("-", L1080)))</f>
        <v>Ea H'Leo</v>
      </c>
      <c r="AJ1080">
        <f t="shared" si="83"/>
        <v>0.77227999999999997</v>
      </c>
      <c r="AK1080">
        <f t="shared" si="84"/>
        <v>5.8270000000000002E-2</v>
      </c>
      <c r="AL1080">
        <f>VLOOKUP(L1080,'[1]Tuyến cáp H04'!$B:$E,3,0)/1000</f>
        <v>36.590000000000003</v>
      </c>
      <c r="AM1080" t="str">
        <f>VLOOKUP(L1080,'[1]Tuyến cáp H04'!$B:$E,4,0)</f>
        <v>Mạng cấp 3</v>
      </c>
    </row>
    <row r="1081" spans="1:39" x14ac:dyDescent="0.25">
      <c r="A1081" s="1" t="s">
        <v>10402</v>
      </c>
      <c r="B1081" s="1" t="s">
        <v>10403</v>
      </c>
      <c r="C1081" s="1" t="s">
        <v>10404</v>
      </c>
      <c r="D1081" s="1" t="s">
        <v>8218</v>
      </c>
      <c r="E1081" s="1" t="s">
        <v>8219</v>
      </c>
      <c r="F1081" s="1" t="s">
        <v>10405</v>
      </c>
      <c r="G1081" s="1" t="s">
        <v>14281</v>
      </c>
      <c r="H1081" s="1" t="s">
        <v>14282</v>
      </c>
      <c r="I1081" s="1" t="s">
        <v>15190</v>
      </c>
      <c r="J1081" s="1" t="s">
        <v>23</v>
      </c>
      <c r="K1081" s="1"/>
      <c r="L1081" s="1" t="s">
        <v>10406</v>
      </c>
      <c r="M1081" s="1" t="s">
        <v>10406</v>
      </c>
      <c r="N1081" s="12" t="b">
        <f t="shared" si="80"/>
        <v>1</v>
      </c>
      <c r="O1081" s="1" t="s">
        <v>10407</v>
      </c>
      <c r="P1081" s="1" t="s">
        <v>10408</v>
      </c>
      <c r="Q1081" s="1" t="s">
        <v>10409</v>
      </c>
      <c r="R1081" s="1" t="s">
        <v>10410</v>
      </c>
      <c r="S1081" s="1" t="s">
        <v>10411</v>
      </c>
      <c r="T1081" s="1" t="s">
        <v>10412</v>
      </c>
      <c r="U1081" s="1" t="s">
        <v>10413</v>
      </c>
      <c r="V1081" s="13">
        <f>COUNTIF(L1081:$M$1659,L1081)</f>
        <v>2</v>
      </c>
      <c r="W1081" s="1" t="s">
        <v>10414</v>
      </c>
      <c r="X1081">
        <v>3378.13</v>
      </c>
      <c r="Y1081">
        <v>3360.45</v>
      </c>
      <c r="Z1081">
        <v>13.118842000000001</v>
      </c>
      <c r="AA1081">
        <v>108.329487</v>
      </c>
      <c r="AB1081">
        <v>17.68</v>
      </c>
      <c r="AC1081">
        <v>13.116583</v>
      </c>
      <c r="AD1081">
        <v>108.329257</v>
      </c>
      <c r="AE1081" s="5">
        <f t="shared" si="81"/>
        <v>5.0406749999999994</v>
      </c>
      <c r="AF1081" s="5">
        <f t="shared" si="82"/>
        <v>2.6519999999999998E-2</v>
      </c>
      <c r="AG1081" s="1" t="e">
        <f>TRIM(LEFT(L1081,FIND("-",L1081)-1))</f>
        <v>#VALUE!</v>
      </c>
      <c r="AH1081" s="1" t="e">
        <f>TRIM(RIGHT(L1081, LEN(L1081) - FIND("-", L1081)))</f>
        <v>#VALUE!</v>
      </c>
      <c r="AJ1081">
        <f t="shared" si="83"/>
        <v>3.3604499999999997</v>
      </c>
      <c r="AK1081">
        <f t="shared" si="84"/>
        <v>1.7680000000000001E-2</v>
      </c>
      <c r="AL1081" t="e">
        <f>VLOOKUP(L1081,'[1]Tuyến cáp H04'!$B:$E,3,0)/1000</f>
        <v>#N/A</v>
      </c>
      <c r="AM1081" t="e">
        <f>VLOOKUP(L1081,'[1]Tuyến cáp H04'!$B:$E,4,0)</f>
        <v>#N/A</v>
      </c>
    </row>
    <row r="1082" spans="1:39" x14ac:dyDescent="0.25">
      <c r="A1082" s="1" t="s">
        <v>10415</v>
      </c>
      <c r="B1082" s="1" t="s">
        <v>10416</v>
      </c>
      <c r="C1082" s="1" t="s">
        <v>10417</v>
      </c>
      <c r="D1082" s="1" t="s">
        <v>8260</v>
      </c>
      <c r="E1082" s="1" t="s">
        <v>8261</v>
      </c>
      <c r="F1082" s="1" t="s">
        <v>10418</v>
      </c>
      <c r="G1082" s="1" t="s">
        <v>14281</v>
      </c>
      <c r="H1082" s="1" t="s">
        <v>14282</v>
      </c>
      <c r="I1082" s="1" t="s">
        <v>15191</v>
      </c>
      <c r="J1082" s="1" t="s">
        <v>23</v>
      </c>
      <c r="K1082" s="1"/>
      <c r="L1082" s="1" t="s">
        <v>8263</v>
      </c>
      <c r="M1082" s="1" t="s">
        <v>8263</v>
      </c>
      <c r="N1082" s="12" t="b">
        <f t="shared" si="80"/>
        <v>1</v>
      </c>
      <c r="O1082" s="1" t="s">
        <v>10419</v>
      </c>
      <c r="P1082" s="1" t="s">
        <v>10420</v>
      </c>
      <c r="Q1082" s="1" t="s">
        <v>10421</v>
      </c>
      <c r="R1082" s="1" t="s">
        <v>10422</v>
      </c>
      <c r="S1082" s="1" t="s">
        <v>8268</v>
      </c>
      <c r="T1082" s="1" t="s">
        <v>8269</v>
      </c>
      <c r="U1082" s="1" t="s">
        <v>8270</v>
      </c>
      <c r="V1082" s="13">
        <f>COUNTIF(L1082:$M$1659,L1082)</f>
        <v>2</v>
      </c>
      <c r="W1082" s="1" t="s">
        <v>8271</v>
      </c>
      <c r="X1082">
        <v>2069.59</v>
      </c>
      <c r="Y1082">
        <v>2033.59</v>
      </c>
      <c r="Z1082">
        <v>12.989837</v>
      </c>
      <c r="AA1082">
        <v>108.32131200000001</v>
      </c>
      <c r="AB1082">
        <v>35.99</v>
      </c>
      <c r="AC1082">
        <v>12.951675</v>
      </c>
      <c r="AD1082">
        <v>108.344356</v>
      </c>
      <c r="AE1082" s="5">
        <f t="shared" si="81"/>
        <v>3.0503849999999999</v>
      </c>
      <c r="AF1082" s="5">
        <f t="shared" si="82"/>
        <v>5.3984999999999998E-2</v>
      </c>
      <c r="AG1082" s="1" t="e">
        <f>TRIM(LEFT(L1082,FIND("-",L1082)-1))</f>
        <v>#VALUE!</v>
      </c>
      <c r="AH1082" s="1" t="e">
        <f>TRIM(RIGHT(L1082, LEN(L1082) - FIND("-", L1082)))</f>
        <v>#VALUE!</v>
      </c>
      <c r="AJ1082">
        <f t="shared" si="83"/>
        <v>2.0335899999999998</v>
      </c>
      <c r="AK1082">
        <f t="shared" si="84"/>
        <v>3.5990000000000001E-2</v>
      </c>
      <c r="AL1082" t="e">
        <f>VLOOKUP(L1082,'[1]Tuyến cáp H04'!$B:$E,3,0)/1000</f>
        <v>#N/A</v>
      </c>
      <c r="AM1082" t="e">
        <f>VLOOKUP(L1082,'[1]Tuyến cáp H04'!$B:$E,4,0)</f>
        <v>#N/A</v>
      </c>
    </row>
    <row r="1083" spans="1:39" x14ac:dyDescent="0.25">
      <c r="A1083" s="1" t="s">
        <v>10423</v>
      </c>
      <c r="B1083" s="1" t="s">
        <v>8643</v>
      </c>
      <c r="C1083" s="1" t="s">
        <v>8644</v>
      </c>
      <c r="D1083" s="1" t="s">
        <v>8885</v>
      </c>
      <c r="E1083" s="1" t="s">
        <v>8886</v>
      </c>
      <c r="F1083" s="1" t="s">
        <v>10424</v>
      </c>
      <c r="G1083" s="1" t="s">
        <v>14281</v>
      </c>
      <c r="H1083" s="1" t="s">
        <v>14282</v>
      </c>
      <c r="I1083" s="1" t="s">
        <v>15192</v>
      </c>
      <c r="J1083" s="1" t="s">
        <v>23</v>
      </c>
      <c r="K1083" s="1"/>
      <c r="L1083" s="1" t="s">
        <v>8293</v>
      </c>
      <c r="M1083" s="1" t="s">
        <v>8293</v>
      </c>
      <c r="N1083" s="12" t="b">
        <f t="shared" si="80"/>
        <v>1</v>
      </c>
      <c r="O1083" s="1" t="s">
        <v>10425</v>
      </c>
      <c r="P1083" s="1" t="s">
        <v>8857</v>
      </c>
      <c r="Q1083" s="1" t="s">
        <v>8858</v>
      </c>
      <c r="R1083" s="1" t="s">
        <v>8859</v>
      </c>
      <c r="S1083" s="1" t="s">
        <v>8889</v>
      </c>
      <c r="T1083" s="1" t="s">
        <v>8890</v>
      </c>
      <c r="U1083" s="1" t="s">
        <v>8891</v>
      </c>
      <c r="V1083" s="13">
        <f>COUNTIF(L1083:$M$1659,L1083)</f>
        <v>4</v>
      </c>
      <c r="W1083" s="1" t="s">
        <v>8301</v>
      </c>
      <c r="X1083">
        <v>162.51</v>
      </c>
      <c r="Y1083">
        <v>44.45</v>
      </c>
      <c r="Z1083">
        <v>12.910539</v>
      </c>
      <c r="AA1083">
        <v>108.190575</v>
      </c>
      <c r="AB1083">
        <v>118.05</v>
      </c>
      <c r="AC1083">
        <v>12.892032</v>
      </c>
      <c r="AD1083">
        <v>108.181015</v>
      </c>
      <c r="AE1083" s="5">
        <f t="shared" si="81"/>
        <v>6.6675000000000012E-2</v>
      </c>
      <c r="AF1083" s="5">
        <f t="shared" si="82"/>
        <v>0.17707499999999998</v>
      </c>
      <c r="AG1083" s="1" t="str">
        <f>TRIM(LEFT(L1083,FIND("-",L1083)-1))</f>
        <v>Cư M'ga</v>
      </c>
      <c r="AH1083" s="1" t="str">
        <f>TRIM(RIGHT(L1083, LEN(L1083) - FIND("-", L1083)))</f>
        <v>Buôn Hồ</v>
      </c>
      <c r="AJ1083">
        <f t="shared" si="83"/>
        <v>4.4450000000000003E-2</v>
      </c>
      <c r="AK1083">
        <f t="shared" si="84"/>
        <v>0.11805</v>
      </c>
      <c r="AL1083">
        <f>VLOOKUP(L1083,'[1]Tuyến cáp H04'!$B:$E,3,0)/1000</f>
        <v>38.145000000000003</v>
      </c>
      <c r="AM1083" t="str">
        <f>VLOOKUP(L1083,'[1]Tuyến cáp H04'!$B:$E,4,0)</f>
        <v>Mạng cấp 3</v>
      </c>
    </row>
    <row r="1084" spans="1:39" x14ac:dyDescent="0.25">
      <c r="A1084" s="1" t="s">
        <v>10426</v>
      </c>
      <c r="B1084" s="1" t="s">
        <v>10427</v>
      </c>
      <c r="C1084" s="1" t="s">
        <v>10428</v>
      </c>
      <c r="D1084" s="1" t="s">
        <v>8643</v>
      </c>
      <c r="E1084" s="1" t="s">
        <v>8644</v>
      </c>
      <c r="F1084" s="1" t="s">
        <v>10429</v>
      </c>
      <c r="G1084" s="1" t="s">
        <v>14281</v>
      </c>
      <c r="H1084" s="1" t="s">
        <v>14282</v>
      </c>
      <c r="I1084" s="1" t="s">
        <v>15193</v>
      </c>
      <c r="J1084" s="1" t="s">
        <v>23</v>
      </c>
      <c r="K1084" s="1"/>
      <c r="L1084" s="1" t="s">
        <v>8293</v>
      </c>
      <c r="M1084" s="1" t="s">
        <v>8293</v>
      </c>
      <c r="N1084" s="12" t="b">
        <f t="shared" si="80"/>
        <v>1</v>
      </c>
      <c r="O1084" s="1" t="s">
        <v>10430</v>
      </c>
      <c r="P1084" s="1" t="s">
        <v>10431</v>
      </c>
      <c r="Q1084" s="1" t="s">
        <v>10432</v>
      </c>
      <c r="R1084" s="1" t="s">
        <v>10433</v>
      </c>
      <c r="S1084" s="1" t="s">
        <v>8857</v>
      </c>
      <c r="T1084" s="1" t="s">
        <v>8858</v>
      </c>
      <c r="U1084" s="1" t="s">
        <v>8859</v>
      </c>
      <c r="V1084" s="13">
        <f>COUNTIF(L1084:$M$1659,L1084)</f>
        <v>2</v>
      </c>
      <c r="W1084" s="1" t="s">
        <v>8301</v>
      </c>
      <c r="X1084">
        <v>1958.36</v>
      </c>
      <c r="Y1084">
        <v>1913.91</v>
      </c>
      <c r="Z1084">
        <v>12.906499999999999</v>
      </c>
      <c r="AA1084">
        <v>108.152697</v>
      </c>
      <c r="AB1084">
        <v>44.45</v>
      </c>
      <c r="AC1084">
        <v>12.910539</v>
      </c>
      <c r="AD1084">
        <v>108.190575</v>
      </c>
      <c r="AE1084" s="5">
        <f t="shared" si="81"/>
        <v>2.8708650000000002</v>
      </c>
      <c r="AF1084" s="5">
        <f t="shared" si="82"/>
        <v>6.6675000000000012E-2</v>
      </c>
      <c r="AG1084" s="1" t="str">
        <f>TRIM(LEFT(L1084,FIND("-",L1084)-1))</f>
        <v>Cư M'ga</v>
      </c>
      <c r="AH1084" s="1" t="str">
        <f>TRIM(RIGHT(L1084, LEN(L1084) - FIND("-", L1084)))</f>
        <v>Buôn Hồ</v>
      </c>
      <c r="AJ1084">
        <f t="shared" si="83"/>
        <v>1.91391</v>
      </c>
      <c r="AK1084">
        <f t="shared" si="84"/>
        <v>4.4450000000000003E-2</v>
      </c>
      <c r="AL1084">
        <f>VLOOKUP(L1084,'[1]Tuyến cáp H04'!$B:$E,3,0)/1000</f>
        <v>38.145000000000003</v>
      </c>
      <c r="AM1084" t="str">
        <f>VLOOKUP(L1084,'[1]Tuyến cáp H04'!$B:$E,4,0)</f>
        <v>Mạng cấp 3</v>
      </c>
    </row>
    <row r="1085" spans="1:39" x14ac:dyDescent="0.25">
      <c r="A1085" s="1" t="s">
        <v>10434</v>
      </c>
      <c r="B1085" s="1" t="s">
        <v>10435</v>
      </c>
      <c r="C1085" s="1" t="s">
        <v>10436</v>
      </c>
      <c r="D1085" s="1" t="s">
        <v>8979</v>
      </c>
      <c r="E1085" s="1" t="s">
        <v>8980</v>
      </c>
      <c r="F1085" s="1" t="s">
        <v>10437</v>
      </c>
      <c r="G1085" s="1" t="s">
        <v>14281</v>
      </c>
      <c r="H1085" s="1" t="s">
        <v>14282</v>
      </c>
      <c r="I1085" s="1" t="s">
        <v>15194</v>
      </c>
      <c r="J1085" s="1" t="s">
        <v>23</v>
      </c>
      <c r="K1085" s="1"/>
      <c r="L1085" s="1" t="s">
        <v>8982</v>
      </c>
      <c r="M1085" s="1" t="s">
        <v>8982</v>
      </c>
      <c r="N1085" s="12" t="b">
        <f t="shared" si="80"/>
        <v>1</v>
      </c>
      <c r="O1085" s="1" t="s">
        <v>10438</v>
      </c>
      <c r="P1085" s="1" t="s">
        <v>10439</v>
      </c>
      <c r="Q1085" s="1" t="s">
        <v>10440</v>
      </c>
      <c r="R1085" s="1" t="s">
        <v>10441</v>
      </c>
      <c r="S1085" s="1" t="s">
        <v>10442</v>
      </c>
      <c r="T1085" s="1" t="s">
        <v>10443</v>
      </c>
      <c r="U1085" s="1" t="s">
        <v>10444</v>
      </c>
      <c r="V1085" s="13">
        <f>COUNTIF(L1085:$M$1659,L1085)</f>
        <v>2</v>
      </c>
      <c r="W1085" s="1" t="s">
        <v>10445</v>
      </c>
      <c r="X1085">
        <v>3377.85</v>
      </c>
      <c r="Y1085">
        <v>2662.74</v>
      </c>
      <c r="Z1085">
        <v>12.600441</v>
      </c>
      <c r="AA1085">
        <v>107.950039</v>
      </c>
      <c r="AB1085">
        <v>715.11</v>
      </c>
      <c r="AC1085">
        <v>12.618955</v>
      </c>
      <c r="AD1085">
        <v>107.946549</v>
      </c>
      <c r="AE1085" s="5">
        <f t="shared" si="81"/>
        <v>3.9941099999999996</v>
      </c>
      <c r="AF1085" s="5">
        <f t="shared" si="82"/>
        <v>1.072665</v>
      </c>
      <c r="AG1085" s="1" t="str">
        <f>TRIM(LEFT(L1085,FIND("-",L1085)-1))</f>
        <v>Hòa Phú</v>
      </c>
      <c r="AH1085" s="1" t="str">
        <f>TRIM(RIGHT(L1085, LEN(L1085) - FIND("-", L1085)))</f>
        <v>Ea Na</v>
      </c>
      <c r="AJ1085">
        <f t="shared" si="83"/>
        <v>2.6627399999999999</v>
      </c>
      <c r="AK1085">
        <f t="shared" si="84"/>
        <v>0.71511000000000002</v>
      </c>
      <c r="AL1085">
        <f>VLOOKUP(L1085,'[1]Tuyến cáp H04'!$B:$E,3,0)/1000</f>
        <v>19.419</v>
      </c>
      <c r="AM1085" t="str">
        <f>VLOOKUP(L1085,'[1]Tuyến cáp H04'!$B:$E,4,0)</f>
        <v>Mạng cấp 4</v>
      </c>
    </row>
    <row r="1086" spans="1:39" x14ac:dyDescent="0.25">
      <c r="A1086" s="1" t="s">
        <v>10446</v>
      </c>
      <c r="B1086" s="1" t="s">
        <v>10447</v>
      </c>
      <c r="C1086" s="1" t="s">
        <v>10448</v>
      </c>
      <c r="D1086" s="1" t="s">
        <v>8160</v>
      </c>
      <c r="E1086" s="1" t="s">
        <v>8161</v>
      </c>
      <c r="F1086" s="1" t="s">
        <v>10449</v>
      </c>
      <c r="G1086" s="1" t="s">
        <v>14281</v>
      </c>
      <c r="H1086" s="1" t="s">
        <v>14282</v>
      </c>
      <c r="I1086" s="1" t="s">
        <v>15195</v>
      </c>
      <c r="J1086" s="1" t="s">
        <v>23</v>
      </c>
      <c r="K1086" s="1"/>
      <c r="L1086" s="1" t="s">
        <v>10450</v>
      </c>
      <c r="M1086" s="1" t="s">
        <v>10450</v>
      </c>
      <c r="N1086" s="12" t="b">
        <f t="shared" si="80"/>
        <v>1</v>
      </c>
      <c r="O1086" s="1" t="s">
        <v>10451</v>
      </c>
      <c r="P1086" s="1" t="s">
        <v>10452</v>
      </c>
      <c r="Q1086" s="1" t="s">
        <v>10453</v>
      </c>
      <c r="R1086" s="1" t="s">
        <v>10454</v>
      </c>
      <c r="S1086" s="1" t="s">
        <v>10455</v>
      </c>
      <c r="T1086" s="1" t="s">
        <v>10456</v>
      </c>
      <c r="U1086" s="1" t="s">
        <v>10457</v>
      </c>
      <c r="V1086" s="13">
        <f>COUNTIF(L1086:$M$1659,L1086)</f>
        <v>2</v>
      </c>
      <c r="W1086" s="1" t="s">
        <v>10458</v>
      </c>
      <c r="X1086">
        <v>1286.07</v>
      </c>
      <c r="Y1086">
        <v>211.3</v>
      </c>
      <c r="Z1086">
        <v>12.955921</v>
      </c>
      <c r="AA1086">
        <v>108.227239</v>
      </c>
      <c r="AB1086">
        <v>1074.77</v>
      </c>
      <c r="AC1086">
        <v>12.961758</v>
      </c>
      <c r="AD1086">
        <v>108.24132400000001</v>
      </c>
      <c r="AE1086" s="5">
        <f t="shared" si="81"/>
        <v>0.31695000000000007</v>
      </c>
      <c r="AF1086" s="5">
        <f t="shared" si="82"/>
        <v>1.612155</v>
      </c>
      <c r="AG1086" s="1" t="e">
        <f>TRIM(LEFT(L1086,FIND("-",L1086)-1))</f>
        <v>#VALUE!</v>
      </c>
      <c r="AH1086" s="1" t="e">
        <f>TRIM(RIGHT(L1086, LEN(L1086) - FIND("-", L1086)))</f>
        <v>#VALUE!</v>
      </c>
      <c r="AJ1086">
        <f t="shared" si="83"/>
        <v>0.21130000000000002</v>
      </c>
      <c r="AK1086">
        <f t="shared" si="84"/>
        <v>1.07477</v>
      </c>
      <c r="AL1086" t="e">
        <f>VLOOKUP(L1086,'[1]Tuyến cáp H04'!$B:$E,3,0)/1000</f>
        <v>#N/A</v>
      </c>
      <c r="AM1086" t="e">
        <f>VLOOKUP(L1086,'[1]Tuyến cáp H04'!$B:$E,4,0)</f>
        <v>#N/A</v>
      </c>
    </row>
    <row r="1087" spans="1:39" x14ac:dyDescent="0.25">
      <c r="A1087" s="1" t="s">
        <v>10459</v>
      </c>
      <c r="B1087" s="1" t="s">
        <v>8711</v>
      </c>
      <c r="C1087" s="1" t="s">
        <v>8712</v>
      </c>
      <c r="D1087" s="1" t="s">
        <v>10460</v>
      </c>
      <c r="E1087" s="1" t="s">
        <v>10461</v>
      </c>
      <c r="F1087" s="1" t="s">
        <v>10462</v>
      </c>
      <c r="G1087" s="1" t="s">
        <v>14281</v>
      </c>
      <c r="H1087" s="1" t="s">
        <v>14282</v>
      </c>
      <c r="I1087" s="1" t="s">
        <v>15196</v>
      </c>
      <c r="J1087" s="1" t="s">
        <v>23</v>
      </c>
      <c r="K1087" s="1"/>
      <c r="L1087" s="1" t="s">
        <v>10463</v>
      </c>
      <c r="M1087" s="1" t="s">
        <v>10463</v>
      </c>
      <c r="N1087" s="12" t="b">
        <f t="shared" si="80"/>
        <v>1</v>
      </c>
      <c r="O1087" s="1" t="s">
        <v>10464</v>
      </c>
      <c r="P1087" s="1" t="s">
        <v>10465</v>
      </c>
      <c r="Q1087" s="1" t="s">
        <v>10466</v>
      </c>
      <c r="R1087" s="1" t="s">
        <v>10467</v>
      </c>
      <c r="S1087" s="1" t="s">
        <v>10468</v>
      </c>
      <c r="T1087" s="1" t="s">
        <v>10469</v>
      </c>
      <c r="U1087" s="1" t="s">
        <v>10470</v>
      </c>
      <c r="V1087" s="13">
        <f>COUNTIF(L1087:$M$1659,L1087)</f>
        <v>2</v>
      </c>
      <c r="W1087" s="1" t="s">
        <v>10471</v>
      </c>
      <c r="X1087">
        <v>2462.79</v>
      </c>
      <c r="Y1087">
        <v>2013.2</v>
      </c>
      <c r="Z1087">
        <v>12.994935</v>
      </c>
      <c r="AA1087">
        <v>108.16152200000001</v>
      </c>
      <c r="AB1087">
        <v>449.59</v>
      </c>
      <c r="AC1087">
        <v>12.976003</v>
      </c>
      <c r="AD1087">
        <v>108.16717800000001</v>
      </c>
      <c r="AE1087" s="5">
        <f t="shared" si="81"/>
        <v>3.0198</v>
      </c>
      <c r="AF1087" s="5">
        <f t="shared" si="82"/>
        <v>0.67438500000000001</v>
      </c>
      <c r="AG1087" s="1" t="e">
        <f>TRIM(LEFT(L1087,FIND("-",L1087)-1))</f>
        <v>#VALUE!</v>
      </c>
      <c r="AH1087" s="1" t="e">
        <f>TRIM(RIGHT(L1087, LEN(L1087) - FIND("-", L1087)))</f>
        <v>#VALUE!</v>
      </c>
      <c r="AJ1087">
        <f t="shared" si="83"/>
        <v>2.0131999999999999</v>
      </c>
      <c r="AK1087">
        <f t="shared" si="84"/>
        <v>0.44958999999999999</v>
      </c>
      <c r="AL1087" t="e">
        <f>VLOOKUP(L1087,'[1]Tuyến cáp H04'!$B:$E,3,0)/1000</f>
        <v>#N/A</v>
      </c>
      <c r="AM1087" t="e">
        <f>VLOOKUP(L1087,'[1]Tuyến cáp H04'!$B:$E,4,0)</f>
        <v>#N/A</v>
      </c>
    </row>
    <row r="1088" spans="1:39" x14ac:dyDescent="0.25">
      <c r="A1088" s="1" t="s">
        <v>10472</v>
      </c>
      <c r="B1088" s="1" t="s">
        <v>8470</v>
      </c>
      <c r="C1088" s="1" t="s">
        <v>8471</v>
      </c>
      <c r="D1088" s="1" t="s">
        <v>10473</v>
      </c>
      <c r="E1088" s="1" t="s">
        <v>10474</v>
      </c>
      <c r="F1088" s="1" t="s">
        <v>10475</v>
      </c>
      <c r="G1088" s="1" t="s">
        <v>14281</v>
      </c>
      <c r="H1088" s="1" t="s">
        <v>14282</v>
      </c>
      <c r="I1088" s="1" t="s">
        <v>15197</v>
      </c>
      <c r="J1088" s="1" t="s">
        <v>23</v>
      </c>
      <c r="K1088" s="1"/>
      <c r="L1088" s="1" t="s">
        <v>8350</v>
      </c>
      <c r="M1088" s="1" t="s">
        <v>8350</v>
      </c>
      <c r="N1088" s="12" t="b">
        <f t="shared" si="80"/>
        <v>1</v>
      </c>
      <c r="O1088" s="1" t="s">
        <v>10476</v>
      </c>
      <c r="P1088" s="1" t="s">
        <v>8477</v>
      </c>
      <c r="Q1088" s="1" t="s">
        <v>8356</v>
      </c>
      <c r="R1088" s="1" t="s">
        <v>8357</v>
      </c>
      <c r="S1088" s="1" t="s">
        <v>10477</v>
      </c>
      <c r="T1088" s="1" t="s">
        <v>10478</v>
      </c>
      <c r="U1088" s="1" t="s">
        <v>10479</v>
      </c>
      <c r="V1088" s="13">
        <f>COUNTIF(L1088:$M$1659,L1088)</f>
        <v>12</v>
      </c>
      <c r="W1088" s="1" t="s">
        <v>8358</v>
      </c>
      <c r="X1088">
        <v>764.99</v>
      </c>
      <c r="Y1088">
        <v>69.25</v>
      </c>
      <c r="Z1088">
        <v>12.811565999999999</v>
      </c>
      <c r="AA1088">
        <v>108.483311</v>
      </c>
      <c r="AB1088">
        <v>695.74</v>
      </c>
      <c r="AC1088">
        <v>12.809037999999999</v>
      </c>
      <c r="AD1088">
        <v>108.447738</v>
      </c>
      <c r="AE1088" s="5">
        <f t="shared" si="81"/>
        <v>0.103875</v>
      </c>
      <c r="AF1088" s="5">
        <f t="shared" si="82"/>
        <v>1.0436100000000001</v>
      </c>
      <c r="AG1088" s="1" t="str">
        <f>TRIM(LEFT(L1088,FIND("-",L1088)-1))</f>
        <v>TT1 Đăk Lăk</v>
      </c>
      <c r="AH1088" s="1" t="str">
        <f>TRIM(RIGHT(L1088, LEN(L1088) - FIND("-", L1088)))</f>
        <v>ILA Ea Kar</v>
      </c>
      <c r="AJ1088">
        <f t="shared" si="83"/>
        <v>6.9250000000000006E-2</v>
      </c>
      <c r="AK1088">
        <f t="shared" si="84"/>
        <v>0.69574000000000003</v>
      </c>
      <c r="AL1088" t="e">
        <f>VLOOKUP(L1088,'[1]Tuyến cáp H04'!$B:$E,3,0)/1000</f>
        <v>#N/A</v>
      </c>
      <c r="AM1088" t="e">
        <f>VLOOKUP(L1088,'[1]Tuyến cáp H04'!$B:$E,4,0)</f>
        <v>#N/A</v>
      </c>
    </row>
    <row r="1089" spans="1:39" x14ac:dyDescent="0.25">
      <c r="A1089" s="1" t="s">
        <v>10480</v>
      </c>
      <c r="B1089" s="1" t="s">
        <v>10481</v>
      </c>
      <c r="C1089" s="1" t="s">
        <v>10482</v>
      </c>
      <c r="D1089" s="1" t="s">
        <v>10212</v>
      </c>
      <c r="E1089" s="1" t="s">
        <v>10213</v>
      </c>
      <c r="F1089" s="1" t="s">
        <v>10483</v>
      </c>
      <c r="G1089" s="1" t="s">
        <v>14281</v>
      </c>
      <c r="H1089" s="1" t="s">
        <v>14282</v>
      </c>
      <c r="I1089" s="1" t="s">
        <v>15198</v>
      </c>
      <c r="J1089" s="1" t="s">
        <v>23</v>
      </c>
      <c r="K1089" s="1"/>
      <c r="L1089" s="1" t="s">
        <v>10484</v>
      </c>
      <c r="M1089" s="1" t="s">
        <v>10484</v>
      </c>
      <c r="N1089" s="12" t="b">
        <f t="shared" si="80"/>
        <v>1</v>
      </c>
      <c r="O1089" s="1" t="s">
        <v>10485</v>
      </c>
      <c r="P1089" s="1" t="s">
        <v>10486</v>
      </c>
      <c r="Q1089" s="1" t="s">
        <v>10487</v>
      </c>
      <c r="R1089" s="1" t="s">
        <v>10488</v>
      </c>
      <c r="S1089" s="1" t="s">
        <v>10489</v>
      </c>
      <c r="T1089" s="1" t="s">
        <v>10490</v>
      </c>
      <c r="U1089" s="1" t="s">
        <v>10491</v>
      </c>
      <c r="V1089" s="13">
        <f>COUNTIF(L1089:$M$1659,L1089)</f>
        <v>2</v>
      </c>
      <c r="W1089" s="1" t="s">
        <v>10492</v>
      </c>
      <c r="X1089">
        <v>337.09</v>
      </c>
      <c r="Y1089">
        <v>107.36</v>
      </c>
      <c r="Z1089">
        <v>12.80843</v>
      </c>
      <c r="AA1089">
        <v>108.563661</v>
      </c>
      <c r="AB1089">
        <v>229.73</v>
      </c>
      <c r="AC1089">
        <v>12.805197</v>
      </c>
      <c r="AD1089">
        <v>108.542107</v>
      </c>
      <c r="AE1089" s="5">
        <f t="shared" si="81"/>
        <v>0.16103999999999999</v>
      </c>
      <c r="AF1089" s="5">
        <f t="shared" si="82"/>
        <v>0.34459499999999998</v>
      </c>
      <c r="AG1089" s="1" t="e">
        <f>TRIM(LEFT(L1089,FIND("-",L1089)-1))</f>
        <v>#VALUE!</v>
      </c>
      <c r="AH1089" s="1" t="e">
        <f>TRIM(RIGHT(L1089, LEN(L1089) - FIND("-", L1089)))</f>
        <v>#VALUE!</v>
      </c>
      <c r="AJ1089">
        <f t="shared" si="83"/>
        <v>0.10736</v>
      </c>
      <c r="AK1089">
        <f t="shared" si="84"/>
        <v>0.22972999999999999</v>
      </c>
      <c r="AL1089" t="e">
        <f>VLOOKUP(L1089,'[1]Tuyến cáp H04'!$B:$E,3,0)/1000</f>
        <v>#N/A</v>
      </c>
      <c r="AM1089" t="e">
        <f>VLOOKUP(L1089,'[1]Tuyến cáp H04'!$B:$E,4,0)</f>
        <v>#N/A</v>
      </c>
    </row>
    <row r="1090" spans="1:39" x14ac:dyDescent="0.25">
      <c r="A1090" s="1" t="s">
        <v>10493</v>
      </c>
      <c r="B1090" s="1" t="s">
        <v>10494</v>
      </c>
      <c r="C1090" s="1" t="s">
        <v>10495</v>
      </c>
      <c r="D1090" s="1" t="s">
        <v>10212</v>
      </c>
      <c r="E1090" s="1" t="s">
        <v>10213</v>
      </c>
      <c r="F1090" s="1" t="s">
        <v>10496</v>
      </c>
      <c r="G1090" s="1" t="s">
        <v>14281</v>
      </c>
      <c r="H1090" s="1" t="s">
        <v>14282</v>
      </c>
      <c r="I1090" s="1" t="s">
        <v>15199</v>
      </c>
      <c r="J1090" s="1" t="s">
        <v>23</v>
      </c>
      <c r="K1090" s="1"/>
      <c r="L1090" s="1" t="s">
        <v>10321</v>
      </c>
      <c r="M1090" s="1" t="s">
        <v>10321</v>
      </c>
      <c r="N1090" s="12" t="b">
        <f t="shared" si="80"/>
        <v>1</v>
      </c>
      <c r="O1090" s="1" t="s">
        <v>10497</v>
      </c>
      <c r="P1090" s="1" t="s">
        <v>10498</v>
      </c>
      <c r="Q1090" s="1" t="s">
        <v>10499</v>
      </c>
      <c r="R1090" s="1" t="s">
        <v>10500</v>
      </c>
      <c r="S1090" s="1" t="s">
        <v>10501</v>
      </c>
      <c r="T1090" s="1" t="s">
        <v>10502</v>
      </c>
      <c r="U1090" s="1" t="s">
        <v>10503</v>
      </c>
      <c r="V1090" s="13">
        <f>COUNTIF(L1090:$M$1659,L1090)</f>
        <v>2</v>
      </c>
      <c r="W1090" s="1" t="s">
        <v>10329</v>
      </c>
      <c r="X1090">
        <v>411.86</v>
      </c>
      <c r="Y1090">
        <v>229.9</v>
      </c>
      <c r="Z1090">
        <v>12.785000999999999</v>
      </c>
      <c r="AA1090">
        <v>108.543803</v>
      </c>
      <c r="AB1090">
        <v>181.96</v>
      </c>
      <c r="AC1090">
        <v>12.803478</v>
      </c>
      <c r="AD1090">
        <v>108.539529</v>
      </c>
      <c r="AE1090" s="5">
        <f t="shared" si="81"/>
        <v>0.34485000000000005</v>
      </c>
      <c r="AF1090" s="5">
        <f t="shared" si="82"/>
        <v>0.27294000000000002</v>
      </c>
      <c r="AG1090" s="1" t="e">
        <f>TRIM(LEFT(L1090,FIND("-",L1090)-1))</f>
        <v>#VALUE!</v>
      </c>
      <c r="AH1090" s="1" t="e">
        <f>TRIM(RIGHT(L1090, LEN(L1090) - FIND("-", L1090)))</f>
        <v>#VALUE!</v>
      </c>
      <c r="AJ1090">
        <f t="shared" si="83"/>
        <v>0.22989999999999999</v>
      </c>
      <c r="AK1090">
        <f t="shared" si="84"/>
        <v>0.18196000000000001</v>
      </c>
      <c r="AL1090" t="e">
        <f>VLOOKUP(L1090,'[1]Tuyến cáp H04'!$B:$E,3,0)/1000</f>
        <v>#N/A</v>
      </c>
      <c r="AM1090" t="e">
        <f>VLOOKUP(L1090,'[1]Tuyến cáp H04'!$B:$E,4,0)</f>
        <v>#N/A</v>
      </c>
    </row>
    <row r="1091" spans="1:39" x14ac:dyDescent="0.25">
      <c r="A1091" s="1" t="s">
        <v>10504</v>
      </c>
      <c r="B1091" s="1" t="s">
        <v>10505</v>
      </c>
      <c r="C1091" s="1" t="s">
        <v>10506</v>
      </c>
      <c r="D1091" s="1" t="s">
        <v>10331</v>
      </c>
      <c r="E1091" s="1" t="s">
        <v>10332</v>
      </c>
      <c r="F1091" s="1" t="s">
        <v>10507</v>
      </c>
      <c r="G1091" s="1" t="s">
        <v>14281</v>
      </c>
      <c r="H1091" s="1" t="s">
        <v>14282</v>
      </c>
      <c r="I1091" s="1" t="s">
        <v>15200</v>
      </c>
      <c r="J1091" s="1" t="s">
        <v>23</v>
      </c>
      <c r="K1091" s="1"/>
      <c r="L1091" s="1" t="s">
        <v>10508</v>
      </c>
      <c r="M1091" s="1" t="s">
        <v>10508</v>
      </c>
      <c r="N1091" s="12" t="b">
        <f t="shared" ref="N1091:N1154" si="85">L1091=M1091</f>
        <v>1</v>
      </c>
      <c r="O1091" s="1" t="s">
        <v>10509</v>
      </c>
      <c r="P1091" s="1" t="s">
        <v>10510</v>
      </c>
      <c r="Q1091" s="1" t="s">
        <v>10511</v>
      </c>
      <c r="R1091" s="1" t="s">
        <v>10512</v>
      </c>
      <c r="S1091" s="1" t="s">
        <v>10513</v>
      </c>
      <c r="T1091" s="1" t="s">
        <v>10514</v>
      </c>
      <c r="U1091" s="1" t="s">
        <v>10515</v>
      </c>
      <c r="V1091" s="13">
        <f>COUNTIF(L1091:$M$1659,L1091)</f>
        <v>4</v>
      </c>
      <c r="W1091" s="1" t="s">
        <v>10516</v>
      </c>
      <c r="X1091">
        <v>3543.63</v>
      </c>
      <c r="Y1091">
        <v>3525.09</v>
      </c>
      <c r="Z1091">
        <v>12.726099</v>
      </c>
      <c r="AA1091">
        <v>108.55577</v>
      </c>
      <c r="AB1091">
        <v>18.55</v>
      </c>
      <c r="AC1091">
        <v>12.725866999999999</v>
      </c>
      <c r="AD1091">
        <v>108.555091</v>
      </c>
      <c r="AE1091" s="5">
        <f t="shared" ref="AE1091:AE1154" si="86">Y1091*1.5/1000</f>
        <v>5.2876349999999999</v>
      </c>
      <c r="AF1091" s="5">
        <f t="shared" ref="AF1091:AF1154" si="87">AB1091*1.5/1000</f>
        <v>2.7825000000000003E-2</v>
      </c>
      <c r="AG1091" s="1" t="str">
        <f>TRIM(LEFT(L1091,FIND("-",L1091)-1))</f>
        <v>ILA Ea Pal</v>
      </c>
      <c r="AH1091" s="1" t="str">
        <f>TRIM(RIGHT(L1091, LEN(L1091) - FIND("-", L1091)))</f>
        <v>ILA Sơn Thành</v>
      </c>
      <c r="AJ1091">
        <f t="shared" ref="AJ1091:AJ1154" si="88">Y1091/1000</f>
        <v>3.5250900000000001</v>
      </c>
      <c r="AK1091">
        <f t="shared" ref="AK1091:AK1154" si="89">AB1091/1000</f>
        <v>1.8550000000000001E-2</v>
      </c>
      <c r="AL1091" t="e">
        <f>VLOOKUP(L1091,'[1]Tuyến cáp H04'!$B:$E,3,0)/1000</f>
        <v>#N/A</v>
      </c>
      <c r="AM1091" t="e">
        <f>VLOOKUP(L1091,'[1]Tuyến cáp H04'!$B:$E,4,0)</f>
        <v>#N/A</v>
      </c>
    </row>
    <row r="1092" spans="1:39" x14ac:dyDescent="0.25">
      <c r="A1092" s="1" t="s">
        <v>10517</v>
      </c>
      <c r="B1092" s="1" t="s">
        <v>10518</v>
      </c>
      <c r="C1092" s="1" t="s">
        <v>10519</v>
      </c>
      <c r="D1092" s="1" t="s">
        <v>10331</v>
      </c>
      <c r="E1092" s="1" t="s">
        <v>10332</v>
      </c>
      <c r="F1092" s="1" t="s">
        <v>10520</v>
      </c>
      <c r="G1092" s="1" t="s">
        <v>14281</v>
      </c>
      <c r="H1092" s="1" t="s">
        <v>14282</v>
      </c>
      <c r="I1092" s="1" t="s">
        <v>15201</v>
      </c>
      <c r="J1092" s="1" t="s">
        <v>23</v>
      </c>
      <c r="K1092" s="1"/>
      <c r="L1092" s="1" t="s">
        <v>10508</v>
      </c>
      <c r="M1092" s="1" t="s">
        <v>10508</v>
      </c>
      <c r="N1092" s="12" t="b">
        <f t="shared" si="85"/>
        <v>1</v>
      </c>
      <c r="O1092" s="1" t="s">
        <v>10521</v>
      </c>
      <c r="P1092" s="1" t="s">
        <v>10522</v>
      </c>
      <c r="Q1092" s="1" t="s">
        <v>10523</v>
      </c>
      <c r="R1092" s="1" t="s">
        <v>10524</v>
      </c>
      <c r="S1092" s="1" t="s">
        <v>10525</v>
      </c>
      <c r="T1092" s="1" t="s">
        <v>10526</v>
      </c>
      <c r="U1092" s="1" t="s">
        <v>10527</v>
      </c>
      <c r="V1092" s="13">
        <f>COUNTIF(L1092:$M$1659,L1092)</f>
        <v>2</v>
      </c>
      <c r="W1092" s="1" t="s">
        <v>10528</v>
      </c>
      <c r="X1092">
        <v>476.08</v>
      </c>
      <c r="Y1092">
        <v>389.47</v>
      </c>
      <c r="Z1092">
        <v>12.703554</v>
      </c>
      <c r="AA1092">
        <v>108.583943</v>
      </c>
      <c r="AB1092">
        <v>86.61</v>
      </c>
      <c r="AC1092">
        <v>12.726106</v>
      </c>
      <c r="AD1092">
        <v>108.555781</v>
      </c>
      <c r="AE1092" s="5">
        <f t="shared" si="86"/>
        <v>0.58420500000000009</v>
      </c>
      <c r="AF1092" s="5">
        <f t="shared" si="87"/>
        <v>0.129915</v>
      </c>
      <c r="AG1092" s="1" t="str">
        <f>TRIM(LEFT(L1092,FIND("-",L1092)-1))</f>
        <v>ILA Ea Pal</v>
      </c>
      <c r="AH1092" s="1" t="str">
        <f>TRIM(RIGHT(L1092, LEN(L1092) - FIND("-", L1092)))</f>
        <v>ILA Sơn Thành</v>
      </c>
      <c r="AJ1092">
        <f t="shared" si="88"/>
        <v>0.38947000000000004</v>
      </c>
      <c r="AK1092">
        <f t="shared" si="89"/>
        <v>8.6609999999999993E-2</v>
      </c>
      <c r="AL1092" t="e">
        <f>VLOOKUP(L1092,'[1]Tuyến cáp H04'!$B:$E,3,0)/1000</f>
        <v>#N/A</v>
      </c>
      <c r="AM1092" t="e">
        <f>VLOOKUP(L1092,'[1]Tuyến cáp H04'!$B:$E,4,0)</f>
        <v>#N/A</v>
      </c>
    </row>
    <row r="1093" spans="1:39" x14ac:dyDescent="0.25">
      <c r="A1093" s="1" t="s">
        <v>10529</v>
      </c>
      <c r="B1093" s="1" t="s">
        <v>10530</v>
      </c>
      <c r="C1093" s="1" t="s">
        <v>10531</v>
      </c>
      <c r="D1093" s="1" t="s">
        <v>10252</v>
      </c>
      <c r="E1093" s="1" t="s">
        <v>10253</v>
      </c>
      <c r="F1093" s="1" t="s">
        <v>10532</v>
      </c>
      <c r="G1093" s="1" t="s">
        <v>14281</v>
      </c>
      <c r="H1093" s="1" t="s">
        <v>14282</v>
      </c>
      <c r="I1093" s="1" t="s">
        <v>15202</v>
      </c>
      <c r="J1093" s="1" t="s">
        <v>23</v>
      </c>
      <c r="K1093" s="1"/>
      <c r="L1093" s="1" t="s">
        <v>10533</v>
      </c>
      <c r="M1093" s="1" t="s">
        <v>10533</v>
      </c>
      <c r="N1093" s="12" t="b">
        <f t="shared" si="85"/>
        <v>1</v>
      </c>
      <c r="O1093" s="1" t="s">
        <v>10534</v>
      </c>
      <c r="P1093" s="1" t="s">
        <v>10535</v>
      </c>
      <c r="Q1093" s="1" t="s">
        <v>10536</v>
      </c>
      <c r="R1093" s="1" t="s">
        <v>10537</v>
      </c>
      <c r="S1093" s="1" t="s">
        <v>10538</v>
      </c>
      <c r="T1093" s="1" t="s">
        <v>10539</v>
      </c>
      <c r="U1093" s="1" t="s">
        <v>10540</v>
      </c>
      <c r="V1093" s="13">
        <f>COUNTIF(L1093:$M$1659,L1093)</f>
        <v>2</v>
      </c>
      <c r="W1093" s="1" t="s">
        <v>10541</v>
      </c>
      <c r="X1093">
        <v>306.67</v>
      </c>
      <c r="Y1093">
        <v>255.67</v>
      </c>
      <c r="Z1093">
        <v>12.785982000000001</v>
      </c>
      <c r="AA1093">
        <v>108.410808</v>
      </c>
      <c r="AB1093">
        <v>51.01</v>
      </c>
      <c r="AC1093">
        <v>12.762475</v>
      </c>
      <c r="AD1093">
        <v>108.41492599999999</v>
      </c>
      <c r="AE1093" s="5">
        <f t="shared" si="86"/>
        <v>0.38350499999999998</v>
      </c>
      <c r="AF1093" s="5">
        <f t="shared" si="87"/>
        <v>7.6515E-2</v>
      </c>
      <c r="AG1093" s="1" t="str">
        <f>TRIM(LEFT(L1093,FIND("-",L1093)-1))</f>
        <v>Ea Kly</v>
      </c>
      <c r="AH1093" s="1" t="str">
        <f>TRIM(RIGHT(L1093, LEN(L1093) - FIND("-", L1093)))</f>
        <v>Ea Kar</v>
      </c>
      <c r="AJ1093">
        <f t="shared" si="88"/>
        <v>0.25567000000000001</v>
      </c>
      <c r="AK1093">
        <f t="shared" si="89"/>
        <v>5.101E-2</v>
      </c>
      <c r="AL1093">
        <f>VLOOKUP(L1093,'[1]Tuyến cáp H04'!$B:$E,3,0)/1000</f>
        <v>12.215999999999999</v>
      </c>
      <c r="AM1093" t="str">
        <f>VLOOKUP(L1093,'[1]Tuyến cáp H04'!$B:$E,4,0)</f>
        <v>Mạng cấp 4</v>
      </c>
    </row>
    <row r="1094" spans="1:39" x14ac:dyDescent="0.25">
      <c r="A1094" s="1" t="s">
        <v>10542</v>
      </c>
      <c r="B1094" s="1" t="s">
        <v>10543</v>
      </c>
      <c r="C1094" s="1" t="s">
        <v>10544</v>
      </c>
      <c r="D1094" s="1" t="s">
        <v>10252</v>
      </c>
      <c r="E1094" s="1" t="s">
        <v>10253</v>
      </c>
      <c r="F1094" s="1" t="s">
        <v>10545</v>
      </c>
      <c r="G1094" s="1" t="s">
        <v>14281</v>
      </c>
      <c r="H1094" s="1" t="s">
        <v>14282</v>
      </c>
      <c r="I1094" s="1" t="s">
        <v>15203</v>
      </c>
      <c r="J1094" s="1" t="s">
        <v>23</v>
      </c>
      <c r="K1094" s="1"/>
      <c r="L1094" s="1" t="s">
        <v>8350</v>
      </c>
      <c r="M1094" s="1" t="s">
        <v>8350</v>
      </c>
      <c r="N1094" s="12" t="b">
        <f t="shared" si="85"/>
        <v>1</v>
      </c>
      <c r="O1094" s="1" t="s">
        <v>10546</v>
      </c>
      <c r="P1094" s="1" t="s">
        <v>10547</v>
      </c>
      <c r="Q1094" s="1" t="s">
        <v>10548</v>
      </c>
      <c r="R1094" s="1" t="s">
        <v>10549</v>
      </c>
      <c r="S1094" s="1" t="s">
        <v>10256</v>
      </c>
      <c r="T1094" s="1" t="s">
        <v>10257</v>
      </c>
      <c r="U1094" s="1" t="s">
        <v>10258</v>
      </c>
      <c r="V1094" s="13">
        <f>COUNTIF(L1094:$M$1659,L1094)</f>
        <v>10</v>
      </c>
      <c r="W1094" s="1" t="s">
        <v>8358</v>
      </c>
      <c r="X1094">
        <v>1432.09</v>
      </c>
      <c r="Y1094">
        <v>120.49</v>
      </c>
      <c r="Z1094">
        <v>12.770160000000001</v>
      </c>
      <c r="AA1094">
        <v>108.391271</v>
      </c>
      <c r="AB1094">
        <v>1311.61</v>
      </c>
      <c r="AC1094">
        <v>12.770509000000001</v>
      </c>
      <c r="AD1094">
        <v>108.405835</v>
      </c>
      <c r="AE1094" s="5">
        <f t="shared" si="86"/>
        <v>0.18073499999999998</v>
      </c>
      <c r="AF1094" s="5">
        <f t="shared" si="87"/>
        <v>1.9674149999999999</v>
      </c>
      <c r="AG1094" s="1" t="str">
        <f>TRIM(LEFT(L1094,FIND("-",L1094)-1))</f>
        <v>TT1 Đăk Lăk</v>
      </c>
      <c r="AH1094" s="1" t="str">
        <f>TRIM(RIGHT(L1094, LEN(L1094) - FIND("-", L1094)))</f>
        <v>ILA Ea Kar</v>
      </c>
      <c r="AJ1094">
        <f t="shared" si="88"/>
        <v>0.12049</v>
      </c>
      <c r="AK1094">
        <f t="shared" si="89"/>
        <v>1.3116099999999999</v>
      </c>
      <c r="AL1094" t="e">
        <f>VLOOKUP(L1094,'[1]Tuyến cáp H04'!$B:$E,3,0)/1000</f>
        <v>#N/A</v>
      </c>
      <c r="AM1094" t="e">
        <f>VLOOKUP(L1094,'[1]Tuyến cáp H04'!$B:$E,4,0)</f>
        <v>#N/A</v>
      </c>
    </row>
    <row r="1095" spans="1:39" x14ac:dyDescent="0.25">
      <c r="A1095" s="1" t="s">
        <v>10550</v>
      </c>
      <c r="B1095" s="1" t="s">
        <v>10551</v>
      </c>
      <c r="C1095" s="1" t="s">
        <v>10552</v>
      </c>
      <c r="D1095" s="1" t="s">
        <v>10252</v>
      </c>
      <c r="E1095" s="1" t="s">
        <v>10253</v>
      </c>
      <c r="F1095" s="1" t="s">
        <v>10553</v>
      </c>
      <c r="G1095" s="1" t="s">
        <v>14281</v>
      </c>
      <c r="H1095" s="1" t="s">
        <v>14282</v>
      </c>
      <c r="I1095" s="1" t="s">
        <v>15204</v>
      </c>
      <c r="J1095" s="1" t="s">
        <v>23</v>
      </c>
      <c r="K1095" s="1"/>
      <c r="L1095" s="1" t="s">
        <v>10554</v>
      </c>
      <c r="M1095" s="1" t="s">
        <v>10554</v>
      </c>
      <c r="N1095" s="12" t="b">
        <f t="shared" si="85"/>
        <v>1</v>
      </c>
      <c r="O1095" s="1" t="s">
        <v>10555</v>
      </c>
      <c r="P1095" s="1" t="s">
        <v>10556</v>
      </c>
      <c r="Q1095" s="1" t="s">
        <v>10557</v>
      </c>
      <c r="R1095" s="1" t="s">
        <v>10558</v>
      </c>
      <c r="S1095" s="1" t="s">
        <v>10559</v>
      </c>
      <c r="T1095" s="1" t="s">
        <v>10560</v>
      </c>
      <c r="U1095" s="1" t="s">
        <v>10561</v>
      </c>
      <c r="V1095" s="13">
        <f>COUNTIF(L1095:$M$1659,L1095)</f>
        <v>6</v>
      </c>
      <c r="W1095" s="1" t="s">
        <v>10562</v>
      </c>
      <c r="X1095">
        <v>1811.48</v>
      </c>
      <c r="Y1095">
        <v>1748.06</v>
      </c>
      <c r="Z1095">
        <v>12.749114000000001</v>
      </c>
      <c r="AA1095">
        <v>108.421342</v>
      </c>
      <c r="AB1095">
        <v>63.42</v>
      </c>
      <c r="AC1095">
        <v>12.762024</v>
      </c>
      <c r="AD1095">
        <v>108.41502199999999</v>
      </c>
      <c r="AE1095" s="5">
        <f t="shared" si="86"/>
        <v>2.62209</v>
      </c>
      <c r="AF1095" s="5">
        <f t="shared" si="87"/>
        <v>9.5129999999999992E-2</v>
      </c>
      <c r="AG1095" s="1" t="str">
        <f>TRIM(LEFT(L1095,FIND("-",L1095)-1))</f>
        <v>Ea Phê</v>
      </c>
      <c r="AH1095" s="1" t="str">
        <f>TRIM(RIGHT(L1095, LEN(L1095) - FIND("-", L1095)))</f>
        <v>Ea Kly</v>
      </c>
      <c r="AJ1095">
        <f t="shared" si="88"/>
        <v>1.7480599999999999</v>
      </c>
      <c r="AK1095">
        <f t="shared" si="89"/>
        <v>6.3420000000000004E-2</v>
      </c>
      <c r="AL1095">
        <f>VLOOKUP(L1095,'[1]Tuyến cáp H04'!$B:$E,3,0)/1000</f>
        <v>14.612</v>
      </c>
      <c r="AM1095" t="str">
        <f>VLOOKUP(L1095,'[1]Tuyến cáp H04'!$B:$E,4,0)</f>
        <v>Mạng cấp 4</v>
      </c>
    </row>
    <row r="1096" spans="1:39" x14ac:dyDescent="0.25">
      <c r="A1096" s="1" t="s">
        <v>10563</v>
      </c>
      <c r="B1096" s="1" t="s">
        <v>10564</v>
      </c>
      <c r="C1096" s="1" t="s">
        <v>10565</v>
      </c>
      <c r="D1096" s="1" t="s">
        <v>10252</v>
      </c>
      <c r="E1096" s="1" t="s">
        <v>10253</v>
      </c>
      <c r="F1096" s="1" t="s">
        <v>10566</v>
      </c>
      <c r="G1096" s="1" t="s">
        <v>14281</v>
      </c>
      <c r="H1096" s="1" t="s">
        <v>14282</v>
      </c>
      <c r="I1096" s="1" t="s">
        <v>15205</v>
      </c>
      <c r="J1096" s="1" t="s">
        <v>23</v>
      </c>
      <c r="K1096" s="1"/>
      <c r="L1096" s="1" t="s">
        <v>10554</v>
      </c>
      <c r="M1096" s="1" t="s">
        <v>10554</v>
      </c>
      <c r="N1096" s="12" t="b">
        <f t="shared" si="85"/>
        <v>1</v>
      </c>
      <c r="O1096" s="1" t="s">
        <v>10567</v>
      </c>
      <c r="P1096" s="1" t="s">
        <v>10568</v>
      </c>
      <c r="Q1096" s="1" t="s">
        <v>10569</v>
      </c>
      <c r="R1096" s="1" t="s">
        <v>10570</v>
      </c>
      <c r="S1096" s="1" t="s">
        <v>10559</v>
      </c>
      <c r="T1096" s="1" t="s">
        <v>10560</v>
      </c>
      <c r="U1096" s="1" t="s">
        <v>10561</v>
      </c>
      <c r="V1096" s="13">
        <f>COUNTIF(L1096:$M$1659,L1096)</f>
        <v>4</v>
      </c>
      <c r="W1096" s="1" t="s">
        <v>10562</v>
      </c>
      <c r="X1096">
        <v>818.05</v>
      </c>
      <c r="Y1096">
        <v>754.63</v>
      </c>
      <c r="Z1096">
        <v>12.748787</v>
      </c>
      <c r="AA1096">
        <v>108.421536</v>
      </c>
      <c r="AB1096">
        <v>63.42</v>
      </c>
      <c r="AC1096">
        <v>12.762024</v>
      </c>
      <c r="AD1096">
        <v>108.41502199999999</v>
      </c>
      <c r="AE1096" s="5">
        <f t="shared" si="86"/>
        <v>1.131945</v>
      </c>
      <c r="AF1096" s="5">
        <f t="shared" si="87"/>
        <v>9.5129999999999992E-2</v>
      </c>
      <c r="AG1096" s="1" t="str">
        <f>TRIM(LEFT(L1096,FIND("-",L1096)-1))</f>
        <v>Ea Phê</v>
      </c>
      <c r="AH1096" s="1" t="str">
        <f>TRIM(RIGHT(L1096, LEN(L1096) - FIND("-", L1096)))</f>
        <v>Ea Kly</v>
      </c>
      <c r="AJ1096">
        <f t="shared" si="88"/>
        <v>0.75463000000000002</v>
      </c>
      <c r="AK1096">
        <f t="shared" si="89"/>
        <v>6.3420000000000004E-2</v>
      </c>
      <c r="AL1096">
        <f>VLOOKUP(L1096,'[1]Tuyến cáp H04'!$B:$E,3,0)/1000</f>
        <v>14.612</v>
      </c>
      <c r="AM1096" t="str">
        <f>VLOOKUP(L1096,'[1]Tuyến cáp H04'!$B:$E,4,0)</f>
        <v>Mạng cấp 4</v>
      </c>
    </row>
    <row r="1097" spans="1:39" x14ac:dyDescent="0.25">
      <c r="A1097" s="1" t="s">
        <v>10571</v>
      </c>
      <c r="B1097" s="1" t="s">
        <v>10572</v>
      </c>
      <c r="C1097" s="1" t="s">
        <v>10573</v>
      </c>
      <c r="D1097" s="1" t="s">
        <v>10260</v>
      </c>
      <c r="E1097" s="1" t="s">
        <v>10261</v>
      </c>
      <c r="F1097" s="1" t="s">
        <v>10574</v>
      </c>
      <c r="G1097" s="1" t="s">
        <v>14281</v>
      </c>
      <c r="H1097" s="1" t="s">
        <v>14282</v>
      </c>
      <c r="I1097" s="1" t="s">
        <v>15206</v>
      </c>
      <c r="J1097" s="1" t="s">
        <v>23</v>
      </c>
      <c r="K1097" s="1"/>
      <c r="L1097" s="1" t="s">
        <v>10554</v>
      </c>
      <c r="M1097" s="1" t="s">
        <v>10554</v>
      </c>
      <c r="N1097" s="12" t="b">
        <f t="shared" si="85"/>
        <v>1</v>
      </c>
      <c r="O1097" s="1" t="s">
        <v>10575</v>
      </c>
      <c r="P1097" s="1" t="s">
        <v>10576</v>
      </c>
      <c r="Q1097" s="1" t="s">
        <v>10577</v>
      </c>
      <c r="R1097" s="1" t="s">
        <v>10578</v>
      </c>
      <c r="S1097" s="1" t="s">
        <v>10579</v>
      </c>
      <c r="T1097" s="1" t="s">
        <v>10580</v>
      </c>
      <c r="U1097" s="1" t="s">
        <v>10581</v>
      </c>
      <c r="V1097" s="13">
        <f>COUNTIF(L1097:$M$1659,L1097)</f>
        <v>2</v>
      </c>
      <c r="W1097" s="1" t="s">
        <v>10582</v>
      </c>
      <c r="X1097">
        <v>407.09</v>
      </c>
      <c r="Y1097">
        <v>306.63</v>
      </c>
      <c r="Z1097">
        <v>12.766622</v>
      </c>
      <c r="AA1097">
        <v>108.36987000000001</v>
      </c>
      <c r="AB1097">
        <v>100.46</v>
      </c>
      <c r="AC1097">
        <v>12.727857</v>
      </c>
      <c r="AD1097">
        <v>108.36412300000001</v>
      </c>
      <c r="AE1097" s="5">
        <f t="shared" si="86"/>
        <v>0.45994499999999999</v>
      </c>
      <c r="AF1097" s="5">
        <f t="shared" si="87"/>
        <v>0.15068999999999999</v>
      </c>
      <c r="AG1097" s="1" t="str">
        <f>TRIM(LEFT(L1097,FIND("-",L1097)-1))</f>
        <v>Ea Phê</v>
      </c>
      <c r="AH1097" s="1" t="str">
        <f>TRIM(RIGHT(L1097, LEN(L1097) - FIND("-", L1097)))</f>
        <v>Ea Kly</v>
      </c>
      <c r="AJ1097">
        <f t="shared" si="88"/>
        <v>0.30663000000000001</v>
      </c>
      <c r="AK1097">
        <f t="shared" si="89"/>
        <v>0.10045999999999999</v>
      </c>
      <c r="AL1097">
        <f>VLOOKUP(L1097,'[1]Tuyến cáp H04'!$B:$E,3,0)/1000</f>
        <v>14.612</v>
      </c>
      <c r="AM1097" t="str">
        <f>VLOOKUP(L1097,'[1]Tuyến cáp H04'!$B:$E,4,0)</f>
        <v>Mạng cấp 4</v>
      </c>
    </row>
    <row r="1098" spans="1:39" x14ac:dyDescent="0.25">
      <c r="A1098" s="1" t="s">
        <v>10583</v>
      </c>
      <c r="B1098" s="1" t="s">
        <v>10584</v>
      </c>
      <c r="C1098" s="1" t="s">
        <v>10585</v>
      </c>
      <c r="D1098" s="1" t="s">
        <v>10260</v>
      </c>
      <c r="E1098" s="1" t="s">
        <v>10261</v>
      </c>
      <c r="F1098" s="1" t="s">
        <v>10586</v>
      </c>
      <c r="G1098" s="1" t="s">
        <v>14281</v>
      </c>
      <c r="H1098" s="1" t="s">
        <v>14282</v>
      </c>
      <c r="I1098" s="1" t="s">
        <v>15207</v>
      </c>
      <c r="J1098" s="1" t="s">
        <v>23</v>
      </c>
      <c r="K1098" s="1"/>
      <c r="L1098" s="1" t="s">
        <v>10263</v>
      </c>
      <c r="M1098" s="1" t="s">
        <v>10263</v>
      </c>
      <c r="N1098" s="12" t="b">
        <f t="shared" si="85"/>
        <v>1</v>
      </c>
      <c r="O1098" s="1" t="s">
        <v>10587</v>
      </c>
      <c r="P1098" s="1" t="s">
        <v>10588</v>
      </c>
      <c r="Q1098" s="1" t="s">
        <v>10589</v>
      </c>
      <c r="R1098" s="1" t="s">
        <v>10590</v>
      </c>
      <c r="S1098" s="1" t="s">
        <v>10265</v>
      </c>
      <c r="T1098" s="1" t="s">
        <v>10266</v>
      </c>
      <c r="U1098" s="1" t="s">
        <v>10267</v>
      </c>
      <c r="V1098" s="13">
        <f>COUNTIF(L1098:$M$1659,L1098)</f>
        <v>4</v>
      </c>
      <c r="W1098" s="1" t="s">
        <v>10271</v>
      </c>
      <c r="X1098">
        <v>2940.95</v>
      </c>
      <c r="Y1098">
        <v>2855.55</v>
      </c>
      <c r="Z1098">
        <v>12.760439999999999</v>
      </c>
      <c r="AA1098">
        <v>108.36897999999999</v>
      </c>
      <c r="AB1098">
        <v>85.4</v>
      </c>
      <c r="AC1098">
        <v>12.727708</v>
      </c>
      <c r="AD1098">
        <v>108.36395400000001</v>
      </c>
      <c r="AE1098" s="5">
        <f t="shared" si="86"/>
        <v>4.2833250000000005</v>
      </c>
      <c r="AF1098" s="5">
        <f t="shared" si="87"/>
        <v>0.12810000000000002</v>
      </c>
      <c r="AG1098" s="1" t="str">
        <f>TRIM(LEFT(L1098,FIND("-",L1098)-1))</f>
        <v>KRông Păk</v>
      </c>
      <c r="AH1098" s="1" t="str">
        <f>TRIM(RIGHT(L1098, LEN(L1098) - FIND("-", L1098)))</f>
        <v>Trại giam Đăk Tân (C10)</v>
      </c>
      <c r="AJ1098">
        <f t="shared" si="88"/>
        <v>2.85555</v>
      </c>
      <c r="AK1098">
        <f t="shared" si="89"/>
        <v>8.5400000000000004E-2</v>
      </c>
      <c r="AL1098">
        <f>VLOOKUP(L1098,'[1]Tuyến cáp H04'!$B:$E,3,0)/1000</f>
        <v>53.56</v>
      </c>
      <c r="AM1098" t="str">
        <f>VLOOKUP(L1098,'[1]Tuyến cáp H04'!$B:$E,4,0)</f>
        <v>Mạng cấp 3</v>
      </c>
    </row>
    <row r="1099" spans="1:39" x14ac:dyDescent="0.25">
      <c r="A1099" s="1" t="s">
        <v>10591</v>
      </c>
      <c r="B1099" s="1" t="s">
        <v>10592</v>
      </c>
      <c r="C1099" s="1" t="s">
        <v>10593</v>
      </c>
      <c r="D1099" s="1" t="s">
        <v>10292</v>
      </c>
      <c r="E1099" s="1" t="s">
        <v>10293</v>
      </c>
      <c r="F1099" s="1" t="s">
        <v>10594</v>
      </c>
      <c r="G1099" s="1" t="s">
        <v>14281</v>
      </c>
      <c r="H1099" s="1" t="s">
        <v>14282</v>
      </c>
      <c r="I1099" s="1" t="s">
        <v>15208</v>
      </c>
      <c r="J1099" s="1" t="s">
        <v>23</v>
      </c>
      <c r="K1099" s="1"/>
      <c r="L1099" s="1" t="s">
        <v>10297</v>
      </c>
      <c r="M1099" s="1" t="s">
        <v>10297</v>
      </c>
      <c r="N1099" s="12" t="b">
        <f t="shared" si="85"/>
        <v>1</v>
      </c>
      <c r="O1099" s="1" t="s">
        <v>10595</v>
      </c>
      <c r="P1099" s="1" t="s">
        <v>10596</v>
      </c>
      <c r="Q1099" s="1" t="s">
        <v>10597</v>
      </c>
      <c r="R1099" s="1" t="s">
        <v>10598</v>
      </c>
      <c r="S1099" s="1" t="s">
        <v>10299</v>
      </c>
      <c r="T1099" s="1" t="s">
        <v>10300</v>
      </c>
      <c r="U1099" s="1" t="s">
        <v>10301</v>
      </c>
      <c r="V1099" s="13">
        <f>COUNTIF(L1099:$M$1659,L1099)</f>
        <v>4</v>
      </c>
      <c r="W1099" s="1" t="s">
        <v>10305</v>
      </c>
      <c r="X1099">
        <v>957.88</v>
      </c>
      <c r="Y1099">
        <v>830.47</v>
      </c>
      <c r="Z1099">
        <v>12.650548000000001</v>
      </c>
      <c r="AA1099">
        <v>108.432001</v>
      </c>
      <c r="AB1099">
        <v>127.41</v>
      </c>
      <c r="AC1099">
        <v>12.658647</v>
      </c>
      <c r="AD1099">
        <v>108.43165500000001</v>
      </c>
      <c r="AE1099" s="5">
        <f t="shared" si="86"/>
        <v>1.2457049999999998</v>
      </c>
      <c r="AF1099" s="5">
        <f t="shared" si="87"/>
        <v>0.19111500000000001</v>
      </c>
      <c r="AG1099" s="1" t="e">
        <f>TRIM(LEFT(L1099,FIND("-",L1099)-1))</f>
        <v>#VALUE!</v>
      </c>
      <c r="AH1099" s="1" t="e">
        <f>TRIM(RIGHT(L1099, LEN(L1099) - FIND("-", L1099)))</f>
        <v>#VALUE!</v>
      </c>
      <c r="AJ1099">
        <f t="shared" si="88"/>
        <v>0.83047000000000004</v>
      </c>
      <c r="AK1099">
        <f t="shared" si="89"/>
        <v>0.12741</v>
      </c>
      <c r="AL1099" t="e">
        <f>VLOOKUP(L1099,'[1]Tuyến cáp H04'!$B:$E,3,0)/1000</f>
        <v>#N/A</v>
      </c>
      <c r="AM1099" t="e">
        <f>VLOOKUP(L1099,'[1]Tuyến cáp H04'!$B:$E,4,0)</f>
        <v>#N/A</v>
      </c>
    </row>
    <row r="1100" spans="1:39" x14ac:dyDescent="0.25">
      <c r="A1100" s="1" t="s">
        <v>10599</v>
      </c>
      <c r="B1100" s="1" t="s">
        <v>10600</v>
      </c>
      <c r="C1100" s="1" t="s">
        <v>10601</v>
      </c>
      <c r="D1100" s="1" t="s">
        <v>8510</v>
      </c>
      <c r="E1100" s="1" t="s">
        <v>8511</v>
      </c>
      <c r="F1100" s="1" t="s">
        <v>10602</v>
      </c>
      <c r="G1100" s="1" t="s">
        <v>14281</v>
      </c>
      <c r="H1100" s="1" t="s">
        <v>14282</v>
      </c>
      <c r="I1100" s="1" t="s">
        <v>15209</v>
      </c>
      <c r="J1100" s="1" t="s">
        <v>23</v>
      </c>
      <c r="K1100" s="1"/>
      <c r="L1100" s="1" t="s">
        <v>9043</v>
      </c>
      <c r="M1100" s="1" t="s">
        <v>9043</v>
      </c>
      <c r="N1100" s="12" t="b">
        <f t="shared" si="85"/>
        <v>1</v>
      </c>
      <c r="O1100" s="1" t="s">
        <v>10603</v>
      </c>
      <c r="P1100" s="1" t="s">
        <v>10604</v>
      </c>
      <c r="Q1100" s="1" t="s">
        <v>10605</v>
      </c>
      <c r="R1100" s="1" t="s">
        <v>10606</v>
      </c>
      <c r="S1100" s="1" t="s">
        <v>10203</v>
      </c>
      <c r="T1100" s="1" t="s">
        <v>10204</v>
      </c>
      <c r="U1100" s="1" t="s">
        <v>10205</v>
      </c>
      <c r="V1100" s="13">
        <f>COUNTIF(L1100:$M$1659,L1100)</f>
        <v>8</v>
      </c>
      <c r="W1100" s="1" t="s">
        <v>9051</v>
      </c>
      <c r="X1100">
        <v>889.08</v>
      </c>
      <c r="Y1100">
        <v>138.69999999999999</v>
      </c>
      <c r="Z1100">
        <v>12.651728</v>
      </c>
      <c r="AA1100">
        <v>108.374584</v>
      </c>
      <c r="AB1100">
        <v>750.37</v>
      </c>
      <c r="AC1100">
        <v>12.661210000000001</v>
      </c>
      <c r="AD1100">
        <v>108.347521</v>
      </c>
      <c r="AE1100" s="5">
        <f t="shared" si="86"/>
        <v>0.20804999999999998</v>
      </c>
      <c r="AF1100" s="5">
        <f t="shared" si="87"/>
        <v>1.1255550000000001</v>
      </c>
      <c r="AG1100" s="1" t="str">
        <f>TRIM(LEFT(L1100,FIND("-",L1100)-1))</f>
        <v>TT1 Đăk Lăk</v>
      </c>
      <c r="AH1100" s="1" t="str">
        <f>TRIM(RIGHT(L1100, LEN(L1100) - FIND("-", L1100)))</f>
        <v>ILA Ea Pal</v>
      </c>
      <c r="AJ1100">
        <f t="shared" si="88"/>
        <v>0.13869999999999999</v>
      </c>
      <c r="AK1100">
        <f t="shared" si="89"/>
        <v>0.75036999999999998</v>
      </c>
      <c r="AL1100" t="e">
        <f>VLOOKUP(L1100,'[1]Tuyến cáp H04'!$B:$E,3,0)/1000</f>
        <v>#N/A</v>
      </c>
      <c r="AM1100" t="e">
        <f>VLOOKUP(L1100,'[1]Tuyến cáp H04'!$B:$E,4,0)</f>
        <v>#N/A</v>
      </c>
    </row>
    <row r="1101" spans="1:39" x14ac:dyDescent="0.25">
      <c r="A1101" s="1" t="s">
        <v>10607</v>
      </c>
      <c r="B1101" s="1" t="s">
        <v>10608</v>
      </c>
      <c r="C1101" s="1" t="s">
        <v>10609</v>
      </c>
      <c r="D1101" s="1" t="s">
        <v>8510</v>
      </c>
      <c r="E1101" s="1" t="s">
        <v>8511</v>
      </c>
      <c r="F1101" s="1" t="s">
        <v>10610</v>
      </c>
      <c r="G1101" s="1" t="s">
        <v>14281</v>
      </c>
      <c r="H1101" s="1" t="s">
        <v>14282</v>
      </c>
      <c r="I1101" s="1" t="s">
        <v>15210</v>
      </c>
      <c r="J1101" s="1" t="s">
        <v>23</v>
      </c>
      <c r="K1101" s="1"/>
      <c r="L1101" s="1" t="s">
        <v>10353</v>
      </c>
      <c r="M1101" s="1" t="s">
        <v>10353</v>
      </c>
      <c r="N1101" s="12" t="b">
        <f t="shared" si="85"/>
        <v>1</v>
      </c>
      <c r="O1101" s="1" t="s">
        <v>10611</v>
      </c>
      <c r="P1101" s="1" t="s">
        <v>10612</v>
      </c>
      <c r="Q1101" s="1" t="s">
        <v>10613</v>
      </c>
      <c r="R1101" s="1" t="s">
        <v>10614</v>
      </c>
      <c r="S1101" s="1" t="s">
        <v>10615</v>
      </c>
      <c r="T1101" s="1" t="s">
        <v>10616</v>
      </c>
      <c r="U1101" s="1" t="s">
        <v>10617</v>
      </c>
      <c r="V1101" s="13">
        <f>COUNTIF(L1101:$M$1659,L1101)</f>
        <v>10</v>
      </c>
      <c r="W1101" s="1" t="s">
        <v>10618</v>
      </c>
      <c r="X1101">
        <v>750.43</v>
      </c>
      <c r="Y1101">
        <v>328.86</v>
      </c>
      <c r="Z1101">
        <v>12.635908000000001</v>
      </c>
      <c r="AA1101">
        <v>108.340936</v>
      </c>
      <c r="AB1101">
        <v>421.57</v>
      </c>
      <c r="AC1101">
        <v>12.652396</v>
      </c>
      <c r="AD1101">
        <v>108.341959</v>
      </c>
      <c r="AE1101" s="5">
        <f t="shared" si="86"/>
        <v>0.49329000000000001</v>
      </c>
      <c r="AF1101" s="5">
        <f t="shared" si="87"/>
        <v>0.632355</v>
      </c>
      <c r="AG1101" s="1" t="str">
        <f>TRIM(LEFT(L1101,FIND("-",L1101)-1))</f>
        <v>KRông Bông</v>
      </c>
      <c r="AH1101" s="1" t="str">
        <f>TRIM(RIGHT(L1101, LEN(L1101) - FIND("-", L1101)))</f>
        <v>TT1 Đăk Lăk</v>
      </c>
      <c r="AJ1101">
        <f t="shared" si="88"/>
        <v>0.32886000000000004</v>
      </c>
      <c r="AK1101">
        <f t="shared" si="89"/>
        <v>0.42157</v>
      </c>
      <c r="AL1101">
        <f>VLOOKUP(L1101,'[1]Tuyến cáp H04'!$B:$E,3,0)/1000</f>
        <v>58.271999999999998</v>
      </c>
      <c r="AM1101" t="str">
        <f>VLOOKUP(L1101,'[1]Tuyến cáp H04'!$B:$E,4,0)</f>
        <v>Mạng cấp 3</v>
      </c>
    </row>
    <row r="1102" spans="1:39" x14ac:dyDescent="0.25">
      <c r="A1102" s="1" t="s">
        <v>10619</v>
      </c>
      <c r="B1102" s="1" t="s">
        <v>10620</v>
      </c>
      <c r="C1102" s="1" t="s">
        <v>10621</v>
      </c>
      <c r="D1102" s="1" t="s">
        <v>10350</v>
      </c>
      <c r="E1102" s="1" t="s">
        <v>10351</v>
      </c>
      <c r="F1102" s="1" t="s">
        <v>10622</v>
      </c>
      <c r="G1102" s="1" t="s">
        <v>14281</v>
      </c>
      <c r="H1102" s="1" t="s">
        <v>14282</v>
      </c>
      <c r="I1102" s="1" t="s">
        <v>15211</v>
      </c>
      <c r="J1102" s="1" t="s">
        <v>23</v>
      </c>
      <c r="K1102" s="1"/>
      <c r="L1102" s="1" t="s">
        <v>10365</v>
      </c>
      <c r="M1102" s="1" t="s">
        <v>10365</v>
      </c>
      <c r="N1102" s="12" t="b">
        <f t="shared" si="85"/>
        <v>1</v>
      </c>
      <c r="O1102" s="1" t="s">
        <v>10623</v>
      </c>
      <c r="P1102" s="1" t="s">
        <v>10624</v>
      </c>
      <c r="Q1102" s="1" t="s">
        <v>10625</v>
      </c>
      <c r="R1102" s="1" t="s">
        <v>10626</v>
      </c>
      <c r="S1102" s="1" t="s">
        <v>10367</v>
      </c>
      <c r="T1102" s="1" t="s">
        <v>10368</v>
      </c>
      <c r="U1102" s="1" t="s">
        <v>10369</v>
      </c>
      <c r="V1102" s="13">
        <f>COUNTIF(L1102:$M$1659,L1102)</f>
        <v>4</v>
      </c>
      <c r="W1102" s="1" t="s">
        <v>10373</v>
      </c>
      <c r="X1102">
        <v>1709.26</v>
      </c>
      <c r="Y1102">
        <v>1612.81</v>
      </c>
      <c r="Z1102">
        <v>12.698812</v>
      </c>
      <c r="AA1102">
        <v>108.138423</v>
      </c>
      <c r="AB1102">
        <v>96.45</v>
      </c>
      <c r="AC1102">
        <v>12.70313</v>
      </c>
      <c r="AD1102">
        <v>108.156829</v>
      </c>
      <c r="AE1102" s="5">
        <f t="shared" si="86"/>
        <v>2.4192150000000003</v>
      </c>
      <c r="AF1102" s="5">
        <f t="shared" si="87"/>
        <v>0.144675</v>
      </c>
      <c r="AG1102" s="1" t="e">
        <f>TRIM(LEFT(L1102,FIND("-",L1102)-1))</f>
        <v>#VALUE!</v>
      </c>
      <c r="AH1102" s="1" t="e">
        <f>TRIM(RIGHT(L1102, LEN(L1102) - FIND("-", L1102)))</f>
        <v>#VALUE!</v>
      </c>
      <c r="AJ1102">
        <f t="shared" si="88"/>
        <v>1.6128099999999999</v>
      </c>
      <c r="AK1102">
        <f t="shared" si="89"/>
        <v>9.6450000000000008E-2</v>
      </c>
      <c r="AL1102" t="e">
        <f>VLOOKUP(L1102,'[1]Tuyến cáp H04'!$B:$E,3,0)/1000</f>
        <v>#N/A</v>
      </c>
      <c r="AM1102" t="e">
        <f>VLOOKUP(L1102,'[1]Tuyến cáp H04'!$B:$E,4,0)</f>
        <v>#N/A</v>
      </c>
    </row>
    <row r="1103" spans="1:39" x14ac:dyDescent="0.25">
      <c r="A1103" s="1" t="s">
        <v>10627</v>
      </c>
      <c r="B1103" s="1" t="s">
        <v>10628</v>
      </c>
      <c r="C1103" s="1" t="s">
        <v>10629</v>
      </c>
      <c r="D1103" s="1" t="s">
        <v>10350</v>
      </c>
      <c r="E1103" s="1" t="s">
        <v>10351</v>
      </c>
      <c r="F1103" s="1" t="s">
        <v>10630</v>
      </c>
      <c r="G1103" s="1" t="s">
        <v>14281</v>
      </c>
      <c r="H1103" s="1" t="s">
        <v>14282</v>
      </c>
      <c r="I1103" s="1" t="s">
        <v>15212</v>
      </c>
      <c r="J1103" s="1" t="s">
        <v>23</v>
      </c>
      <c r="K1103" s="1"/>
      <c r="L1103" s="1" t="s">
        <v>10353</v>
      </c>
      <c r="M1103" s="1" t="s">
        <v>10353</v>
      </c>
      <c r="N1103" s="12" t="b">
        <f t="shared" si="85"/>
        <v>1</v>
      </c>
      <c r="O1103" s="1" t="s">
        <v>10631</v>
      </c>
      <c r="P1103" s="1" t="s">
        <v>10632</v>
      </c>
      <c r="Q1103" s="1" t="s">
        <v>10633</v>
      </c>
      <c r="R1103" s="1" t="s">
        <v>10634</v>
      </c>
      <c r="S1103" s="1" t="s">
        <v>2569</v>
      </c>
      <c r="T1103" s="1" t="s">
        <v>10358</v>
      </c>
      <c r="U1103" s="1" t="s">
        <v>10359</v>
      </c>
      <c r="V1103" s="13">
        <f>COUNTIF(L1103:$M$1659,L1103)</f>
        <v>8</v>
      </c>
      <c r="W1103" s="1" t="s">
        <v>10360</v>
      </c>
      <c r="X1103">
        <v>580.85</v>
      </c>
      <c r="Y1103">
        <v>485.1</v>
      </c>
      <c r="Z1103">
        <v>12.699388000000001</v>
      </c>
      <c r="AA1103">
        <v>108.167626</v>
      </c>
      <c r="AB1103">
        <v>95.74</v>
      </c>
      <c r="AC1103">
        <v>12.703134</v>
      </c>
      <c r="AD1103">
        <v>108.15682200000001</v>
      </c>
      <c r="AE1103" s="5">
        <f t="shared" si="86"/>
        <v>0.72765000000000013</v>
      </c>
      <c r="AF1103" s="5">
        <f t="shared" si="87"/>
        <v>0.14360999999999999</v>
      </c>
      <c r="AG1103" s="1" t="str">
        <f>TRIM(LEFT(L1103,FIND("-",L1103)-1))</f>
        <v>KRông Bông</v>
      </c>
      <c r="AH1103" s="1" t="str">
        <f>TRIM(RIGHT(L1103, LEN(L1103) - FIND("-", L1103)))</f>
        <v>TT1 Đăk Lăk</v>
      </c>
      <c r="AJ1103">
        <f t="shared" si="88"/>
        <v>0.48510000000000003</v>
      </c>
      <c r="AK1103">
        <f t="shared" si="89"/>
        <v>9.5739999999999992E-2</v>
      </c>
      <c r="AL1103">
        <f>VLOOKUP(L1103,'[1]Tuyến cáp H04'!$B:$E,3,0)/1000</f>
        <v>58.271999999999998</v>
      </c>
      <c r="AM1103" t="str">
        <f>VLOOKUP(L1103,'[1]Tuyến cáp H04'!$B:$E,4,0)</f>
        <v>Mạng cấp 3</v>
      </c>
    </row>
    <row r="1104" spans="1:39" x14ac:dyDescent="0.25">
      <c r="A1104" s="1" t="s">
        <v>10635</v>
      </c>
      <c r="B1104" s="1" t="s">
        <v>10636</v>
      </c>
      <c r="C1104" s="1" t="s">
        <v>10637</v>
      </c>
      <c r="D1104" s="1" t="s">
        <v>10350</v>
      </c>
      <c r="E1104" s="1" t="s">
        <v>10351</v>
      </c>
      <c r="F1104" s="1" t="s">
        <v>10638</v>
      </c>
      <c r="G1104" s="1" t="s">
        <v>14281</v>
      </c>
      <c r="H1104" s="1" t="s">
        <v>14282</v>
      </c>
      <c r="I1104" s="1" t="s">
        <v>15213</v>
      </c>
      <c r="J1104" s="1" t="s">
        <v>23</v>
      </c>
      <c r="K1104" s="1"/>
      <c r="L1104" s="1" t="s">
        <v>10365</v>
      </c>
      <c r="M1104" s="1" t="s">
        <v>10365</v>
      </c>
      <c r="N1104" s="12" t="b">
        <f t="shared" si="85"/>
        <v>1</v>
      </c>
      <c r="O1104" s="1" t="s">
        <v>10639</v>
      </c>
      <c r="P1104" s="1" t="s">
        <v>10640</v>
      </c>
      <c r="Q1104" s="1" t="s">
        <v>10641</v>
      </c>
      <c r="R1104" s="1" t="s">
        <v>10642</v>
      </c>
      <c r="S1104" s="1" t="s">
        <v>10367</v>
      </c>
      <c r="T1104" s="1" t="s">
        <v>10368</v>
      </c>
      <c r="U1104" s="1" t="s">
        <v>10369</v>
      </c>
      <c r="V1104" s="13">
        <f>COUNTIF(L1104:$M$1659,L1104)</f>
        <v>2</v>
      </c>
      <c r="W1104" s="1" t="s">
        <v>10373</v>
      </c>
      <c r="X1104">
        <v>264.11</v>
      </c>
      <c r="Y1104">
        <v>167.66</v>
      </c>
      <c r="Z1104">
        <v>12.701105999999999</v>
      </c>
      <c r="AA1104">
        <v>108.181884</v>
      </c>
      <c r="AB1104">
        <v>96.45</v>
      </c>
      <c r="AC1104">
        <v>12.70313</v>
      </c>
      <c r="AD1104">
        <v>108.156829</v>
      </c>
      <c r="AE1104" s="5">
        <f t="shared" si="86"/>
        <v>0.25148999999999999</v>
      </c>
      <c r="AF1104" s="5">
        <f t="shared" si="87"/>
        <v>0.144675</v>
      </c>
      <c r="AG1104" s="1" t="e">
        <f>TRIM(LEFT(L1104,FIND("-",L1104)-1))</f>
        <v>#VALUE!</v>
      </c>
      <c r="AH1104" s="1" t="e">
        <f>TRIM(RIGHT(L1104, LEN(L1104) - FIND("-", L1104)))</f>
        <v>#VALUE!</v>
      </c>
      <c r="AJ1104">
        <f t="shared" si="88"/>
        <v>0.16766</v>
      </c>
      <c r="AK1104">
        <f t="shared" si="89"/>
        <v>9.6450000000000008E-2</v>
      </c>
      <c r="AL1104" t="e">
        <f>VLOOKUP(L1104,'[1]Tuyến cáp H04'!$B:$E,3,0)/1000</f>
        <v>#N/A</v>
      </c>
      <c r="AM1104" t="e">
        <f>VLOOKUP(L1104,'[1]Tuyến cáp H04'!$B:$E,4,0)</f>
        <v>#N/A</v>
      </c>
    </row>
    <row r="1105" spans="1:39" x14ac:dyDescent="0.25">
      <c r="A1105" s="1" t="s">
        <v>10643</v>
      </c>
      <c r="B1105" s="1" t="s">
        <v>10644</v>
      </c>
      <c r="C1105" s="1" t="s">
        <v>10645</v>
      </c>
      <c r="D1105" s="1" t="s">
        <v>8442</v>
      </c>
      <c r="E1105" s="1" t="s">
        <v>8443</v>
      </c>
      <c r="F1105" s="1" t="s">
        <v>10646</v>
      </c>
      <c r="G1105" s="1" t="s">
        <v>14281</v>
      </c>
      <c r="H1105" s="1" t="s">
        <v>14282</v>
      </c>
      <c r="I1105" s="1" t="s">
        <v>15214</v>
      </c>
      <c r="J1105" s="1" t="s">
        <v>23</v>
      </c>
      <c r="K1105" s="1"/>
      <c r="L1105" s="1" t="s">
        <v>8445</v>
      </c>
      <c r="M1105" s="1" t="s">
        <v>8445</v>
      </c>
      <c r="N1105" s="12" t="b">
        <f t="shared" si="85"/>
        <v>1</v>
      </c>
      <c r="O1105" s="1" t="s">
        <v>10647</v>
      </c>
      <c r="P1105" s="1" t="s">
        <v>10648</v>
      </c>
      <c r="Q1105" s="1" t="s">
        <v>10649</v>
      </c>
      <c r="R1105" s="1" t="s">
        <v>10650</v>
      </c>
      <c r="S1105" s="1" t="s">
        <v>8450</v>
      </c>
      <c r="T1105" s="1" t="s">
        <v>8451</v>
      </c>
      <c r="U1105" s="1" t="s">
        <v>8452</v>
      </c>
      <c r="V1105" s="13">
        <f>COUNTIF(L1105:$M$1659,L1105)</f>
        <v>2</v>
      </c>
      <c r="W1105" s="1" t="s">
        <v>8453</v>
      </c>
      <c r="X1105">
        <v>733.33</v>
      </c>
      <c r="Y1105">
        <v>176.01</v>
      </c>
      <c r="Z1105">
        <v>12.553972</v>
      </c>
      <c r="AA1105">
        <v>108.203045</v>
      </c>
      <c r="AB1105">
        <v>557.32000000000005</v>
      </c>
      <c r="AC1105">
        <v>12.561992</v>
      </c>
      <c r="AD1105">
        <v>108.168603</v>
      </c>
      <c r="AE1105" s="5">
        <f t="shared" si="86"/>
        <v>0.264015</v>
      </c>
      <c r="AF1105" s="5">
        <f t="shared" si="87"/>
        <v>0.83598000000000006</v>
      </c>
      <c r="AG1105" s="1" t="str">
        <f>TRIM(LEFT(L1105,FIND("-",L1105)-1))</f>
        <v>TTCMKV Cư Kuin</v>
      </c>
      <c r="AH1105" s="1" t="str">
        <f>TRIM(RIGHT(L1105, LEN(L1105) - FIND("-", L1105)))</f>
        <v>Dang Kang</v>
      </c>
      <c r="AJ1105">
        <f t="shared" si="88"/>
        <v>0.17601</v>
      </c>
      <c r="AK1105">
        <f t="shared" si="89"/>
        <v>0.55732000000000004</v>
      </c>
      <c r="AL1105">
        <f>VLOOKUP(L1105,'[1]Tuyến cáp H04'!$B:$E,3,0)/1000</f>
        <v>24.331</v>
      </c>
      <c r="AM1105" t="str">
        <f>VLOOKUP(L1105,'[1]Tuyến cáp H04'!$B:$E,4,0)</f>
        <v>Mạng cấp 4</v>
      </c>
    </row>
    <row r="1106" spans="1:39" x14ac:dyDescent="0.25">
      <c r="A1106" s="1" t="s">
        <v>10651</v>
      </c>
      <c r="B1106" s="1" t="s">
        <v>10652</v>
      </c>
      <c r="C1106" s="1" t="s">
        <v>10653</v>
      </c>
      <c r="D1106" s="1" t="s">
        <v>10654</v>
      </c>
      <c r="E1106" s="1" t="s">
        <v>10655</v>
      </c>
      <c r="F1106" s="1" t="s">
        <v>10656</v>
      </c>
      <c r="G1106" s="1" t="s">
        <v>14281</v>
      </c>
      <c r="H1106" s="1" t="s">
        <v>14282</v>
      </c>
      <c r="I1106" s="1" t="s">
        <v>15215</v>
      </c>
      <c r="J1106" s="1" t="s">
        <v>23</v>
      </c>
      <c r="K1106" s="1"/>
      <c r="L1106" s="1" t="s">
        <v>10353</v>
      </c>
      <c r="M1106" s="1" t="s">
        <v>10353</v>
      </c>
      <c r="N1106" s="12" t="b">
        <f t="shared" si="85"/>
        <v>1</v>
      </c>
      <c r="O1106" s="1" t="s">
        <v>10657</v>
      </c>
      <c r="P1106" s="1" t="s">
        <v>10658</v>
      </c>
      <c r="Q1106" s="1" t="s">
        <v>10659</v>
      </c>
      <c r="R1106" s="1" t="s">
        <v>10660</v>
      </c>
      <c r="S1106" s="1" t="s">
        <v>10661</v>
      </c>
      <c r="T1106" s="1" t="s">
        <v>10662</v>
      </c>
      <c r="U1106" s="1" t="s">
        <v>10663</v>
      </c>
      <c r="V1106" s="13">
        <f>COUNTIF(L1106:$M$1659,L1106)</f>
        <v>6</v>
      </c>
      <c r="W1106" s="1" t="s">
        <v>10664</v>
      </c>
      <c r="X1106">
        <v>208.69</v>
      </c>
      <c r="Y1106">
        <v>77.94</v>
      </c>
      <c r="Z1106">
        <v>12.572417</v>
      </c>
      <c r="AA1106">
        <v>108.33487100000001</v>
      </c>
      <c r="AB1106">
        <v>130.75</v>
      </c>
      <c r="AC1106">
        <v>12.590354</v>
      </c>
      <c r="AD1106">
        <v>108.327568</v>
      </c>
      <c r="AE1106" s="5">
        <f t="shared" si="86"/>
        <v>0.11691</v>
      </c>
      <c r="AF1106" s="5">
        <f t="shared" si="87"/>
        <v>0.19612499999999999</v>
      </c>
      <c r="AG1106" s="1" t="str">
        <f>TRIM(LEFT(L1106,FIND("-",L1106)-1))</f>
        <v>KRông Bông</v>
      </c>
      <c r="AH1106" s="1" t="str">
        <f>TRIM(RIGHT(L1106, LEN(L1106) - FIND("-", L1106)))</f>
        <v>TT1 Đăk Lăk</v>
      </c>
      <c r="AJ1106">
        <f t="shared" si="88"/>
        <v>7.7939999999999995E-2</v>
      </c>
      <c r="AK1106">
        <f t="shared" si="89"/>
        <v>0.13075000000000001</v>
      </c>
      <c r="AL1106">
        <f>VLOOKUP(L1106,'[1]Tuyến cáp H04'!$B:$E,3,0)/1000</f>
        <v>58.271999999999998</v>
      </c>
      <c r="AM1106" t="str">
        <f>VLOOKUP(L1106,'[1]Tuyến cáp H04'!$B:$E,4,0)</f>
        <v>Mạng cấp 3</v>
      </c>
    </row>
    <row r="1107" spans="1:39" x14ac:dyDescent="0.25">
      <c r="A1107" s="1" t="s">
        <v>10665</v>
      </c>
      <c r="B1107" s="1" t="s">
        <v>10666</v>
      </c>
      <c r="C1107" s="1" t="s">
        <v>10667</v>
      </c>
      <c r="D1107" s="1" t="s">
        <v>10652</v>
      </c>
      <c r="E1107" s="1" t="s">
        <v>10653</v>
      </c>
      <c r="F1107" s="1" t="s">
        <v>10668</v>
      </c>
      <c r="G1107" s="1" t="s">
        <v>14281</v>
      </c>
      <c r="H1107" s="1" t="s">
        <v>14282</v>
      </c>
      <c r="I1107" s="1" t="s">
        <v>15216</v>
      </c>
      <c r="J1107" s="1" t="s">
        <v>23</v>
      </c>
      <c r="K1107" s="1"/>
      <c r="L1107" s="1" t="s">
        <v>10353</v>
      </c>
      <c r="M1107" s="1" t="s">
        <v>10353</v>
      </c>
      <c r="N1107" s="12" t="b">
        <f t="shared" si="85"/>
        <v>1</v>
      </c>
      <c r="O1107" s="1" t="s">
        <v>10669</v>
      </c>
      <c r="P1107" s="1" t="s">
        <v>10670</v>
      </c>
      <c r="Q1107" s="1" t="s">
        <v>10671</v>
      </c>
      <c r="R1107" s="1" t="s">
        <v>10672</v>
      </c>
      <c r="S1107" s="1" t="s">
        <v>10658</v>
      </c>
      <c r="T1107" s="1" t="s">
        <v>10659</v>
      </c>
      <c r="U1107" s="1" t="s">
        <v>10660</v>
      </c>
      <c r="V1107" s="13">
        <f>COUNTIF(L1107:$M$1659,L1107)</f>
        <v>4</v>
      </c>
      <c r="W1107" s="1" t="s">
        <v>10664</v>
      </c>
      <c r="X1107">
        <v>1111.03</v>
      </c>
      <c r="Y1107">
        <v>1033.0899999999999</v>
      </c>
      <c r="Z1107">
        <v>12.554665999999999</v>
      </c>
      <c r="AA1107">
        <v>108.32606800000001</v>
      </c>
      <c r="AB1107">
        <v>77.94</v>
      </c>
      <c r="AC1107">
        <v>12.572417</v>
      </c>
      <c r="AD1107">
        <v>108.33487100000001</v>
      </c>
      <c r="AE1107" s="5">
        <f t="shared" si="86"/>
        <v>1.5496349999999999</v>
      </c>
      <c r="AF1107" s="5">
        <f t="shared" si="87"/>
        <v>0.11691</v>
      </c>
      <c r="AG1107" s="1" t="str">
        <f>TRIM(LEFT(L1107,FIND("-",L1107)-1))</f>
        <v>KRông Bông</v>
      </c>
      <c r="AH1107" s="1" t="str">
        <f>TRIM(RIGHT(L1107, LEN(L1107) - FIND("-", L1107)))</f>
        <v>TT1 Đăk Lăk</v>
      </c>
      <c r="AJ1107">
        <f t="shared" si="88"/>
        <v>1.0330899999999998</v>
      </c>
      <c r="AK1107">
        <f t="shared" si="89"/>
        <v>7.7939999999999995E-2</v>
      </c>
      <c r="AL1107">
        <f>VLOOKUP(L1107,'[1]Tuyến cáp H04'!$B:$E,3,0)/1000</f>
        <v>58.271999999999998</v>
      </c>
      <c r="AM1107" t="str">
        <f>VLOOKUP(L1107,'[1]Tuyến cáp H04'!$B:$E,4,0)</f>
        <v>Mạng cấp 3</v>
      </c>
    </row>
    <row r="1108" spans="1:39" x14ac:dyDescent="0.25">
      <c r="A1108" s="1" t="s">
        <v>10673</v>
      </c>
      <c r="B1108" s="1" t="s">
        <v>10674</v>
      </c>
      <c r="C1108" s="1" t="s">
        <v>10675</v>
      </c>
      <c r="D1108" s="1" t="s">
        <v>8377</v>
      </c>
      <c r="E1108" s="1" t="s">
        <v>8378</v>
      </c>
      <c r="F1108" s="1" t="s">
        <v>10676</v>
      </c>
      <c r="G1108" s="1" t="s">
        <v>14281</v>
      </c>
      <c r="H1108" s="1" t="s">
        <v>14282</v>
      </c>
      <c r="I1108" s="1" t="s">
        <v>15217</v>
      </c>
      <c r="J1108" s="1" t="s">
        <v>23</v>
      </c>
      <c r="K1108" s="1"/>
      <c r="L1108" s="1" t="s">
        <v>8350</v>
      </c>
      <c r="M1108" s="1" t="s">
        <v>8350</v>
      </c>
      <c r="N1108" s="12" t="b">
        <f t="shared" si="85"/>
        <v>1</v>
      </c>
      <c r="O1108" s="1" t="s">
        <v>10677</v>
      </c>
      <c r="P1108" s="1" t="s">
        <v>10678</v>
      </c>
      <c r="Q1108" s="1" t="s">
        <v>10679</v>
      </c>
      <c r="R1108" s="1" t="s">
        <v>10680</v>
      </c>
      <c r="S1108" s="1" t="s">
        <v>8382</v>
      </c>
      <c r="T1108" s="1" t="s">
        <v>8356</v>
      </c>
      <c r="U1108" s="1" t="s">
        <v>8357</v>
      </c>
      <c r="V1108" s="13">
        <f>COUNTIF(L1108:$M$1659,L1108)</f>
        <v>8</v>
      </c>
      <c r="W1108" s="1" t="s">
        <v>8358</v>
      </c>
      <c r="X1108">
        <v>95655.21</v>
      </c>
      <c r="Y1108">
        <v>1149.3900000000001</v>
      </c>
      <c r="Z1108">
        <v>12.697469</v>
      </c>
      <c r="AA1108">
        <v>108.071369</v>
      </c>
      <c r="AB1108">
        <v>94505.82</v>
      </c>
      <c r="AC1108">
        <v>12.811565999999999</v>
      </c>
      <c r="AD1108">
        <v>108.483311</v>
      </c>
      <c r="AE1108" s="5">
        <f t="shared" si="86"/>
        <v>1.7240850000000001</v>
      </c>
      <c r="AF1108" s="5">
        <f t="shared" si="87"/>
        <v>141.75873000000001</v>
      </c>
      <c r="AG1108" s="1" t="str">
        <f>TRIM(LEFT(L1108,FIND("-",L1108)-1))</f>
        <v>TT1 Đăk Lăk</v>
      </c>
      <c r="AH1108" s="1" t="str">
        <f>TRIM(RIGHT(L1108, LEN(L1108) - FIND("-", L1108)))</f>
        <v>ILA Ea Kar</v>
      </c>
      <c r="AJ1108">
        <f t="shared" si="88"/>
        <v>1.1493900000000001</v>
      </c>
      <c r="AK1108">
        <f t="shared" si="89"/>
        <v>94.50582</v>
      </c>
      <c r="AL1108" t="e">
        <f>VLOOKUP(L1108,'[1]Tuyến cáp H04'!$B:$E,3,0)/1000</f>
        <v>#N/A</v>
      </c>
      <c r="AM1108" t="e">
        <f>VLOOKUP(L1108,'[1]Tuyến cáp H04'!$B:$E,4,0)</f>
        <v>#N/A</v>
      </c>
    </row>
    <row r="1109" spans="1:39" x14ac:dyDescent="0.25">
      <c r="A1109" s="1" t="s">
        <v>10681</v>
      </c>
      <c r="B1109" s="1" t="s">
        <v>10682</v>
      </c>
      <c r="C1109" s="1" t="s">
        <v>10683</v>
      </c>
      <c r="D1109" s="1" t="s">
        <v>8362</v>
      </c>
      <c r="E1109" s="1" t="s">
        <v>8363</v>
      </c>
      <c r="F1109" s="1" t="s">
        <v>10684</v>
      </c>
      <c r="G1109" s="1" t="s">
        <v>14281</v>
      </c>
      <c r="H1109" s="1" t="s">
        <v>14282</v>
      </c>
      <c r="I1109" s="1" t="s">
        <v>15218</v>
      </c>
      <c r="J1109" s="1" t="s">
        <v>23</v>
      </c>
      <c r="K1109" s="1"/>
      <c r="L1109" s="1" t="s">
        <v>8365</v>
      </c>
      <c r="M1109" s="1" t="s">
        <v>8365</v>
      </c>
      <c r="N1109" s="12" t="b">
        <f t="shared" si="85"/>
        <v>1</v>
      </c>
      <c r="O1109" s="1" t="s">
        <v>10685</v>
      </c>
      <c r="P1109" s="1" t="s">
        <v>10686</v>
      </c>
      <c r="Q1109" s="1" t="s">
        <v>10687</v>
      </c>
      <c r="R1109" s="1" t="s">
        <v>10688</v>
      </c>
      <c r="S1109" s="1" t="s">
        <v>9081</v>
      </c>
      <c r="T1109" s="1" t="s">
        <v>9082</v>
      </c>
      <c r="U1109" s="1" t="s">
        <v>9083</v>
      </c>
      <c r="V1109" s="13">
        <f>COUNTIF(L1109:$M$1659,L1109)</f>
        <v>2</v>
      </c>
      <c r="W1109" s="1" t="s">
        <v>9084</v>
      </c>
      <c r="X1109">
        <v>1637.45</v>
      </c>
      <c r="Y1109">
        <v>1225.47</v>
      </c>
      <c r="Z1109">
        <v>12.682732</v>
      </c>
      <c r="AA1109">
        <v>108.006702</v>
      </c>
      <c r="AB1109">
        <v>411.98</v>
      </c>
      <c r="AC1109">
        <v>12.682619000000001</v>
      </c>
      <c r="AD1109">
        <v>108.012011</v>
      </c>
      <c r="AE1109" s="5">
        <f t="shared" si="86"/>
        <v>1.8382049999999999</v>
      </c>
      <c r="AF1109" s="5">
        <f t="shared" si="87"/>
        <v>0.61797000000000002</v>
      </c>
      <c r="AG1109" s="1" t="str">
        <f>TRIM(LEFT(L1109,FIND("-",L1109)-1))</f>
        <v>Thành Nhất</v>
      </c>
      <c r="AH1109" s="1" t="str">
        <f>TRIM(RIGHT(L1109, LEN(L1109) - FIND("-", L1109)))</f>
        <v>Ea Nuôl</v>
      </c>
      <c r="AJ1109">
        <f t="shared" si="88"/>
        <v>1.2254700000000001</v>
      </c>
      <c r="AK1109">
        <f t="shared" si="89"/>
        <v>0.41198000000000001</v>
      </c>
      <c r="AL1109">
        <f>VLOOKUP(L1109,'[1]Tuyến cáp H04'!$B:$E,3,0)/1000</f>
        <v>7.931</v>
      </c>
      <c r="AM1109" t="str">
        <f>VLOOKUP(L1109,'[1]Tuyến cáp H04'!$B:$E,4,0)</f>
        <v>Mạng cấp 4</v>
      </c>
    </row>
    <row r="1110" spans="1:39" x14ac:dyDescent="0.25">
      <c r="A1110" s="1" t="s">
        <v>10689</v>
      </c>
      <c r="B1110" s="1" t="s">
        <v>10690</v>
      </c>
      <c r="C1110" s="1" t="s">
        <v>10691</v>
      </c>
      <c r="D1110" s="1" t="s">
        <v>8305</v>
      </c>
      <c r="E1110" s="1" t="s">
        <v>8306</v>
      </c>
      <c r="F1110" s="1" t="s">
        <v>10692</v>
      </c>
      <c r="G1110" s="1" t="s">
        <v>14281</v>
      </c>
      <c r="H1110" s="1" t="s">
        <v>14282</v>
      </c>
      <c r="I1110" s="1" t="s">
        <v>15219</v>
      </c>
      <c r="J1110" s="1" t="s">
        <v>23</v>
      </c>
      <c r="K1110" s="1"/>
      <c r="L1110" s="1" t="s">
        <v>8308</v>
      </c>
      <c r="M1110" s="1" t="s">
        <v>8308</v>
      </c>
      <c r="N1110" s="12" t="b">
        <f t="shared" si="85"/>
        <v>1</v>
      </c>
      <c r="O1110" s="1" t="s">
        <v>10693</v>
      </c>
      <c r="P1110" s="1" t="s">
        <v>10694</v>
      </c>
      <c r="Q1110" s="1" t="s">
        <v>10695</v>
      </c>
      <c r="R1110" s="1" t="s">
        <v>10696</v>
      </c>
      <c r="S1110" s="1" t="s">
        <v>8313</v>
      </c>
      <c r="T1110" s="1" t="s">
        <v>8314</v>
      </c>
      <c r="U1110" s="1" t="s">
        <v>8315</v>
      </c>
      <c r="V1110" s="13">
        <f>COUNTIF(L1110:$M$1659,L1110)</f>
        <v>4</v>
      </c>
      <c r="W1110" s="1" t="s">
        <v>8316</v>
      </c>
      <c r="X1110">
        <v>1584.32</v>
      </c>
      <c r="Y1110">
        <v>1533.33</v>
      </c>
      <c r="Z1110">
        <v>13.267206</v>
      </c>
      <c r="AA1110">
        <v>108.29180599999999</v>
      </c>
      <c r="AB1110">
        <v>51</v>
      </c>
      <c r="AC1110">
        <v>13.266173</v>
      </c>
      <c r="AD1110">
        <v>108.28749500000001</v>
      </c>
      <c r="AE1110" s="5">
        <f t="shared" si="86"/>
        <v>2.299995</v>
      </c>
      <c r="AF1110" s="5">
        <f t="shared" si="87"/>
        <v>7.6499999999999999E-2</v>
      </c>
      <c r="AG1110" s="1" t="e">
        <f>TRIM(LEFT(L1110,FIND("-",L1110)-1))</f>
        <v>#VALUE!</v>
      </c>
      <c r="AH1110" s="1" t="e">
        <f>TRIM(RIGHT(L1110, LEN(L1110) - FIND("-", L1110)))</f>
        <v>#VALUE!</v>
      </c>
      <c r="AJ1110">
        <f t="shared" si="88"/>
        <v>1.5333299999999999</v>
      </c>
      <c r="AK1110">
        <f t="shared" si="89"/>
        <v>5.0999999999999997E-2</v>
      </c>
      <c r="AL1110" t="e">
        <f>VLOOKUP(L1110,'[1]Tuyến cáp H04'!$B:$E,3,0)/1000</f>
        <v>#N/A</v>
      </c>
      <c r="AM1110" t="e">
        <f>VLOOKUP(L1110,'[1]Tuyến cáp H04'!$B:$E,4,0)</f>
        <v>#N/A</v>
      </c>
    </row>
    <row r="1111" spans="1:39" x14ac:dyDescent="0.25">
      <c r="A1111" s="1" t="s">
        <v>10697</v>
      </c>
      <c r="B1111" s="1" t="s">
        <v>10698</v>
      </c>
      <c r="C1111" s="1" t="s">
        <v>10699</v>
      </c>
      <c r="D1111" s="1" t="s">
        <v>8305</v>
      </c>
      <c r="E1111" s="1" t="s">
        <v>8306</v>
      </c>
      <c r="F1111" s="1" t="s">
        <v>10700</v>
      </c>
      <c r="G1111" s="1" t="s">
        <v>14281</v>
      </c>
      <c r="H1111" s="1" t="s">
        <v>14282</v>
      </c>
      <c r="I1111" s="1" t="s">
        <v>15220</v>
      </c>
      <c r="J1111" s="1" t="s">
        <v>23</v>
      </c>
      <c r="K1111" s="1"/>
      <c r="L1111" s="1" t="s">
        <v>8308</v>
      </c>
      <c r="M1111" s="1" t="s">
        <v>8308</v>
      </c>
      <c r="N1111" s="12" t="b">
        <f t="shared" si="85"/>
        <v>1</v>
      </c>
      <c r="O1111" s="1" t="s">
        <v>10701</v>
      </c>
      <c r="P1111" s="1" t="s">
        <v>10702</v>
      </c>
      <c r="Q1111" s="1" t="s">
        <v>10703</v>
      </c>
      <c r="R1111" s="1" t="s">
        <v>10704</v>
      </c>
      <c r="S1111" s="1" t="s">
        <v>8313</v>
      </c>
      <c r="T1111" s="1" t="s">
        <v>8314</v>
      </c>
      <c r="U1111" s="1" t="s">
        <v>8315</v>
      </c>
      <c r="V1111" s="13">
        <f>COUNTIF(L1111:$M$1659,L1111)</f>
        <v>2</v>
      </c>
      <c r="W1111" s="1" t="s">
        <v>8316</v>
      </c>
      <c r="X1111">
        <v>967.46</v>
      </c>
      <c r="Y1111">
        <v>916.47</v>
      </c>
      <c r="Z1111">
        <v>13.259207999999999</v>
      </c>
      <c r="AA1111">
        <v>108.29445800000001</v>
      </c>
      <c r="AB1111">
        <v>51</v>
      </c>
      <c r="AC1111">
        <v>13.266173</v>
      </c>
      <c r="AD1111">
        <v>108.28749500000001</v>
      </c>
      <c r="AE1111" s="5">
        <f t="shared" si="86"/>
        <v>1.3747049999999998</v>
      </c>
      <c r="AF1111" s="5">
        <f t="shared" si="87"/>
        <v>7.6499999999999999E-2</v>
      </c>
      <c r="AG1111" s="1" t="e">
        <f>TRIM(LEFT(L1111,FIND("-",L1111)-1))</f>
        <v>#VALUE!</v>
      </c>
      <c r="AH1111" s="1" t="e">
        <f>TRIM(RIGHT(L1111, LEN(L1111) - FIND("-", L1111)))</f>
        <v>#VALUE!</v>
      </c>
      <c r="AJ1111">
        <f t="shared" si="88"/>
        <v>0.91647000000000001</v>
      </c>
      <c r="AK1111">
        <f t="shared" si="89"/>
        <v>5.0999999999999997E-2</v>
      </c>
      <c r="AL1111" t="e">
        <f>VLOOKUP(L1111,'[1]Tuyến cáp H04'!$B:$E,3,0)/1000</f>
        <v>#N/A</v>
      </c>
      <c r="AM1111" t="e">
        <f>VLOOKUP(L1111,'[1]Tuyến cáp H04'!$B:$E,4,0)</f>
        <v>#N/A</v>
      </c>
    </row>
    <row r="1112" spans="1:39" x14ac:dyDescent="0.25">
      <c r="A1112" s="1" t="s">
        <v>10705</v>
      </c>
      <c r="B1112" s="1" t="s">
        <v>10706</v>
      </c>
      <c r="C1112" s="1" t="s">
        <v>10707</v>
      </c>
      <c r="D1112" s="1" t="s">
        <v>9027</v>
      </c>
      <c r="E1112" s="1" t="s">
        <v>9028</v>
      </c>
      <c r="F1112" s="1" t="s">
        <v>10708</v>
      </c>
      <c r="G1112" s="1" t="s">
        <v>14281</v>
      </c>
      <c r="H1112" s="1" t="s">
        <v>14282</v>
      </c>
      <c r="I1112" s="1" t="s">
        <v>15221</v>
      </c>
      <c r="J1112" s="1" t="s">
        <v>23</v>
      </c>
      <c r="K1112" s="1"/>
      <c r="L1112" s="1" t="s">
        <v>9030</v>
      </c>
      <c r="M1112" s="1" t="s">
        <v>9030</v>
      </c>
      <c r="N1112" s="12" t="b">
        <f t="shared" si="85"/>
        <v>1</v>
      </c>
      <c r="O1112" s="1" t="s">
        <v>10709</v>
      </c>
      <c r="P1112" s="1" t="s">
        <v>10710</v>
      </c>
      <c r="Q1112" s="1" t="s">
        <v>9036</v>
      </c>
      <c r="R1112" s="1" t="s">
        <v>9037</v>
      </c>
      <c r="S1112" s="1" t="s">
        <v>9035</v>
      </c>
      <c r="T1112" s="1" t="s">
        <v>9036</v>
      </c>
      <c r="U1112" s="1" t="s">
        <v>9037</v>
      </c>
      <c r="V1112" s="13">
        <f>COUNTIF(L1112:$M$1659,L1112)</f>
        <v>4</v>
      </c>
      <c r="W1112" s="1" t="s">
        <v>9038</v>
      </c>
      <c r="X1112">
        <v>192.74</v>
      </c>
      <c r="Y1112">
        <v>189.33</v>
      </c>
      <c r="Z1112">
        <v>12.673265000000001</v>
      </c>
      <c r="AA1112">
        <v>108.03362799999999</v>
      </c>
      <c r="AB1112">
        <v>3.41</v>
      </c>
      <c r="AC1112">
        <v>12.673265000000001</v>
      </c>
      <c r="AD1112">
        <v>108.03362799999999</v>
      </c>
      <c r="AE1112" s="5">
        <f t="shared" si="86"/>
        <v>0.283995</v>
      </c>
      <c r="AF1112" s="5">
        <f t="shared" si="87"/>
        <v>5.1150000000000006E-3</v>
      </c>
      <c r="AG1112" s="1" t="str">
        <f>TRIM(LEFT(L1112,FIND("-",L1112)-1))</f>
        <v>Trung tâm huấn luyện PX01</v>
      </c>
      <c r="AH1112" s="1" t="str">
        <f>TRIM(RIGHT(L1112, LEN(L1112) - FIND("-", L1112)))</f>
        <v>TT1 Đăk Lăk</v>
      </c>
      <c r="AJ1112">
        <f t="shared" si="88"/>
        <v>0.18933000000000003</v>
      </c>
      <c r="AK1112">
        <f t="shared" si="89"/>
        <v>3.4100000000000003E-3</v>
      </c>
      <c r="AL1112">
        <f>VLOOKUP(L1112,'[1]Tuyến cáp H04'!$B:$E,3,0)/1000</f>
        <v>3.3519999999999999</v>
      </c>
      <c r="AM1112" t="str">
        <f>VLOOKUP(L1112,'[1]Tuyến cáp H04'!$B:$E,4,0)</f>
        <v>Mạng cấp 3</v>
      </c>
    </row>
    <row r="1113" spans="1:39" x14ac:dyDescent="0.25">
      <c r="A1113" s="1" t="s">
        <v>10711</v>
      </c>
      <c r="B1113" s="1" t="s">
        <v>10712</v>
      </c>
      <c r="C1113" s="1" t="s">
        <v>10713</v>
      </c>
      <c r="D1113" s="1" t="s">
        <v>9053</v>
      </c>
      <c r="E1113" s="1" t="s">
        <v>9054</v>
      </c>
      <c r="F1113" s="1" t="s">
        <v>10714</v>
      </c>
      <c r="G1113" s="1" t="s">
        <v>14281</v>
      </c>
      <c r="H1113" s="1" t="s">
        <v>14282</v>
      </c>
      <c r="I1113" s="1" t="s">
        <v>15222</v>
      </c>
      <c r="J1113" s="1" t="s">
        <v>23</v>
      </c>
      <c r="K1113" s="1"/>
      <c r="L1113" s="1" t="s">
        <v>9056</v>
      </c>
      <c r="M1113" s="1" t="s">
        <v>9056</v>
      </c>
      <c r="N1113" s="12" t="b">
        <f t="shared" si="85"/>
        <v>1</v>
      </c>
      <c r="O1113" s="1" t="s">
        <v>10715</v>
      </c>
      <c r="P1113" s="1" t="s">
        <v>10716</v>
      </c>
      <c r="Q1113" s="1" t="s">
        <v>9059</v>
      </c>
      <c r="R1113" s="1" t="s">
        <v>9060</v>
      </c>
      <c r="S1113" s="1" t="s">
        <v>9061</v>
      </c>
      <c r="T1113" s="1" t="s">
        <v>9062</v>
      </c>
      <c r="U1113" s="1" t="s">
        <v>9063</v>
      </c>
      <c r="V1113" s="13">
        <f>COUNTIF(L1113:$M$1659,L1113)</f>
        <v>4</v>
      </c>
      <c r="W1113" s="1" t="s">
        <v>9064</v>
      </c>
      <c r="X1113">
        <v>162.19999999999999</v>
      </c>
      <c r="Y1113">
        <v>72.25</v>
      </c>
      <c r="Z1113">
        <v>12.662886</v>
      </c>
      <c r="AA1113">
        <v>108.03439</v>
      </c>
      <c r="AB1113">
        <v>89.95</v>
      </c>
      <c r="AC1113">
        <v>12.660361</v>
      </c>
      <c r="AD1113">
        <v>108.031069</v>
      </c>
      <c r="AE1113" s="5">
        <f t="shared" si="86"/>
        <v>0.108375</v>
      </c>
      <c r="AF1113" s="5">
        <f t="shared" si="87"/>
        <v>0.13492500000000002</v>
      </c>
      <c r="AG1113" s="1" t="str">
        <f>TRIM(LEFT(L1113,FIND("-",L1113)-1))</f>
        <v>CAT Đắk Lắk</v>
      </c>
      <c r="AH1113" s="1" t="str">
        <f>TRIM(RIGHT(L1113, LEN(L1113) - FIND("-", L1113)))</f>
        <v>Ea Kao</v>
      </c>
      <c r="AJ1113">
        <f t="shared" si="88"/>
        <v>7.2249999999999995E-2</v>
      </c>
      <c r="AK1113">
        <f t="shared" si="89"/>
        <v>8.9950000000000002E-2</v>
      </c>
      <c r="AL1113">
        <f>VLOOKUP(L1113,'[1]Tuyến cáp H04'!$B:$E,3,0)/1000</f>
        <v>4.133</v>
      </c>
      <c r="AM1113" t="str">
        <f>VLOOKUP(L1113,'[1]Tuyến cáp H04'!$B:$E,4,0)</f>
        <v>Mạng cấp 4</v>
      </c>
    </row>
    <row r="1114" spans="1:39" x14ac:dyDescent="0.25">
      <c r="A1114" s="1" t="s">
        <v>10717</v>
      </c>
      <c r="B1114" s="1" t="s">
        <v>10718</v>
      </c>
      <c r="C1114" s="1" t="s">
        <v>10719</v>
      </c>
      <c r="D1114" s="1" t="s">
        <v>8554</v>
      </c>
      <c r="E1114" s="1" t="s">
        <v>8555</v>
      </c>
      <c r="F1114" s="1" t="s">
        <v>10720</v>
      </c>
      <c r="G1114" s="1" t="s">
        <v>14281</v>
      </c>
      <c r="H1114" s="1" t="s">
        <v>14282</v>
      </c>
      <c r="I1114" s="1" t="s">
        <v>15223</v>
      </c>
      <c r="J1114" s="1" t="s">
        <v>23</v>
      </c>
      <c r="K1114" s="1"/>
      <c r="L1114" s="1" t="s">
        <v>10721</v>
      </c>
      <c r="M1114" s="1" t="s">
        <v>10721</v>
      </c>
      <c r="N1114" s="12" t="b">
        <f t="shared" si="85"/>
        <v>1</v>
      </c>
      <c r="O1114" s="1" t="s">
        <v>10722</v>
      </c>
      <c r="P1114" s="1" t="s">
        <v>10723</v>
      </c>
      <c r="Q1114" s="1" t="s">
        <v>10724</v>
      </c>
      <c r="R1114" s="1" t="s">
        <v>10725</v>
      </c>
      <c r="S1114" s="1" t="s">
        <v>10726</v>
      </c>
      <c r="T1114" s="1" t="s">
        <v>10727</v>
      </c>
      <c r="U1114" s="1" t="s">
        <v>10728</v>
      </c>
      <c r="V1114" s="13">
        <f>COUNTIF(L1114:$M$1659,L1114)</f>
        <v>2</v>
      </c>
      <c r="W1114" s="1" t="s">
        <v>10729</v>
      </c>
      <c r="X1114">
        <v>371.48</v>
      </c>
      <c r="Y1114">
        <v>77.88</v>
      </c>
      <c r="Z1114">
        <v>12.687635999999999</v>
      </c>
      <c r="AA1114">
        <v>108.05217</v>
      </c>
      <c r="AB1114">
        <v>293.60000000000002</v>
      </c>
      <c r="AC1114">
        <v>12.686939000000001</v>
      </c>
      <c r="AD1114">
        <v>108.052724</v>
      </c>
      <c r="AE1114" s="5">
        <f t="shared" si="86"/>
        <v>0.11681999999999999</v>
      </c>
      <c r="AF1114" s="5">
        <f t="shared" si="87"/>
        <v>0.44040000000000001</v>
      </c>
      <c r="AG1114" s="1" t="str">
        <f>TRIM(LEFT(L1114,FIND("-",L1114)-1))</f>
        <v>TT1 Đăk Lăk</v>
      </c>
      <c r="AH1114" s="1" t="str">
        <f>TRIM(RIGHT(L1114, LEN(L1114) - FIND("-", L1114)))</f>
        <v>PA07</v>
      </c>
      <c r="AJ1114">
        <f t="shared" si="88"/>
        <v>7.7879999999999991E-2</v>
      </c>
      <c r="AK1114">
        <f t="shared" si="89"/>
        <v>0.29360000000000003</v>
      </c>
      <c r="AL1114">
        <f>VLOOKUP(L1114,'[1]Tuyến cáp H04'!$B:$E,3,0)/1000</f>
        <v>1.147</v>
      </c>
      <c r="AM1114" t="str">
        <f>VLOOKUP(L1114,'[1]Tuyến cáp H04'!$B:$E,4,0)</f>
        <v>Mạng cấp 3</v>
      </c>
    </row>
    <row r="1115" spans="1:39" x14ac:dyDescent="0.25">
      <c r="A1115" s="1" t="s">
        <v>10730</v>
      </c>
      <c r="B1115" s="1" t="s">
        <v>10731</v>
      </c>
      <c r="C1115" s="1" t="s">
        <v>10732</v>
      </c>
      <c r="D1115" s="1" t="s">
        <v>10331</v>
      </c>
      <c r="E1115" s="1" t="s">
        <v>10332</v>
      </c>
      <c r="F1115" s="1" t="s">
        <v>10733</v>
      </c>
      <c r="G1115" s="1" t="s">
        <v>14281</v>
      </c>
      <c r="H1115" s="1" t="s">
        <v>14282</v>
      </c>
      <c r="I1115" s="1" t="s">
        <v>15224</v>
      </c>
      <c r="J1115" s="1" t="s">
        <v>23</v>
      </c>
      <c r="K1115" s="1"/>
      <c r="L1115" s="1" t="s">
        <v>9043</v>
      </c>
      <c r="M1115" s="1" t="s">
        <v>9043</v>
      </c>
      <c r="N1115" s="12" t="b">
        <f t="shared" si="85"/>
        <v>1</v>
      </c>
      <c r="O1115" s="1" t="s">
        <v>10734</v>
      </c>
      <c r="P1115" s="1" t="s">
        <v>10735</v>
      </c>
      <c r="Q1115" s="1" t="s">
        <v>10736</v>
      </c>
      <c r="R1115" s="1" t="s">
        <v>10737</v>
      </c>
      <c r="S1115" s="1" t="s">
        <v>10346</v>
      </c>
      <c r="T1115" s="1" t="s">
        <v>10347</v>
      </c>
      <c r="U1115" s="1" t="s">
        <v>10348</v>
      </c>
      <c r="V1115" s="13">
        <f>COUNTIF(L1115:$M$1659,L1115)</f>
        <v>6</v>
      </c>
      <c r="W1115" s="1" t="s">
        <v>9051</v>
      </c>
      <c r="X1115">
        <v>302.64999999999998</v>
      </c>
      <c r="Y1115">
        <v>130.63</v>
      </c>
      <c r="Z1115">
        <v>12.735424999999999</v>
      </c>
      <c r="AA1115">
        <v>108.537651</v>
      </c>
      <c r="AB1115">
        <v>172.02</v>
      </c>
      <c r="AC1115">
        <v>12.726613</v>
      </c>
      <c r="AD1115">
        <v>108.55382</v>
      </c>
      <c r="AE1115" s="5">
        <f t="shared" si="86"/>
        <v>0.19594499999999998</v>
      </c>
      <c r="AF1115" s="5">
        <f t="shared" si="87"/>
        <v>0.25803000000000004</v>
      </c>
      <c r="AG1115" s="1" t="str">
        <f>TRIM(LEFT(L1115,FIND("-",L1115)-1))</f>
        <v>TT1 Đăk Lăk</v>
      </c>
      <c r="AH1115" s="1" t="str">
        <f>TRIM(RIGHT(L1115, LEN(L1115) - FIND("-", L1115)))</f>
        <v>ILA Ea Pal</v>
      </c>
      <c r="AJ1115">
        <f t="shared" si="88"/>
        <v>0.13063</v>
      </c>
      <c r="AK1115">
        <f t="shared" si="89"/>
        <v>0.17202000000000001</v>
      </c>
      <c r="AL1115" t="e">
        <f>VLOOKUP(L1115,'[1]Tuyến cáp H04'!$B:$E,3,0)/1000</f>
        <v>#N/A</v>
      </c>
      <c r="AM1115" t="e">
        <f>VLOOKUP(L1115,'[1]Tuyến cáp H04'!$B:$E,4,0)</f>
        <v>#N/A</v>
      </c>
    </row>
    <row r="1116" spans="1:39" x14ac:dyDescent="0.25">
      <c r="A1116" s="1" t="s">
        <v>10738</v>
      </c>
      <c r="B1116" s="1" t="s">
        <v>10739</v>
      </c>
      <c r="C1116" s="1" t="s">
        <v>10740</v>
      </c>
      <c r="D1116" s="1" t="s">
        <v>10331</v>
      </c>
      <c r="E1116" s="1" t="s">
        <v>10332</v>
      </c>
      <c r="F1116" s="1" t="s">
        <v>10741</v>
      </c>
      <c r="G1116" s="1" t="s">
        <v>14281</v>
      </c>
      <c r="H1116" s="1" t="s">
        <v>14282</v>
      </c>
      <c r="I1116" s="1" t="s">
        <v>15225</v>
      </c>
      <c r="J1116" s="1" t="s">
        <v>23</v>
      </c>
      <c r="K1116" s="1"/>
      <c r="L1116" s="1" t="s">
        <v>9043</v>
      </c>
      <c r="M1116" s="1" t="s">
        <v>9043</v>
      </c>
      <c r="N1116" s="12" t="b">
        <f t="shared" si="85"/>
        <v>1</v>
      </c>
      <c r="O1116" s="1" t="s">
        <v>10742</v>
      </c>
      <c r="P1116" s="1" t="s">
        <v>10743</v>
      </c>
      <c r="Q1116" s="1" t="s">
        <v>10744</v>
      </c>
      <c r="R1116" s="1" t="s">
        <v>10745</v>
      </c>
      <c r="S1116" s="1" t="s">
        <v>10346</v>
      </c>
      <c r="T1116" s="1" t="s">
        <v>10347</v>
      </c>
      <c r="U1116" s="1" t="s">
        <v>10348</v>
      </c>
      <c r="V1116" s="13">
        <f>COUNTIF(L1116:$M$1659,L1116)</f>
        <v>4</v>
      </c>
      <c r="W1116" s="1" t="s">
        <v>9051</v>
      </c>
      <c r="X1116">
        <v>1558.06</v>
      </c>
      <c r="Y1116">
        <v>1386.04</v>
      </c>
      <c r="Z1116">
        <v>12.709548</v>
      </c>
      <c r="AA1116">
        <v>108.529346</v>
      </c>
      <c r="AB1116">
        <v>172.02</v>
      </c>
      <c r="AC1116">
        <v>12.726613</v>
      </c>
      <c r="AD1116">
        <v>108.55382</v>
      </c>
      <c r="AE1116" s="5">
        <f t="shared" si="86"/>
        <v>2.0790600000000001</v>
      </c>
      <c r="AF1116" s="5">
        <f t="shared" si="87"/>
        <v>0.25803000000000004</v>
      </c>
      <c r="AG1116" s="1" t="str">
        <f>TRIM(LEFT(L1116,FIND("-",L1116)-1))</f>
        <v>TT1 Đăk Lăk</v>
      </c>
      <c r="AH1116" s="1" t="str">
        <f>TRIM(RIGHT(L1116, LEN(L1116) - FIND("-", L1116)))</f>
        <v>ILA Ea Pal</v>
      </c>
      <c r="AJ1116">
        <f t="shared" si="88"/>
        <v>1.3860399999999999</v>
      </c>
      <c r="AK1116">
        <f t="shared" si="89"/>
        <v>0.17202000000000001</v>
      </c>
      <c r="AL1116" t="e">
        <f>VLOOKUP(L1116,'[1]Tuyến cáp H04'!$B:$E,3,0)/1000</f>
        <v>#N/A</v>
      </c>
      <c r="AM1116" t="e">
        <f>VLOOKUP(L1116,'[1]Tuyến cáp H04'!$B:$E,4,0)</f>
        <v>#N/A</v>
      </c>
    </row>
    <row r="1117" spans="1:39" x14ac:dyDescent="0.25">
      <c r="A1117" s="1" t="s">
        <v>10746</v>
      </c>
      <c r="B1117" s="1" t="s">
        <v>10747</v>
      </c>
      <c r="C1117" s="1" t="s">
        <v>10748</v>
      </c>
      <c r="D1117" s="1" t="s">
        <v>10749</v>
      </c>
      <c r="E1117" s="1" t="s">
        <v>10750</v>
      </c>
      <c r="F1117" s="1" t="s">
        <v>10751</v>
      </c>
      <c r="G1117" s="1" t="s">
        <v>14281</v>
      </c>
      <c r="H1117" s="1" t="s">
        <v>14282</v>
      </c>
      <c r="I1117" s="1" t="s">
        <v>15226</v>
      </c>
      <c r="J1117" s="1" t="s">
        <v>23</v>
      </c>
      <c r="K1117" s="1"/>
      <c r="L1117" s="1" t="s">
        <v>10752</v>
      </c>
      <c r="M1117" s="1" t="s">
        <v>10752</v>
      </c>
      <c r="N1117" s="12" t="b">
        <f t="shared" si="85"/>
        <v>1</v>
      </c>
      <c r="O1117" s="1" t="s">
        <v>10753</v>
      </c>
      <c r="P1117" s="1" t="s">
        <v>10754</v>
      </c>
      <c r="Q1117" s="1" t="s">
        <v>10755</v>
      </c>
      <c r="R1117" s="1" t="s">
        <v>10756</v>
      </c>
      <c r="S1117" s="1" t="s">
        <v>10757</v>
      </c>
      <c r="T1117" s="1" t="s">
        <v>10758</v>
      </c>
      <c r="U1117" s="1" t="s">
        <v>10759</v>
      </c>
      <c r="V1117" s="13">
        <f>COUNTIF(L1117:$M$1659,L1117)</f>
        <v>2</v>
      </c>
      <c r="W1117" s="1" t="s">
        <v>10760</v>
      </c>
      <c r="X1117">
        <v>250.35</v>
      </c>
      <c r="Y1117">
        <v>99.57</v>
      </c>
      <c r="Z1117">
        <v>12.504058000000001</v>
      </c>
      <c r="AA1117">
        <v>108.230287</v>
      </c>
      <c r="AB1117">
        <v>150.79</v>
      </c>
      <c r="AC1117">
        <v>12.508934</v>
      </c>
      <c r="AD1117">
        <v>108.218582</v>
      </c>
      <c r="AE1117" s="5">
        <f t="shared" si="86"/>
        <v>0.14935499999999999</v>
      </c>
      <c r="AF1117" s="5">
        <f t="shared" si="87"/>
        <v>0.226185</v>
      </c>
      <c r="AG1117" s="1" t="str">
        <f>TRIM(LEFT(L1117,FIND("-",L1117)-1))</f>
        <v>TTCMKV Cư Kuin</v>
      </c>
      <c r="AH1117" s="1" t="str">
        <f>TRIM(RIGHT(L1117, LEN(L1117) - FIND("-", L1117)))</f>
        <v>Hòa Sơn</v>
      </c>
      <c r="AJ1117">
        <f t="shared" si="88"/>
        <v>9.9569999999999992E-2</v>
      </c>
      <c r="AK1117">
        <f t="shared" si="89"/>
        <v>0.15078999999999998</v>
      </c>
      <c r="AL1117">
        <f>VLOOKUP(L1117,'[1]Tuyến cáp H04'!$B:$E,3,0)/1000</f>
        <v>11.904999999999999</v>
      </c>
      <c r="AM1117" t="str">
        <f>VLOOKUP(L1117,'[1]Tuyến cáp H04'!$B:$E,4,0)</f>
        <v>Mạng cấp 4</v>
      </c>
    </row>
    <row r="1118" spans="1:39" x14ac:dyDescent="0.25">
      <c r="A1118" s="1" t="s">
        <v>10761</v>
      </c>
      <c r="B1118" s="1" t="s">
        <v>10762</v>
      </c>
      <c r="C1118" s="1" t="s">
        <v>10763</v>
      </c>
      <c r="D1118" s="1" t="s">
        <v>10747</v>
      </c>
      <c r="E1118" s="1" t="s">
        <v>10748</v>
      </c>
      <c r="F1118" s="1" t="s">
        <v>10764</v>
      </c>
      <c r="G1118" s="1" t="s">
        <v>14281</v>
      </c>
      <c r="H1118" s="1" t="s">
        <v>14282</v>
      </c>
      <c r="I1118" s="1" t="s">
        <v>15227</v>
      </c>
      <c r="J1118" s="1" t="s">
        <v>23</v>
      </c>
      <c r="K1118" s="1"/>
      <c r="L1118" s="1" t="s">
        <v>10765</v>
      </c>
      <c r="M1118" s="1" t="s">
        <v>10765</v>
      </c>
      <c r="N1118" s="12" t="b">
        <f t="shared" si="85"/>
        <v>1</v>
      </c>
      <c r="O1118" s="1" t="s">
        <v>10766</v>
      </c>
      <c r="P1118" s="1" t="s">
        <v>10767</v>
      </c>
      <c r="Q1118" s="1" t="s">
        <v>10768</v>
      </c>
      <c r="R1118" s="1" t="s">
        <v>10769</v>
      </c>
      <c r="S1118" s="1" t="s">
        <v>10770</v>
      </c>
      <c r="T1118" s="1" t="s">
        <v>10771</v>
      </c>
      <c r="U1118" s="1" t="s">
        <v>10772</v>
      </c>
      <c r="V1118" s="13">
        <f>COUNTIF(L1118:$M$1659,L1118)</f>
        <v>4</v>
      </c>
      <c r="W1118" s="1" t="s">
        <v>10773</v>
      </c>
      <c r="X1118">
        <v>252.85</v>
      </c>
      <c r="Y1118">
        <v>150.01</v>
      </c>
      <c r="Z1118">
        <v>12.491547000000001</v>
      </c>
      <c r="AA1118">
        <v>108.26345600000001</v>
      </c>
      <c r="AB1118">
        <v>102.84</v>
      </c>
      <c r="AC1118">
        <v>12.503901000000001</v>
      </c>
      <c r="AD1118">
        <v>108.230475</v>
      </c>
      <c r="AE1118" s="5">
        <f t="shared" si="86"/>
        <v>0.22501499999999999</v>
      </c>
      <c r="AF1118" s="5">
        <f t="shared" si="87"/>
        <v>0.15425999999999998</v>
      </c>
      <c r="AG1118" s="1" t="str">
        <f>TRIM(LEFT(L1118,FIND("-",L1118)-1))</f>
        <v>Hòa Sơn</v>
      </c>
      <c r="AH1118" s="1" t="str">
        <f>TRIM(RIGHT(L1118, LEN(L1118) - FIND("-", L1118)))</f>
        <v>Krông Bông</v>
      </c>
      <c r="AJ1118">
        <f t="shared" si="88"/>
        <v>0.15001</v>
      </c>
      <c r="AK1118">
        <f t="shared" si="89"/>
        <v>0.10284</v>
      </c>
      <c r="AL1118">
        <f>VLOOKUP(L1118,'[1]Tuyến cáp H04'!$B:$E,3,0)/1000</f>
        <v>14.2</v>
      </c>
      <c r="AM1118" t="str">
        <f>VLOOKUP(L1118,'[1]Tuyến cáp H04'!$B:$E,4,0)</f>
        <v>Mạng cấp 4</v>
      </c>
    </row>
    <row r="1119" spans="1:39" x14ac:dyDescent="0.25">
      <c r="A1119" s="1" t="s">
        <v>10774</v>
      </c>
      <c r="B1119" s="1" t="s">
        <v>10775</v>
      </c>
      <c r="C1119" s="1" t="s">
        <v>10776</v>
      </c>
      <c r="D1119" s="1" t="s">
        <v>10747</v>
      </c>
      <c r="E1119" s="1" t="s">
        <v>10748</v>
      </c>
      <c r="F1119" s="1" t="s">
        <v>10777</v>
      </c>
      <c r="G1119" s="1" t="s">
        <v>14281</v>
      </c>
      <c r="H1119" s="1" t="s">
        <v>14282</v>
      </c>
      <c r="I1119" s="1" t="s">
        <v>15228</v>
      </c>
      <c r="J1119" s="1" t="s">
        <v>23</v>
      </c>
      <c r="K1119" s="1"/>
      <c r="L1119" s="1" t="s">
        <v>10778</v>
      </c>
      <c r="M1119" s="1" t="s">
        <v>10778</v>
      </c>
      <c r="N1119" s="12" t="b">
        <f t="shared" si="85"/>
        <v>1</v>
      </c>
      <c r="O1119" s="1" t="s">
        <v>10779</v>
      </c>
      <c r="P1119" s="1" t="s">
        <v>10780</v>
      </c>
      <c r="Q1119" s="1" t="s">
        <v>10781</v>
      </c>
      <c r="R1119" s="1" t="s">
        <v>10782</v>
      </c>
      <c r="S1119" s="1" t="s">
        <v>10783</v>
      </c>
      <c r="T1119" s="1" t="s">
        <v>10784</v>
      </c>
      <c r="U1119" s="1" t="s">
        <v>10785</v>
      </c>
      <c r="V1119" s="13">
        <f>COUNTIF(L1119:$M$1659,L1119)</f>
        <v>2</v>
      </c>
      <c r="W1119" s="1" t="s">
        <v>10786</v>
      </c>
      <c r="X1119">
        <v>1326.43</v>
      </c>
      <c r="Y1119">
        <v>316.24</v>
      </c>
      <c r="Z1119">
        <v>12.486843</v>
      </c>
      <c r="AA1119">
        <v>108.231129</v>
      </c>
      <c r="AB1119">
        <v>1010.2</v>
      </c>
      <c r="AC1119">
        <v>12.494372</v>
      </c>
      <c r="AD1119">
        <v>108.228418</v>
      </c>
      <c r="AE1119" s="5">
        <f t="shared" si="86"/>
        <v>0.47436</v>
      </c>
      <c r="AF1119" s="5">
        <f t="shared" si="87"/>
        <v>1.5153000000000001</v>
      </c>
      <c r="AG1119" s="1" t="str">
        <f>TRIM(LEFT(L1119,FIND("-",L1119)-1))</f>
        <v>Lăk</v>
      </c>
      <c r="AH1119" s="1" t="str">
        <f>TRIM(RIGHT(L1119, LEN(L1119) - FIND("-", L1119)))</f>
        <v>KRông Bông</v>
      </c>
      <c r="AJ1119">
        <f t="shared" si="88"/>
        <v>0.31624000000000002</v>
      </c>
      <c r="AK1119">
        <f t="shared" si="89"/>
        <v>1.0102</v>
      </c>
      <c r="AL1119">
        <f>VLOOKUP(L1119,'[1]Tuyến cáp H04'!$B:$E,3,0)/1000</f>
        <v>25.132999999999999</v>
      </c>
      <c r="AM1119" t="str">
        <f>VLOOKUP(L1119,'[1]Tuyến cáp H04'!$B:$E,4,0)</f>
        <v>Mạng cấp 3</v>
      </c>
    </row>
    <row r="1120" spans="1:39" x14ac:dyDescent="0.25">
      <c r="A1120" s="1" t="s">
        <v>10787</v>
      </c>
      <c r="B1120" s="1" t="s">
        <v>10788</v>
      </c>
      <c r="C1120" s="1" t="s">
        <v>10789</v>
      </c>
      <c r="D1120" s="1" t="s">
        <v>10652</v>
      </c>
      <c r="E1120" s="1" t="s">
        <v>10653</v>
      </c>
      <c r="F1120" s="1" t="s">
        <v>10790</v>
      </c>
      <c r="G1120" s="1" t="s">
        <v>14281</v>
      </c>
      <c r="H1120" s="1" t="s">
        <v>14282</v>
      </c>
      <c r="I1120" s="1" t="s">
        <v>15229</v>
      </c>
      <c r="J1120" s="1" t="s">
        <v>23</v>
      </c>
      <c r="K1120" s="1"/>
      <c r="L1120" s="1" t="s">
        <v>10353</v>
      </c>
      <c r="M1120" s="1" t="s">
        <v>10353</v>
      </c>
      <c r="N1120" s="12" t="b">
        <f t="shared" si="85"/>
        <v>1</v>
      </c>
      <c r="O1120" s="1" t="s">
        <v>10791</v>
      </c>
      <c r="P1120" s="1" t="s">
        <v>10792</v>
      </c>
      <c r="Q1120" s="1" t="s">
        <v>10793</v>
      </c>
      <c r="R1120" s="1" t="s">
        <v>10794</v>
      </c>
      <c r="S1120" s="1" t="s">
        <v>10658</v>
      </c>
      <c r="T1120" s="1" t="s">
        <v>10659</v>
      </c>
      <c r="U1120" s="1" t="s">
        <v>10660</v>
      </c>
      <c r="V1120" s="13">
        <f>COUNTIF(L1120:$M$1659,L1120)</f>
        <v>2</v>
      </c>
      <c r="W1120" s="1" t="s">
        <v>10664</v>
      </c>
      <c r="X1120">
        <v>1680.26</v>
      </c>
      <c r="Y1120">
        <v>1602.32</v>
      </c>
      <c r="Z1120">
        <v>12.547162999999999</v>
      </c>
      <c r="AA1120">
        <v>108.324113</v>
      </c>
      <c r="AB1120">
        <v>77.94</v>
      </c>
      <c r="AC1120">
        <v>12.572417</v>
      </c>
      <c r="AD1120">
        <v>108.33487100000001</v>
      </c>
      <c r="AE1120" s="5">
        <f t="shared" si="86"/>
        <v>2.4034800000000001</v>
      </c>
      <c r="AF1120" s="5">
        <f t="shared" si="87"/>
        <v>0.11691</v>
      </c>
      <c r="AG1120" s="1" t="str">
        <f>TRIM(LEFT(L1120,FIND("-",L1120)-1))</f>
        <v>KRông Bông</v>
      </c>
      <c r="AH1120" s="1" t="str">
        <f>TRIM(RIGHT(L1120, LEN(L1120) - FIND("-", L1120)))</f>
        <v>TT1 Đăk Lăk</v>
      </c>
      <c r="AJ1120">
        <f t="shared" si="88"/>
        <v>1.60232</v>
      </c>
      <c r="AK1120">
        <f t="shared" si="89"/>
        <v>7.7939999999999995E-2</v>
      </c>
      <c r="AL1120">
        <f>VLOOKUP(L1120,'[1]Tuyến cáp H04'!$B:$E,3,0)/1000</f>
        <v>58.271999999999998</v>
      </c>
      <c r="AM1120" t="str">
        <f>VLOOKUP(L1120,'[1]Tuyến cáp H04'!$B:$E,4,0)</f>
        <v>Mạng cấp 3</v>
      </c>
    </row>
    <row r="1121" spans="1:39" x14ac:dyDescent="0.25">
      <c r="A1121" s="1" t="s">
        <v>10795</v>
      </c>
      <c r="B1121" s="1" t="s">
        <v>10796</v>
      </c>
      <c r="C1121" s="1" t="s">
        <v>10797</v>
      </c>
      <c r="D1121" s="1" t="s">
        <v>8175</v>
      </c>
      <c r="E1121" s="1" t="s">
        <v>8176</v>
      </c>
      <c r="F1121" s="1" t="s">
        <v>10798</v>
      </c>
      <c r="G1121" s="1" t="s">
        <v>14281</v>
      </c>
      <c r="H1121" s="1" t="s">
        <v>14282</v>
      </c>
      <c r="I1121" s="1" t="s">
        <v>15230</v>
      </c>
      <c r="J1121" s="1" t="s">
        <v>23</v>
      </c>
      <c r="K1121" s="1"/>
      <c r="L1121" s="1" t="s">
        <v>8206</v>
      </c>
      <c r="M1121" s="1" t="s">
        <v>8206</v>
      </c>
      <c r="N1121" s="12" t="b">
        <f t="shared" si="85"/>
        <v>1</v>
      </c>
      <c r="O1121" s="1" t="s">
        <v>10799</v>
      </c>
      <c r="P1121" s="1" t="s">
        <v>10800</v>
      </c>
      <c r="Q1121" s="1" t="s">
        <v>10801</v>
      </c>
      <c r="R1121" s="1" t="s">
        <v>10802</v>
      </c>
      <c r="S1121" s="1" t="s">
        <v>8211</v>
      </c>
      <c r="T1121" s="1" t="s">
        <v>8212</v>
      </c>
      <c r="U1121" s="1" t="s">
        <v>8213</v>
      </c>
      <c r="V1121" s="13">
        <f>COUNTIF(L1121:$M$1659,L1121)</f>
        <v>2</v>
      </c>
      <c r="W1121" s="1" t="s">
        <v>8214</v>
      </c>
      <c r="X1121">
        <v>149.16</v>
      </c>
      <c r="Y1121">
        <v>30.17</v>
      </c>
      <c r="Z1121">
        <v>12.662906</v>
      </c>
      <c r="AA1121">
        <v>108.103032</v>
      </c>
      <c r="AB1121">
        <v>118.99</v>
      </c>
      <c r="AC1121">
        <v>12.655568000000001</v>
      </c>
      <c r="AD1121">
        <v>108.107465</v>
      </c>
      <c r="AE1121" s="5">
        <f t="shared" si="86"/>
        <v>4.5255000000000004E-2</v>
      </c>
      <c r="AF1121" s="5">
        <f t="shared" si="87"/>
        <v>0.17848499999999998</v>
      </c>
      <c r="AG1121" s="1" t="str">
        <f>TRIM(LEFT(L1121,FIND("-",L1121)-1))</f>
        <v>Tân Lập</v>
      </c>
      <c r="AH1121" s="1" t="str">
        <f>TRIM(RIGHT(L1121, LEN(L1121) - FIND("-", L1121)))</f>
        <v>Ea Knuec</v>
      </c>
      <c r="AJ1121">
        <f t="shared" si="88"/>
        <v>3.0170000000000002E-2</v>
      </c>
      <c r="AK1121">
        <f t="shared" si="89"/>
        <v>0.11899</v>
      </c>
      <c r="AL1121" t="e">
        <f>VLOOKUP(L1121,'[1]Tuyến cáp H04'!$B:$E,3,0)/1000</f>
        <v>#N/A</v>
      </c>
      <c r="AM1121" t="e">
        <f>VLOOKUP(L1121,'[1]Tuyến cáp H04'!$B:$E,4,0)</f>
        <v>#N/A</v>
      </c>
    </row>
    <row r="1122" spans="1:39" x14ac:dyDescent="0.25">
      <c r="A1122" s="1" t="s">
        <v>10803</v>
      </c>
      <c r="B1122" s="1" t="s">
        <v>10804</v>
      </c>
      <c r="C1122" s="1" t="s">
        <v>10805</v>
      </c>
      <c r="D1122" s="1" t="s">
        <v>8260</v>
      </c>
      <c r="E1122" s="1" t="s">
        <v>8261</v>
      </c>
      <c r="F1122" s="1" t="s">
        <v>10806</v>
      </c>
      <c r="G1122" s="1" t="s">
        <v>14281</v>
      </c>
      <c r="H1122" s="1" t="s">
        <v>14282</v>
      </c>
      <c r="I1122" s="1" t="s">
        <v>15231</v>
      </c>
      <c r="J1122" s="1" t="s">
        <v>23</v>
      </c>
      <c r="K1122" s="1"/>
      <c r="L1122" s="1" t="s">
        <v>8760</v>
      </c>
      <c r="M1122" s="1" t="s">
        <v>8760</v>
      </c>
      <c r="N1122" s="12" t="b">
        <f t="shared" si="85"/>
        <v>1</v>
      </c>
      <c r="O1122" s="1" t="s">
        <v>10807</v>
      </c>
      <c r="P1122" s="1" t="s">
        <v>10808</v>
      </c>
      <c r="Q1122" s="1" t="s">
        <v>10809</v>
      </c>
      <c r="R1122" s="1" t="s">
        <v>10810</v>
      </c>
      <c r="S1122" s="1" t="s">
        <v>8765</v>
      </c>
      <c r="T1122" s="1" t="s">
        <v>8766</v>
      </c>
      <c r="U1122" s="1" t="s">
        <v>8767</v>
      </c>
      <c r="V1122" s="13">
        <f>COUNTIF(L1122:$M$1659,L1122)</f>
        <v>2</v>
      </c>
      <c r="W1122" s="1" t="s">
        <v>8768</v>
      </c>
      <c r="X1122">
        <v>2466.69</v>
      </c>
      <c r="Y1122">
        <v>2435.8200000000002</v>
      </c>
      <c r="Z1122">
        <v>12.954212</v>
      </c>
      <c r="AA1122">
        <v>108.34378700000001</v>
      </c>
      <c r="AB1122">
        <v>30.87</v>
      </c>
      <c r="AC1122">
        <v>12.951995999999999</v>
      </c>
      <c r="AD1122">
        <v>108.344803</v>
      </c>
      <c r="AE1122" s="5">
        <f t="shared" si="86"/>
        <v>3.6537300000000004</v>
      </c>
      <c r="AF1122" s="5">
        <f t="shared" si="87"/>
        <v>4.6304999999999999E-2</v>
      </c>
      <c r="AG1122" s="1" t="e">
        <f>TRIM(LEFT(L1122,FIND("-",L1122)-1))</f>
        <v>#VALUE!</v>
      </c>
      <c r="AH1122" s="1" t="e">
        <f>TRIM(RIGHT(L1122, LEN(L1122) - FIND("-", L1122)))</f>
        <v>#VALUE!</v>
      </c>
      <c r="AJ1122">
        <f t="shared" si="88"/>
        <v>2.4358200000000001</v>
      </c>
      <c r="AK1122">
        <f t="shared" si="89"/>
        <v>3.0870000000000002E-2</v>
      </c>
      <c r="AL1122" t="e">
        <f>VLOOKUP(L1122,'[1]Tuyến cáp H04'!$B:$E,3,0)/1000</f>
        <v>#N/A</v>
      </c>
      <c r="AM1122" t="e">
        <f>VLOOKUP(L1122,'[1]Tuyến cáp H04'!$B:$E,4,0)</f>
        <v>#N/A</v>
      </c>
    </row>
    <row r="1123" spans="1:39" x14ac:dyDescent="0.25">
      <c r="A1123" s="1" t="s">
        <v>10811</v>
      </c>
      <c r="B1123" s="1" t="s">
        <v>10812</v>
      </c>
      <c r="C1123" s="1" t="s">
        <v>10813</v>
      </c>
      <c r="D1123" s="1" t="s">
        <v>8260</v>
      </c>
      <c r="E1123" s="1" t="s">
        <v>8261</v>
      </c>
      <c r="F1123" s="1" t="s">
        <v>10814</v>
      </c>
      <c r="G1123" s="1" t="s">
        <v>14281</v>
      </c>
      <c r="H1123" s="1" t="s">
        <v>14282</v>
      </c>
      <c r="I1123" s="1" t="s">
        <v>15232</v>
      </c>
      <c r="J1123" s="1" t="s">
        <v>23</v>
      </c>
      <c r="K1123" s="1"/>
      <c r="L1123" s="1" t="s">
        <v>8813</v>
      </c>
      <c r="M1123" s="1" t="s">
        <v>8813</v>
      </c>
      <c r="N1123" s="12" t="b">
        <f t="shared" si="85"/>
        <v>1</v>
      </c>
      <c r="O1123" s="1" t="s">
        <v>10815</v>
      </c>
      <c r="P1123" s="1" t="s">
        <v>10816</v>
      </c>
      <c r="Q1123" s="1" t="s">
        <v>10817</v>
      </c>
      <c r="R1123" s="1" t="s">
        <v>10818</v>
      </c>
      <c r="S1123" s="1" t="s">
        <v>10819</v>
      </c>
      <c r="T1123" s="1" t="s">
        <v>10820</v>
      </c>
      <c r="U1123" s="1" t="s">
        <v>10821</v>
      </c>
      <c r="V1123" s="13">
        <f>COUNTIF(L1123:$M$1659,L1123)</f>
        <v>2</v>
      </c>
      <c r="W1123" s="1" t="s">
        <v>10822</v>
      </c>
      <c r="X1123">
        <v>213.85</v>
      </c>
      <c r="Y1123">
        <v>172.21</v>
      </c>
      <c r="Z1123">
        <v>12.943</v>
      </c>
      <c r="AA1123">
        <v>108.350148</v>
      </c>
      <c r="AB1123">
        <v>41.65</v>
      </c>
      <c r="AC1123">
        <v>12.951938999999999</v>
      </c>
      <c r="AD1123">
        <v>108.344351</v>
      </c>
      <c r="AE1123" s="5">
        <f t="shared" si="86"/>
        <v>0.25831500000000002</v>
      </c>
      <c r="AF1123" s="5">
        <f t="shared" si="87"/>
        <v>6.2474999999999996E-2</v>
      </c>
      <c r="AG1123" s="1" t="str">
        <f>TRIM(LEFT(L1123,FIND("-",L1123)-1))</f>
        <v>Ea Kar</v>
      </c>
      <c r="AH1123" s="1" t="str">
        <f>TRIM(RIGHT(L1123, LEN(L1123) - FIND("-", L1123)))</f>
        <v>KRông Năng</v>
      </c>
      <c r="AJ1123">
        <f t="shared" si="88"/>
        <v>0.17221</v>
      </c>
      <c r="AK1123">
        <f t="shared" si="89"/>
        <v>4.165E-2</v>
      </c>
      <c r="AL1123">
        <f>VLOOKUP(L1123,'[1]Tuyến cáp H04'!$B:$E,3,0)/1000</f>
        <v>28.914000000000001</v>
      </c>
      <c r="AM1123" t="str">
        <f>VLOOKUP(L1123,'[1]Tuyến cáp H04'!$B:$E,4,0)</f>
        <v>Mạng cấp 3</v>
      </c>
    </row>
    <row r="1124" spans="1:39" x14ac:dyDescent="0.25">
      <c r="A1124" s="1" t="s">
        <v>10823</v>
      </c>
      <c r="B1124" s="1" t="s">
        <v>10824</v>
      </c>
      <c r="C1124" s="1" t="s">
        <v>10825</v>
      </c>
      <c r="D1124" s="1" t="s">
        <v>8160</v>
      </c>
      <c r="E1124" s="1" t="s">
        <v>8161</v>
      </c>
      <c r="F1124" s="1" t="s">
        <v>10826</v>
      </c>
      <c r="G1124" s="1" t="s">
        <v>14281</v>
      </c>
      <c r="H1124" s="1" t="s">
        <v>14282</v>
      </c>
      <c r="I1124" s="1" t="s">
        <v>15233</v>
      </c>
      <c r="J1124" s="1" t="s">
        <v>23</v>
      </c>
      <c r="K1124" s="1"/>
      <c r="L1124" s="1" t="s">
        <v>8163</v>
      </c>
      <c r="M1124" s="1" t="s">
        <v>8163</v>
      </c>
      <c r="N1124" s="12" t="b">
        <f t="shared" si="85"/>
        <v>1</v>
      </c>
      <c r="O1124" s="1" t="s">
        <v>10827</v>
      </c>
      <c r="P1124" s="1" t="s">
        <v>10828</v>
      </c>
      <c r="Q1124" s="1" t="s">
        <v>10829</v>
      </c>
      <c r="R1124" s="1" t="s">
        <v>10830</v>
      </c>
      <c r="S1124" s="1" t="s">
        <v>8168</v>
      </c>
      <c r="T1124" s="1" t="s">
        <v>8169</v>
      </c>
      <c r="U1124" s="1" t="s">
        <v>8170</v>
      </c>
      <c r="V1124" s="13">
        <f>COUNTIF(L1124:$M$1659,L1124)</f>
        <v>2</v>
      </c>
      <c r="W1124" s="1" t="s">
        <v>8171</v>
      </c>
      <c r="X1124">
        <v>430.75</v>
      </c>
      <c r="Y1124">
        <v>328.76</v>
      </c>
      <c r="Z1124">
        <v>12.955263</v>
      </c>
      <c r="AA1124">
        <v>108.246701</v>
      </c>
      <c r="AB1124">
        <v>102</v>
      </c>
      <c r="AC1124">
        <v>12.970822</v>
      </c>
      <c r="AD1124">
        <v>108.244495</v>
      </c>
      <c r="AE1124" s="5">
        <f t="shared" si="86"/>
        <v>0.49313999999999997</v>
      </c>
      <c r="AF1124" s="5">
        <f t="shared" si="87"/>
        <v>0.153</v>
      </c>
      <c r="AG1124" s="1" t="str">
        <f>TRIM(LEFT(L1124,FIND("-",L1124)-1))</f>
        <v>Buôn Hồ</v>
      </c>
      <c r="AH1124" s="1" t="str">
        <f>TRIM(RIGHT(L1124, LEN(L1124) - FIND("-", L1124)))</f>
        <v>Ea H'Leo</v>
      </c>
      <c r="AJ1124">
        <f t="shared" si="88"/>
        <v>0.32876</v>
      </c>
      <c r="AK1124">
        <f t="shared" si="89"/>
        <v>0.10199999999999999</v>
      </c>
      <c r="AL1124">
        <f>VLOOKUP(L1124,'[1]Tuyến cáp H04'!$B:$E,3,0)/1000</f>
        <v>36.590000000000003</v>
      </c>
      <c r="AM1124" t="str">
        <f>VLOOKUP(L1124,'[1]Tuyến cáp H04'!$B:$E,4,0)</f>
        <v>Mạng cấp 3</v>
      </c>
    </row>
    <row r="1125" spans="1:39" x14ac:dyDescent="0.25">
      <c r="A1125" s="1" t="s">
        <v>10831</v>
      </c>
      <c r="B1125" s="1" t="s">
        <v>10832</v>
      </c>
      <c r="C1125" s="1" t="s">
        <v>10833</v>
      </c>
      <c r="D1125" s="1" t="s">
        <v>8470</v>
      </c>
      <c r="E1125" s="1" t="s">
        <v>8471</v>
      </c>
      <c r="F1125" s="1" t="s">
        <v>10834</v>
      </c>
      <c r="G1125" s="1" t="s">
        <v>14281</v>
      </c>
      <c r="H1125" s="1" t="s">
        <v>14282</v>
      </c>
      <c r="I1125" s="1" t="s">
        <v>15234</v>
      </c>
      <c r="J1125" s="1" t="s">
        <v>23</v>
      </c>
      <c r="K1125" s="1"/>
      <c r="L1125" s="1" t="s">
        <v>10282</v>
      </c>
      <c r="M1125" s="1" t="s">
        <v>10282</v>
      </c>
      <c r="N1125" s="12" t="b">
        <f t="shared" si="85"/>
        <v>1</v>
      </c>
      <c r="O1125" s="1" t="s">
        <v>10835</v>
      </c>
      <c r="P1125" s="1" t="s">
        <v>10836</v>
      </c>
      <c r="Q1125" s="1" t="s">
        <v>10837</v>
      </c>
      <c r="R1125" s="1" t="s">
        <v>10838</v>
      </c>
      <c r="S1125" s="1" t="s">
        <v>10284</v>
      </c>
      <c r="T1125" s="1" t="s">
        <v>10285</v>
      </c>
      <c r="U1125" s="1" t="s">
        <v>10286</v>
      </c>
      <c r="V1125" s="13">
        <f>COUNTIF(L1125:$M$1659,L1125)</f>
        <v>2</v>
      </c>
      <c r="W1125" s="1" t="s">
        <v>10290</v>
      </c>
      <c r="X1125">
        <v>469.53</v>
      </c>
      <c r="Y1125">
        <v>399.03</v>
      </c>
      <c r="Z1125">
        <v>12.790459</v>
      </c>
      <c r="AA1125">
        <v>108.462628</v>
      </c>
      <c r="AB1125">
        <v>70.5</v>
      </c>
      <c r="AC1125">
        <v>12.811557000000001</v>
      </c>
      <c r="AD1125">
        <v>108.483304</v>
      </c>
      <c r="AE1125" s="5">
        <f t="shared" si="86"/>
        <v>0.59854499999999999</v>
      </c>
      <c r="AF1125" s="5">
        <f t="shared" si="87"/>
        <v>0.10575</v>
      </c>
      <c r="AG1125" s="1" t="str">
        <f>TRIM(LEFT(L1125,FIND("-",L1125)-1))</f>
        <v>Ea Ô</v>
      </c>
      <c r="AH1125" s="1" t="str">
        <f>TRIM(RIGHT(L1125, LEN(L1125) - FIND("-", L1125)))</f>
        <v>TTCMKV Ea Kar</v>
      </c>
      <c r="AJ1125">
        <f t="shared" si="88"/>
        <v>0.39903</v>
      </c>
      <c r="AK1125">
        <f t="shared" si="89"/>
        <v>7.0499999999999993E-2</v>
      </c>
      <c r="AL1125">
        <f>VLOOKUP(L1125,'[1]Tuyến cáp H04'!$B:$E,3,0)/1000</f>
        <v>15.553000000000001</v>
      </c>
      <c r="AM1125" t="str">
        <f>VLOOKUP(L1125,'[1]Tuyến cáp H04'!$B:$E,4,0)</f>
        <v>Mạng cấp 4</v>
      </c>
    </row>
    <row r="1126" spans="1:39" x14ac:dyDescent="0.25">
      <c r="A1126" s="1" t="s">
        <v>10839</v>
      </c>
      <c r="B1126" s="1" t="s">
        <v>10840</v>
      </c>
      <c r="C1126" s="1" t="s">
        <v>10841</v>
      </c>
      <c r="D1126" s="1" t="s">
        <v>10292</v>
      </c>
      <c r="E1126" s="1" t="s">
        <v>10293</v>
      </c>
      <c r="F1126" s="1" t="s">
        <v>10842</v>
      </c>
      <c r="G1126" s="1" t="s">
        <v>14281</v>
      </c>
      <c r="H1126" s="1" t="s">
        <v>14282</v>
      </c>
      <c r="I1126" s="1" t="s">
        <v>15235</v>
      </c>
      <c r="J1126" s="1" t="s">
        <v>23</v>
      </c>
      <c r="K1126" s="1"/>
      <c r="L1126" s="1" t="s">
        <v>10297</v>
      </c>
      <c r="M1126" s="1" t="s">
        <v>10297</v>
      </c>
      <c r="N1126" s="12" t="b">
        <f t="shared" si="85"/>
        <v>1</v>
      </c>
      <c r="O1126" s="1" t="s">
        <v>10843</v>
      </c>
      <c r="P1126" s="1" t="s">
        <v>10844</v>
      </c>
      <c r="Q1126" s="1" t="s">
        <v>10845</v>
      </c>
      <c r="R1126" s="1" t="s">
        <v>10846</v>
      </c>
      <c r="S1126" s="1" t="s">
        <v>10299</v>
      </c>
      <c r="T1126" s="1" t="s">
        <v>10300</v>
      </c>
      <c r="U1126" s="1" t="s">
        <v>10301</v>
      </c>
      <c r="V1126" s="13">
        <f>COUNTIF(L1126:$M$1659,L1126)</f>
        <v>2</v>
      </c>
      <c r="W1126" s="1" t="s">
        <v>10305</v>
      </c>
      <c r="X1126">
        <v>572.53</v>
      </c>
      <c r="Y1126">
        <v>445.11</v>
      </c>
      <c r="Z1126">
        <v>12.648235</v>
      </c>
      <c r="AA1126">
        <v>108.417293</v>
      </c>
      <c r="AB1126">
        <v>127.41</v>
      </c>
      <c r="AC1126">
        <v>12.658647</v>
      </c>
      <c r="AD1126">
        <v>108.43165500000001</v>
      </c>
      <c r="AE1126" s="5">
        <f t="shared" si="86"/>
        <v>0.66766499999999995</v>
      </c>
      <c r="AF1126" s="5">
        <f t="shared" si="87"/>
        <v>0.19111500000000001</v>
      </c>
      <c r="AG1126" s="1" t="e">
        <f>TRIM(LEFT(L1126,FIND("-",L1126)-1))</f>
        <v>#VALUE!</v>
      </c>
      <c r="AH1126" s="1" t="e">
        <f>TRIM(RIGHT(L1126, LEN(L1126) - FIND("-", L1126)))</f>
        <v>#VALUE!</v>
      </c>
      <c r="AJ1126">
        <f t="shared" si="88"/>
        <v>0.44511000000000001</v>
      </c>
      <c r="AK1126">
        <f t="shared" si="89"/>
        <v>0.12741</v>
      </c>
      <c r="AL1126" t="e">
        <f>VLOOKUP(L1126,'[1]Tuyến cáp H04'!$B:$E,3,0)/1000</f>
        <v>#N/A</v>
      </c>
      <c r="AM1126" t="e">
        <f>VLOOKUP(L1126,'[1]Tuyến cáp H04'!$B:$E,4,0)</f>
        <v>#N/A</v>
      </c>
    </row>
    <row r="1127" spans="1:39" x14ac:dyDescent="0.25">
      <c r="A1127" s="1" t="s">
        <v>10847</v>
      </c>
      <c r="B1127" s="1" t="s">
        <v>10848</v>
      </c>
      <c r="C1127" s="1" t="s">
        <v>10849</v>
      </c>
      <c r="D1127" s="1" t="s">
        <v>8442</v>
      </c>
      <c r="E1127" s="1" t="s">
        <v>8443</v>
      </c>
      <c r="F1127" s="1" t="s">
        <v>10850</v>
      </c>
      <c r="G1127" s="1" t="s">
        <v>14281</v>
      </c>
      <c r="H1127" s="1" t="s">
        <v>14282</v>
      </c>
      <c r="I1127" s="1" t="s">
        <v>15236</v>
      </c>
      <c r="J1127" s="1" t="s">
        <v>23</v>
      </c>
      <c r="K1127" s="1"/>
      <c r="L1127" s="1" t="s">
        <v>10188</v>
      </c>
      <c r="M1127" s="1" t="s">
        <v>10188</v>
      </c>
      <c r="N1127" s="12" t="b">
        <f t="shared" si="85"/>
        <v>1</v>
      </c>
      <c r="O1127" s="1" t="s">
        <v>10851</v>
      </c>
      <c r="P1127" s="1" t="s">
        <v>10852</v>
      </c>
      <c r="Q1127" s="1" t="s">
        <v>10853</v>
      </c>
      <c r="R1127" s="1" t="s">
        <v>10854</v>
      </c>
      <c r="S1127" s="1" t="s">
        <v>10193</v>
      </c>
      <c r="T1127" s="1" t="s">
        <v>10194</v>
      </c>
      <c r="U1127" s="1" t="s">
        <v>10195</v>
      </c>
      <c r="V1127" s="13">
        <f>COUNTIF(L1127:$M$1659,L1127)</f>
        <v>2</v>
      </c>
      <c r="W1127" s="1" t="s">
        <v>10196</v>
      </c>
      <c r="X1127">
        <v>1685.75</v>
      </c>
      <c r="Y1127">
        <v>1569</v>
      </c>
      <c r="Z1127">
        <v>12.563748</v>
      </c>
      <c r="AA1127">
        <v>108.149928</v>
      </c>
      <c r="AB1127">
        <v>116.75</v>
      </c>
      <c r="AC1127">
        <v>12.559718</v>
      </c>
      <c r="AD1127">
        <v>108.162858</v>
      </c>
      <c r="AE1127" s="5">
        <f t="shared" si="86"/>
        <v>2.3534999999999999</v>
      </c>
      <c r="AF1127" s="5">
        <f t="shared" si="87"/>
        <v>0.175125</v>
      </c>
      <c r="AG1127" s="1" t="str">
        <f>TRIM(LEFT(L1127,FIND("-",L1127)-1))</f>
        <v>KRông Ana</v>
      </c>
      <c r="AH1127" s="1" t="str">
        <f>TRIM(RIGHT(L1127, LEN(L1127) - FIND("-", L1127)))</f>
        <v>Cư Kuin</v>
      </c>
      <c r="AJ1127">
        <f t="shared" si="88"/>
        <v>1.569</v>
      </c>
      <c r="AK1127">
        <f t="shared" si="89"/>
        <v>0.11675000000000001</v>
      </c>
      <c r="AL1127">
        <f>VLOOKUP(L1127,'[1]Tuyến cáp H04'!$B:$E,3,0)/1000</f>
        <v>31.129000000000001</v>
      </c>
      <c r="AM1127" t="str">
        <f>VLOOKUP(L1127,'[1]Tuyến cáp H04'!$B:$E,4,0)</f>
        <v>Mạng cấp 3</v>
      </c>
    </row>
    <row r="1128" spans="1:39" x14ac:dyDescent="0.25">
      <c r="A1128" s="1" t="s">
        <v>10855</v>
      </c>
      <c r="B1128" s="1" t="s">
        <v>10856</v>
      </c>
      <c r="C1128" s="1" t="s">
        <v>10857</v>
      </c>
      <c r="D1128" s="1" t="s">
        <v>8442</v>
      </c>
      <c r="E1128" s="1" t="s">
        <v>8443</v>
      </c>
      <c r="F1128" s="1" t="s">
        <v>10858</v>
      </c>
      <c r="G1128" s="1" t="s">
        <v>14281</v>
      </c>
      <c r="H1128" s="1" t="s">
        <v>14282</v>
      </c>
      <c r="I1128" s="1" t="s">
        <v>15237</v>
      </c>
      <c r="J1128" s="1" t="s">
        <v>23</v>
      </c>
      <c r="K1128" s="1"/>
      <c r="L1128" s="1" t="s">
        <v>10859</v>
      </c>
      <c r="M1128" s="1" t="s">
        <v>10859</v>
      </c>
      <c r="N1128" s="12" t="b">
        <f t="shared" si="85"/>
        <v>1</v>
      </c>
      <c r="O1128" s="1" t="s">
        <v>10860</v>
      </c>
      <c r="P1128" s="1" t="s">
        <v>10861</v>
      </c>
      <c r="Q1128" s="1" t="s">
        <v>10862</v>
      </c>
      <c r="R1128" s="1" t="s">
        <v>10863</v>
      </c>
      <c r="S1128" s="1" t="s">
        <v>10864</v>
      </c>
      <c r="T1128" s="1" t="s">
        <v>10865</v>
      </c>
      <c r="U1128" s="1" t="s">
        <v>10866</v>
      </c>
      <c r="V1128" s="13">
        <f>COUNTIF(L1128:$M$1659,L1128)</f>
        <v>2</v>
      </c>
      <c r="W1128" s="1" t="s">
        <v>10867</v>
      </c>
      <c r="X1128">
        <v>632.69000000000005</v>
      </c>
      <c r="Y1128">
        <v>76.459999999999994</v>
      </c>
      <c r="Z1128">
        <v>12.542707999999999</v>
      </c>
      <c r="AA1128">
        <v>108.171049</v>
      </c>
      <c r="AB1128">
        <v>556.22</v>
      </c>
      <c r="AC1128">
        <v>12.561978</v>
      </c>
      <c r="AD1128">
        <v>108.168598</v>
      </c>
      <c r="AE1128" s="5">
        <f t="shared" si="86"/>
        <v>0.11469</v>
      </c>
      <c r="AF1128" s="5">
        <f t="shared" si="87"/>
        <v>0.83433000000000002</v>
      </c>
      <c r="AG1128" s="1" t="str">
        <f>TRIM(LEFT(L1128,FIND("-",L1128)-1))</f>
        <v>Cư Kuin</v>
      </c>
      <c r="AH1128" s="1" t="str">
        <f>TRIM(RIGHT(L1128, LEN(L1128) - FIND("-", L1128)))</f>
        <v>Lăk</v>
      </c>
      <c r="AJ1128">
        <f t="shared" si="88"/>
        <v>7.646E-2</v>
      </c>
      <c r="AK1128">
        <f t="shared" si="89"/>
        <v>0.55622000000000005</v>
      </c>
      <c r="AL1128">
        <f>VLOOKUP(L1128,'[1]Tuyến cáp H04'!$B:$E,3,0)/1000</f>
        <v>31.872</v>
      </c>
      <c r="AM1128" t="str">
        <f>VLOOKUP(L1128,'[1]Tuyến cáp H04'!$B:$E,4,0)</f>
        <v>Mạng cấp 3</v>
      </c>
    </row>
    <row r="1129" spans="1:39" x14ac:dyDescent="0.25">
      <c r="A1129" s="1" t="s">
        <v>10868</v>
      </c>
      <c r="B1129" s="1" t="s">
        <v>10473</v>
      </c>
      <c r="C1129" s="1" t="s">
        <v>10474</v>
      </c>
      <c r="D1129" s="1" t="s">
        <v>8470</v>
      </c>
      <c r="E1129" s="1" t="s">
        <v>8471</v>
      </c>
      <c r="F1129" s="1" t="s">
        <v>10869</v>
      </c>
      <c r="G1129" s="1" t="s">
        <v>14281</v>
      </c>
      <c r="H1129" s="1" t="s">
        <v>14282</v>
      </c>
      <c r="I1129" s="1" t="s">
        <v>15238</v>
      </c>
      <c r="J1129" s="1" t="s">
        <v>23</v>
      </c>
      <c r="K1129" s="1"/>
      <c r="L1129" s="1" t="s">
        <v>8350</v>
      </c>
      <c r="M1129" s="1" t="s">
        <v>8350</v>
      </c>
      <c r="N1129" s="12" t="b">
        <f t="shared" si="85"/>
        <v>1</v>
      </c>
      <c r="O1129" s="1" t="s">
        <v>10476</v>
      </c>
      <c r="P1129" s="1" t="s">
        <v>10477</v>
      </c>
      <c r="Q1129" s="1" t="s">
        <v>10478</v>
      </c>
      <c r="R1129" s="1" t="s">
        <v>10479</v>
      </c>
      <c r="S1129" s="1" t="s">
        <v>8477</v>
      </c>
      <c r="T1129" s="1" t="s">
        <v>8356</v>
      </c>
      <c r="U1129" s="1" t="s">
        <v>8357</v>
      </c>
      <c r="V1129" s="13">
        <f>COUNTIF(L1129:$M$1659,L1129)</f>
        <v>6</v>
      </c>
      <c r="W1129" s="1" t="s">
        <v>8358</v>
      </c>
      <c r="X1129">
        <v>764.99</v>
      </c>
      <c r="Y1129">
        <v>695.74</v>
      </c>
      <c r="Z1129">
        <v>12.809037999999999</v>
      </c>
      <c r="AA1129">
        <v>108.447738</v>
      </c>
      <c r="AB1129">
        <v>69.25</v>
      </c>
      <c r="AC1129">
        <v>12.811565999999999</v>
      </c>
      <c r="AD1129">
        <v>108.483311</v>
      </c>
      <c r="AE1129" s="5">
        <f t="shared" si="86"/>
        <v>1.0436100000000001</v>
      </c>
      <c r="AF1129" s="5">
        <f t="shared" si="87"/>
        <v>0.103875</v>
      </c>
      <c r="AG1129" s="1" t="str">
        <f>TRIM(LEFT(L1129,FIND("-",L1129)-1))</f>
        <v>TT1 Đăk Lăk</v>
      </c>
      <c r="AH1129" s="1" t="str">
        <f>TRIM(RIGHT(L1129, LEN(L1129) - FIND("-", L1129)))</f>
        <v>ILA Ea Kar</v>
      </c>
      <c r="AJ1129">
        <f t="shared" si="88"/>
        <v>0.69574000000000003</v>
      </c>
      <c r="AK1129">
        <f t="shared" si="89"/>
        <v>6.9250000000000006E-2</v>
      </c>
      <c r="AL1129" t="e">
        <f>VLOOKUP(L1129,'[1]Tuyến cáp H04'!$B:$E,3,0)/1000</f>
        <v>#N/A</v>
      </c>
      <c r="AM1129" t="e">
        <f>VLOOKUP(L1129,'[1]Tuyến cáp H04'!$B:$E,4,0)</f>
        <v>#N/A</v>
      </c>
    </row>
    <row r="1130" spans="1:39" x14ac:dyDescent="0.25">
      <c r="A1130" s="1" t="s">
        <v>10870</v>
      </c>
      <c r="B1130" s="1" t="s">
        <v>10871</v>
      </c>
      <c r="C1130" s="1" t="s">
        <v>10872</v>
      </c>
      <c r="D1130" s="1" t="s">
        <v>8470</v>
      </c>
      <c r="E1130" s="1" t="s">
        <v>8471</v>
      </c>
      <c r="F1130" s="1" t="s">
        <v>10873</v>
      </c>
      <c r="G1130" s="1" t="s">
        <v>14281</v>
      </c>
      <c r="H1130" s="1" t="s">
        <v>14282</v>
      </c>
      <c r="I1130" s="1" t="s">
        <v>15239</v>
      </c>
      <c r="J1130" s="1" t="s">
        <v>23</v>
      </c>
      <c r="K1130" s="1"/>
      <c r="L1130" s="1" t="s">
        <v>8350</v>
      </c>
      <c r="M1130" s="1" t="s">
        <v>8350</v>
      </c>
      <c r="N1130" s="12" t="b">
        <f t="shared" si="85"/>
        <v>1</v>
      </c>
      <c r="O1130" s="1" t="s">
        <v>10874</v>
      </c>
      <c r="P1130" s="1" t="s">
        <v>10875</v>
      </c>
      <c r="Q1130" s="1" t="s">
        <v>10876</v>
      </c>
      <c r="R1130" s="1" t="s">
        <v>10877</v>
      </c>
      <c r="S1130" s="1" t="s">
        <v>8477</v>
      </c>
      <c r="T1130" s="1" t="s">
        <v>8356</v>
      </c>
      <c r="U1130" s="1" t="s">
        <v>8357</v>
      </c>
      <c r="V1130" s="13">
        <f>COUNTIF(L1130:$M$1659,L1130)</f>
        <v>4</v>
      </c>
      <c r="W1130" s="1" t="s">
        <v>8358</v>
      </c>
      <c r="X1130">
        <v>419.66</v>
      </c>
      <c r="Y1130">
        <v>350.41</v>
      </c>
      <c r="Z1130">
        <v>12.802802</v>
      </c>
      <c r="AA1130">
        <v>108.425128</v>
      </c>
      <c r="AB1130">
        <v>69.25</v>
      </c>
      <c r="AC1130">
        <v>12.811565999999999</v>
      </c>
      <c r="AD1130">
        <v>108.483311</v>
      </c>
      <c r="AE1130" s="5">
        <f t="shared" si="86"/>
        <v>0.52561500000000005</v>
      </c>
      <c r="AF1130" s="5">
        <f t="shared" si="87"/>
        <v>0.103875</v>
      </c>
      <c r="AG1130" s="1" t="str">
        <f>TRIM(LEFT(L1130,FIND("-",L1130)-1))</f>
        <v>TT1 Đăk Lăk</v>
      </c>
      <c r="AH1130" s="1" t="str">
        <f>TRIM(RIGHT(L1130, LEN(L1130) - FIND("-", L1130)))</f>
        <v>ILA Ea Kar</v>
      </c>
      <c r="AJ1130">
        <f t="shared" si="88"/>
        <v>0.35041</v>
      </c>
      <c r="AK1130">
        <f t="shared" si="89"/>
        <v>6.9250000000000006E-2</v>
      </c>
      <c r="AL1130" t="e">
        <f>VLOOKUP(L1130,'[1]Tuyến cáp H04'!$B:$E,3,0)/1000</f>
        <v>#N/A</v>
      </c>
      <c r="AM1130" t="e">
        <f>VLOOKUP(L1130,'[1]Tuyến cáp H04'!$B:$E,4,0)</f>
        <v>#N/A</v>
      </c>
    </row>
    <row r="1131" spans="1:39" x14ac:dyDescent="0.25">
      <c r="A1131" s="1" t="s">
        <v>10878</v>
      </c>
      <c r="B1131" s="1" t="s">
        <v>10879</v>
      </c>
      <c r="C1131" s="1" t="s">
        <v>10880</v>
      </c>
      <c r="D1131" s="1" t="s">
        <v>8332</v>
      </c>
      <c r="E1131" s="1" t="s">
        <v>8333</v>
      </c>
      <c r="F1131" s="1" t="s">
        <v>10881</v>
      </c>
      <c r="G1131" s="1" t="s">
        <v>14281</v>
      </c>
      <c r="H1131" s="1" t="s">
        <v>14282</v>
      </c>
      <c r="I1131" s="1" t="s">
        <v>15240</v>
      </c>
      <c r="J1131" s="1" t="s">
        <v>23</v>
      </c>
      <c r="K1131" s="1"/>
      <c r="L1131" s="1" t="s">
        <v>8335</v>
      </c>
      <c r="M1131" s="1" t="s">
        <v>8335</v>
      </c>
      <c r="N1131" s="12" t="b">
        <f t="shared" si="85"/>
        <v>1</v>
      </c>
      <c r="O1131" s="1" t="s">
        <v>10882</v>
      </c>
      <c r="P1131" s="1" t="s">
        <v>1462</v>
      </c>
      <c r="Q1131" s="1" t="s">
        <v>10883</v>
      </c>
      <c r="R1131" s="1" t="s">
        <v>10884</v>
      </c>
      <c r="S1131" s="1" t="s">
        <v>8340</v>
      </c>
      <c r="T1131" s="1" t="s">
        <v>8341</v>
      </c>
      <c r="U1131" s="1" t="s">
        <v>8342</v>
      </c>
      <c r="V1131" s="13">
        <f>COUNTIF(L1131:$M$1659,L1131)</f>
        <v>2</v>
      </c>
      <c r="W1131" s="1" t="s">
        <v>8343</v>
      </c>
      <c r="X1131">
        <v>100.61</v>
      </c>
      <c r="Y1131">
        <v>42.66</v>
      </c>
      <c r="Z1131">
        <v>12.917756000000001</v>
      </c>
      <c r="AA1131">
        <v>108.267475</v>
      </c>
      <c r="AB1131">
        <v>57.95</v>
      </c>
      <c r="AC1131">
        <v>12.916482999999999</v>
      </c>
      <c r="AD1131">
        <v>108.26607</v>
      </c>
      <c r="AE1131" s="5">
        <f t="shared" si="86"/>
        <v>6.3989999999999991E-2</v>
      </c>
      <c r="AF1131" s="5">
        <f t="shared" si="87"/>
        <v>8.6925000000000016E-2</v>
      </c>
      <c r="AG1131" s="1" t="e">
        <f>TRIM(LEFT(L1131,FIND("-",L1131)-1))</f>
        <v>#VALUE!</v>
      </c>
      <c r="AH1131" s="1" t="e">
        <f>TRIM(RIGHT(L1131, LEN(L1131) - FIND("-", L1131)))</f>
        <v>#VALUE!</v>
      </c>
      <c r="AJ1131">
        <f t="shared" si="88"/>
        <v>4.2659999999999997E-2</v>
      </c>
      <c r="AK1131">
        <f t="shared" si="89"/>
        <v>5.7950000000000002E-2</v>
      </c>
      <c r="AL1131" t="e">
        <f>VLOOKUP(L1131,'[1]Tuyến cáp H04'!$B:$E,3,0)/1000</f>
        <v>#N/A</v>
      </c>
      <c r="AM1131" t="e">
        <f>VLOOKUP(L1131,'[1]Tuyến cáp H04'!$B:$E,4,0)</f>
        <v>#N/A</v>
      </c>
    </row>
    <row r="1132" spans="1:39" x14ac:dyDescent="0.25">
      <c r="A1132" s="1" t="s">
        <v>10885</v>
      </c>
      <c r="B1132" s="1" t="s">
        <v>10886</v>
      </c>
      <c r="C1132" s="1" t="s">
        <v>10887</v>
      </c>
      <c r="D1132" s="1" t="s">
        <v>10747</v>
      </c>
      <c r="E1132" s="1" t="s">
        <v>10748</v>
      </c>
      <c r="F1132" s="1" t="s">
        <v>10888</v>
      </c>
      <c r="G1132" s="1" t="s">
        <v>14281</v>
      </c>
      <c r="H1132" s="1" t="s">
        <v>14282</v>
      </c>
      <c r="I1132" s="1" t="s">
        <v>15241</v>
      </c>
      <c r="J1132" s="1" t="s">
        <v>23</v>
      </c>
      <c r="K1132" s="1"/>
      <c r="L1132" s="1" t="s">
        <v>10765</v>
      </c>
      <c r="M1132" s="1" t="s">
        <v>10765</v>
      </c>
      <c r="N1132" s="12" t="b">
        <f t="shared" si="85"/>
        <v>1</v>
      </c>
      <c r="O1132" s="1" t="s">
        <v>10889</v>
      </c>
      <c r="P1132" s="1" t="s">
        <v>10890</v>
      </c>
      <c r="Q1132" s="1" t="s">
        <v>10891</v>
      </c>
      <c r="R1132" s="1" t="s">
        <v>10892</v>
      </c>
      <c r="S1132" s="1" t="s">
        <v>10770</v>
      </c>
      <c r="T1132" s="1" t="s">
        <v>10771</v>
      </c>
      <c r="U1132" s="1" t="s">
        <v>10772</v>
      </c>
      <c r="V1132" s="13">
        <f>COUNTIF(L1132:$M$1659,L1132)</f>
        <v>2</v>
      </c>
      <c r="W1132" s="1" t="s">
        <v>10773</v>
      </c>
      <c r="X1132">
        <v>106.77</v>
      </c>
      <c r="Y1132">
        <v>3.93</v>
      </c>
      <c r="Z1132">
        <v>12.504905000000001</v>
      </c>
      <c r="AA1132">
        <v>108.257575</v>
      </c>
      <c r="AB1132">
        <v>102.84</v>
      </c>
      <c r="AC1132">
        <v>12.503901000000001</v>
      </c>
      <c r="AD1132">
        <v>108.230475</v>
      </c>
      <c r="AE1132" s="5">
        <f t="shared" si="86"/>
        <v>5.8950000000000001E-3</v>
      </c>
      <c r="AF1132" s="5">
        <f t="shared" si="87"/>
        <v>0.15425999999999998</v>
      </c>
      <c r="AG1132" s="1" t="str">
        <f>TRIM(LEFT(L1132,FIND("-",L1132)-1))</f>
        <v>Hòa Sơn</v>
      </c>
      <c r="AH1132" s="1" t="str">
        <f>TRIM(RIGHT(L1132, LEN(L1132) - FIND("-", L1132)))</f>
        <v>Krông Bông</v>
      </c>
      <c r="AJ1132">
        <f t="shared" si="88"/>
        <v>3.9300000000000003E-3</v>
      </c>
      <c r="AK1132">
        <f t="shared" si="89"/>
        <v>0.10284</v>
      </c>
      <c r="AL1132">
        <f>VLOOKUP(L1132,'[1]Tuyến cáp H04'!$B:$E,3,0)/1000</f>
        <v>14.2</v>
      </c>
      <c r="AM1132" t="str">
        <f>VLOOKUP(L1132,'[1]Tuyến cáp H04'!$B:$E,4,0)</f>
        <v>Mạng cấp 4</v>
      </c>
    </row>
    <row r="1133" spans="1:39" x14ac:dyDescent="0.25">
      <c r="A1133" s="1" t="s">
        <v>10893</v>
      </c>
      <c r="B1133" s="1" t="s">
        <v>10894</v>
      </c>
      <c r="C1133" s="1" t="s">
        <v>10895</v>
      </c>
      <c r="D1133" s="1" t="s">
        <v>10260</v>
      </c>
      <c r="E1133" s="1" t="s">
        <v>10261</v>
      </c>
      <c r="F1133" s="1" t="s">
        <v>10896</v>
      </c>
      <c r="G1133" s="1" t="s">
        <v>14281</v>
      </c>
      <c r="H1133" s="1" t="s">
        <v>14282</v>
      </c>
      <c r="I1133" s="1" t="s">
        <v>15242</v>
      </c>
      <c r="J1133" s="1" t="s">
        <v>23</v>
      </c>
      <c r="K1133" s="1"/>
      <c r="L1133" s="1" t="s">
        <v>10263</v>
      </c>
      <c r="M1133" s="1" t="s">
        <v>10263</v>
      </c>
      <c r="N1133" s="12" t="b">
        <f t="shared" si="85"/>
        <v>1</v>
      </c>
      <c r="O1133" s="1" t="s">
        <v>10897</v>
      </c>
      <c r="P1133" s="1" t="s">
        <v>10898</v>
      </c>
      <c r="Q1133" s="1" t="s">
        <v>10899</v>
      </c>
      <c r="R1133" s="1" t="s">
        <v>10900</v>
      </c>
      <c r="S1133" s="1" t="s">
        <v>10265</v>
      </c>
      <c r="T1133" s="1" t="s">
        <v>10266</v>
      </c>
      <c r="U1133" s="1" t="s">
        <v>10267</v>
      </c>
      <c r="V1133" s="13">
        <f>COUNTIF(L1133:$M$1659,L1133)</f>
        <v>2</v>
      </c>
      <c r="W1133" s="1" t="s">
        <v>10271</v>
      </c>
      <c r="X1133">
        <v>1443.71</v>
      </c>
      <c r="Y1133">
        <v>1358.31</v>
      </c>
      <c r="Z1133">
        <v>12.738009</v>
      </c>
      <c r="AA1133">
        <v>108.370137</v>
      </c>
      <c r="AB1133">
        <v>85.4</v>
      </c>
      <c r="AC1133">
        <v>12.727708</v>
      </c>
      <c r="AD1133">
        <v>108.36395400000001</v>
      </c>
      <c r="AE1133" s="5">
        <f t="shared" si="86"/>
        <v>2.0374650000000001</v>
      </c>
      <c r="AF1133" s="5">
        <f t="shared" si="87"/>
        <v>0.12810000000000002</v>
      </c>
      <c r="AG1133" s="1" t="str">
        <f>TRIM(LEFT(L1133,FIND("-",L1133)-1))</f>
        <v>KRông Păk</v>
      </c>
      <c r="AH1133" s="1" t="str">
        <f>TRIM(RIGHT(L1133, LEN(L1133) - FIND("-", L1133)))</f>
        <v>Trại giam Đăk Tân (C10)</v>
      </c>
      <c r="AJ1133">
        <f t="shared" si="88"/>
        <v>1.3583099999999999</v>
      </c>
      <c r="AK1133">
        <f t="shared" si="89"/>
        <v>8.5400000000000004E-2</v>
      </c>
      <c r="AL1133">
        <f>VLOOKUP(L1133,'[1]Tuyến cáp H04'!$B:$E,3,0)/1000</f>
        <v>53.56</v>
      </c>
      <c r="AM1133" t="str">
        <f>VLOOKUP(L1133,'[1]Tuyến cáp H04'!$B:$E,4,0)</f>
        <v>Mạng cấp 3</v>
      </c>
    </row>
    <row r="1134" spans="1:39" x14ac:dyDescent="0.25">
      <c r="A1134" s="1" t="s">
        <v>10901</v>
      </c>
      <c r="B1134" s="1" t="s">
        <v>10902</v>
      </c>
      <c r="C1134" s="1" t="s">
        <v>10903</v>
      </c>
      <c r="D1134" s="1" t="s">
        <v>8175</v>
      </c>
      <c r="E1134" s="1" t="s">
        <v>8176</v>
      </c>
      <c r="F1134" s="1" t="s">
        <v>10904</v>
      </c>
      <c r="G1134" s="1" t="s">
        <v>14281</v>
      </c>
      <c r="H1134" s="1" t="s">
        <v>14282</v>
      </c>
      <c r="I1134" s="1" t="s">
        <v>15243</v>
      </c>
      <c r="J1134" s="1" t="s">
        <v>23</v>
      </c>
      <c r="K1134" s="1"/>
      <c r="L1134" s="1" t="s">
        <v>10905</v>
      </c>
      <c r="M1134" s="1" t="s">
        <v>10905</v>
      </c>
      <c r="N1134" s="12" t="b">
        <f t="shared" si="85"/>
        <v>1</v>
      </c>
      <c r="O1134" s="1" t="s">
        <v>10906</v>
      </c>
      <c r="P1134" s="1" t="s">
        <v>10907</v>
      </c>
      <c r="Q1134" s="1" t="s">
        <v>10908</v>
      </c>
      <c r="R1134" s="1" t="s">
        <v>10909</v>
      </c>
      <c r="S1134" s="1" t="s">
        <v>10910</v>
      </c>
      <c r="T1134" s="1" t="s">
        <v>10911</v>
      </c>
      <c r="U1134" s="1" t="s">
        <v>10912</v>
      </c>
      <c r="V1134" s="13">
        <f>COUNTIF(L1134:$M$1659,L1134)</f>
        <v>2</v>
      </c>
      <c r="W1134" s="1" t="s">
        <v>10913</v>
      </c>
      <c r="X1134">
        <v>1183.43</v>
      </c>
      <c r="Y1134">
        <v>229.7</v>
      </c>
      <c r="Z1134">
        <v>12.664429</v>
      </c>
      <c r="AA1134">
        <v>108.114558</v>
      </c>
      <c r="AB1134">
        <v>953.73</v>
      </c>
      <c r="AC1134">
        <v>12.662739</v>
      </c>
      <c r="AD1134">
        <v>108.10481900000001</v>
      </c>
      <c r="AE1134" s="5">
        <f t="shared" si="86"/>
        <v>0.34454999999999997</v>
      </c>
      <c r="AF1134" s="5">
        <f t="shared" si="87"/>
        <v>1.4305950000000001</v>
      </c>
      <c r="AG1134" s="1" t="str">
        <f>TRIM(LEFT(L1134,FIND("-",L1134)-1))</f>
        <v>Cảng hàng không Buôn Mê Thuột</v>
      </c>
      <c r="AH1134" s="1" t="str">
        <f>TRIM(RIGHT(L1134, LEN(L1134) - FIND("-", L1134)))</f>
        <v>TT1 Đăk
Lăk</v>
      </c>
      <c r="AJ1134">
        <f t="shared" si="88"/>
        <v>0.22969999999999999</v>
      </c>
      <c r="AK1134">
        <f t="shared" si="89"/>
        <v>0.95372999999999997</v>
      </c>
      <c r="AL1134">
        <f>VLOOKUP(L1134,'[1]Tuyến cáp H04'!$B:$E,3,0)/1000</f>
        <v>8.7349999999999994</v>
      </c>
      <c r="AM1134" t="str">
        <f>VLOOKUP(L1134,'[1]Tuyến cáp H04'!$B:$E,4,0)</f>
        <v>Mạng cấp 3</v>
      </c>
    </row>
    <row r="1135" spans="1:39" x14ac:dyDescent="0.25">
      <c r="A1135" s="1" t="s">
        <v>10914</v>
      </c>
      <c r="B1135" s="1" t="s">
        <v>10915</v>
      </c>
      <c r="C1135" s="1" t="s">
        <v>10916</v>
      </c>
      <c r="D1135" s="1" t="s">
        <v>9053</v>
      </c>
      <c r="E1135" s="1" t="s">
        <v>9054</v>
      </c>
      <c r="F1135" s="1" t="s">
        <v>10917</v>
      </c>
      <c r="G1135" s="1" t="s">
        <v>14281</v>
      </c>
      <c r="H1135" s="1" t="s">
        <v>14282</v>
      </c>
      <c r="I1135" s="1" t="s">
        <v>15244</v>
      </c>
      <c r="J1135" s="1" t="s">
        <v>23</v>
      </c>
      <c r="K1135" s="1"/>
      <c r="L1135" s="1" t="s">
        <v>9056</v>
      </c>
      <c r="M1135" s="1" t="s">
        <v>9056</v>
      </c>
      <c r="N1135" s="12" t="b">
        <f t="shared" si="85"/>
        <v>1</v>
      </c>
      <c r="O1135" s="1" t="s">
        <v>10918</v>
      </c>
      <c r="P1135" s="1" t="s">
        <v>10919</v>
      </c>
      <c r="Q1135" s="1" t="s">
        <v>10920</v>
      </c>
      <c r="R1135" s="1" t="s">
        <v>10921</v>
      </c>
      <c r="S1135" s="1" t="s">
        <v>10922</v>
      </c>
      <c r="T1135" s="1" t="s">
        <v>10923</v>
      </c>
      <c r="U1135" s="1" t="s">
        <v>10924</v>
      </c>
      <c r="V1135" s="13">
        <f>COUNTIF(L1135:$M$1659,L1135)</f>
        <v>2</v>
      </c>
      <c r="W1135" s="1" t="s">
        <v>10925</v>
      </c>
      <c r="X1135">
        <v>680.65</v>
      </c>
      <c r="Y1135">
        <v>654.73</v>
      </c>
      <c r="Z1135">
        <v>12.660380999999999</v>
      </c>
      <c r="AA1135">
        <v>108.03106</v>
      </c>
      <c r="AB1135">
        <v>25.93</v>
      </c>
      <c r="AC1135">
        <v>12.659843</v>
      </c>
      <c r="AD1135">
        <v>108.030387</v>
      </c>
      <c r="AE1135" s="5">
        <f t="shared" si="86"/>
        <v>0.98209500000000005</v>
      </c>
      <c r="AF1135" s="5">
        <f t="shared" si="87"/>
        <v>3.8894999999999999E-2</v>
      </c>
      <c r="AG1135" s="1" t="str">
        <f>TRIM(LEFT(L1135,FIND("-",L1135)-1))</f>
        <v>CAT Đắk Lắk</v>
      </c>
      <c r="AH1135" s="1" t="str">
        <f>TRIM(RIGHT(L1135, LEN(L1135) - FIND("-", L1135)))</f>
        <v>Ea Kao</v>
      </c>
      <c r="AJ1135">
        <f t="shared" si="88"/>
        <v>0.65473000000000003</v>
      </c>
      <c r="AK1135">
        <f t="shared" si="89"/>
        <v>2.5929999999999998E-2</v>
      </c>
      <c r="AL1135">
        <f>VLOOKUP(L1135,'[1]Tuyến cáp H04'!$B:$E,3,0)/1000</f>
        <v>4.133</v>
      </c>
      <c r="AM1135" t="str">
        <f>VLOOKUP(L1135,'[1]Tuyến cáp H04'!$B:$E,4,0)</f>
        <v>Mạng cấp 4</v>
      </c>
    </row>
    <row r="1136" spans="1:39" x14ac:dyDescent="0.25">
      <c r="A1136" s="1" t="s">
        <v>10926</v>
      </c>
      <c r="B1136" s="1" t="s">
        <v>8377</v>
      </c>
      <c r="C1136" s="1" t="s">
        <v>8378</v>
      </c>
      <c r="D1136" s="1" t="s">
        <v>10927</v>
      </c>
      <c r="E1136" s="1" t="s">
        <v>10928</v>
      </c>
      <c r="F1136" s="1" t="s">
        <v>10929</v>
      </c>
      <c r="G1136" s="1" t="s">
        <v>14281</v>
      </c>
      <c r="H1136" s="1" t="s">
        <v>14282</v>
      </c>
      <c r="I1136" s="1" t="s">
        <v>15245</v>
      </c>
      <c r="J1136" s="1" t="s">
        <v>23</v>
      </c>
      <c r="K1136" s="1"/>
      <c r="L1136" s="1" t="s">
        <v>8350</v>
      </c>
      <c r="M1136" s="1" t="s">
        <v>8350</v>
      </c>
      <c r="N1136" s="12" t="b">
        <f t="shared" si="85"/>
        <v>1</v>
      </c>
      <c r="O1136" s="1" t="s">
        <v>10930</v>
      </c>
      <c r="P1136" s="1" t="s">
        <v>8382</v>
      </c>
      <c r="Q1136" s="1" t="s">
        <v>8356</v>
      </c>
      <c r="R1136" s="1" t="s">
        <v>8357</v>
      </c>
      <c r="S1136" s="1" t="s">
        <v>10931</v>
      </c>
      <c r="T1136" s="1" t="s">
        <v>10679</v>
      </c>
      <c r="U1136" s="1" t="s">
        <v>10680</v>
      </c>
      <c r="V1136" s="13">
        <f>COUNTIF(L1136:$M$1659,L1136)</f>
        <v>2</v>
      </c>
      <c r="W1136" s="1" t="s">
        <v>8358</v>
      </c>
      <c r="X1136">
        <v>97054.24</v>
      </c>
      <c r="Y1136">
        <v>94505.82</v>
      </c>
      <c r="Z1136">
        <v>12.811565999999999</v>
      </c>
      <c r="AA1136">
        <v>108.483311</v>
      </c>
      <c r="AB1136">
        <v>2548.42</v>
      </c>
      <c r="AC1136">
        <v>12.697469</v>
      </c>
      <c r="AD1136">
        <v>108.071369</v>
      </c>
      <c r="AE1136" s="5">
        <f t="shared" si="86"/>
        <v>141.75873000000001</v>
      </c>
      <c r="AF1136" s="5">
        <f t="shared" si="87"/>
        <v>3.8226300000000002</v>
      </c>
      <c r="AG1136" s="1" t="str">
        <f>TRIM(LEFT(L1136,FIND("-",L1136)-1))</f>
        <v>TT1 Đăk Lăk</v>
      </c>
      <c r="AH1136" s="1" t="str">
        <f>TRIM(RIGHT(L1136, LEN(L1136) - FIND("-", L1136)))</f>
        <v>ILA Ea Kar</v>
      </c>
      <c r="AJ1136">
        <f t="shared" si="88"/>
        <v>94.50582</v>
      </c>
      <c r="AK1136">
        <f t="shared" si="89"/>
        <v>2.5484200000000001</v>
      </c>
      <c r="AL1136" t="e">
        <f>VLOOKUP(L1136,'[1]Tuyến cáp H04'!$B:$E,3,0)/1000</f>
        <v>#N/A</v>
      </c>
      <c r="AM1136" t="e">
        <f>VLOOKUP(L1136,'[1]Tuyến cáp H04'!$B:$E,4,0)</f>
        <v>#N/A</v>
      </c>
    </row>
    <row r="1137" spans="1:39" x14ac:dyDescent="0.25">
      <c r="A1137" s="1" t="s">
        <v>10932</v>
      </c>
      <c r="B1137" s="1" t="s">
        <v>10933</v>
      </c>
      <c r="C1137" s="1" t="s">
        <v>10934</v>
      </c>
      <c r="D1137" s="1" t="s">
        <v>8554</v>
      </c>
      <c r="E1137" s="1" t="s">
        <v>8555</v>
      </c>
      <c r="F1137" s="1" t="s">
        <v>10935</v>
      </c>
      <c r="G1137" s="1" t="s">
        <v>14281</v>
      </c>
      <c r="H1137" s="1" t="s">
        <v>14282</v>
      </c>
      <c r="I1137" s="1" t="s">
        <v>15246</v>
      </c>
      <c r="J1137" s="1" t="s">
        <v>23</v>
      </c>
      <c r="K1137" s="1"/>
      <c r="L1137" s="1" t="s">
        <v>10099</v>
      </c>
      <c r="M1137" s="1" t="s">
        <v>10099</v>
      </c>
      <c r="N1137" s="12" t="b">
        <f t="shared" si="85"/>
        <v>1</v>
      </c>
      <c r="O1137" s="1" t="s">
        <v>10936</v>
      </c>
      <c r="P1137" s="1" t="s">
        <v>10937</v>
      </c>
      <c r="Q1137" s="1" t="s">
        <v>10938</v>
      </c>
      <c r="R1137" s="1" t="s">
        <v>10939</v>
      </c>
      <c r="S1137" s="1" t="s">
        <v>10940</v>
      </c>
      <c r="T1137" s="1" t="s">
        <v>10941</v>
      </c>
      <c r="U1137" s="1" t="s">
        <v>10942</v>
      </c>
      <c r="V1137" s="13">
        <f>COUNTIF(L1137:$M$1659,L1137)</f>
        <v>6</v>
      </c>
      <c r="W1137" s="1" t="s">
        <v>10943</v>
      </c>
      <c r="X1137">
        <v>154.06</v>
      </c>
      <c r="Y1137">
        <v>121.17</v>
      </c>
      <c r="Z1137">
        <v>12.684739</v>
      </c>
      <c r="AA1137">
        <v>108.052206</v>
      </c>
      <c r="AB1137">
        <v>32.89</v>
      </c>
      <c r="AC1137">
        <v>12.684350999999999</v>
      </c>
      <c r="AD1137">
        <v>108.05250100000001</v>
      </c>
      <c r="AE1137" s="5">
        <f t="shared" si="86"/>
        <v>0.181755</v>
      </c>
      <c r="AF1137" s="5">
        <f t="shared" si="87"/>
        <v>4.9335000000000004E-2</v>
      </c>
      <c r="AG1137" s="1" t="str">
        <f>TRIM(LEFT(L1137,FIND("-",L1137)-1))</f>
        <v>CAT Đắk Lắk</v>
      </c>
      <c r="AH1137" s="1" t="str">
        <f>TRIM(RIGHT(L1137, LEN(L1137) - FIND("-", L1137)))</f>
        <v>Thành Nhất</v>
      </c>
      <c r="AJ1137">
        <f t="shared" si="88"/>
        <v>0.12117</v>
      </c>
      <c r="AK1137">
        <f t="shared" si="89"/>
        <v>3.2890000000000003E-2</v>
      </c>
      <c r="AL1137">
        <f>VLOOKUP(L1137,'[1]Tuyến cáp H04'!$B:$E,3,0)/1000</f>
        <v>4.242</v>
      </c>
      <c r="AM1137" t="str">
        <f>VLOOKUP(L1137,'[1]Tuyến cáp H04'!$B:$E,4,0)</f>
        <v>Mạng cấp 4</v>
      </c>
    </row>
    <row r="1138" spans="1:39" x14ac:dyDescent="0.25">
      <c r="A1138" s="1" t="s">
        <v>10944</v>
      </c>
      <c r="B1138" s="1" t="s">
        <v>10945</v>
      </c>
      <c r="C1138" s="1" t="s">
        <v>10946</v>
      </c>
      <c r="D1138" s="1" t="s">
        <v>8554</v>
      </c>
      <c r="E1138" s="1" t="s">
        <v>8555</v>
      </c>
      <c r="F1138" s="1" t="s">
        <v>10947</v>
      </c>
      <c r="G1138" s="1" t="s">
        <v>14281</v>
      </c>
      <c r="H1138" s="1" t="s">
        <v>14282</v>
      </c>
      <c r="I1138" s="1" t="s">
        <v>15247</v>
      </c>
      <c r="J1138" s="1" t="s">
        <v>23</v>
      </c>
      <c r="K1138" s="1"/>
      <c r="L1138" s="1" t="s">
        <v>9043</v>
      </c>
      <c r="M1138" s="1" t="s">
        <v>9043</v>
      </c>
      <c r="N1138" s="12" t="b">
        <f t="shared" si="85"/>
        <v>1</v>
      </c>
      <c r="O1138" s="1" t="s">
        <v>10948</v>
      </c>
      <c r="P1138" s="1" t="s">
        <v>10949</v>
      </c>
      <c r="Q1138" s="1" t="s">
        <v>10950</v>
      </c>
      <c r="R1138" s="1" t="s">
        <v>10951</v>
      </c>
      <c r="S1138" s="1" t="s">
        <v>9045</v>
      </c>
      <c r="T1138" s="1" t="s">
        <v>9046</v>
      </c>
      <c r="U1138" s="1" t="s">
        <v>9047</v>
      </c>
      <c r="V1138" s="13">
        <f>COUNTIF(L1138:$M$1659,L1138)</f>
        <v>2</v>
      </c>
      <c r="W1138" s="1" t="s">
        <v>9051</v>
      </c>
      <c r="X1138">
        <v>520.25</v>
      </c>
      <c r="Y1138">
        <v>294.37</v>
      </c>
      <c r="Z1138">
        <v>12.682585</v>
      </c>
      <c r="AA1138">
        <v>108.054059</v>
      </c>
      <c r="AB1138">
        <v>225.88</v>
      </c>
      <c r="AC1138">
        <v>12.683052999999999</v>
      </c>
      <c r="AD1138">
        <v>108.05115600000001</v>
      </c>
      <c r="AE1138" s="5">
        <f t="shared" si="86"/>
        <v>0.44155500000000003</v>
      </c>
      <c r="AF1138" s="5">
        <f t="shared" si="87"/>
        <v>0.33882000000000001</v>
      </c>
      <c r="AG1138" s="1" t="str">
        <f>TRIM(LEFT(L1138,FIND("-",L1138)-1))</f>
        <v>TT1 Đăk Lăk</v>
      </c>
      <c r="AH1138" s="1" t="str">
        <f>TRIM(RIGHT(L1138, LEN(L1138) - FIND("-", L1138)))</f>
        <v>ILA Ea Pal</v>
      </c>
      <c r="AJ1138">
        <f t="shared" si="88"/>
        <v>0.29437000000000002</v>
      </c>
      <c r="AK1138">
        <f t="shared" si="89"/>
        <v>0.22588</v>
      </c>
      <c r="AL1138" t="e">
        <f>VLOOKUP(L1138,'[1]Tuyến cáp H04'!$B:$E,3,0)/1000</f>
        <v>#N/A</v>
      </c>
      <c r="AM1138" t="e">
        <f>VLOOKUP(L1138,'[1]Tuyến cáp H04'!$B:$E,4,0)</f>
        <v>#N/A</v>
      </c>
    </row>
    <row r="1139" spans="1:39" x14ac:dyDescent="0.25">
      <c r="A1139" s="1" t="s">
        <v>10952</v>
      </c>
      <c r="B1139" s="1" t="s">
        <v>9027</v>
      </c>
      <c r="C1139" s="1" t="s">
        <v>9028</v>
      </c>
      <c r="D1139" s="1" t="s">
        <v>10953</v>
      </c>
      <c r="E1139" s="1" t="s">
        <v>10954</v>
      </c>
      <c r="F1139" s="1" t="s">
        <v>10955</v>
      </c>
      <c r="G1139" s="1" t="s">
        <v>14281</v>
      </c>
      <c r="H1139" s="1" t="s">
        <v>14282</v>
      </c>
      <c r="I1139" s="1" t="s">
        <v>15248</v>
      </c>
      <c r="J1139" s="1" t="s">
        <v>23</v>
      </c>
      <c r="K1139" s="1"/>
      <c r="L1139" s="1" t="s">
        <v>9030</v>
      </c>
      <c r="M1139" s="1" t="s">
        <v>9030</v>
      </c>
      <c r="N1139" s="12" t="b">
        <f t="shared" si="85"/>
        <v>1</v>
      </c>
      <c r="O1139" s="1" t="s">
        <v>10956</v>
      </c>
      <c r="P1139" s="1" t="s">
        <v>9035</v>
      </c>
      <c r="Q1139" s="1" t="s">
        <v>9036</v>
      </c>
      <c r="R1139" s="1" t="s">
        <v>9037</v>
      </c>
      <c r="S1139" s="1" t="s">
        <v>10957</v>
      </c>
      <c r="T1139" s="1" t="s">
        <v>9036</v>
      </c>
      <c r="U1139" s="1" t="s">
        <v>9037</v>
      </c>
      <c r="V1139" s="13">
        <f>COUNTIF(L1139:$M$1659,L1139)</f>
        <v>2</v>
      </c>
      <c r="W1139" s="1" t="s">
        <v>9038</v>
      </c>
      <c r="X1139">
        <v>819.03</v>
      </c>
      <c r="Y1139">
        <v>3.41</v>
      </c>
      <c r="Z1139">
        <v>12.673265000000001</v>
      </c>
      <c r="AA1139">
        <v>108.03362799999999</v>
      </c>
      <c r="AB1139">
        <v>815.63</v>
      </c>
      <c r="AC1139">
        <v>12.673265000000001</v>
      </c>
      <c r="AD1139">
        <v>108.03362799999999</v>
      </c>
      <c r="AE1139" s="5">
        <f t="shared" si="86"/>
        <v>5.1150000000000006E-3</v>
      </c>
      <c r="AF1139" s="5">
        <f t="shared" si="87"/>
        <v>1.2234449999999999</v>
      </c>
      <c r="AG1139" s="1" t="str">
        <f>TRIM(LEFT(L1139,FIND("-",L1139)-1))</f>
        <v>Trung tâm huấn luyện PX01</v>
      </c>
      <c r="AH1139" s="1" t="str">
        <f>TRIM(RIGHT(L1139, LEN(L1139) - FIND("-", L1139)))</f>
        <v>TT1 Đăk Lăk</v>
      </c>
      <c r="AJ1139">
        <f t="shared" si="88"/>
        <v>3.4100000000000003E-3</v>
      </c>
      <c r="AK1139">
        <f t="shared" si="89"/>
        <v>0.81562999999999997</v>
      </c>
      <c r="AL1139">
        <f>VLOOKUP(L1139,'[1]Tuyến cáp H04'!$B:$E,3,0)/1000</f>
        <v>3.3519999999999999</v>
      </c>
      <c r="AM1139" t="str">
        <f>VLOOKUP(L1139,'[1]Tuyến cáp H04'!$B:$E,4,0)</f>
        <v>Mạng cấp 3</v>
      </c>
    </row>
    <row r="1140" spans="1:39" x14ac:dyDescent="0.25">
      <c r="A1140" s="1" t="s">
        <v>10958</v>
      </c>
      <c r="B1140" s="1" t="s">
        <v>10959</v>
      </c>
      <c r="C1140" s="1" t="s">
        <v>10960</v>
      </c>
      <c r="D1140" s="1" t="s">
        <v>9053</v>
      </c>
      <c r="E1140" s="1" t="s">
        <v>9054</v>
      </c>
      <c r="F1140" s="1" t="s">
        <v>10961</v>
      </c>
      <c r="G1140" s="1" t="s">
        <v>14281</v>
      </c>
      <c r="H1140" s="1" t="s">
        <v>14282</v>
      </c>
      <c r="I1140" s="1" t="s">
        <v>15249</v>
      </c>
      <c r="J1140" s="1" t="s">
        <v>23</v>
      </c>
      <c r="K1140" s="1"/>
      <c r="L1140" s="1" t="s">
        <v>8557</v>
      </c>
      <c r="M1140" s="1" t="s">
        <v>8557</v>
      </c>
      <c r="N1140" s="12" t="b">
        <f t="shared" si="85"/>
        <v>1</v>
      </c>
      <c r="O1140" s="1" t="s">
        <v>10962</v>
      </c>
      <c r="P1140" s="1" t="s">
        <v>10963</v>
      </c>
      <c r="Q1140" s="1" t="s">
        <v>10964</v>
      </c>
      <c r="R1140" s="1" t="s">
        <v>10965</v>
      </c>
      <c r="S1140" s="1" t="s">
        <v>10966</v>
      </c>
      <c r="T1140" s="1" t="s">
        <v>10967</v>
      </c>
      <c r="U1140" s="1" t="s">
        <v>10968</v>
      </c>
      <c r="V1140" s="13">
        <f>COUNTIF(L1140:$M$1659,L1140)</f>
        <v>2</v>
      </c>
      <c r="W1140" s="1" t="s">
        <v>10969</v>
      </c>
      <c r="X1140">
        <v>458.86</v>
      </c>
      <c r="Y1140">
        <v>425.3</v>
      </c>
      <c r="Z1140">
        <v>12.65441</v>
      </c>
      <c r="AA1140">
        <v>108.025854</v>
      </c>
      <c r="AB1140">
        <v>33.56</v>
      </c>
      <c r="AC1140">
        <v>12.659758</v>
      </c>
      <c r="AD1140">
        <v>108.03031</v>
      </c>
      <c r="AE1140" s="5">
        <f t="shared" si="86"/>
        <v>0.63795000000000002</v>
      </c>
      <c r="AF1140" s="5">
        <f t="shared" si="87"/>
        <v>5.0340000000000003E-2</v>
      </c>
      <c r="AG1140" s="1" t="str">
        <f>TRIM(LEFT(L1140,FIND("-",L1140)-1))</f>
        <v>TT1 Đăk Lăk</v>
      </c>
      <c r="AH1140" s="1" t="str">
        <f>TRIM(RIGHT(L1140, LEN(L1140) - FIND("-", L1140)))</f>
        <v>KRông Ana</v>
      </c>
      <c r="AJ1140">
        <f t="shared" si="88"/>
        <v>0.42530000000000001</v>
      </c>
      <c r="AK1140">
        <f t="shared" si="89"/>
        <v>3.356E-2</v>
      </c>
      <c r="AL1140">
        <f>VLOOKUP(L1140,'[1]Tuyến cáp H04'!$B:$E,3,0)/1000</f>
        <v>30.666</v>
      </c>
      <c r="AM1140" t="str">
        <f>VLOOKUP(L1140,'[1]Tuyến cáp H04'!$B:$E,4,0)</f>
        <v>Mạng cấp 3</v>
      </c>
    </row>
    <row r="1141" spans="1:39" x14ac:dyDescent="0.25">
      <c r="A1141" s="1" t="s">
        <v>10970</v>
      </c>
      <c r="B1141" s="1" t="s">
        <v>8834</v>
      </c>
      <c r="C1141" s="1" t="s">
        <v>8835</v>
      </c>
      <c r="D1141" s="1" t="s">
        <v>8554</v>
      </c>
      <c r="E1141" s="1" t="s">
        <v>8555</v>
      </c>
      <c r="F1141" s="1" t="s">
        <v>10971</v>
      </c>
      <c r="G1141" s="1" t="s">
        <v>14281</v>
      </c>
      <c r="H1141" s="1" t="s">
        <v>14282</v>
      </c>
      <c r="I1141" s="1" t="s">
        <v>15250</v>
      </c>
      <c r="J1141" s="1" t="s">
        <v>23</v>
      </c>
      <c r="K1141" s="1"/>
      <c r="L1141" s="1" t="s">
        <v>10099</v>
      </c>
      <c r="M1141" s="1" t="s">
        <v>10099</v>
      </c>
      <c r="N1141" s="12" t="b">
        <f t="shared" si="85"/>
        <v>1</v>
      </c>
      <c r="O1141" s="1" t="s">
        <v>10972</v>
      </c>
      <c r="P1141" s="1" t="s">
        <v>10973</v>
      </c>
      <c r="Q1141" s="1" t="s">
        <v>10938</v>
      </c>
      <c r="R1141" s="1" t="s">
        <v>10939</v>
      </c>
      <c r="S1141" s="1" t="s">
        <v>10940</v>
      </c>
      <c r="T1141" s="1" t="s">
        <v>10941</v>
      </c>
      <c r="U1141" s="1" t="s">
        <v>10942</v>
      </c>
      <c r="V1141" s="13">
        <f>COUNTIF(L1141:$M$1659,L1141)</f>
        <v>4</v>
      </c>
      <c r="W1141" s="1" t="s">
        <v>10943</v>
      </c>
      <c r="X1141">
        <v>678.26</v>
      </c>
      <c r="Y1141">
        <v>645.36</v>
      </c>
      <c r="Z1141">
        <v>12.684739</v>
      </c>
      <c r="AA1141">
        <v>108.052206</v>
      </c>
      <c r="AB1141">
        <v>32.89</v>
      </c>
      <c r="AC1141">
        <v>12.684350999999999</v>
      </c>
      <c r="AD1141">
        <v>108.05250100000001</v>
      </c>
      <c r="AE1141" s="5">
        <f t="shared" si="86"/>
        <v>0.96804000000000001</v>
      </c>
      <c r="AF1141" s="5">
        <f t="shared" si="87"/>
        <v>4.9335000000000004E-2</v>
      </c>
      <c r="AG1141" s="1" t="str">
        <f>TRIM(LEFT(L1141,FIND("-",L1141)-1))</f>
        <v>CAT Đắk Lắk</v>
      </c>
      <c r="AH1141" s="1" t="str">
        <f>TRIM(RIGHT(L1141, LEN(L1141) - FIND("-", L1141)))</f>
        <v>Thành Nhất</v>
      </c>
      <c r="AJ1141">
        <f t="shared" si="88"/>
        <v>0.64536000000000004</v>
      </c>
      <c r="AK1141">
        <f t="shared" si="89"/>
        <v>3.2890000000000003E-2</v>
      </c>
      <c r="AL1141">
        <f>VLOOKUP(L1141,'[1]Tuyến cáp H04'!$B:$E,3,0)/1000</f>
        <v>4.242</v>
      </c>
      <c r="AM1141" t="str">
        <f>VLOOKUP(L1141,'[1]Tuyến cáp H04'!$B:$E,4,0)</f>
        <v>Mạng cấp 4</v>
      </c>
    </row>
    <row r="1142" spans="1:39" x14ac:dyDescent="0.25">
      <c r="A1142" s="1" t="s">
        <v>10974</v>
      </c>
      <c r="B1142" s="1" t="s">
        <v>10975</v>
      </c>
      <c r="C1142" s="1" t="s">
        <v>10976</v>
      </c>
      <c r="D1142" s="1" t="s">
        <v>8834</v>
      </c>
      <c r="E1142" s="1" t="s">
        <v>8835</v>
      </c>
      <c r="F1142" s="1" t="s">
        <v>10977</v>
      </c>
      <c r="G1142" s="1" t="s">
        <v>14281</v>
      </c>
      <c r="H1142" s="1" t="s">
        <v>14282</v>
      </c>
      <c r="I1142" s="1" t="s">
        <v>15251</v>
      </c>
      <c r="J1142" s="1" t="s">
        <v>23</v>
      </c>
      <c r="K1142" s="1"/>
      <c r="L1142" s="1" t="s">
        <v>8572</v>
      </c>
      <c r="M1142" s="1" t="s">
        <v>8572</v>
      </c>
      <c r="N1142" s="12" t="b">
        <f t="shared" si="85"/>
        <v>1</v>
      </c>
      <c r="O1142" s="1" t="s">
        <v>10978</v>
      </c>
      <c r="P1142" s="1" t="s">
        <v>10979</v>
      </c>
      <c r="Q1142" s="1" t="s">
        <v>8575</v>
      </c>
      <c r="R1142" s="1" t="s">
        <v>8576</v>
      </c>
      <c r="S1142" s="1" t="s">
        <v>8838</v>
      </c>
      <c r="T1142" s="1" t="s">
        <v>8839</v>
      </c>
      <c r="U1142" s="1" t="s">
        <v>8840</v>
      </c>
      <c r="V1142" s="13">
        <f>COUNTIF(L1142:$M$1659,L1142)</f>
        <v>2</v>
      </c>
      <c r="W1142" s="1" t="s">
        <v>8580</v>
      </c>
      <c r="X1142">
        <v>337.19</v>
      </c>
      <c r="Y1142">
        <v>275.70999999999998</v>
      </c>
      <c r="Z1142">
        <v>12.685477000000001</v>
      </c>
      <c r="AA1142">
        <v>108.0461</v>
      </c>
      <c r="AB1142">
        <v>61.48</v>
      </c>
      <c r="AC1142">
        <v>12.688961000000001</v>
      </c>
      <c r="AD1142">
        <v>108.047808</v>
      </c>
      <c r="AE1142" s="5">
        <f t="shared" si="86"/>
        <v>0.41356499999999996</v>
      </c>
      <c r="AF1142" s="5">
        <f t="shared" si="87"/>
        <v>9.2219999999999996E-2</v>
      </c>
      <c r="AG1142" s="1" t="str">
        <f>TRIM(LEFT(L1142,FIND("-",L1142)-1))</f>
        <v>CAT Đắk Lắk</v>
      </c>
      <c r="AH1142" s="1" t="str">
        <f>TRIM(RIGHT(L1142, LEN(L1142) - FIND("-", L1142)))</f>
        <v>Buôn Ma Thuột</v>
      </c>
      <c r="AJ1142">
        <f t="shared" si="88"/>
        <v>0.27570999999999996</v>
      </c>
      <c r="AK1142">
        <f t="shared" si="89"/>
        <v>6.148E-2</v>
      </c>
      <c r="AL1142">
        <f>VLOOKUP(L1142,'[1]Tuyến cáp H04'!$B:$E,3,0)/1000</f>
        <v>5.4139999999999997</v>
      </c>
      <c r="AM1142" t="str">
        <f>VLOOKUP(L1142,'[1]Tuyến cáp H04'!$B:$E,4,0)</f>
        <v>Mạng cấp 4</v>
      </c>
    </row>
    <row r="1143" spans="1:39" x14ac:dyDescent="0.25">
      <c r="A1143" s="1" t="s">
        <v>10980</v>
      </c>
      <c r="B1143" s="1" t="s">
        <v>8362</v>
      </c>
      <c r="C1143" s="1" t="s">
        <v>10097</v>
      </c>
      <c r="D1143" s="1" t="s">
        <v>10975</v>
      </c>
      <c r="E1143" s="1" t="s">
        <v>10976</v>
      </c>
      <c r="F1143" s="1" t="s">
        <v>10981</v>
      </c>
      <c r="G1143" s="1" t="s">
        <v>14281</v>
      </c>
      <c r="H1143" s="1" t="s">
        <v>14282</v>
      </c>
      <c r="I1143" s="1" t="s">
        <v>15252</v>
      </c>
      <c r="J1143" s="1" t="s">
        <v>23</v>
      </c>
      <c r="K1143" s="1"/>
      <c r="L1143" s="1" t="s">
        <v>10099</v>
      </c>
      <c r="M1143" s="1" t="s">
        <v>10099</v>
      </c>
      <c r="N1143" s="12" t="b">
        <f t="shared" si="85"/>
        <v>1</v>
      </c>
      <c r="O1143" s="1" t="s">
        <v>10982</v>
      </c>
      <c r="P1143" s="1" t="s">
        <v>10983</v>
      </c>
      <c r="Q1143" s="1" t="s">
        <v>10984</v>
      </c>
      <c r="R1143" s="1" t="s">
        <v>10985</v>
      </c>
      <c r="S1143" s="1" t="s">
        <v>10986</v>
      </c>
      <c r="T1143" s="1" t="s">
        <v>10987</v>
      </c>
      <c r="U1143" s="1" t="s">
        <v>10988</v>
      </c>
      <c r="V1143" s="13">
        <f>COUNTIF(L1143:$M$1659,L1143)</f>
        <v>2</v>
      </c>
      <c r="W1143" s="1" t="s">
        <v>10989</v>
      </c>
      <c r="X1143">
        <v>494.22</v>
      </c>
      <c r="Y1143">
        <v>44.83</v>
      </c>
      <c r="Z1143">
        <v>12.682617</v>
      </c>
      <c r="AA1143">
        <v>108.03487800000001</v>
      </c>
      <c r="AB1143">
        <v>449.38</v>
      </c>
      <c r="AC1143">
        <v>12.682357</v>
      </c>
      <c r="AD1143">
        <v>108.040542</v>
      </c>
      <c r="AE1143" s="5">
        <f t="shared" si="86"/>
        <v>6.7244999999999999E-2</v>
      </c>
      <c r="AF1143" s="5">
        <f t="shared" si="87"/>
        <v>0.67406999999999995</v>
      </c>
      <c r="AG1143" s="1" t="str">
        <f>TRIM(LEFT(L1143,FIND("-",L1143)-1))</f>
        <v>CAT Đắk Lắk</v>
      </c>
      <c r="AH1143" s="1" t="str">
        <f>TRIM(RIGHT(L1143, LEN(L1143) - FIND("-", L1143)))</f>
        <v>Thành Nhất</v>
      </c>
      <c r="AJ1143">
        <f t="shared" si="88"/>
        <v>4.4829999999999995E-2</v>
      </c>
      <c r="AK1143">
        <f t="shared" si="89"/>
        <v>0.44938</v>
      </c>
      <c r="AL1143">
        <f>VLOOKUP(L1143,'[1]Tuyến cáp H04'!$B:$E,3,0)/1000</f>
        <v>4.242</v>
      </c>
      <c r="AM1143" t="str">
        <f>VLOOKUP(L1143,'[1]Tuyến cáp H04'!$B:$E,4,0)</f>
        <v>Mạng cấp 4</v>
      </c>
    </row>
    <row r="1144" spans="1:39" x14ac:dyDescent="0.25">
      <c r="A1144" s="1" t="s">
        <v>10990</v>
      </c>
      <c r="B1144" s="1" t="s">
        <v>10991</v>
      </c>
      <c r="C1144" s="1" t="s">
        <v>10992</v>
      </c>
      <c r="D1144" s="1" t="s">
        <v>10993</v>
      </c>
      <c r="E1144" s="1" t="s">
        <v>10994</v>
      </c>
      <c r="F1144" s="1" t="s">
        <v>10995</v>
      </c>
      <c r="G1144" s="1" t="s">
        <v>14129</v>
      </c>
      <c r="H1144" s="1" t="s">
        <v>14133</v>
      </c>
      <c r="I1144" s="1" t="s">
        <v>15253</v>
      </c>
      <c r="J1144" s="1" t="s">
        <v>23</v>
      </c>
      <c r="K1144" s="1"/>
      <c r="L1144" s="1" t="s">
        <v>10996</v>
      </c>
      <c r="M1144" s="1" t="s">
        <v>10996</v>
      </c>
      <c r="N1144" s="12" t="b">
        <f t="shared" si="85"/>
        <v>1</v>
      </c>
      <c r="O1144" s="1" t="s">
        <v>10997</v>
      </c>
      <c r="P1144" s="1" t="s">
        <v>10998</v>
      </c>
      <c r="Q1144" s="1" t="s">
        <v>10999</v>
      </c>
      <c r="R1144" s="1" t="s">
        <v>11000</v>
      </c>
      <c r="S1144" s="1" t="s">
        <v>11001</v>
      </c>
      <c r="T1144" s="1" t="s">
        <v>11002</v>
      </c>
      <c r="U1144" s="1" t="s">
        <v>11003</v>
      </c>
      <c r="V1144" s="13">
        <f>COUNTIF(L1144:$M$1659,L1144)</f>
        <v>4</v>
      </c>
      <c r="W1144" s="1" t="s">
        <v>11004</v>
      </c>
      <c r="X1144">
        <v>659.88</v>
      </c>
      <c r="Y1144">
        <v>44.67</v>
      </c>
      <c r="Z1144">
        <v>16.016590000000001</v>
      </c>
      <c r="AA1144">
        <v>108.203738</v>
      </c>
      <c r="AB1144">
        <v>615.21</v>
      </c>
      <c r="AC1144">
        <v>16.018668999999999</v>
      </c>
      <c r="AD1144">
        <v>108.197982</v>
      </c>
      <c r="AE1144" s="5">
        <f t="shared" si="86"/>
        <v>6.7004999999999995E-2</v>
      </c>
      <c r="AF1144" s="5">
        <f t="shared" si="87"/>
        <v>0.92281500000000005</v>
      </c>
      <c r="AG1144" s="1" t="str">
        <f>TRIM(LEFT(L1144,FIND("-",L1144)-1))</f>
        <v>A06 (CS1)</v>
      </c>
      <c r="AH1144" s="1" t="str">
        <f>TRIM(RIGHT(L1144, LEN(L1144) - FIND("-", L1144)))</f>
        <v>H03</v>
      </c>
      <c r="AJ1144">
        <f t="shared" si="88"/>
        <v>4.4670000000000001E-2</v>
      </c>
      <c r="AK1144">
        <f t="shared" si="89"/>
        <v>0.61521000000000003</v>
      </c>
      <c r="AL1144" t="e">
        <f>VLOOKUP(L1144,'[1]Tuyến cáp H04'!$B:$E,3,0)/1000</f>
        <v>#N/A</v>
      </c>
      <c r="AM1144" t="e">
        <f>VLOOKUP(L1144,'[1]Tuyến cáp H04'!$B:$E,4,0)</f>
        <v>#N/A</v>
      </c>
    </row>
    <row r="1145" spans="1:39" x14ac:dyDescent="0.25">
      <c r="A1145" s="1" t="s">
        <v>11005</v>
      </c>
      <c r="B1145" s="1" t="s">
        <v>10991</v>
      </c>
      <c r="C1145" s="1" t="s">
        <v>10992</v>
      </c>
      <c r="D1145" s="1" t="s">
        <v>11006</v>
      </c>
      <c r="E1145" s="1" t="s">
        <v>11007</v>
      </c>
      <c r="F1145" s="1" t="s">
        <v>11008</v>
      </c>
      <c r="G1145" s="1" t="s">
        <v>14129</v>
      </c>
      <c r="H1145" s="1" t="s">
        <v>14532</v>
      </c>
      <c r="I1145" s="1" t="s">
        <v>15254</v>
      </c>
      <c r="J1145" s="1" t="s">
        <v>23</v>
      </c>
      <c r="K1145" s="1"/>
      <c r="L1145" s="1" t="s">
        <v>11009</v>
      </c>
      <c r="M1145" s="1" t="s">
        <v>11009</v>
      </c>
      <c r="N1145" s="12" t="b">
        <f t="shared" si="85"/>
        <v>1</v>
      </c>
      <c r="O1145" s="1" t="s">
        <v>11010</v>
      </c>
      <c r="P1145" s="1" t="s">
        <v>11011</v>
      </c>
      <c r="Q1145" s="1" t="s">
        <v>11012</v>
      </c>
      <c r="R1145" s="1" t="s">
        <v>11013</v>
      </c>
      <c r="S1145" s="1" t="s">
        <v>11014</v>
      </c>
      <c r="T1145" s="1" t="s">
        <v>11015</v>
      </c>
      <c r="U1145" s="1" t="s">
        <v>11016</v>
      </c>
      <c r="V1145" s="13">
        <f>COUNTIF(L1145:$M$1659,L1145)</f>
        <v>6</v>
      </c>
      <c r="W1145" s="1" t="s">
        <v>11017</v>
      </c>
      <c r="X1145">
        <v>1023.05</v>
      </c>
      <c r="Y1145">
        <v>959.24</v>
      </c>
      <c r="Z1145">
        <v>16.020675000000001</v>
      </c>
      <c r="AA1145">
        <v>108.21158</v>
      </c>
      <c r="AB1145">
        <v>63.82</v>
      </c>
      <c r="AC1145">
        <v>16.036673</v>
      </c>
      <c r="AD1145">
        <v>108.20980400000001</v>
      </c>
      <c r="AE1145" s="5">
        <f t="shared" si="86"/>
        <v>1.43886</v>
      </c>
      <c r="AF1145" s="5">
        <f t="shared" si="87"/>
        <v>9.573000000000001E-2</v>
      </c>
      <c r="AG1145" s="1" t="str">
        <f>TRIM(LEFT(L1145,FIND("-",L1145)-1))</f>
        <v>TT1 Đà Nẵng</v>
      </c>
      <c r="AH1145" s="1" t="str">
        <f>TRIM(RIGHT(L1145, LEN(L1145) - FIND("-", L1145)))</f>
        <v>Cẩm Lệ</v>
      </c>
      <c r="AJ1145">
        <f t="shared" si="88"/>
        <v>0.95923999999999998</v>
      </c>
      <c r="AK1145">
        <f t="shared" si="89"/>
        <v>6.3820000000000002E-2</v>
      </c>
      <c r="AL1145">
        <f>VLOOKUP(L1145,'[1]Tuyến cáp H04'!$B:$E,3,0)/1000</f>
        <v>8.4979999999999993</v>
      </c>
      <c r="AM1145" t="str">
        <f>VLOOKUP(L1145,'[1]Tuyến cáp H04'!$B:$E,4,0)</f>
        <v>Mạng cấp 3</v>
      </c>
    </row>
    <row r="1146" spans="1:39" x14ac:dyDescent="0.25">
      <c r="A1146" s="1" t="s">
        <v>11018</v>
      </c>
      <c r="B1146" s="1" t="s">
        <v>10991</v>
      </c>
      <c r="C1146" s="1" t="s">
        <v>10992</v>
      </c>
      <c r="D1146" s="1" t="s">
        <v>11019</v>
      </c>
      <c r="E1146" s="1" t="s">
        <v>11020</v>
      </c>
      <c r="F1146" s="1" t="s">
        <v>11021</v>
      </c>
      <c r="G1146" s="1" t="s">
        <v>14129</v>
      </c>
      <c r="H1146" s="1" t="s">
        <v>14133</v>
      </c>
      <c r="I1146" s="1" t="s">
        <v>15255</v>
      </c>
      <c r="J1146" s="1" t="s">
        <v>23</v>
      </c>
      <c r="K1146" s="1"/>
      <c r="L1146" s="1" t="s">
        <v>11022</v>
      </c>
      <c r="M1146" s="1" t="s">
        <v>11022</v>
      </c>
      <c r="N1146" s="12" t="b">
        <f t="shared" si="85"/>
        <v>1</v>
      </c>
      <c r="O1146" s="1" t="s">
        <v>11023</v>
      </c>
      <c r="P1146" s="1" t="s">
        <v>11024</v>
      </c>
      <c r="Q1146" s="1" t="s">
        <v>11025</v>
      </c>
      <c r="R1146" s="1" t="s">
        <v>11026</v>
      </c>
      <c r="S1146" s="1" t="s">
        <v>11027</v>
      </c>
      <c r="T1146" s="1" t="s">
        <v>11028</v>
      </c>
      <c r="U1146" s="1" t="s">
        <v>11029</v>
      </c>
      <c r="V1146" s="13">
        <f>COUNTIF(L1146:$M$1659,L1146)</f>
        <v>14</v>
      </c>
      <c r="W1146" s="1" t="s">
        <v>11030</v>
      </c>
      <c r="X1146">
        <v>404.42</v>
      </c>
      <c r="Y1146">
        <v>2.15</v>
      </c>
      <c r="Z1146">
        <v>16.016921</v>
      </c>
      <c r="AA1146">
        <v>108.20348</v>
      </c>
      <c r="AB1146">
        <v>402.26</v>
      </c>
      <c r="AC1146">
        <v>16.010182</v>
      </c>
      <c r="AD1146">
        <v>108.19343600000001</v>
      </c>
      <c r="AE1146" s="5">
        <f t="shared" si="86"/>
        <v>3.2249999999999996E-3</v>
      </c>
      <c r="AF1146" s="5">
        <f t="shared" si="87"/>
        <v>0.60338999999999998</v>
      </c>
      <c r="AG1146" s="1" t="str">
        <f>TRIM(LEFT(L1146,FIND("-",L1146)-1))</f>
        <v>Hòa Xuân</v>
      </c>
      <c r="AH1146" s="1" t="str">
        <f>TRIM(RIGHT(L1146, LEN(L1146) - FIND("-", L1146)))</f>
        <v>TTKV Cẩm Lệ</v>
      </c>
      <c r="AJ1146">
        <f t="shared" si="88"/>
        <v>2.15E-3</v>
      </c>
      <c r="AK1146">
        <f t="shared" si="89"/>
        <v>0.40226000000000001</v>
      </c>
      <c r="AL1146" t="e">
        <f>VLOOKUP(L1146,'[1]Tuyến cáp H04'!$B:$E,3,0)/1000</f>
        <v>#N/A</v>
      </c>
      <c r="AM1146" t="e">
        <f>VLOOKUP(L1146,'[1]Tuyến cáp H04'!$B:$E,4,0)</f>
        <v>#N/A</v>
      </c>
    </row>
    <row r="1147" spans="1:39" x14ac:dyDescent="0.25">
      <c r="A1147" s="1" t="s">
        <v>11031</v>
      </c>
      <c r="B1147" s="1" t="s">
        <v>10991</v>
      </c>
      <c r="C1147" s="1" t="s">
        <v>10992</v>
      </c>
      <c r="D1147" s="1" t="s">
        <v>11032</v>
      </c>
      <c r="E1147" s="1" t="s">
        <v>11033</v>
      </c>
      <c r="F1147" s="1" t="s">
        <v>11034</v>
      </c>
      <c r="G1147" s="1" t="s">
        <v>14129</v>
      </c>
      <c r="H1147" s="1" t="s">
        <v>14133</v>
      </c>
      <c r="I1147" s="1" t="s">
        <v>15256</v>
      </c>
      <c r="J1147" s="1" t="s">
        <v>23</v>
      </c>
      <c r="K1147" s="1"/>
      <c r="L1147" s="1" t="s">
        <v>10996</v>
      </c>
      <c r="M1147" s="1" t="s">
        <v>10996</v>
      </c>
      <c r="N1147" s="12" t="b">
        <f t="shared" si="85"/>
        <v>1</v>
      </c>
      <c r="O1147" s="1" t="s">
        <v>11035</v>
      </c>
      <c r="P1147" s="1" t="s">
        <v>10998</v>
      </c>
      <c r="Q1147" s="1" t="s">
        <v>10999</v>
      </c>
      <c r="R1147" s="1" t="s">
        <v>11000</v>
      </c>
      <c r="S1147" s="1" t="s">
        <v>11036</v>
      </c>
      <c r="T1147" s="1" t="s">
        <v>11037</v>
      </c>
      <c r="U1147" s="1" t="s">
        <v>11038</v>
      </c>
      <c r="V1147" s="13">
        <f>COUNTIF(L1147:$M$1659,L1147)</f>
        <v>2</v>
      </c>
      <c r="W1147" s="1" t="s">
        <v>11004</v>
      </c>
      <c r="X1147">
        <v>318.83999999999997</v>
      </c>
      <c r="Y1147">
        <v>44.67</v>
      </c>
      <c r="Z1147">
        <v>16.016590000000001</v>
      </c>
      <c r="AA1147">
        <v>108.203738</v>
      </c>
      <c r="AB1147">
        <v>274.17</v>
      </c>
      <c r="AC1147">
        <v>16.018421</v>
      </c>
      <c r="AD1147">
        <v>108.19808500000001</v>
      </c>
      <c r="AE1147" s="5">
        <f t="shared" si="86"/>
        <v>6.7004999999999995E-2</v>
      </c>
      <c r="AF1147" s="5">
        <f t="shared" si="87"/>
        <v>0.41125499999999998</v>
      </c>
      <c r="AG1147" s="1" t="str">
        <f>TRIM(LEFT(L1147,FIND("-",L1147)-1))</f>
        <v>A06 (CS1)</v>
      </c>
      <c r="AH1147" s="1" t="str">
        <f>TRIM(RIGHT(L1147, LEN(L1147) - FIND("-", L1147)))</f>
        <v>H03</v>
      </c>
      <c r="AJ1147">
        <f t="shared" si="88"/>
        <v>4.4670000000000001E-2</v>
      </c>
      <c r="AK1147">
        <f t="shared" si="89"/>
        <v>0.27417000000000002</v>
      </c>
      <c r="AL1147" t="e">
        <f>VLOOKUP(L1147,'[1]Tuyến cáp H04'!$B:$E,3,0)/1000</f>
        <v>#N/A</v>
      </c>
      <c r="AM1147" t="e">
        <f>VLOOKUP(L1147,'[1]Tuyến cáp H04'!$B:$E,4,0)</f>
        <v>#N/A</v>
      </c>
    </row>
    <row r="1148" spans="1:39" x14ac:dyDescent="0.25">
      <c r="A1148" s="1" t="s">
        <v>11039</v>
      </c>
      <c r="B1148" s="1" t="s">
        <v>11040</v>
      </c>
      <c r="C1148" s="1" t="s">
        <v>11041</v>
      </c>
      <c r="D1148" s="1" t="s">
        <v>11042</v>
      </c>
      <c r="E1148" s="1" t="s">
        <v>11043</v>
      </c>
      <c r="F1148" s="1" t="s">
        <v>11044</v>
      </c>
      <c r="G1148" s="1" t="s">
        <v>14129</v>
      </c>
      <c r="H1148" s="1" t="s">
        <v>14133</v>
      </c>
      <c r="I1148" s="1" t="s">
        <v>15257</v>
      </c>
      <c r="J1148" s="1" t="s">
        <v>23</v>
      </c>
      <c r="K1148" s="1"/>
      <c r="L1148" s="1" t="s">
        <v>11045</v>
      </c>
      <c r="M1148" s="1" t="s">
        <v>11045</v>
      </c>
      <c r="N1148" s="12" t="b">
        <f t="shared" si="85"/>
        <v>1</v>
      </c>
      <c r="O1148" s="1" t="s">
        <v>11046</v>
      </c>
      <c r="P1148" s="1" t="s">
        <v>11047</v>
      </c>
      <c r="Q1148" s="1" t="s">
        <v>11048</v>
      </c>
      <c r="R1148" s="1" t="s">
        <v>11049</v>
      </c>
      <c r="S1148" s="1" t="s">
        <v>11050</v>
      </c>
      <c r="T1148" s="1" t="s">
        <v>11051</v>
      </c>
      <c r="U1148" s="1" t="s">
        <v>11052</v>
      </c>
      <c r="V1148" s="13">
        <f>COUNTIF(L1148:$M$1659,L1148)</f>
        <v>18</v>
      </c>
      <c r="W1148" s="1" t="s">
        <v>11053</v>
      </c>
      <c r="X1148">
        <v>43.62</v>
      </c>
      <c r="Y1148">
        <v>27.45</v>
      </c>
      <c r="Z1148">
        <v>16.077317000000001</v>
      </c>
      <c r="AA1148">
        <v>108.21924799999999</v>
      </c>
      <c r="AB1148">
        <v>16.170000000000002</v>
      </c>
      <c r="AC1148">
        <v>16.067585999999999</v>
      </c>
      <c r="AD1148">
        <v>108.21583800000001</v>
      </c>
      <c r="AE1148" s="5">
        <f t="shared" si="86"/>
        <v>4.1174999999999996E-2</v>
      </c>
      <c r="AF1148" s="5">
        <f t="shared" si="87"/>
        <v>2.4255000000000002E-2</v>
      </c>
      <c r="AG1148" s="1" t="e">
        <f>TRIM(LEFT(L1148,FIND("-",L1148)-1))</f>
        <v>#VALUE!</v>
      </c>
      <c r="AH1148" s="1" t="e">
        <f>TRIM(RIGHT(L1148, LEN(L1148) - FIND("-", L1148)))</f>
        <v>#VALUE!</v>
      </c>
      <c r="AJ1148">
        <f t="shared" si="88"/>
        <v>2.7449999999999999E-2</v>
      </c>
      <c r="AK1148">
        <f t="shared" si="89"/>
        <v>1.617E-2</v>
      </c>
      <c r="AL1148" t="e">
        <f>VLOOKUP(L1148,'[1]Tuyến cáp H04'!$B:$E,3,0)/1000</f>
        <v>#N/A</v>
      </c>
      <c r="AM1148" t="e">
        <f>VLOOKUP(L1148,'[1]Tuyến cáp H04'!$B:$E,4,0)</f>
        <v>#N/A</v>
      </c>
    </row>
    <row r="1149" spans="1:39" x14ac:dyDescent="0.25">
      <c r="A1149" s="1" t="s">
        <v>11054</v>
      </c>
      <c r="B1149" s="1" t="s">
        <v>11040</v>
      </c>
      <c r="C1149" s="1" t="s">
        <v>11041</v>
      </c>
      <c r="D1149" s="1" t="s">
        <v>11055</v>
      </c>
      <c r="E1149" s="1" t="s">
        <v>11056</v>
      </c>
      <c r="F1149" s="1" t="s">
        <v>11057</v>
      </c>
      <c r="G1149" s="1" t="s">
        <v>14129</v>
      </c>
      <c r="H1149" s="1" t="s">
        <v>14133</v>
      </c>
      <c r="I1149" s="1" t="s">
        <v>15258</v>
      </c>
      <c r="J1149" s="1" t="s">
        <v>23</v>
      </c>
      <c r="K1149" s="1"/>
      <c r="L1149" s="1" t="s">
        <v>11058</v>
      </c>
      <c r="M1149" s="1" t="s">
        <v>11058</v>
      </c>
      <c r="N1149" s="12" t="b">
        <f t="shared" si="85"/>
        <v>1</v>
      </c>
      <c r="O1149" s="1" t="s">
        <v>11059</v>
      </c>
      <c r="P1149" s="1" t="s">
        <v>11060</v>
      </c>
      <c r="Q1149" s="1" t="s">
        <v>11061</v>
      </c>
      <c r="R1149" s="1" t="s">
        <v>11062</v>
      </c>
      <c r="S1149" s="1" t="s">
        <v>11063</v>
      </c>
      <c r="T1149" s="1" t="s">
        <v>11064</v>
      </c>
      <c r="U1149" s="1" t="s">
        <v>11065</v>
      </c>
      <c r="V1149" s="13">
        <f>COUNTIF(L1149:$M$1659,L1149)</f>
        <v>2</v>
      </c>
      <c r="W1149" s="1" t="s">
        <v>11066</v>
      </c>
      <c r="X1149">
        <v>144.82</v>
      </c>
      <c r="Y1149">
        <v>23.59</v>
      </c>
      <c r="Z1149">
        <v>16.077625999999999</v>
      </c>
      <c r="AA1149">
        <v>108.21941</v>
      </c>
      <c r="AB1149">
        <v>121.23</v>
      </c>
      <c r="AC1149">
        <v>16.081696999999998</v>
      </c>
      <c r="AD1149">
        <v>108.21949499999999</v>
      </c>
      <c r="AE1149" s="5">
        <f t="shared" si="86"/>
        <v>3.5385E-2</v>
      </c>
      <c r="AF1149" s="5">
        <f t="shared" si="87"/>
        <v>0.18184500000000001</v>
      </c>
      <c r="AG1149" s="1" t="str">
        <f>TRIM(LEFT(L1149,FIND("-",L1149)-1))</f>
        <v>Sơn Trà</v>
      </c>
      <c r="AH1149" s="1" t="str">
        <f>TRIM(RIGHT(L1149, LEN(L1149) - FIND("-", L1149)))</f>
        <v>TT1 Đà Nẵng</v>
      </c>
      <c r="AJ1149">
        <f t="shared" si="88"/>
        <v>2.359E-2</v>
      </c>
      <c r="AK1149">
        <f t="shared" si="89"/>
        <v>0.12123</v>
      </c>
      <c r="AL1149">
        <f>VLOOKUP(L1149,'[1]Tuyến cáp H04'!$B:$E,3,0)/1000</f>
        <v>8.64</v>
      </c>
      <c r="AM1149" t="str">
        <f>VLOOKUP(L1149,'[1]Tuyến cáp H04'!$B:$E,4,0)</f>
        <v>Mạng cấp 3</v>
      </c>
    </row>
    <row r="1150" spans="1:39" x14ac:dyDescent="0.25">
      <c r="A1150" s="1" t="s">
        <v>11067</v>
      </c>
      <c r="B1150" s="1" t="s">
        <v>11040</v>
      </c>
      <c r="C1150" s="1" t="s">
        <v>11041</v>
      </c>
      <c r="D1150" s="1" t="s">
        <v>11068</v>
      </c>
      <c r="E1150" s="1" t="s">
        <v>11069</v>
      </c>
      <c r="F1150" s="1" t="s">
        <v>11070</v>
      </c>
      <c r="G1150" s="1" t="s">
        <v>14129</v>
      </c>
      <c r="H1150" s="1" t="s">
        <v>14133</v>
      </c>
      <c r="I1150" s="1" t="s">
        <v>15259</v>
      </c>
      <c r="J1150" s="1" t="s">
        <v>23</v>
      </c>
      <c r="K1150" s="1"/>
      <c r="L1150" s="1" t="s">
        <v>11071</v>
      </c>
      <c r="M1150" s="1" t="s">
        <v>11071</v>
      </c>
      <c r="N1150" s="12" t="b">
        <f t="shared" si="85"/>
        <v>1</v>
      </c>
      <c r="O1150" s="1" t="s">
        <v>11072</v>
      </c>
      <c r="P1150" s="1" t="s">
        <v>11073</v>
      </c>
      <c r="Q1150" s="1" t="s">
        <v>11074</v>
      </c>
      <c r="R1150" s="1" t="s">
        <v>11075</v>
      </c>
      <c r="S1150" s="1" t="s">
        <v>11076</v>
      </c>
      <c r="T1150" s="1" t="s">
        <v>11077</v>
      </c>
      <c r="U1150" s="1" t="s">
        <v>11078</v>
      </c>
      <c r="V1150" s="13">
        <f>COUNTIF(L1150:$M$1659,L1150)</f>
        <v>4</v>
      </c>
      <c r="W1150" s="1" t="s">
        <v>11079</v>
      </c>
      <c r="X1150">
        <v>241.02</v>
      </c>
      <c r="Y1150">
        <v>7.02</v>
      </c>
      <c r="Z1150">
        <v>16.077608000000001</v>
      </c>
      <c r="AA1150">
        <v>108.21924300000001</v>
      </c>
      <c r="AB1150">
        <v>233.99</v>
      </c>
      <c r="AC1150">
        <v>16.077649000000001</v>
      </c>
      <c r="AD1150">
        <v>108.22168000000001</v>
      </c>
      <c r="AE1150" s="5">
        <f t="shared" si="86"/>
        <v>1.0529999999999999E-2</v>
      </c>
      <c r="AF1150" s="5">
        <f t="shared" si="87"/>
        <v>0.35098499999999999</v>
      </c>
      <c r="AG1150" s="1" t="str">
        <f>TRIM(LEFT(L1150,FIND("-",L1150)-1))</f>
        <v>TT1 Đà Nẵng</v>
      </c>
      <c r="AH1150" s="1" t="str">
        <f>TRIM(RIGHT(L1150, LEN(L1150) - FIND("-", L1150)))</f>
        <v>Hải Châu</v>
      </c>
      <c r="AJ1150">
        <f t="shared" si="88"/>
        <v>7.0199999999999993E-3</v>
      </c>
      <c r="AK1150">
        <f t="shared" si="89"/>
        <v>0.23399</v>
      </c>
      <c r="AL1150" t="e">
        <f>VLOOKUP(L1150,'[1]Tuyến cáp H04'!$B:$E,3,0)/1000</f>
        <v>#N/A</v>
      </c>
      <c r="AM1150" t="e">
        <f>VLOOKUP(L1150,'[1]Tuyến cáp H04'!$B:$E,4,0)</f>
        <v>#N/A</v>
      </c>
    </row>
    <row r="1151" spans="1:39" x14ac:dyDescent="0.25">
      <c r="A1151" s="1" t="s">
        <v>11080</v>
      </c>
      <c r="B1151" s="1" t="s">
        <v>11081</v>
      </c>
      <c r="C1151" s="1" t="s">
        <v>11082</v>
      </c>
      <c r="D1151" s="1" t="s">
        <v>11083</v>
      </c>
      <c r="E1151" s="1" t="s">
        <v>11084</v>
      </c>
      <c r="F1151" s="1" t="s">
        <v>11085</v>
      </c>
      <c r="G1151" s="1" t="s">
        <v>14129</v>
      </c>
      <c r="H1151" s="1" t="s">
        <v>14133</v>
      </c>
      <c r="I1151" s="1" t="s">
        <v>15260</v>
      </c>
      <c r="J1151" s="1" t="s">
        <v>23</v>
      </c>
      <c r="K1151" s="1"/>
      <c r="L1151" s="1" t="s">
        <v>11086</v>
      </c>
      <c r="M1151" s="1" t="s">
        <v>11086</v>
      </c>
      <c r="N1151" s="12" t="b">
        <f t="shared" si="85"/>
        <v>1</v>
      </c>
      <c r="O1151" s="1" t="s">
        <v>11087</v>
      </c>
      <c r="P1151" s="1" t="s">
        <v>11088</v>
      </c>
      <c r="Q1151" s="1" t="s">
        <v>11089</v>
      </c>
      <c r="R1151" s="1" t="s">
        <v>11090</v>
      </c>
      <c r="S1151" s="1" t="s">
        <v>3343</v>
      </c>
      <c r="T1151" s="1" t="s">
        <v>11091</v>
      </c>
      <c r="U1151" s="1" t="s">
        <v>11092</v>
      </c>
      <c r="V1151" s="13">
        <f>COUNTIF(L1151:$M$1659,L1151)</f>
        <v>4</v>
      </c>
      <c r="W1151" s="1" t="s">
        <v>11093</v>
      </c>
      <c r="X1151">
        <v>15.25</v>
      </c>
      <c r="Y1151">
        <v>3.35</v>
      </c>
      <c r="Z1151">
        <v>15.988075</v>
      </c>
      <c r="AA1151">
        <v>108.140218</v>
      </c>
      <c r="AB1151">
        <v>11.9</v>
      </c>
      <c r="AC1151">
        <v>15.99797</v>
      </c>
      <c r="AD1151">
        <v>108.138018</v>
      </c>
      <c r="AE1151" s="5">
        <f t="shared" si="86"/>
        <v>5.025E-3</v>
      </c>
      <c r="AF1151" s="5">
        <f t="shared" si="87"/>
        <v>1.7850000000000001E-2</v>
      </c>
      <c r="AG1151" s="1" t="str">
        <f>TRIM(LEFT(L1151,FIND("-",L1151)-1))</f>
        <v>"Cơ sở cai nghiện (X. Hòa Bắc, Hòa Vang)</v>
      </c>
      <c r="AH1151" s="1" t="str">
        <f>TRIM(RIGHT(L1151, LEN(L1151) - FIND("-", L1151)))</f>
        <v xml:space="preserve">
TTCMKV Hòa Vang"</v>
      </c>
      <c r="AJ1151">
        <f t="shared" si="88"/>
        <v>3.3500000000000001E-3</v>
      </c>
      <c r="AK1151">
        <f t="shared" si="89"/>
        <v>1.1900000000000001E-2</v>
      </c>
      <c r="AL1151" t="e">
        <f>VLOOKUP(L1151,'[1]Tuyến cáp H04'!$B:$E,3,0)/1000</f>
        <v>#N/A</v>
      </c>
      <c r="AM1151" t="e">
        <f>VLOOKUP(L1151,'[1]Tuyến cáp H04'!$B:$E,4,0)</f>
        <v>#N/A</v>
      </c>
    </row>
    <row r="1152" spans="1:39" x14ac:dyDescent="0.25">
      <c r="A1152" s="1" t="s">
        <v>11094</v>
      </c>
      <c r="B1152" s="1" t="s">
        <v>11081</v>
      </c>
      <c r="C1152" s="1" t="s">
        <v>11082</v>
      </c>
      <c r="D1152" s="1" t="s">
        <v>11095</v>
      </c>
      <c r="E1152" s="1" t="s">
        <v>11096</v>
      </c>
      <c r="F1152" s="1" t="s">
        <v>11097</v>
      </c>
      <c r="G1152" s="1" t="s">
        <v>14129</v>
      </c>
      <c r="H1152" s="1" t="s">
        <v>14133</v>
      </c>
      <c r="I1152" s="1" t="s">
        <v>15261</v>
      </c>
      <c r="J1152" s="1" t="s">
        <v>23</v>
      </c>
      <c r="K1152" s="1"/>
      <c r="L1152" s="1" t="s">
        <v>11098</v>
      </c>
      <c r="M1152" s="1" t="s">
        <v>11098</v>
      </c>
      <c r="N1152" s="12" t="b">
        <f t="shared" si="85"/>
        <v>1</v>
      </c>
      <c r="O1152" s="1" t="s">
        <v>11099</v>
      </c>
      <c r="P1152" s="1" t="s">
        <v>11100</v>
      </c>
      <c r="Q1152" s="1" t="s">
        <v>11101</v>
      </c>
      <c r="R1152" s="1" t="s">
        <v>11102</v>
      </c>
      <c r="S1152" s="1" t="s">
        <v>11103</v>
      </c>
      <c r="T1152" s="1" t="s">
        <v>11104</v>
      </c>
      <c r="U1152" s="1" t="s">
        <v>11105</v>
      </c>
      <c r="V1152" s="13">
        <f>COUNTIF(L1152:$M$1659,L1152)</f>
        <v>12</v>
      </c>
      <c r="W1152" s="1" t="s">
        <v>11106</v>
      </c>
      <c r="X1152">
        <v>1343.33</v>
      </c>
      <c r="Y1152">
        <v>1240.6099999999999</v>
      </c>
      <c r="Z1152">
        <v>15.997909</v>
      </c>
      <c r="AA1152">
        <v>108.145731</v>
      </c>
      <c r="AB1152">
        <v>102.73</v>
      </c>
      <c r="AC1152">
        <v>16.009</v>
      </c>
      <c r="AD1152">
        <v>108.154405</v>
      </c>
      <c r="AE1152" s="5">
        <f t="shared" si="86"/>
        <v>1.8609149999999999</v>
      </c>
      <c r="AF1152" s="5">
        <f t="shared" si="87"/>
        <v>0.15409500000000001</v>
      </c>
      <c r="AG1152" s="1" t="str">
        <f>TRIM(LEFT(L1152,FIND("-",L1152)-1))</f>
        <v>Hòa Vang</v>
      </c>
      <c r="AH1152" s="1" t="str">
        <f>TRIM(RIGHT(L1152, LEN(L1152) - FIND("-", L1152)))</f>
        <v>TT1 Đà Nẵng</v>
      </c>
      <c r="AJ1152">
        <f t="shared" si="88"/>
        <v>1.24061</v>
      </c>
      <c r="AK1152">
        <f t="shared" si="89"/>
        <v>0.10273</v>
      </c>
      <c r="AL1152">
        <f>VLOOKUP(L1152,'[1]Tuyến cáp H04'!$B:$E,3,0)/1000</f>
        <v>17.654</v>
      </c>
      <c r="AM1152" t="str">
        <f>VLOOKUP(L1152,'[1]Tuyến cáp H04'!$B:$E,4,0)</f>
        <v>Mạng cấp 3</v>
      </c>
    </row>
    <row r="1153" spans="1:39" x14ac:dyDescent="0.25">
      <c r="A1153" s="1" t="s">
        <v>11107</v>
      </c>
      <c r="B1153" s="1" t="s">
        <v>11081</v>
      </c>
      <c r="C1153" s="1" t="s">
        <v>11082</v>
      </c>
      <c r="D1153" s="1" t="s">
        <v>11108</v>
      </c>
      <c r="E1153" s="1" t="s">
        <v>11109</v>
      </c>
      <c r="F1153" s="1" t="s">
        <v>11110</v>
      </c>
      <c r="G1153" s="1" t="s">
        <v>14129</v>
      </c>
      <c r="H1153" s="1" t="s">
        <v>14133</v>
      </c>
      <c r="I1153" s="1" t="s">
        <v>15262</v>
      </c>
      <c r="J1153" s="1" t="s">
        <v>23</v>
      </c>
      <c r="K1153" s="1"/>
      <c r="L1153" s="1" t="s">
        <v>11111</v>
      </c>
      <c r="M1153" s="1" t="s">
        <v>11111</v>
      </c>
      <c r="N1153" s="12" t="b">
        <f t="shared" si="85"/>
        <v>1</v>
      </c>
      <c r="O1153" s="1" t="s">
        <v>11112</v>
      </c>
      <c r="P1153" s="1" t="s">
        <v>11113</v>
      </c>
      <c r="Q1153" s="1" t="s">
        <v>11114</v>
      </c>
      <c r="R1153" s="1" t="s">
        <v>11115</v>
      </c>
      <c r="S1153" s="1" t="s">
        <v>11116</v>
      </c>
      <c r="T1153" s="1" t="s">
        <v>11117</v>
      </c>
      <c r="U1153" s="1" t="s">
        <v>11118</v>
      </c>
      <c r="V1153" s="13">
        <f>COUNTIF(L1153:$M$1659,L1153)</f>
        <v>8</v>
      </c>
      <c r="W1153" s="1" t="s">
        <v>11119</v>
      </c>
      <c r="X1153">
        <v>968.06</v>
      </c>
      <c r="Y1153">
        <v>588.26</v>
      </c>
      <c r="Z1153">
        <v>15.983065</v>
      </c>
      <c r="AA1153">
        <v>108.13851099999999</v>
      </c>
      <c r="AB1153">
        <v>379.79</v>
      </c>
      <c r="AC1153">
        <v>15.980283</v>
      </c>
      <c r="AD1153">
        <v>108.127217</v>
      </c>
      <c r="AE1153" s="5">
        <f t="shared" si="86"/>
        <v>0.88239000000000001</v>
      </c>
      <c r="AF1153" s="5">
        <f t="shared" si="87"/>
        <v>0.56968500000000011</v>
      </c>
      <c r="AG1153" s="1" t="str">
        <f>TRIM(LEFT(L1153,FIND("-",L1153)-1))</f>
        <v>Sông Vàng</v>
      </c>
      <c r="AH1153" s="1" t="str">
        <f>TRIM(RIGHT(L1153, LEN(L1153) - FIND("-", L1153)))</f>
        <v>TTCMKV Đại Lộc</v>
      </c>
      <c r="AJ1153">
        <f t="shared" si="88"/>
        <v>0.58826000000000001</v>
      </c>
      <c r="AK1153">
        <f t="shared" si="89"/>
        <v>0.37979000000000002</v>
      </c>
      <c r="AL1153">
        <f>VLOOKUP(L1153,'[1]Tuyến cáp H04'!$B:$E,3,0)/1000</f>
        <v>38.832000000000001</v>
      </c>
      <c r="AM1153" t="str">
        <f>VLOOKUP(L1153,'[1]Tuyến cáp H04'!$B:$E,4,0)</f>
        <v>Mạng cấp 4</v>
      </c>
    </row>
    <row r="1154" spans="1:39" x14ac:dyDescent="0.25">
      <c r="A1154" s="1" t="s">
        <v>11120</v>
      </c>
      <c r="B1154" s="1" t="s">
        <v>11081</v>
      </c>
      <c r="C1154" s="1" t="s">
        <v>11082</v>
      </c>
      <c r="D1154" s="1" t="s">
        <v>11121</v>
      </c>
      <c r="E1154" s="1" t="s">
        <v>11122</v>
      </c>
      <c r="F1154" s="1" t="s">
        <v>11123</v>
      </c>
      <c r="G1154" s="1" t="s">
        <v>14129</v>
      </c>
      <c r="H1154" s="1" t="s">
        <v>14133</v>
      </c>
      <c r="I1154" s="1" t="s">
        <v>15263</v>
      </c>
      <c r="J1154" s="1" t="s">
        <v>23</v>
      </c>
      <c r="K1154" s="1"/>
      <c r="L1154" s="1" t="s">
        <v>11098</v>
      </c>
      <c r="M1154" s="1" t="s">
        <v>11098</v>
      </c>
      <c r="N1154" s="12" t="b">
        <f t="shared" si="85"/>
        <v>1</v>
      </c>
      <c r="O1154" s="1" t="s">
        <v>11124</v>
      </c>
      <c r="P1154" s="1" t="s">
        <v>11125</v>
      </c>
      <c r="Q1154" s="1" t="s">
        <v>11126</v>
      </c>
      <c r="R1154" s="1" t="s">
        <v>11127</v>
      </c>
      <c r="S1154" s="1" t="s">
        <v>11128</v>
      </c>
      <c r="T1154" s="1" t="s">
        <v>11129</v>
      </c>
      <c r="U1154" s="1" t="s">
        <v>11130</v>
      </c>
      <c r="V1154" s="13">
        <f>COUNTIF(L1154:$M$1659,L1154)</f>
        <v>10</v>
      </c>
      <c r="W1154" s="1" t="s">
        <v>11131</v>
      </c>
      <c r="X1154">
        <v>76.8</v>
      </c>
      <c r="Y1154">
        <v>10.3</v>
      </c>
      <c r="Z1154">
        <v>15.988042</v>
      </c>
      <c r="AA1154">
        <v>108.140275</v>
      </c>
      <c r="AB1154">
        <v>66.5</v>
      </c>
      <c r="AC1154">
        <v>15.989824</v>
      </c>
      <c r="AD1154">
        <v>108.142754</v>
      </c>
      <c r="AE1154" s="5">
        <f t="shared" si="86"/>
        <v>1.5450000000000002E-2</v>
      </c>
      <c r="AF1154" s="5">
        <f t="shared" si="87"/>
        <v>9.9750000000000005E-2</v>
      </c>
      <c r="AG1154" s="1" t="str">
        <f>TRIM(LEFT(L1154,FIND("-",L1154)-1))</f>
        <v>Hòa Vang</v>
      </c>
      <c r="AH1154" s="1" t="str">
        <f>TRIM(RIGHT(L1154, LEN(L1154) - FIND("-", L1154)))</f>
        <v>TT1 Đà Nẵng</v>
      </c>
      <c r="AJ1154">
        <f t="shared" si="88"/>
        <v>1.03E-2</v>
      </c>
      <c r="AK1154">
        <f t="shared" si="89"/>
        <v>6.6500000000000004E-2</v>
      </c>
      <c r="AL1154">
        <f>VLOOKUP(L1154,'[1]Tuyến cáp H04'!$B:$E,3,0)/1000</f>
        <v>17.654</v>
      </c>
      <c r="AM1154" t="str">
        <f>VLOOKUP(L1154,'[1]Tuyến cáp H04'!$B:$E,4,0)</f>
        <v>Mạng cấp 3</v>
      </c>
    </row>
    <row r="1155" spans="1:39" x14ac:dyDescent="0.25">
      <c r="A1155" s="1" t="s">
        <v>11132</v>
      </c>
      <c r="B1155" s="1" t="s">
        <v>11081</v>
      </c>
      <c r="C1155" s="1" t="s">
        <v>11082</v>
      </c>
      <c r="D1155" s="1" t="s">
        <v>11133</v>
      </c>
      <c r="E1155" s="1" t="s">
        <v>11134</v>
      </c>
      <c r="F1155" s="1" t="s">
        <v>11135</v>
      </c>
      <c r="G1155" s="1" t="s">
        <v>14129</v>
      </c>
      <c r="H1155" s="1" t="s">
        <v>14130</v>
      </c>
      <c r="I1155" s="1" t="s">
        <v>15264</v>
      </c>
      <c r="J1155" s="1" t="s">
        <v>23</v>
      </c>
      <c r="K1155" s="1"/>
      <c r="L1155" s="1" t="s">
        <v>11098</v>
      </c>
      <c r="M1155" s="1" t="s">
        <v>11098</v>
      </c>
      <c r="N1155" s="12" t="b">
        <f t="shared" ref="N1155:N1218" si="90">L1155=M1155</f>
        <v>1</v>
      </c>
      <c r="O1155" s="1" t="s">
        <v>11136</v>
      </c>
      <c r="P1155" s="1" t="s">
        <v>11125</v>
      </c>
      <c r="Q1155" s="1" t="s">
        <v>11126</v>
      </c>
      <c r="R1155" s="1" t="s">
        <v>11127</v>
      </c>
      <c r="S1155" s="1" t="s">
        <v>11137</v>
      </c>
      <c r="T1155" s="1" t="s">
        <v>11138</v>
      </c>
      <c r="U1155" s="1" t="s">
        <v>11139</v>
      </c>
      <c r="V1155" s="13">
        <f>COUNTIF(L1155:$M$1659,L1155)</f>
        <v>8</v>
      </c>
      <c r="W1155" s="1" t="s">
        <v>11131</v>
      </c>
      <c r="X1155">
        <v>493.67</v>
      </c>
      <c r="Y1155">
        <v>10.3</v>
      </c>
      <c r="Z1155">
        <v>15.988042</v>
      </c>
      <c r="AA1155">
        <v>108.140275</v>
      </c>
      <c r="AB1155">
        <v>483.38</v>
      </c>
      <c r="AC1155">
        <v>15.992659</v>
      </c>
      <c r="AD1155">
        <v>108.14371300000001</v>
      </c>
      <c r="AE1155" s="5">
        <f t="shared" ref="AE1155:AE1218" si="91">Y1155*1.5/1000</f>
        <v>1.5450000000000002E-2</v>
      </c>
      <c r="AF1155" s="5">
        <f t="shared" ref="AF1155:AF1218" si="92">AB1155*1.5/1000</f>
        <v>0.72506999999999988</v>
      </c>
      <c r="AG1155" s="1" t="str">
        <f>TRIM(LEFT(L1155,FIND("-",L1155)-1))</f>
        <v>Hòa Vang</v>
      </c>
      <c r="AH1155" s="1" t="str">
        <f>TRIM(RIGHT(L1155, LEN(L1155) - FIND("-", L1155)))</f>
        <v>TT1 Đà Nẵng</v>
      </c>
      <c r="AJ1155">
        <f t="shared" ref="AJ1155:AJ1218" si="93">Y1155/1000</f>
        <v>1.03E-2</v>
      </c>
      <c r="AK1155">
        <f t="shared" ref="AK1155:AK1218" si="94">AB1155/1000</f>
        <v>0.48337999999999998</v>
      </c>
      <c r="AL1155">
        <f>VLOOKUP(L1155,'[1]Tuyến cáp H04'!$B:$E,3,0)/1000</f>
        <v>17.654</v>
      </c>
      <c r="AM1155" t="str">
        <f>VLOOKUP(L1155,'[1]Tuyến cáp H04'!$B:$E,4,0)</f>
        <v>Mạng cấp 3</v>
      </c>
    </row>
    <row r="1156" spans="1:39" x14ac:dyDescent="0.25">
      <c r="A1156" s="1" t="s">
        <v>11140</v>
      </c>
      <c r="B1156" s="1" t="s">
        <v>11141</v>
      </c>
      <c r="C1156" s="1" t="s">
        <v>11142</v>
      </c>
      <c r="D1156" s="1" t="s">
        <v>11143</v>
      </c>
      <c r="E1156" s="1" t="s">
        <v>11144</v>
      </c>
      <c r="F1156" s="1" t="s">
        <v>11145</v>
      </c>
      <c r="G1156" s="1" t="s">
        <v>14129</v>
      </c>
      <c r="H1156" s="1" t="s">
        <v>14130</v>
      </c>
      <c r="I1156" s="1" t="s">
        <v>15265</v>
      </c>
      <c r="J1156" s="1" t="s">
        <v>23</v>
      </c>
      <c r="K1156" s="1"/>
      <c r="L1156" s="1" t="s">
        <v>11146</v>
      </c>
      <c r="M1156" s="1" t="s">
        <v>11146</v>
      </c>
      <c r="N1156" s="12" t="b">
        <f t="shared" si="90"/>
        <v>1</v>
      </c>
      <c r="O1156" s="1" t="s">
        <v>11147</v>
      </c>
      <c r="P1156" s="1" t="s">
        <v>11148</v>
      </c>
      <c r="Q1156" s="1" t="s">
        <v>11149</v>
      </c>
      <c r="R1156" s="1" t="s">
        <v>11150</v>
      </c>
      <c r="S1156" s="1" t="s">
        <v>3188</v>
      </c>
      <c r="T1156" s="1" t="s">
        <v>11151</v>
      </c>
      <c r="U1156" s="1" t="s">
        <v>11152</v>
      </c>
      <c r="V1156" s="13">
        <f>COUNTIF(L1156:$M$1659,L1156)</f>
        <v>14</v>
      </c>
      <c r="W1156" s="1" t="s">
        <v>11153</v>
      </c>
      <c r="X1156">
        <v>438.56</v>
      </c>
      <c r="Y1156">
        <v>317.12</v>
      </c>
      <c r="Z1156">
        <v>16.076900999999999</v>
      </c>
      <c r="AA1156">
        <v>108.15944399999999</v>
      </c>
      <c r="AB1156">
        <v>121.44</v>
      </c>
      <c r="AC1156">
        <v>16.081568999999998</v>
      </c>
      <c r="AD1156">
        <v>108.160889</v>
      </c>
      <c r="AE1156" s="5">
        <f t="shared" si="91"/>
        <v>0.47567999999999999</v>
      </c>
      <c r="AF1156" s="5">
        <f t="shared" si="92"/>
        <v>0.18215999999999999</v>
      </c>
      <c r="AG1156" s="1" t="str">
        <f>TRIM(LEFT(L1156,FIND("-",L1156)-1))</f>
        <v>TT1 Đà Nẵng</v>
      </c>
      <c r="AH1156" s="1" t="str">
        <f>TRIM(RIGHT(L1156, LEN(L1156) - FIND("-", L1156)))</f>
        <v>Liên Chiểu</v>
      </c>
      <c r="AJ1156">
        <f t="shared" si="93"/>
        <v>0.31712000000000001</v>
      </c>
      <c r="AK1156">
        <f t="shared" si="94"/>
        <v>0.12143999999999999</v>
      </c>
      <c r="AL1156">
        <f>VLOOKUP(L1156,'[1]Tuyến cáp H04'!$B:$E,3,0)/1000</f>
        <v>9.8698999999999995</v>
      </c>
      <c r="AM1156" t="str">
        <f>VLOOKUP(L1156,'[1]Tuyến cáp H04'!$B:$E,4,0)</f>
        <v>Mạng cấp 3</v>
      </c>
    </row>
    <row r="1157" spans="1:39" x14ac:dyDescent="0.25">
      <c r="A1157" s="1" t="s">
        <v>11154</v>
      </c>
      <c r="B1157" s="1" t="s">
        <v>11141</v>
      </c>
      <c r="C1157" s="1" t="s">
        <v>11142</v>
      </c>
      <c r="D1157" s="1" t="s">
        <v>11155</v>
      </c>
      <c r="E1157" s="1" t="s">
        <v>11156</v>
      </c>
      <c r="F1157" s="1" t="s">
        <v>11157</v>
      </c>
      <c r="G1157" s="1" t="s">
        <v>14129</v>
      </c>
      <c r="H1157" s="1" t="s">
        <v>14133</v>
      </c>
      <c r="I1157" s="1" t="s">
        <v>15266</v>
      </c>
      <c r="J1157" s="1" t="s">
        <v>23</v>
      </c>
      <c r="K1157" s="1"/>
      <c r="L1157" s="1" t="s">
        <v>11146</v>
      </c>
      <c r="M1157" s="1" t="s">
        <v>11146</v>
      </c>
      <c r="N1157" s="12" t="b">
        <f t="shared" si="90"/>
        <v>1</v>
      </c>
      <c r="O1157" s="1" t="s">
        <v>11158</v>
      </c>
      <c r="P1157" s="1" t="s">
        <v>11148</v>
      </c>
      <c r="Q1157" s="1" t="s">
        <v>11149</v>
      </c>
      <c r="R1157" s="1" t="s">
        <v>11150</v>
      </c>
      <c r="S1157" s="1" t="s">
        <v>11159</v>
      </c>
      <c r="T1157" s="1" t="s">
        <v>11160</v>
      </c>
      <c r="U1157" s="1" t="s">
        <v>11161</v>
      </c>
      <c r="V1157" s="13">
        <f>COUNTIF(L1157:$M$1659,L1157)</f>
        <v>12</v>
      </c>
      <c r="W1157" s="1" t="s">
        <v>11153</v>
      </c>
      <c r="X1157">
        <v>463.93</v>
      </c>
      <c r="Y1157">
        <v>317.12</v>
      </c>
      <c r="Z1157">
        <v>16.076900999999999</v>
      </c>
      <c r="AA1157">
        <v>108.15944399999999</v>
      </c>
      <c r="AB1157">
        <v>146.80000000000001</v>
      </c>
      <c r="AC1157">
        <v>16.080864999999999</v>
      </c>
      <c r="AD1157">
        <v>108.162509</v>
      </c>
      <c r="AE1157" s="5">
        <f t="shared" si="91"/>
        <v>0.47567999999999999</v>
      </c>
      <c r="AF1157" s="5">
        <f t="shared" si="92"/>
        <v>0.22020000000000001</v>
      </c>
      <c r="AG1157" s="1" t="str">
        <f>TRIM(LEFT(L1157,FIND("-",L1157)-1))</f>
        <v>TT1 Đà Nẵng</v>
      </c>
      <c r="AH1157" s="1" t="str">
        <f>TRIM(RIGHT(L1157, LEN(L1157) - FIND("-", L1157)))</f>
        <v>Liên Chiểu</v>
      </c>
      <c r="AJ1157">
        <f t="shared" si="93"/>
        <v>0.31712000000000001</v>
      </c>
      <c r="AK1157">
        <f t="shared" si="94"/>
        <v>0.14680000000000001</v>
      </c>
      <c r="AL1157">
        <f>VLOOKUP(L1157,'[1]Tuyến cáp H04'!$B:$E,3,0)/1000</f>
        <v>9.8698999999999995</v>
      </c>
      <c r="AM1157" t="str">
        <f>VLOOKUP(L1157,'[1]Tuyến cáp H04'!$B:$E,4,0)</f>
        <v>Mạng cấp 3</v>
      </c>
    </row>
    <row r="1158" spans="1:39" x14ac:dyDescent="0.25">
      <c r="A1158" s="1" t="s">
        <v>11162</v>
      </c>
      <c r="B1158" s="1" t="s">
        <v>11141</v>
      </c>
      <c r="C1158" s="1" t="s">
        <v>11142</v>
      </c>
      <c r="D1158" s="1" t="s">
        <v>11163</v>
      </c>
      <c r="E1158" s="1" t="s">
        <v>11164</v>
      </c>
      <c r="F1158" s="1" t="s">
        <v>11165</v>
      </c>
      <c r="G1158" s="1" t="s">
        <v>14129</v>
      </c>
      <c r="H1158" s="1" t="s">
        <v>14532</v>
      </c>
      <c r="I1158" s="1" t="s">
        <v>15267</v>
      </c>
      <c r="J1158" s="1" t="s">
        <v>23</v>
      </c>
      <c r="K1158" s="1"/>
      <c r="L1158" s="1" t="s">
        <v>11166</v>
      </c>
      <c r="M1158" s="1" t="s">
        <v>11166</v>
      </c>
      <c r="N1158" s="12" t="b">
        <f t="shared" si="90"/>
        <v>1</v>
      </c>
      <c r="O1158" s="1" t="s">
        <v>11167</v>
      </c>
      <c r="P1158" s="1" t="s">
        <v>11168</v>
      </c>
      <c r="Q1158" s="1" t="s">
        <v>11169</v>
      </c>
      <c r="R1158" s="1" t="s">
        <v>11170</v>
      </c>
      <c r="S1158" s="1" t="s">
        <v>11171</v>
      </c>
      <c r="T1158" s="1" t="s">
        <v>11172</v>
      </c>
      <c r="U1158" s="1" t="s">
        <v>11173</v>
      </c>
      <c r="V1158" s="13">
        <f>COUNTIF(L1158:$M$1659,L1158)</f>
        <v>18</v>
      </c>
      <c r="W1158" s="1" t="s">
        <v>11174</v>
      </c>
      <c r="X1158">
        <v>823.71</v>
      </c>
      <c r="Y1158">
        <v>792.46</v>
      </c>
      <c r="Z1158">
        <v>16.077791000000001</v>
      </c>
      <c r="AA1158">
        <v>108.164749</v>
      </c>
      <c r="AB1158">
        <v>31.26</v>
      </c>
      <c r="AC1158">
        <v>16.073207</v>
      </c>
      <c r="AD1158">
        <v>108.177558</v>
      </c>
      <c r="AE1158" s="5">
        <f t="shared" si="91"/>
        <v>1.18869</v>
      </c>
      <c r="AF1158" s="5">
        <f t="shared" si="92"/>
        <v>4.6890000000000001E-2</v>
      </c>
      <c r="AG1158" s="1" t="str">
        <f>TRIM(LEFT(L1158,FIND("-",L1158)-1))</f>
        <v>TT1 Đà Nẵng</v>
      </c>
      <c r="AH1158" s="1" t="str">
        <f>TRIM(RIGHT(L1158, LEN(L1158) - FIND("-", L1158)))</f>
        <v>Hải Vân</v>
      </c>
      <c r="AJ1158">
        <f t="shared" si="93"/>
        <v>0.79246000000000005</v>
      </c>
      <c r="AK1158">
        <f t="shared" si="94"/>
        <v>3.1260000000000003E-2</v>
      </c>
      <c r="AL1158">
        <f>VLOOKUP(L1158,'[1]Tuyến cáp H04'!$B:$E,3,0)/1000</f>
        <v>14.76</v>
      </c>
      <c r="AM1158" t="str">
        <f>VLOOKUP(L1158,'[1]Tuyến cáp H04'!$B:$E,4,0)</f>
        <v>Mạng cấp 4</v>
      </c>
    </row>
    <row r="1159" spans="1:39" x14ac:dyDescent="0.25">
      <c r="A1159" s="1" t="s">
        <v>11175</v>
      </c>
      <c r="B1159" s="1" t="s">
        <v>11141</v>
      </c>
      <c r="C1159" s="1" t="s">
        <v>11142</v>
      </c>
      <c r="D1159" s="1" t="s">
        <v>11176</v>
      </c>
      <c r="E1159" s="1" t="s">
        <v>11177</v>
      </c>
      <c r="F1159" s="1" t="s">
        <v>11178</v>
      </c>
      <c r="G1159" s="1"/>
      <c r="H1159" s="1" t="s">
        <v>14532</v>
      </c>
      <c r="I1159" s="1" t="s">
        <v>15268</v>
      </c>
      <c r="J1159" s="1" t="s">
        <v>23</v>
      </c>
      <c r="K1159" s="1"/>
      <c r="L1159" s="1" t="s">
        <v>11179</v>
      </c>
      <c r="M1159" s="1" t="s">
        <v>11179</v>
      </c>
      <c r="N1159" s="12" t="b">
        <f t="shared" si="90"/>
        <v>1</v>
      </c>
      <c r="O1159" s="1" t="s">
        <v>11180</v>
      </c>
      <c r="P1159" s="1" t="s">
        <v>11181</v>
      </c>
      <c r="Q1159" s="1" t="s">
        <v>11182</v>
      </c>
      <c r="R1159" s="1" t="s">
        <v>11183</v>
      </c>
      <c r="S1159" s="1" t="s">
        <v>11184</v>
      </c>
      <c r="T1159" s="1" t="s">
        <v>11185</v>
      </c>
      <c r="U1159" s="1" t="s">
        <v>11186</v>
      </c>
      <c r="V1159" s="13">
        <f>COUNTIF(L1159:$M$1659,L1159)</f>
        <v>18</v>
      </c>
      <c r="W1159" s="1" t="s">
        <v>11187</v>
      </c>
      <c r="X1159">
        <v>490.42</v>
      </c>
      <c r="Y1159">
        <v>27.31</v>
      </c>
      <c r="Z1159">
        <v>16.074273999999999</v>
      </c>
      <c r="AA1159">
        <v>108.158044</v>
      </c>
      <c r="AB1159">
        <v>463.11</v>
      </c>
      <c r="AC1159">
        <v>16.074614</v>
      </c>
      <c r="AD1159">
        <v>108.14948099999999</v>
      </c>
      <c r="AE1159" s="5">
        <f t="shared" si="91"/>
        <v>4.0964999999999994E-2</v>
      </c>
      <c r="AF1159" s="5">
        <f t="shared" si="92"/>
        <v>0.69466499999999998</v>
      </c>
      <c r="AG1159" s="1" t="str">
        <f>TRIM(LEFT(L1159,FIND("-",L1159)-1))</f>
        <v>TTCMKV Liên Chiểu</v>
      </c>
      <c r="AH1159" s="1" t="str">
        <f>TRIM(RIGHT(L1159, LEN(L1159) - FIND("-", L1159)))</f>
        <v>Trạm CSGT Hòa Hiệp</v>
      </c>
      <c r="AJ1159">
        <f t="shared" si="93"/>
        <v>2.7309999999999997E-2</v>
      </c>
      <c r="AK1159">
        <f t="shared" si="94"/>
        <v>0.46311000000000002</v>
      </c>
      <c r="AL1159">
        <f>VLOOKUP(L1159,'[1]Tuyến cáp H04'!$B:$E,3,0)/1000</f>
        <v>9.5169999999999995</v>
      </c>
      <c r="AM1159" t="str">
        <f>VLOOKUP(L1159,'[1]Tuyến cáp H04'!$B:$E,4,0)</f>
        <v>Mạng cấp 3</v>
      </c>
    </row>
    <row r="1160" spans="1:39" x14ac:dyDescent="0.25">
      <c r="A1160" s="1" t="s">
        <v>11188</v>
      </c>
      <c r="B1160" s="1" t="s">
        <v>11141</v>
      </c>
      <c r="C1160" s="1" t="s">
        <v>11142</v>
      </c>
      <c r="D1160" s="1" t="s">
        <v>11189</v>
      </c>
      <c r="E1160" s="1" t="s">
        <v>11190</v>
      </c>
      <c r="F1160" s="1" t="s">
        <v>11191</v>
      </c>
      <c r="G1160" s="1" t="s">
        <v>14129</v>
      </c>
      <c r="H1160" s="1" t="s">
        <v>14532</v>
      </c>
      <c r="I1160" s="1" t="s">
        <v>15269</v>
      </c>
      <c r="J1160" s="1" t="s">
        <v>23</v>
      </c>
      <c r="K1160" s="1"/>
      <c r="L1160" s="1" t="s">
        <v>11179</v>
      </c>
      <c r="M1160" s="1" t="s">
        <v>11179</v>
      </c>
      <c r="N1160" s="12" t="b">
        <f t="shared" si="90"/>
        <v>1</v>
      </c>
      <c r="O1160" s="1" t="s">
        <v>11192</v>
      </c>
      <c r="P1160" s="1" t="s">
        <v>11181</v>
      </c>
      <c r="Q1160" s="1" t="s">
        <v>11182</v>
      </c>
      <c r="R1160" s="1" t="s">
        <v>11183</v>
      </c>
      <c r="S1160" s="1" t="s">
        <v>11193</v>
      </c>
      <c r="T1160" s="1" t="s">
        <v>11194</v>
      </c>
      <c r="U1160" s="1" t="s">
        <v>11195</v>
      </c>
      <c r="V1160" s="13">
        <f>COUNTIF(L1160:$M$1659,L1160)</f>
        <v>16</v>
      </c>
      <c r="W1160" s="1" t="s">
        <v>11187</v>
      </c>
      <c r="X1160">
        <v>98.86</v>
      </c>
      <c r="Y1160">
        <v>27.31</v>
      </c>
      <c r="Z1160">
        <v>16.074273999999999</v>
      </c>
      <c r="AA1160">
        <v>108.158044</v>
      </c>
      <c r="AB1160">
        <v>71.55</v>
      </c>
      <c r="AC1160">
        <v>16.090608</v>
      </c>
      <c r="AD1160">
        <v>108.14290800000001</v>
      </c>
      <c r="AE1160" s="5">
        <f t="shared" si="91"/>
        <v>4.0964999999999994E-2</v>
      </c>
      <c r="AF1160" s="5">
        <f t="shared" si="92"/>
        <v>0.10732499999999999</v>
      </c>
      <c r="AG1160" s="1" t="str">
        <f>TRIM(LEFT(L1160,FIND("-",L1160)-1))</f>
        <v>TTCMKV Liên Chiểu</v>
      </c>
      <c r="AH1160" s="1" t="str">
        <f>TRIM(RIGHT(L1160, LEN(L1160) - FIND("-", L1160)))</f>
        <v>Trạm CSGT Hòa Hiệp</v>
      </c>
      <c r="AJ1160">
        <f t="shared" si="93"/>
        <v>2.7309999999999997E-2</v>
      </c>
      <c r="AK1160">
        <f t="shared" si="94"/>
        <v>7.1550000000000002E-2</v>
      </c>
      <c r="AL1160">
        <f>VLOOKUP(L1160,'[1]Tuyến cáp H04'!$B:$E,3,0)/1000</f>
        <v>9.5169999999999995</v>
      </c>
      <c r="AM1160" t="str">
        <f>VLOOKUP(L1160,'[1]Tuyến cáp H04'!$B:$E,4,0)</f>
        <v>Mạng cấp 3</v>
      </c>
    </row>
    <row r="1161" spans="1:39" x14ac:dyDescent="0.25">
      <c r="A1161" s="1" t="s">
        <v>11196</v>
      </c>
      <c r="B1161" s="1" t="s">
        <v>11197</v>
      </c>
      <c r="C1161" s="1" t="s">
        <v>11198</v>
      </c>
      <c r="D1161" s="1" t="s">
        <v>11199</v>
      </c>
      <c r="E1161" s="1" t="s">
        <v>11200</v>
      </c>
      <c r="F1161" s="1" t="s">
        <v>11201</v>
      </c>
      <c r="G1161" s="1" t="s">
        <v>14129</v>
      </c>
      <c r="H1161" s="1" t="s">
        <v>14133</v>
      </c>
      <c r="I1161" s="1" t="s">
        <v>15270</v>
      </c>
      <c r="J1161" s="1" t="s">
        <v>23</v>
      </c>
      <c r="K1161" s="1"/>
      <c r="L1161" s="1" t="s">
        <v>11202</v>
      </c>
      <c r="M1161" s="1" t="s">
        <v>11202</v>
      </c>
      <c r="N1161" s="12" t="b">
        <f t="shared" si="90"/>
        <v>1</v>
      </c>
      <c r="O1161" s="1" t="s">
        <v>11203</v>
      </c>
      <c r="P1161" s="1" t="s">
        <v>11204</v>
      </c>
      <c r="Q1161" s="1" t="s">
        <v>11205</v>
      </c>
      <c r="R1161" s="1" t="s">
        <v>11206</v>
      </c>
      <c r="S1161" s="1" t="s">
        <v>11207</v>
      </c>
      <c r="T1161" s="1" t="s">
        <v>11208</v>
      </c>
      <c r="U1161" s="1" t="s">
        <v>11209</v>
      </c>
      <c r="V1161" s="13">
        <f>COUNTIF(L1161:$M$1659,L1161)</f>
        <v>14</v>
      </c>
      <c r="W1161" s="1" t="s">
        <v>11210</v>
      </c>
      <c r="X1161">
        <v>824.18</v>
      </c>
      <c r="Y1161">
        <v>14.34</v>
      </c>
      <c r="Z1161">
        <v>16.015280000000001</v>
      </c>
      <c r="AA1161">
        <v>108.254448</v>
      </c>
      <c r="AB1161">
        <v>809.84</v>
      </c>
      <c r="AC1161">
        <v>15.998049</v>
      </c>
      <c r="AD1161">
        <v>108.261855</v>
      </c>
      <c r="AE1161" s="5">
        <f t="shared" si="91"/>
        <v>2.1509999999999998E-2</v>
      </c>
      <c r="AF1161" s="5">
        <f t="shared" si="92"/>
        <v>1.2147600000000001</v>
      </c>
      <c r="AG1161" s="1" t="str">
        <f>TRIM(LEFT(L1161,FIND("-",L1161)-1))</f>
        <v>Hội An</v>
      </c>
      <c r="AH1161" s="1" t="str">
        <f>TRIM(RIGHT(L1161, LEN(L1161) - FIND("-", L1161)))</f>
        <v>Ngũ Hành Sơn</v>
      </c>
      <c r="AJ1161">
        <f t="shared" si="93"/>
        <v>1.434E-2</v>
      </c>
      <c r="AK1161">
        <f t="shared" si="94"/>
        <v>0.80984</v>
      </c>
      <c r="AL1161">
        <f>VLOOKUP(L1161,'[1]Tuyến cáp H04'!$B:$E,3,0)/1000</f>
        <v>20.16</v>
      </c>
      <c r="AM1161" t="str">
        <f>VLOOKUP(L1161,'[1]Tuyến cáp H04'!$B:$E,4,0)</f>
        <v>Mạng cấp 3</v>
      </c>
    </row>
    <row r="1162" spans="1:39" x14ac:dyDescent="0.25">
      <c r="A1162" s="1" t="s">
        <v>11211</v>
      </c>
      <c r="B1162" s="1" t="s">
        <v>11197</v>
      </c>
      <c r="C1162" s="1" t="s">
        <v>11198</v>
      </c>
      <c r="D1162" s="1" t="s">
        <v>11212</v>
      </c>
      <c r="E1162" s="1" t="s">
        <v>11213</v>
      </c>
      <c r="F1162" s="1" t="s">
        <v>11214</v>
      </c>
      <c r="G1162" s="1" t="s">
        <v>14129</v>
      </c>
      <c r="H1162" s="1" t="s">
        <v>14133</v>
      </c>
      <c r="I1162" s="1" t="s">
        <v>15271</v>
      </c>
      <c r="J1162" s="1" t="s">
        <v>23</v>
      </c>
      <c r="K1162" s="1"/>
      <c r="L1162" s="1" t="s">
        <v>11202</v>
      </c>
      <c r="M1162" s="1" t="s">
        <v>11202</v>
      </c>
      <c r="N1162" s="12" t="b">
        <f t="shared" si="90"/>
        <v>1</v>
      </c>
      <c r="O1162" s="1" t="s">
        <v>11215</v>
      </c>
      <c r="P1162" s="1" t="s">
        <v>11204</v>
      </c>
      <c r="Q1162" s="1" t="s">
        <v>11205</v>
      </c>
      <c r="R1162" s="1" t="s">
        <v>11206</v>
      </c>
      <c r="S1162" s="1" t="s">
        <v>11216</v>
      </c>
      <c r="T1162" s="1" t="s">
        <v>11217</v>
      </c>
      <c r="U1162" s="1" t="s">
        <v>11218</v>
      </c>
      <c r="V1162" s="13">
        <f>COUNTIF(L1162:$M$1659,L1162)</f>
        <v>12</v>
      </c>
      <c r="W1162" s="1" t="s">
        <v>11210</v>
      </c>
      <c r="X1162">
        <v>714.37</v>
      </c>
      <c r="Y1162">
        <v>14.34</v>
      </c>
      <c r="Z1162">
        <v>16.015280000000001</v>
      </c>
      <c r="AA1162">
        <v>108.254448</v>
      </c>
      <c r="AB1162">
        <v>700.04</v>
      </c>
      <c r="AC1162">
        <v>16.012157999999999</v>
      </c>
      <c r="AD1162">
        <v>108.25636299999999</v>
      </c>
      <c r="AE1162" s="5">
        <f t="shared" si="91"/>
        <v>2.1509999999999998E-2</v>
      </c>
      <c r="AF1162" s="5">
        <f t="shared" si="92"/>
        <v>1.05006</v>
      </c>
      <c r="AG1162" s="1" t="str">
        <f>TRIM(LEFT(L1162,FIND("-",L1162)-1))</f>
        <v>Hội An</v>
      </c>
      <c r="AH1162" s="1" t="str">
        <f>TRIM(RIGHT(L1162, LEN(L1162) - FIND("-", L1162)))</f>
        <v>Ngũ Hành Sơn</v>
      </c>
      <c r="AJ1162">
        <f t="shared" si="93"/>
        <v>1.434E-2</v>
      </c>
      <c r="AK1162">
        <f t="shared" si="94"/>
        <v>0.70004</v>
      </c>
      <c r="AL1162">
        <f>VLOOKUP(L1162,'[1]Tuyến cáp H04'!$B:$E,3,0)/1000</f>
        <v>20.16</v>
      </c>
      <c r="AM1162" t="str">
        <f>VLOOKUP(L1162,'[1]Tuyến cáp H04'!$B:$E,4,0)</f>
        <v>Mạng cấp 3</v>
      </c>
    </row>
    <row r="1163" spans="1:39" x14ac:dyDescent="0.25">
      <c r="A1163" s="1" t="s">
        <v>11219</v>
      </c>
      <c r="B1163" s="1" t="s">
        <v>11220</v>
      </c>
      <c r="C1163" s="1" t="s">
        <v>11221</v>
      </c>
      <c r="D1163" s="1" t="s">
        <v>11222</v>
      </c>
      <c r="E1163" s="1" t="s">
        <v>11223</v>
      </c>
      <c r="F1163" s="1" t="s">
        <v>11224</v>
      </c>
      <c r="G1163" s="1" t="s">
        <v>14129</v>
      </c>
      <c r="H1163" s="1" t="s">
        <v>14532</v>
      </c>
      <c r="I1163" s="1" t="s">
        <v>15272</v>
      </c>
      <c r="J1163" s="1" t="s">
        <v>23</v>
      </c>
      <c r="K1163" s="1"/>
      <c r="L1163" s="1" t="s">
        <v>11225</v>
      </c>
      <c r="M1163" s="1" t="s">
        <v>11225</v>
      </c>
      <c r="N1163" s="12" t="b">
        <f t="shared" si="90"/>
        <v>1</v>
      </c>
      <c r="O1163" s="1" t="s">
        <v>11226</v>
      </c>
      <c r="P1163" s="1" t="s">
        <v>11227</v>
      </c>
      <c r="Q1163" s="1" t="s">
        <v>11228</v>
      </c>
      <c r="R1163" s="1" t="s">
        <v>11229</v>
      </c>
      <c r="S1163" s="1" t="s">
        <v>11230</v>
      </c>
      <c r="T1163" s="1" t="s">
        <v>11231</v>
      </c>
      <c r="U1163" s="1" t="s">
        <v>11232</v>
      </c>
      <c r="V1163" s="13">
        <f>COUNTIF(L1163:$M$1659,L1163)</f>
        <v>16</v>
      </c>
      <c r="W1163" s="1" t="s">
        <v>11233</v>
      </c>
      <c r="X1163">
        <v>674.89</v>
      </c>
      <c r="Y1163">
        <v>208.25</v>
      </c>
      <c r="Z1163">
        <v>16.071846000000001</v>
      </c>
      <c r="AA1163">
        <v>108.23430399999999</v>
      </c>
      <c r="AB1163">
        <v>466.64</v>
      </c>
      <c r="AC1163">
        <v>16.069942000000001</v>
      </c>
      <c r="AD1163">
        <v>108.24113199999999</v>
      </c>
      <c r="AE1163" s="5">
        <f t="shared" si="91"/>
        <v>0.31237500000000001</v>
      </c>
      <c r="AF1163" s="5">
        <f t="shared" si="92"/>
        <v>0.69996000000000003</v>
      </c>
      <c r="AG1163" s="1" t="str">
        <f>TRIM(LEFT(L1163,FIND("-",L1163)-1))</f>
        <v>An Hải</v>
      </c>
      <c r="AH1163" s="1" t="str">
        <f>TRIM(RIGHT(L1163, LEN(L1163) - FIND("-", L1163)))</f>
        <v>Sơn Trà</v>
      </c>
      <c r="AJ1163">
        <f t="shared" si="93"/>
        <v>0.20824999999999999</v>
      </c>
      <c r="AK1163">
        <f t="shared" si="94"/>
        <v>0.46664</v>
      </c>
      <c r="AL1163" t="e">
        <f>VLOOKUP(L1163,'[1]Tuyến cáp H04'!$B:$E,3,0)/1000</f>
        <v>#N/A</v>
      </c>
      <c r="AM1163" t="e">
        <f>VLOOKUP(L1163,'[1]Tuyến cáp H04'!$B:$E,4,0)</f>
        <v>#N/A</v>
      </c>
    </row>
    <row r="1164" spans="1:39" x14ac:dyDescent="0.25">
      <c r="A1164" s="1" t="s">
        <v>11234</v>
      </c>
      <c r="B1164" s="1" t="s">
        <v>11220</v>
      </c>
      <c r="C1164" s="1" t="s">
        <v>11221</v>
      </c>
      <c r="D1164" s="1" t="s">
        <v>11235</v>
      </c>
      <c r="E1164" s="1" t="s">
        <v>11236</v>
      </c>
      <c r="F1164" s="1" t="s">
        <v>11237</v>
      </c>
      <c r="G1164" s="1" t="s">
        <v>14129</v>
      </c>
      <c r="H1164" s="1" t="s">
        <v>14133</v>
      </c>
      <c r="I1164" s="1" t="s">
        <v>15273</v>
      </c>
      <c r="J1164" s="1" t="s">
        <v>23</v>
      </c>
      <c r="K1164" s="1"/>
      <c r="L1164" s="1" t="s">
        <v>11225</v>
      </c>
      <c r="M1164" s="1" t="s">
        <v>11225</v>
      </c>
      <c r="N1164" s="12" t="b">
        <f t="shared" si="90"/>
        <v>1</v>
      </c>
      <c r="O1164" s="1" t="s">
        <v>11238</v>
      </c>
      <c r="P1164" s="1" t="s">
        <v>11227</v>
      </c>
      <c r="Q1164" s="1" t="s">
        <v>11228</v>
      </c>
      <c r="R1164" s="1" t="s">
        <v>11229</v>
      </c>
      <c r="S1164" s="1" t="s">
        <v>11239</v>
      </c>
      <c r="T1164" s="1" t="s">
        <v>11231</v>
      </c>
      <c r="U1164" s="1" t="s">
        <v>11232</v>
      </c>
      <c r="V1164" s="13">
        <f>COUNTIF(L1164:$M$1659,L1164)</f>
        <v>14</v>
      </c>
      <c r="W1164" s="1" t="s">
        <v>11233</v>
      </c>
      <c r="X1164">
        <v>638.32000000000005</v>
      </c>
      <c r="Y1164">
        <v>208.25</v>
      </c>
      <c r="Z1164">
        <v>16.071846000000001</v>
      </c>
      <c r="AA1164">
        <v>108.23430399999999</v>
      </c>
      <c r="AB1164">
        <v>430.07</v>
      </c>
      <c r="AC1164">
        <v>16.069942000000001</v>
      </c>
      <c r="AD1164">
        <v>108.24113199999999</v>
      </c>
      <c r="AE1164" s="5">
        <f t="shared" si="91"/>
        <v>0.31237500000000001</v>
      </c>
      <c r="AF1164" s="5">
        <f t="shared" si="92"/>
        <v>0.64510500000000004</v>
      </c>
      <c r="AG1164" s="1" t="str">
        <f>TRIM(LEFT(L1164,FIND("-",L1164)-1))</f>
        <v>An Hải</v>
      </c>
      <c r="AH1164" s="1" t="str">
        <f>TRIM(RIGHT(L1164, LEN(L1164) - FIND("-", L1164)))</f>
        <v>Sơn Trà</v>
      </c>
      <c r="AJ1164">
        <f t="shared" si="93"/>
        <v>0.20824999999999999</v>
      </c>
      <c r="AK1164">
        <f t="shared" si="94"/>
        <v>0.43007000000000001</v>
      </c>
      <c r="AL1164" t="e">
        <f>VLOOKUP(L1164,'[1]Tuyến cáp H04'!$B:$E,3,0)/1000</f>
        <v>#N/A</v>
      </c>
      <c r="AM1164" t="e">
        <f>VLOOKUP(L1164,'[1]Tuyến cáp H04'!$B:$E,4,0)</f>
        <v>#N/A</v>
      </c>
    </row>
    <row r="1165" spans="1:39" x14ac:dyDescent="0.25">
      <c r="A1165" s="1" t="s">
        <v>11240</v>
      </c>
      <c r="B1165" s="1" t="s">
        <v>11220</v>
      </c>
      <c r="C1165" s="1" t="s">
        <v>11221</v>
      </c>
      <c r="D1165" s="1" t="s">
        <v>11241</v>
      </c>
      <c r="E1165" s="1" t="s">
        <v>11242</v>
      </c>
      <c r="F1165" s="1" t="s">
        <v>11243</v>
      </c>
      <c r="G1165" s="1" t="s">
        <v>14129</v>
      </c>
      <c r="H1165" s="1" t="s">
        <v>14133</v>
      </c>
      <c r="I1165" s="1" t="s">
        <v>15274</v>
      </c>
      <c r="J1165" s="1" t="s">
        <v>23</v>
      </c>
      <c r="K1165" s="1"/>
      <c r="L1165" s="1" t="s">
        <v>11244</v>
      </c>
      <c r="M1165" s="1" t="s">
        <v>11244</v>
      </c>
      <c r="N1165" s="12" t="b">
        <f t="shared" si="90"/>
        <v>1</v>
      </c>
      <c r="O1165" s="1" t="s">
        <v>11245</v>
      </c>
      <c r="P1165" s="1" t="s">
        <v>11246</v>
      </c>
      <c r="Q1165" s="1" t="s">
        <v>11247</v>
      </c>
      <c r="R1165" s="1" t="s">
        <v>11248</v>
      </c>
      <c r="S1165" s="1" t="s">
        <v>11249</v>
      </c>
      <c r="T1165" s="1" t="s">
        <v>11250</v>
      </c>
      <c r="U1165" s="1" t="s">
        <v>11251</v>
      </c>
      <c r="V1165" s="13">
        <f>COUNTIF(L1165:$M$1659,L1165)</f>
        <v>8</v>
      </c>
      <c r="W1165" s="1" t="s">
        <v>11252</v>
      </c>
      <c r="X1165">
        <v>330.3</v>
      </c>
      <c r="Y1165">
        <v>231.85</v>
      </c>
      <c r="Z1165">
        <v>16.068318999999999</v>
      </c>
      <c r="AA1165">
        <v>108.232472</v>
      </c>
      <c r="AB1165">
        <v>98.45</v>
      </c>
      <c r="AC1165">
        <v>16.059259000000001</v>
      </c>
      <c r="AD1165">
        <v>108.234865</v>
      </c>
      <c r="AE1165" s="5">
        <f t="shared" si="91"/>
        <v>0.347775</v>
      </c>
      <c r="AF1165" s="5">
        <f t="shared" si="92"/>
        <v>0.147675</v>
      </c>
      <c r="AG1165" s="1" t="str">
        <f>TRIM(LEFT(L1165,FIND("-",L1165)-1))</f>
        <v>Ngũ Hành Sơn</v>
      </c>
      <c r="AH1165" s="1" t="str">
        <f>TRIM(RIGHT(L1165, LEN(L1165) - FIND("-", L1165)))</f>
        <v>Sơn Trà</v>
      </c>
      <c r="AJ1165">
        <f t="shared" si="93"/>
        <v>0.23185</v>
      </c>
      <c r="AK1165">
        <f t="shared" si="94"/>
        <v>9.845000000000001E-2</v>
      </c>
      <c r="AL1165">
        <f>VLOOKUP(L1165,'[1]Tuyến cáp H04'!$B:$E,3,0)/1000</f>
        <v>6.73</v>
      </c>
      <c r="AM1165" t="str">
        <f>VLOOKUP(L1165,'[1]Tuyến cáp H04'!$B:$E,4,0)</f>
        <v>Mạng cấp 3</v>
      </c>
    </row>
    <row r="1166" spans="1:39" x14ac:dyDescent="0.25">
      <c r="A1166" s="1" t="s">
        <v>11253</v>
      </c>
      <c r="B1166" s="1" t="s">
        <v>11220</v>
      </c>
      <c r="C1166" s="1" t="s">
        <v>11221</v>
      </c>
      <c r="D1166" s="1" t="s">
        <v>11254</v>
      </c>
      <c r="E1166" s="1" t="s">
        <v>11255</v>
      </c>
      <c r="F1166" s="1" t="s">
        <v>11256</v>
      </c>
      <c r="G1166" s="1" t="s">
        <v>14129</v>
      </c>
      <c r="H1166" s="1" t="s">
        <v>14133</v>
      </c>
      <c r="I1166" s="1" t="s">
        <v>15275</v>
      </c>
      <c r="J1166" s="1" t="s">
        <v>23</v>
      </c>
      <c r="K1166" s="1"/>
      <c r="L1166" s="1" t="s">
        <v>11225</v>
      </c>
      <c r="M1166" s="1" t="s">
        <v>11225</v>
      </c>
      <c r="N1166" s="12" t="b">
        <f t="shared" si="90"/>
        <v>1</v>
      </c>
      <c r="O1166" s="1" t="s">
        <v>11257</v>
      </c>
      <c r="P1166" s="1" t="s">
        <v>11227</v>
      </c>
      <c r="Q1166" s="1" t="s">
        <v>11228</v>
      </c>
      <c r="R1166" s="1" t="s">
        <v>11229</v>
      </c>
      <c r="S1166" s="1" t="s">
        <v>11258</v>
      </c>
      <c r="T1166" s="1" t="s">
        <v>11231</v>
      </c>
      <c r="U1166" s="1" t="s">
        <v>11232</v>
      </c>
      <c r="V1166" s="13">
        <f>COUNTIF(L1166:$M$1659,L1166)</f>
        <v>12</v>
      </c>
      <c r="W1166" s="1" t="s">
        <v>11233</v>
      </c>
      <c r="X1166">
        <v>580.01</v>
      </c>
      <c r="Y1166">
        <v>208.25</v>
      </c>
      <c r="Z1166">
        <v>16.071846000000001</v>
      </c>
      <c r="AA1166">
        <v>108.23430399999999</v>
      </c>
      <c r="AB1166">
        <v>371.75</v>
      </c>
      <c r="AC1166">
        <v>16.069942000000001</v>
      </c>
      <c r="AD1166">
        <v>108.24113199999999</v>
      </c>
      <c r="AE1166" s="5">
        <f t="shared" si="91"/>
        <v>0.31237500000000001</v>
      </c>
      <c r="AF1166" s="5">
        <f t="shared" si="92"/>
        <v>0.55762500000000004</v>
      </c>
      <c r="AG1166" s="1" t="str">
        <f>TRIM(LEFT(L1166,FIND("-",L1166)-1))</f>
        <v>An Hải</v>
      </c>
      <c r="AH1166" s="1" t="str">
        <f>TRIM(RIGHT(L1166, LEN(L1166) - FIND("-", L1166)))</f>
        <v>Sơn Trà</v>
      </c>
      <c r="AJ1166">
        <f t="shared" si="93"/>
        <v>0.20824999999999999</v>
      </c>
      <c r="AK1166">
        <f t="shared" si="94"/>
        <v>0.37175000000000002</v>
      </c>
      <c r="AL1166" t="e">
        <f>VLOOKUP(L1166,'[1]Tuyến cáp H04'!$B:$E,3,0)/1000</f>
        <v>#N/A</v>
      </c>
      <c r="AM1166" t="e">
        <f>VLOOKUP(L1166,'[1]Tuyến cáp H04'!$B:$E,4,0)</f>
        <v>#N/A</v>
      </c>
    </row>
    <row r="1167" spans="1:39" x14ac:dyDescent="0.25">
      <c r="A1167" s="1" t="s">
        <v>11259</v>
      </c>
      <c r="B1167" s="1" t="s">
        <v>11220</v>
      </c>
      <c r="C1167" s="1" t="s">
        <v>11221</v>
      </c>
      <c r="D1167" s="1" t="s">
        <v>11260</v>
      </c>
      <c r="E1167" s="1" t="s">
        <v>11261</v>
      </c>
      <c r="F1167" s="1" t="s">
        <v>11262</v>
      </c>
      <c r="G1167" s="1" t="s">
        <v>14129</v>
      </c>
      <c r="H1167" s="1" t="s">
        <v>14133</v>
      </c>
      <c r="I1167" s="1" t="s">
        <v>15276</v>
      </c>
      <c r="J1167" s="1" t="s">
        <v>23</v>
      </c>
      <c r="K1167" s="1"/>
      <c r="L1167" s="1" t="s">
        <v>11244</v>
      </c>
      <c r="M1167" s="1" t="s">
        <v>11244</v>
      </c>
      <c r="N1167" s="12" t="b">
        <f t="shared" si="90"/>
        <v>1</v>
      </c>
      <c r="O1167" s="1" t="s">
        <v>11263</v>
      </c>
      <c r="P1167" s="1" t="s">
        <v>11246</v>
      </c>
      <c r="Q1167" s="1" t="s">
        <v>11247</v>
      </c>
      <c r="R1167" s="1" t="s">
        <v>11248</v>
      </c>
      <c r="S1167" s="1" t="s">
        <v>11264</v>
      </c>
      <c r="T1167" s="1" t="s">
        <v>11265</v>
      </c>
      <c r="U1167" s="1" t="s">
        <v>11266</v>
      </c>
      <c r="V1167" s="13">
        <f>COUNTIF(L1167:$M$1659,L1167)</f>
        <v>6</v>
      </c>
      <c r="W1167" s="1" t="s">
        <v>11252</v>
      </c>
      <c r="X1167">
        <v>358.42</v>
      </c>
      <c r="Y1167">
        <v>231.85</v>
      </c>
      <c r="Z1167">
        <v>16.068318999999999</v>
      </c>
      <c r="AA1167">
        <v>108.232472</v>
      </c>
      <c r="AB1167">
        <v>126.58</v>
      </c>
      <c r="AC1167">
        <v>16.061031</v>
      </c>
      <c r="AD1167">
        <v>108.234295</v>
      </c>
      <c r="AE1167" s="5">
        <f t="shared" si="91"/>
        <v>0.347775</v>
      </c>
      <c r="AF1167" s="5">
        <f t="shared" si="92"/>
        <v>0.18987000000000001</v>
      </c>
      <c r="AG1167" s="1" t="str">
        <f>TRIM(LEFT(L1167,FIND("-",L1167)-1))</f>
        <v>Ngũ Hành Sơn</v>
      </c>
      <c r="AH1167" s="1" t="str">
        <f>TRIM(RIGHT(L1167, LEN(L1167) - FIND("-", L1167)))</f>
        <v>Sơn Trà</v>
      </c>
      <c r="AJ1167">
        <f t="shared" si="93"/>
        <v>0.23185</v>
      </c>
      <c r="AK1167">
        <f t="shared" si="94"/>
        <v>0.12658</v>
      </c>
      <c r="AL1167">
        <f>VLOOKUP(L1167,'[1]Tuyến cáp H04'!$B:$E,3,0)/1000</f>
        <v>6.73</v>
      </c>
      <c r="AM1167" t="str">
        <f>VLOOKUP(L1167,'[1]Tuyến cáp H04'!$B:$E,4,0)</f>
        <v>Mạng cấp 3</v>
      </c>
    </row>
    <row r="1168" spans="1:39" x14ac:dyDescent="0.25">
      <c r="A1168" s="1" t="s">
        <v>11267</v>
      </c>
      <c r="B1168" s="1" t="s">
        <v>11220</v>
      </c>
      <c r="C1168" s="1" t="s">
        <v>11221</v>
      </c>
      <c r="D1168" s="1" t="s">
        <v>11268</v>
      </c>
      <c r="E1168" s="1" t="s">
        <v>11269</v>
      </c>
      <c r="F1168" s="1" t="s">
        <v>11270</v>
      </c>
      <c r="G1168" s="1" t="s">
        <v>14129</v>
      </c>
      <c r="H1168" s="1" t="s">
        <v>14133</v>
      </c>
      <c r="I1168" s="1" t="s">
        <v>15277</v>
      </c>
      <c r="J1168" s="1" t="s">
        <v>23</v>
      </c>
      <c r="K1168" s="1"/>
      <c r="L1168" s="1" t="s">
        <v>11271</v>
      </c>
      <c r="M1168" s="1" t="s">
        <v>11271</v>
      </c>
      <c r="N1168" s="12" t="b">
        <f t="shared" si="90"/>
        <v>1</v>
      </c>
      <c r="O1168" s="1" t="s">
        <v>11272</v>
      </c>
      <c r="P1168" s="1" t="s">
        <v>11273</v>
      </c>
      <c r="Q1168" s="1" t="s">
        <v>11274</v>
      </c>
      <c r="R1168" s="1" t="s">
        <v>11275</v>
      </c>
      <c r="S1168" s="1" t="s">
        <v>11276</v>
      </c>
      <c r="T1168" s="1" t="s">
        <v>11277</v>
      </c>
      <c r="U1168" s="1" t="s">
        <v>11278</v>
      </c>
      <c r="V1168" s="13">
        <f>COUNTIF(L1168:$M$1659,L1168)</f>
        <v>2</v>
      </c>
      <c r="W1168" s="1" t="s">
        <v>11279</v>
      </c>
      <c r="X1168">
        <v>730.15</v>
      </c>
      <c r="Y1168">
        <v>340.44</v>
      </c>
      <c r="Z1168">
        <v>16.067177999999998</v>
      </c>
      <c r="AA1168">
        <v>108.23455199999999</v>
      </c>
      <c r="AB1168">
        <v>389.71</v>
      </c>
      <c r="AC1168">
        <v>16.066327000000001</v>
      </c>
      <c r="AD1168">
        <v>108.241332</v>
      </c>
      <c r="AE1168" s="5">
        <f t="shared" si="91"/>
        <v>0.51066</v>
      </c>
      <c r="AF1168" s="5">
        <f t="shared" si="92"/>
        <v>0.58456499999999989</v>
      </c>
      <c r="AG1168" s="1" t="str">
        <f>TRIM(LEFT(L1168,FIND("-",L1168)-1))</f>
        <v>TTCMKV Sơn Trà</v>
      </c>
      <c r="AH1168" s="1" t="str">
        <f>TRIM(RIGHT(L1168, LEN(L1168) - FIND("-", L1168)))</f>
        <v>An Hải</v>
      </c>
      <c r="AJ1168">
        <f t="shared" si="93"/>
        <v>0.34044000000000002</v>
      </c>
      <c r="AK1168">
        <f t="shared" si="94"/>
        <v>0.38971</v>
      </c>
      <c r="AL1168">
        <f>VLOOKUP(L1168,'[1]Tuyến cáp H04'!$B:$E,3,0)/1000</f>
        <v>1.393</v>
      </c>
      <c r="AM1168" t="str">
        <f>VLOOKUP(L1168,'[1]Tuyến cáp H04'!$B:$E,4,0)</f>
        <v>Mạng cấp 4</v>
      </c>
    </row>
    <row r="1169" spans="1:39" x14ac:dyDescent="0.25">
      <c r="A1169" s="1" t="s">
        <v>11280</v>
      </c>
      <c r="B1169" s="1" t="s">
        <v>11220</v>
      </c>
      <c r="C1169" s="1" t="s">
        <v>11221</v>
      </c>
      <c r="D1169" s="1" t="s">
        <v>11281</v>
      </c>
      <c r="E1169" s="1" t="s">
        <v>11282</v>
      </c>
      <c r="F1169" s="1" t="s">
        <v>11283</v>
      </c>
      <c r="G1169" s="1" t="s">
        <v>14129</v>
      </c>
      <c r="H1169" s="1" t="s">
        <v>14532</v>
      </c>
      <c r="I1169" s="1" t="s">
        <v>15278</v>
      </c>
      <c r="J1169" s="1" t="s">
        <v>23</v>
      </c>
      <c r="K1169" s="1"/>
      <c r="L1169" s="1" t="s">
        <v>11244</v>
      </c>
      <c r="M1169" s="1" t="s">
        <v>11244</v>
      </c>
      <c r="N1169" s="12" t="b">
        <f t="shared" si="90"/>
        <v>1</v>
      </c>
      <c r="O1169" s="1" t="s">
        <v>11284</v>
      </c>
      <c r="P1169" s="1" t="s">
        <v>11246</v>
      </c>
      <c r="Q1169" s="1" t="s">
        <v>11247</v>
      </c>
      <c r="R1169" s="1" t="s">
        <v>11248</v>
      </c>
      <c r="S1169" s="1" t="s">
        <v>11285</v>
      </c>
      <c r="T1169" s="1" t="s">
        <v>11286</v>
      </c>
      <c r="U1169" s="1" t="s">
        <v>11287</v>
      </c>
      <c r="V1169" s="13">
        <f>COUNTIF(L1169:$M$1659,L1169)</f>
        <v>4</v>
      </c>
      <c r="W1169" s="1" t="s">
        <v>11252</v>
      </c>
      <c r="X1169">
        <v>806.13</v>
      </c>
      <c r="Y1169">
        <v>231.85</v>
      </c>
      <c r="Z1169">
        <v>16.068318999999999</v>
      </c>
      <c r="AA1169">
        <v>108.232472</v>
      </c>
      <c r="AB1169">
        <v>574.28</v>
      </c>
      <c r="AC1169">
        <v>16.056984</v>
      </c>
      <c r="AD1169">
        <v>108.235525</v>
      </c>
      <c r="AE1169" s="5">
        <f t="shared" si="91"/>
        <v>0.347775</v>
      </c>
      <c r="AF1169" s="5">
        <f t="shared" si="92"/>
        <v>0.86141999999999996</v>
      </c>
      <c r="AG1169" s="1" t="str">
        <f>TRIM(LEFT(L1169,FIND("-",L1169)-1))</f>
        <v>Ngũ Hành Sơn</v>
      </c>
      <c r="AH1169" s="1" t="str">
        <f>TRIM(RIGHT(L1169, LEN(L1169) - FIND("-", L1169)))</f>
        <v>Sơn Trà</v>
      </c>
      <c r="AJ1169">
        <f t="shared" si="93"/>
        <v>0.23185</v>
      </c>
      <c r="AK1169">
        <f t="shared" si="94"/>
        <v>0.57428000000000001</v>
      </c>
      <c r="AL1169">
        <f>VLOOKUP(L1169,'[1]Tuyến cáp H04'!$B:$E,3,0)/1000</f>
        <v>6.73</v>
      </c>
      <c r="AM1169" t="str">
        <f>VLOOKUP(L1169,'[1]Tuyến cáp H04'!$B:$E,4,0)</f>
        <v>Mạng cấp 3</v>
      </c>
    </row>
    <row r="1170" spans="1:39" x14ac:dyDescent="0.25">
      <c r="A1170" s="1" t="s">
        <v>11288</v>
      </c>
      <c r="B1170" s="1" t="s">
        <v>11289</v>
      </c>
      <c r="C1170" s="1" t="s">
        <v>11290</v>
      </c>
      <c r="D1170" s="1" t="s">
        <v>11291</v>
      </c>
      <c r="E1170" s="1" t="s">
        <v>11292</v>
      </c>
      <c r="F1170" s="1" t="s">
        <v>11293</v>
      </c>
      <c r="G1170" s="1" t="s">
        <v>14129</v>
      </c>
      <c r="H1170" s="1" t="s">
        <v>14133</v>
      </c>
      <c r="I1170" s="1" t="s">
        <v>15279</v>
      </c>
      <c r="J1170" s="1" t="s">
        <v>23</v>
      </c>
      <c r="K1170" s="1"/>
      <c r="L1170" s="1" t="s">
        <v>11202</v>
      </c>
      <c r="M1170" s="1" t="s">
        <v>11202</v>
      </c>
      <c r="N1170" s="12" t="b">
        <f t="shared" si="90"/>
        <v>1</v>
      </c>
      <c r="O1170" s="1" t="s">
        <v>11294</v>
      </c>
      <c r="P1170" s="1" t="s">
        <v>11295</v>
      </c>
      <c r="Q1170" s="1" t="s">
        <v>11296</v>
      </c>
      <c r="R1170" s="1" t="s">
        <v>11297</v>
      </c>
      <c r="S1170" s="1" t="s">
        <v>11298</v>
      </c>
      <c r="T1170" s="1" t="s">
        <v>11299</v>
      </c>
      <c r="U1170" s="1" t="s">
        <v>11300</v>
      </c>
      <c r="V1170" s="13">
        <f>COUNTIF(L1170:$M$1659,L1170)</f>
        <v>10</v>
      </c>
      <c r="W1170" s="1" t="s">
        <v>11301</v>
      </c>
      <c r="X1170">
        <v>1028.99</v>
      </c>
      <c r="Y1170">
        <v>32.130000000000003</v>
      </c>
      <c r="Z1170">
        <v>15.880691000000001</v>
      </c>
      <c r="AA1170">
        <v>108.332196</v>
      </c>
      <c r="AB1170">
        <v>996.86</v>
      </c>
      <c r="AC1170">
        <v>15.881036999999999</v>
      </c>
      <c r="AD1170">
        <v>108.33668</v>
      </c>
      <c r="AE1170" s="5">
        <f t="shared" si="91"/>
        <v>4.8195000000000009E-2</v>
      </c>
      <c r="AF1170" s="5">
        <f t="shared" si="92"/>
        <v>1.49529</v>
      </c>
      <c r="AG1170" s="1" t="str">
        <f>TRIM(LEFT(L1170,FIND("-",L1170)-1))</f>
        <v>Hội An</v>
      </c>
      <c r="AH1170" s="1" t="str">
        <f>TRIM(RIGHT(L1170, LEN(L1170) - FIND("-", L1170)))</f>
        <v>Ngũ Hành Sơn</v>
      </c>
      <c r="AJ1170">
        <f t="shared" si="93"/>
        <v>3.2130000000000006E-2</v>
      </c>
      <c r="AK1170">
        <f t="shared" si="94"/>
        <v>0.99685999999999997</v>
      </c>
      <c r="AL1170">
        <f>VLOOKUP(L1170,'[1]Tuyến cáp H04'!$B:$E,3,0)/1000</f>
        <v>20.16</v>
      </c>
      <c r="AM1170" t="str">
        <f>VLOOKUP(L1170,'[1]Tuyến cáp H04'!$B:$E,4,0)</f>
        <v>Mạng cấp 3</v>
      </c>
    </row>
    <row r="1171" spans="1:39" x14ac:dyDescent="0.25">
      <c r="A1171" s="1" t="s">
        <v>11302</v>
      </c>
      <c r="B1171" s="1" t="s">
        <v>11289</v>
      </c>
      <c r="C1171" s="1" t="s">
        <v>11290</v>
      </c>
      <c r="D1171" s="1" t="s">
        <v>11303</v>
      </c>
      <c r="E1171" s="1" t="s">
        <v>11304</v>
      </c>
      <c r="F1171" s="1" t="s">
        <v>11305</v>
      </c>
      <c r="G1171" s="1" t="s">
        <v>14129</v>
      </c>
      <c r="H1171" s="1" t="s">
        <v>14133</v>
      </c>
      <c r="I1171" s="1" t="s">
        <v>15280</v>
      </c>
      <c r="J1171" s="1" t="s">
        <v>23</v>
      </c>
      <c r="K1171" s="1"/>
      <c r="L1171" s="1" t="s">
        <v>11306</v>
      </c>
      <c r="M1171" s="1" t="s">
        <v>11306</v>
      </c>
      <c r="N1171" s="12" t="b">
        <f t="shared" si="90"/>
        <v>1</v>
      </c>
      <c r="O1171" s="1" t="s">
        <v>11307</v>
      </c>
      <c r="P1171" s="1" t="s">
        <v>11308</v>
      </c>
      <c r="Q1171" s="1" t="s">
        <v>11309</v>
      </c>
      <c r="R1171" s="1" t="s">
        <v>11310</v>
      </c>
      <c r="S1171" s="1" t="s">
        <v>11311</v>
      </c>
      <c r="T1171" s="1" t="s">
        <v>11312</v>
      </c>
      <c r="U1171" s="1" t="s">
        <v>11313</v>
      </c>
      <c r="V1171" s="13">
        <f>COUNTIF(L1171:$M$1659,L1171)</f>
        <v>8</v>
      </c>
      <c r="W1171" s="1" t="s">
        <v>11314</v>
      </c>
      <c r="X1171">
        <v>859.69</v>
      </c>
      <c r="Y1171">
        <v>30.36</v>
      </c>
      <c r="Z1171">
        <v>15.880701999999999</v>
      </c>
      <c r="AA1171">
        <v>108.33218100000001</v>
      </c>
      <c r="AB1171">
        <v>829.33</v>
      </c>
      <c r="AC1171">
        <v>15.896825</v>
      </c>
      <c r="AD1171">
        <v>108.305206</v>
      </c>
      <c r="AE1171" s="5">
        <f t="shared" si="91"/>
        <v>4.5539999999999997E-2</v>
      </c>
      <c r="AF1171" s="5">
        <f t="shared" si="92"/>
        <v>1.2439950000000002</v>
      </c>
      <c r="AG1171" s="1" t="str">
        <f>TRIM(LEFT(L1171,FIND("-",L1171)-1))</f>
        <v>điện bàn</v>
      </c>
      <c r="AH1171" s="1" t="str">
        <f>TRIM(RIGHT(L1171, LEN(L1171) - FIND("-", L1171)))</f>
        <v>Hội An</v>
      </c>
      <c r="AJ1171">
        <f t="shared" si="93"/>
        <v>3.0359999999999998E-2</v>
      </c>
      <c r="AK1171">
        <f t="shared" si="94"/>
        <v>0.82933000000000001</v>
      </c>
      <c r="AL1171" t="e">
        <f>VLOOKUP(L1171,'[1]Tuyến cáp H04'!$B:$E,3,0)/1000</f>
        <v>#N/A</v>
      </c>
      <c r="AM1171" t="e">
        <f>VLOOKUP(L1171,'[1]Tuyến cáp H04'!$B:$E,4,0)</f>
        <v>#N/A</v>
      </c>
    </row>
    <row r="1172" spans="1:39" x14ac:dyDescent="0.25">
      <c r="A1172" s="1" t="s">
        <v>11315</v>
      </c>
      <c r="B1172" s="1" t="s">
        <v>11289</v>
      </c>
      <c r="C1172" s="1" t="s">
        <v>11290</v>
      </c>
      <c r="D1172" s="1" t="s">
        <v>11316</v>
      </c>
      <c r="E1172" s="1" t="s">
        <v>11317</v>
      </c>
      <c r="F1172" s="1" t="s">
        <v>11318</v>
      </c>
      <c r="G1172" s="1" t="s">
        <v>14129</v>
      </c>
      <c r="H1172" s="1" t="s">
        <v>14133</v>
      </c>
      <c r="I1172" s="1" t="s">
        <v>15281</v>
      </c>
      <c r="J1172" s="1" t="s">
        <v>23</v>
      </c>
      <c r="K1172" s="1"/>
      <c r="L1172" s="1" t="s">
        <v>11306</v>
      </c>
      <c r="M1172" s="1" t="s">
        <v>11306</v>
      </c>
      <c r="N1172" s="12" t="b">
        <f t="shared" si="90"/>
        <v>1</v>
      </c>
      <c r="O1172" s="1" t="s">
        <v>11319</v>
      </c>
      <c r="P1172" s="1" t="s">
        <v>11308</v>
      </c>
      <c r="Q1172" s="1" t="s">
        <v>11309</v>
      </c>
      <c r="R1172" s="1" t="s">
        <v>11310</v>
      </c>
      <c r="S1172" s="1" t="s">
        <v>11320</v>
      </c>
      <c r="T1172" s="1" t="s">
        <v>11321</v>
      </c>
      <c r="U1172" s="1" t="s">
        <v>11322</v>
      </c>
      <c r="V1172" s="13">
        <f>COUNTIF(L1172:$M$1659,L1172)</f>
        <v>6</v>
      </c>
      <c r="W1172" s="1" t="s">
        <v>11314</v>
      </c>
      <c r="X1172">
        <v>218.75</v>
      </c>
      <c r="Y1172">
        <v>30.36</v>
      </c>
      <c r="Z1172">
        <v>15.880701999999999</v>
      </c>
      <c r="AA1172">
        <v>108.33218100000001</v>
      </c>
      <c r="AB1172">
        <v>188.38</v>
      </c>
      <c r="AC1172">
        <v>15.883502999999999</v>
      </c>
      <c r="AD1172">
        <v>108.327519</v>
      </c>
      <c r="AE1172" s="5">
        <f t="shared" si="91"/>
        <v>4.5539999999999997E-2</v>
      </c>
      <c r="AF1172" s="5">
        <f t="shared" si="92"/>
        <v>0.28256999999999999</v>
      </c>
      <c r="AG1172" s="1" t="str">
        <f>TRIM(LEFT(L1172,FIND("-",L1172)-1))</f>
        <v>điện bàn</v>
      </c>
      <c r="AH1172" s="1" t="str">
        <f>TRIM(RIGHT(L1172, LEN(L1172) - FIND("-", L1172)))</f>
        <v>Hội An</v>
      </c>
      <c r="AJ1172">
        <f t="shared" si="93"/>
        <v>3.0359999999999998E-2</v>
      </c>
      <c r="AK1172">
        <f t="shared" si="94"/>
        <v>0.18837999999999999</v>
      </c>
      <c r="AL1172" t="e">
        <f>VLOOKUP(L1172,'[1]Tuyến cáp H04'!$B:$E,3,0)/1000</f>
        <v>#N/A</v>
      </c>
      <c r="AM1172" t="e">
        <f>VLOOKUP(L1172,'[1]Tuyến cáp H04'!$B:$E,4,0)</f>
        <v>#N/A</v>
      </c>
    </row>
    <row r="1173" spans="1:39" x14ac:dyDescent="0.25">
      <c r="A1173" s="1" t="s">
        <v>11323</v>
      </c>
      <c r="B1173" s="1" t="s">
        <v>11289</v>
      </c>
      <c r="C1173" s="1" t="s">
        <v>11290</v>
      </c>
      <c r="D1173" s="1" t="s">
        <v>11324</v>
      </c>
      <c r="E1173" s="1" t="s">
        <v>11325</v>
      </c>
      <c r="F1173" s="1" t="s">
        <v>11326</v>
      </c>
      <c r="G1173" s="1" t="s">
        <v>14129</v>
      </c>
      <c r="H1173" s="1" t="s">
        <v>14133</v>
      </c>
      <c r="I1173" s="1" t="s">
        <v>15282</v>
      </c>
      <c r="J1173" s="1" t="s">
        <v>23</v>
      </c>
      <c r="K1173" s="1"/>
      <c r="L1173" s="1" t="s">
        <v>11202</v>
      </c>
      <c r="M1173" s="1" t="s">
        <v>11202</v>
      </c>
      <c r="N1173" s="12" t="b">
        <f t="shared" si="90"/>
        <v>1</v>
      </c>
      <c r="O1173" s="1" t="s">
        <v>11327</v>
      </c>
      <c r="P1173" s="1" t="s">
        <v>11295</v>
      </c>
      <c r="Q1173" s="1" t="s">
        <v>11296</v>
      </c>
      <c r="R1173" s="1" t="s">
        <v>11297</v>
      </c>
      <c r="S1173" s="1" t="s">
        <v>11328</v>
      </c>
      <c r="T1173" s="1" t="s">
        <v>11329</v>
      </c>
      <c r="U1173" s="1" t="s">
        <v>11330</v>
      </c>
      <c r="V1173" s="13">
        <f>COUNTIF(L1173:$M$1659,L1173)</f>
        <v>8</v>
      </c>
      <c r="W1173" s="1" t="s">
        <v>11301</v>
      </c>
      <c r="X1173">
        <v>221.47</v>
      </c>
      <c r="Y1173">
        <v>32.130000000000003</v>
      </c>
      <c r="Z1173">
        <v>15.880691000000001</v>
      </c>
      <c r="AA1173">
        <v>108.332196</v>
      </c>
      <c r="AB1173">
        <v>189.34</v>
      </c>
      <c r="AC1173">
        <v>15.891702</v>
      </c>
      <c r="AD1173">
        <v>108.330015</v>
      </c>
      <c r="AE1173" s="5">
        <f t="shared" si="91"/>
        <v>4.8195000000000009E-2</v>
      </c>
      <c r="AF1173" s="5">
        <f t="shared" si="92"/>
        <v>0.28400999999999998</v>
      </c>
      <c r="AG1173" s="1" t="str">
        <f>TRIM(LEFT(L1173,FIND("-",L1173)-1))</f>
        <v>Hội An</v>
      </c>
      <c r="AH1173" s="1" t="str">
        <f>TRIM(RIGHT(L1173, LEN(L1173) - FIND("-", L1173)))</f>
        <v>Ngũ Hành Sơn</v>
      </c>
      <c r="AJ1173">
        <f t="shared" si="93"/>
        <v>3.2130000000000006E-2</v>
      </c>
      <c r="AK1173">
        <f t="shared" si="94"/>
        <v>0.18934000000000001</v>
      </c>
      <c r="AL1173">
        <f>VLOOKUP(L1173,'[1]Tuyến cáp H04'!$B:$E,3,0)/1000</f>
        <v>20.16</v>
      </c>
      <c r="AM1173" t="str">
        <f>VLOOKUP(L1173,'[1]Tuyến cáp H04'!$B:$E,4,0)</f>
        <v>Mạng cấp 3</v>
      </c>
    </row>
    <row r="1174" spans="1:39" x14ac:dyDescent="0.25">
      <c r="A1174" s="1" t="s">
        <v>11331</v>
      </c>
      <c r="B1174" s="1" t="s">
        <v>11289</v>
      </c>
      <c r="C1174" s="1" t="s">
        <v>11290</v>
      </c>
      <c r="D1174" s="1" t="s">
        <v>11332</v>
      </c>
      <c r="E1174" s="1" t="s">
        <v>11333</v>
      </c>
      <c r="F1174" s="1" t="s">
        <v>11334</v>
      </c>
      <c r="G1174" s="1" t="s">
        <v>14129</v>
      </c>
      <c r="H1174" s="1" t="s">
        <v>14532</v>
      </c>
      <c r="I1174" s="1" t="s">
        <v>15283</v>
      </c>
      <c r="J1174" s="1" t="s">
        <v>23</v>
      </c>
      <c r="K1174" s="1"/>
      <c r="L1174" s="1" t="s">
        <v>11306</v>
      </c>
      <c r="M1174" s="1" t="s">
        <v>11306</v>
      </c>
      <c r="N1174" s="12" t="b">
        <f t="shared" si="90"/>
        <v>1</v>
      </c>
      <c r="O1174" s="1" t="s">
        <v>11335</v>
      </c>
      <c r="P1174" s="1" t="s">
        <v>11308</v>
      </c>
      <c r="Q1174" s="1" t="s">
        <v>11309</v>
      </c>
      <c r="R1174" s="1" t="s">
        <v>11310</v>
      </c>
      <c r="S1174" s="1" t="s">
        <v>11336</v>
      </c>
      <c r="T1174" s="1" t="s">
        <v>11337</v>
      </c>
      <c r="U1174" s="1" t="s">
        <v>11338</v>
      </c>
      <c r="V1174" s="13">
        <f>COUNTIF(L1174:$M$1659,L1174)</f>
        <v>4</v>
      </c>
      <c r="W1174" s="1" t="s">
        <v>11314</v>
      </c>
      <c r="X1174">
        <v>512.65</v>
      </c>
      <c r="Y1174">
        <v>30.36</v>
      </c>
      <c r="Z1174">
        <v>15.880701999999999</v>
      </c>
      <c r="AA1174">
        <v>108.33218100000001</v>
      </c>
      <c r="AB1174">
        <v>482.29</v>
      </c>
      <c r="AC1174">
        <v>15.88527</v>
      </c>
      <c r="AD1174">
        <v>108.32350599999999</v>
      </c>
      <c r="AE1174" s="5">
        <f t="shared" si="91"/>
        <v>4.5539999999999997E-2</v>
      </c>
      <c r="AF1174" s="5">
        <f t="shared" si="92"/>
        <v>0.72343500000000005</v>
      </c>
      <c r="AG1174" s="1" t="str">
        <f>TRIM(LEFT(L1174,FIND("-",L1174)-1))</f>
        <v>điện bàn</v>
      </c>
      <c r="AH1174" s="1" t="str">
        <f>TRIM(RIGHT(L1174, LEN(L1174) - FIND("-", L1174)))</f>
        <v>Hội An</v>
      </c>
      <c r="AJ1174">
        <f t="shared" si="93"/>
        <v>3.0359999999999998E-2</v>
      </c>
      <c r="AK1174">
        <f t="shared" si="94"/>
        <v>0.48229</v>
      </c>
      <c r="AL1174" t="e">
        <f>VLOOKUP(L1174,'[1]Tuyến cáp H04'!$B:$E,3,0)/1000</f>
        <v>#N/A</v>
      </c>
      <c r="AM1174" t="e">
        <f>VLOOKUP(L1174,'[1]Tuyến cáp H04'!$B:$E,4,0)</f>
        <v>#N/A</v>
      </c>
    </row>
    <row r="1175" spans="1:39" x14ac:dyDescent="0.25">
      <c r="A1175" s="1" t="s">
        <v>11339</v>
      </c>
      <c r="B1175" s="1" t="s">
        <v>11340</v>
      </c>
      <c r="C1175" s="1" t="s">
        <v>11341</v>
      </c>
      <c r="D1175" s="1" t="s">
        <v>11342</v>
      </c>
      <c r="E1175" s="1" t="s">
        <v>11343</v>
      </c>
      <c r="F1175" s="1" t="s">
        <v>11344</v>
      </c>
      <c r="G1175" s="1" t="s">
        <v>14129</v>
      </c>
      <c r="H1175" s="1" t="s">
        <v>14532</v>
      </c>
      <c r="I1175" s="1" t="s">
        <v>15284</v>
      </c>
      <c r="J1175" s="1" t="s">
        <v>23</v>
      </c>
      <c r="K1175" s="1"/>
      <c r="L1175" s="1" t="s">
        <v>11345</v>
      </c>
      <c r="M1175" s="1" t="s">
        <v>11345</v>
      </c>
      <c r="N1175" s="12" t="b">
        <f t="shared" si="90"/>
        <v>1</v>
      </c>
      <c r="O1175" s="1" t="s">
        <v>11346</v>
      </c>
      <c r="P1175" s="1" t="s">
        <v>11347</v>
      </c>
      <c r="Q1175" s="1" t="s">
        <v>11348</v>
      </c>
      <c r="R1175" s="1" t="s">
        <v>11349</v>
      </c>
      <c r="S1175" s="1" t="s">
        <v>11350</v>
      </c>
      <c r="T1175" s="1" t="s">
        <v>11351</v>
      </c>
      <c r="U1175" s="1" t="s">
        <v>11352</v>
      </c>
      <c r="V1175" s="13">
        <f>COUNTIF(L1175:$M$1659,L1175)</f>
        <v>12</v>
      </c>
      <c r="W1175" s="1" t="s">
        <v>11353</v>
      </c>
      <c r="X1175">
        <v>1384.24</v>
      </c>
      <c r="Y1175">
        <v>3.91</v>
      </c>
      <c r="Z1175">
        <v>15.433142</v>
      </c>
      <c r="AA1175">
        <v>108.660472</v>
      </c>
      <c r="AB1175">
        <v>1380.33</v>
      </c>
      <c r="AC1175">
        <v>15.432864</v>
      </c>
      <c r="AD1175">
        <v>108.66029</v>
      </c>
      <c r="AE1175" s="5">
        <f t="shared" si="91"/>
        <v>5.8650000000000004E-3</v>
      </c>
      <c r="AF1175" s="5">
        <f t="shared" si="92"/>
        <v>2.0704949999999998</v>
      </c>
      <c r="AG1175" s="1" t="str">
        <f>TRIM(LEFT(L1175,FIND("-",L1175)-1))</f>
        <v>Tam Anh</v>
      </c>
      <c r="AH1175" s="1" t="str">
        <f>TRIM(RIGHT(L1175, LEN(L1175) - FIND("-", L1175)))</f>
        <v>Núi Thành</v>
      </c>
      <c r="AJ1175">
        <f t="shared" si="93"/>
        <v>3.9100000000000003E-3</v>
      </c>
      <c r="AK1175">
        <f t="shared" si="94"/>
        <v>1.3803299999999998</v>
      </c>
      <c r="AL1175">
        <f>VLOOKUP(L1175,'[1]Tuyến cáp H04'!$B:$E,3,0)/1000</f>
        <v>14.798</v>
      </c>
      <c r="AM1175" t="str">
        <f>VLOOKUP(L1175,'[1]Tuyến cáp H04'!$B:$E,4,0)</f>
        <v>Mạng cấp 4</v>
      </c>
    </row>
    <row r="1176" spans="1:39" x14ac:dyDescent="0.25">
      <c r="A1176" s="1" t="s">
        <v>11354</v>
      </c>
      <c r="B1176" s="1" t="s">
        <v>11355</v>
      </c>
      <c r="C1176" s="1" t="s">
        <v>11356</v>
      </c>
      <c r="D1176" s="1" t="s">
        <v>11357</v>
      </c>
      <c r="E1176" s="1" t="s">
        <v>11358</v>
      </c>
      <c r="F1176" s="1" t="s">
        <v>11359</v>
      </c>
      <c r="G1176" s="1" t="s">
        <v>14129</v>
      </c>
      <c r="H1176" s="1" t="s">
        <v>14532</v>
      </c>
      <c r="I1176" s="1" t="s">
        <v>15285</v>
      </c>
      <c r="J1176" s="1" t="s">
        <v>23</v>
      </c>
      <c r="K1176" s="1"/>
      <c r="L1176" s="1" t="s">
        <v>11360</v>
      </c>
      <c r="M1176" s="1" t="s">
        <v>11360</v>
      </c>
      <c r="N1176" s="12" t="b">
        <f t="shared" si="90"/>
        <v>1</v>
      </c>
      <c r="O1176" s="1" t="s">
        <v>11361</v>
      </c>
      <c r="P1176" s="1" t="s">
        <v>11362</v>
      </c>
      <c r="Q1176" s="1" t="s">
        <v>11363</v>
      </c>
      <c r="R1176" s="1" t="s">
        <v>11364</v>
      </c>
      <c r="S1176" s="1" t="s">
        <v>11365</v>
      </c>
      <c r="T1176" s="1" t="s">
        <v>11366</v>
      </c>
      <c r="U1176" s="1" t="s">
        <v>11367</v>
      </c>
      <c r="V1176" s="13">
        <f>COUNTIF(L1176:$M$1659,L1176)</f>
        <v>10</v>
      </c>
      <c r="W1176" s="1" t="s">
        <v>11368</v>
      </c>
      <c r="X1176">
        <v>96.86</v>
      </c>
      <c r="Y1176">
        <v>70.69</v>
      </c>
      <c r="Z1176">
        <v>15.736033000000001</v>
      </c>
      <c r="AA1176">
        <v>108.352322</v>
      </c>
      <c r="AB1176">
        <v>26.17</v>
      </c>
      <c r="AC1176">
        <v>15.734149</v>
      </c>
      <c r="AD1176">
        <v>108.348348</v>
      </c>
      <c r="AE1176" s="5">
        <f t="shared" si="91"/>
        <v>0.10603499999999999</v>
      </c>
      <c r="AF1176" s="5">
        <f t="shared" si="92"/>
        <v>3.9255000000000005E-2</v>
      </c>
      <c r="AG1176" s="1" t="str">
        <f>TRIM(LEFT(L1176,FIND("-",L1176)-1))</f>
        <v>Thăng Bình</v>
      </c>
      <c r="AH1176" s="1" t="str">
        <f>TRIM(RIGHT(L1176, LEN(L1176) - FIND("-", L1176)))</f>
        <v>Quế Sơn</v>
      </c>
      <c r="AJ1176">
        <f t="shared" si="93"/>
        <v>7.0690000000000003E-2</v>
      </c>
      <c r="AK1176">
        <f t="shared" si="94"/>
        <v>2.6170000000000002E-2</v>
      </c>
      <c r="AL1176">
        <f>VLOOKUP(L1176,'[1]Tuyến cáp H04'!$B:$E,3,0)/1000</f>
        <v>20.538</v>
      </c>
      <c r="AM1176" t="str">
        <f>VLOOKUP(L1176,'[1]Tuyến cáp H04'!$B:$E,4,0)</f>
        <v>Mạng cấp 3</v>
      </c>
    </row>
    <row r="1177" spans="1:39" x14ac:dyDescent="0.25">
      <c r="A1177" s="1" t="s">
        <v>11369</v>
      </c>
      <c r="B1177" s="1" t="s">
        <v>11355</v>
      </c>
      <c r="C1177" s="1" t="s">
        <v>11356</v>
      </c>
      <c r="D1177" s="1" t="s">
        <v>11370</v>
      </c>
      <c r="E1177" s="1" t="s">
        <v>11371</v>
      </c>
      <c r="F1177" s="1" t="s">
        <v>11372</v>
      </c>
      <c r="G1177" s="1" t="s">
        <v>14129</v>
      </c>
      <c r="H1177" s="1" t="s">
        <v>14532</v>
      </c>
      <c r="I1177" s="1" t="s">
        <v>15286</v>
      </c>
      <c r="J1177" s="1" t="s">
        <v>23</v>
      </c>
      <c r="K1177" s="1"/>
      <c r="L1177" s="1" t="s">
        <v>11373</v>
      </c>
      <c r="M1177" s="1" t="s">
        <v>11373</v>
      </c>
      <c r="N1177" s="12" t="b">
        <f t="shared" si="90"/>
        <v>1</v>
      </c>
      <c r="O1177" s="1" t="s">
        <v>11374</v>
      </c>
      <c r="P1177" s="1" t="s">
        <v>11375</v>
      </c>
      <c r="Q1177" s="1" t="s">
        <v>11376</v>
      </c>
      <c r="R1177" s="1" t="s">
        <v>11377</v>
      </c>
      <c r="S1177" s="1" t="s">
        <v>11378</v>
      </c>
      <c r="T1177" s="1" t="s">
        <v>11379</v>
      </c>
      <c r="U1177" s="1" t="s">
        <v>11380</v>
      </c>
      <c r="V1177" s="13">
        <f>COUNTIF(L1177:$M$1659,L1177)</f>
        <v>18</v>
      </c>
      <c r="W1177" s="1" t="s">
        <v>11381</v>
      </c>
      <c r="X1177">
        <v>1254.67</v>
      </c>
      <c r="Y1177">
        <v>813.22</v>
      </c>
      <c r="Z1177">
        <v>15.741393</v>
      </c>
      <c r="AA1177">
        <v>108.35662000000001</v>
      </c>
      <c r="AB1177">
        <v>441.44</v>
      </c>
      <c r="AC1177">
        <v>15.754937999999999</v>
      </c>
      <c r="AD1177">
        <v>108.3492</v>
      </c>
      <c r="AE1177" s="5">
        <f t="shared" si="91"/>
        <v>1.21983</v>
      </c>
      <c r="AF1177" s="5">
        <f t="shared" si="92"/>
        <v>0.66215999999999997</v>
      </c>
      <c r="AG1177" s="1" t="str">
        <f>TRIM(LEFT(L1177,FIND("-",L1177)-1))</f>
        <v>Duy Xuyên</v>
      </c>
      <c r="AH1177" s="1" t="str">
        <f>TRIM(RIGHT(L1177, LEN(L1177) - FIND("-", L1177)))</f>
        <v>TT2 Tam Kỳ</v>
      </c>
      <c r="AJ1177">
        <f t="shared" si="93"/>
        <v>0.81322000000000005</v>
      </c>
      <c r="AK1177">
        <f t="shared" si="94"/>
        <v>0.44144</v>
      </c>
      <c r="AL1177">
        <f>VLOOKUP(L1177,'[1]Tuyến cáp H04'!$B:$E,3,0)/1000</f>
        <v>44.616</v>
      </c>
      <c r="AM1177" t="str">
        <f>VLOOKUP(L1177,'[1]Tuyến cáp H04'!$B:$E,4,0)</f>
        <v>Mạng cấp 3</v>
      </c>
    </row>
    <row r="1178" spans="1:39" x14ac:dyDescent="0.25">
      <c r="A1178" s="1" t="s">
        <v>11382</v>
      </c>
      <c r="B1178" s="1" t="s">
        <v>11355</v>
      </c>
      <c r="C1178" s="1" t="s">
        <v>11356</v>
      </c>
      <c r="D1178" s="1" t="s">
        <v>11383</v>
      </c>
      <c r="E1178" s="1" t="s">
        <v>11384</v>
      </c>
      <c r="F1178" s="1" t="s">
        <v>11385</v>
      </c>
      <c r="G1178" s="1" t="s">
        <v>14129</v>
      </c>
      <c r="H1178" s="1" t="s">
        <v>14532</v>
      </c>
      <c r="I1178" s="1" t="s">
        <v>15287</v>
      </c>
      <c r="J1178" s="1" t="s">
        <v>23</v>
      </c>
      <c r="K1178" s="1"/>
      <c r="L1178" s="1" t="s">
        <v>11386</v>
      </c>
      <c r="M1178" s="1" t="s">
        <v>11386</v>
      </c>
      <c r="N1178" s="12" t="b">
        <f t="shared" si="90"/>
        <v>1</v>
      </c>
      <c r="O1178" s="1" t="s">
        <v>11387</v>
      </c>
      <c r="P1178" s="1" t="s">
        <v>11388</v>
      </c>
      <c r="Q1178" s="1" t="s">
        <v>11389</v>
      </c>
      <c r="R1178" s="1" t="s">
        <v>11390</v>
      </c>
      <c r="S1178" s="1" t="s">
        <v>11391</v>
      </c>
      <c r="T1178" s="1" t="s">
        <v>11392</v>
      </c>
      <c r="U1178" s="1" t="s">
        <v>11393</v>
      </c>
      <c r="V1178" s="13">
        <f>COUNTIF(L1178:$M$1659,L1178)</f>
        <v>8</v>
      </c>
      <c r="W1178" s="1" t="s">
        <v>11394</v>
      </c>
      <c r="X1178">
        <v>2191.16</v>
      </c>
      <c r="Y1178">
        <v>69.42</v>
      </c>
      <c r="Z1178">
        <v>15.736057000000001</v>
      </c>
      <c r="AA1178">
        <v>108.3523</v>
      </c>
      <c r="AB1178">
        <v>2121.7399999999998</v>
      </c>
      <c r="AC1178">
        <v>15.720257</v>
      </c>
      <c r="AD1178">
        <v>108.375578</v>
      </c>
      <c r="AE1178" s="5">
        <f t="shared" si="91"/>
        <v>0.10413</v>
      </c>
      <c r="AF1178" s="5">
        <f t="shared" si="92"/>
        <v>3.1826099999999995</v>
      </c>
      <c r="AG1178" s="1" t="str">
        <f>TRIM(LEFT(L1178,FIND("-",L1178)-1))</f>
        <v>Trạm CSGT Thăng Bình (X. Bình Phục, Thăng
Bình)</v>
      </c>
      <c r="AH1178" s="1" t="str">
        <f>TRIM(RIGHT(L1178, LEN(L1178) - FIND("-", L1178)))</f>
        <v>TTCMKV Thăng Bình</v>
      </c>
      <c r="AJ1178">
        <f t="shared" si="93"/>
        <v>6.9419999999999996E-2</v>
      </c>
      <c r="AK1178">
        <f t="shared" si="94"/>
        <v>2.12174</v>
      </c>
      <c r="AL1178">
        <f>VLOOKUP(L1178,'[1]Tuyến cáp H04'!$B:$E,3,0)/1000</f>
        <v>4.1900000000000004</v>
      </c>
      <c r="AM1178" t="str">
        <f>VLOOKUP(L1178,'[1]Tuyến cáp H04'!$B:$E,4,0)</f>
        <v>Mạng cấp 3</v>
      </c>
    </row>
    <row r="1179" spans="1:39" x14ac:dyDescent="0.25">
      <c r="A1179" s="1" t="s">
        <v>11395</v>
      </c>
      <c r="B1179" s="1" t="s">
        <v>11355</v>
      </c>
      <c r="C1179" s="1" t="s">
        <v>11356</v>
      </c>
      <c r="D1179" s="1" t="s">
        <v>11396</v>
      </c>
      <c r="E1179" s="1" t="s">
        <v>11397</v>
      </c>
      <c r="F1179" s="1" t="s">
        <v>11398</v>
      </c>
      <c r="G1179" s="1"/>
      <c r="H1179" s="1" t="s">
        <v>14133</v>
      </c>
      <c r="I1179" s="1" t="s">
        <v>15288</v>
      </c>
      <c r="J1179" s="1" t="s">
        <v>23</v>
      </c>
      <c r="K1179" s="1"/>
      <c r="L1179" s="1" t="s">
        <v>11360</v>
      </c>
      <c r="M1179" s="1" t="s">
        <v>11360</v>
      </c>
      <c r="N1179" s="12" t="b">
        <f t="shared" si="90"/>
        <v>1</v>
      </c>
      <c r="O1179" s="1" t="s">
        <v>11399</v>
      </c>
      <c r="P1179" s="1" t="s">
        <v>11362</v>
      </c>
      <c r="Q1179" s="1" t="s">
        <v>11363</v>
      </c>
      <c r="R1179" s="1" t="s">
        <v>11364</v>
      </c>
      <c r="S1179" s="1" t="s">
        <v>11400</v>
      </c>
      <c r="T1179" s="1" t="s">
        <v>11401</v>
      </c>
      <c r="U1179" s="1" t="s">
        <v>11402</v>
      </c>
      <c r="V1179" s="13">
        <f>COUNTIF(L1179:$M$1659,L1179)</f>
        <v>8</v>
      </c>
      <c r="W1179" s="1" t="s">
        <v>11368</v>
      </c>
      <c r="X1179">
        <v>3862.47</v>
      </c>
      <c r="Y1179">
        <v>70.69</v>
      </c>
      <c r="Z1179">
        <v>15.736033000000001</v>
      </c>
      <c r="AA1179">
        <v>108.352322</v>
      </c>
      <c r="AB1179">
        <v>3791.78</v>
      </c>
      <c r="AC1179">
        <v>15.702866</v>
      </c>
      <c r="AD1179">
        <v>108.28560899999999</v>
      </c>
      <c r="AE1179" s="5">
        <f t="shared" si="91"/>
        <v>0.10603499999999999</v>
      </c>
      <c r="AF1179" s="5">
        <f t="shared" si="92"/>
        <v>5.6876699999999998</v>
      </c>
      <c r="AG1179" s="1" t="str">
        <f>TRIM(LEFT(L1179,FIND("-",L1179)-1))</f>
        <v>Thăng Bình</v>
      </c>
      <c r="AH1179" s="1" t="str">
        <f>TRIM(RIGHT(L1179, LEN(L1179) - FIND("-", L1179)))</f>
        <v>Quế Sơn</v>
      </c>
      <c r="AJ1179">
        <f t="shared" si="93"/>
        <v>7.0690000000000003E-2</v>
      </c>
      <c r="AK1179">
        <f t="shared" si="94"/>
        <v>3.7917800000000002</v>
      </c>
      <c r="AL1179">
        <f>VLOOKUP(L1179,'[1]Tuyến cáp H04'!$B:$E,3,0)/1000</f>
        <v>20.538</v>
      </c>
      <c r="AM1179" t="str">
        <f>VLOOKUP(L1179,'[1]Tuyến cáp H04'!$B:$E,4,0)</f>
        <v>Mạng cấp 3</v>
      </c>
    </row>
    <row r="1180" spans="1:39" x14ac:dyDescent="0.25">
      <c r="A1180" s="1" t="s">
        <v>11403</v>
      </c>
      <c r="B1180" s="1" t="s">
        <v>11355</v>
      </c>
      <c r="C1180" s="1" t="s">
        <v>11356</v>
      </c>
      <c r="D1180" s="1" t="s">
        <v>11404</v>
      </c>
      <c r="E1180" s="1" t="s">
        <v>11405</v>
      </c>
      <c r="F1180" s="1" t="s">
        <v>11406</v>
      </c>
      <c r="G1180" s="1" t="s">
        <v>14129</v>
      </c>
      <c r="H1180" s="1" t="s">
        <v>14133</v>
      </c>
      <c r="I1180" s="1" t="s">
        <v>15289</v>
      </c>
      <c r="J1180" s="1" t="s">
        <v>23</v>
      </c>
      <c r="K1180" s="1"/>
      <c r="L1180" s="1" t="s">
        <v>11360</v>
      </c>
      <c r="M1180" s="1" t="s">
        <v>11360</v>
      </c>
      <c r="N1180" s="12" t="b">
        <f t="shared" si="90"/>
        <v>1</v>
      </c>
      <c r="O1180" s="1" t="s">
        <v>11407</v>
      </c>
      <c r="P1180" s="1" t="s">
        <v>11362</v>
      </c>
      <c r="Q1180" s="1" t="s">
        <v>11363</v>
      </c>
      <c r="R1180" s="1" t="s">
        <v>11364</v>
      </c>
      <c r="S1180" s="1" t="s">
        <v>11408</v>
      </c>
      <c r="T1180" s="1" t="s">
        <v>11401</v>
      </c>
      <c r="U1180" s="1" t="s">
        <v>11402</v>
      </c>
      <c r="V1180" s="13">
        <f>COUNTIF(L1180:$M$1659,L1180)</f>
        <v>6</v>
      </c>
      <c r="W1180" s="1" t="s">
        <v>11368</v>
      </c>
      <c r="X1180">
        <v>2243</v>
      </c>
      <c r="Y1180">
        <v>70.69</v>
      </c>
      <c r="Z1180">
        <v>15.736033000000001</v>
      </c>
      <c r="AA1180">
        <v>108.352322</v>
      </c>
      <c r="AB1180">
        <v>2172.31</v>
      </c>
      <c r="AC1180">
        <v>15.702866</v>
      </c>
      <c r="AD1180">
        <v>108.28560899999999</v>
      </c>
      <c r="AE1180" s="5">
        <f t="shared" si="91"/>
        <v>0.10603499999999999</v>
      </c>
      <c r="AF1180" s="5">
        <f t="shared" si="92"/>
        <v>3.2584650000000002</v>
      </c>
      <c r="AG1180" s="1" t="str">
        <f>TRIM(LEFT(L1180,FIND("-",L1180)-1))</f>
        <v>Thăng Bình</v>
      </c>
      <c r="AH1180" s="1" t="str">
        <f>TRIM(RIGHT(L1180, LEN(L1180) - FIND("-", L1180)))</f>
        <v>Quế Sơn</v>
      </c>
      <c r="AJ1180">
        <f t="shared" si="93"/>
        <v>7.0690000000000003E-2</v>
      </c>
      <c r="AK1180">
        <f t="shared" si="94"/>
        <v>2.17231</v>
      </c>
      <c r="AL1180">
        <f>VLOOKUP(L1180,'[1]Tuyến cáp H04'!$B:$E,3,0)/1000</f>
        <v>20.538</v>
      </c>
      <c r="AM1180" t="str">
        <f>VLOOKUP(L1180,'[1]Tuyến cáp H04'!$B:$E,4,0)</f>
        <v>Mạng cấp 3</v>
      </c>
    </row>
    <row r="1181" spans="1:39" x14ac:dyDescent="0.25">
      <c r="A1181" s="1" t="s">
        <v>11409</v>
      </c>
      <c r="B1181" s="1" t="s">
        <v>11355</v>
      </c>
      <c r="C1181" s="1" t="s">
        <v>11356</v>
      </c>
      <c r="D1181" s="1" t="s">
        <v>11410</v>
      </c>
      <c r="E1181" s="1" t="s">
        <v>11411</v>
      </c>
      <c r="F1181" s="1" t="s">
        <v>11412</v>
      </c>
      <c r="G1181" s="1" t="s">
        <v>14129</v>
      </c>
      <c r="H1181" s="1" t="s">
        <v>14133</v>
      </c>
      <c r="I1181" s="1" t="s">
        <v>15290</v>
      </c>
      <c r="J1181" s="1" t="s">
        <v>23</v>
      </c>
      <c r="K1181" s="1"/>
      <c r="L1181" s="1" t="s">
        <v>11373</v>
      </c>
      <c r="M1181" s="1" t="s">
        <v>11373</v>
      </c>
      <c r="N1181" s="12" t="b">
        <f t="shared" si="90"/>
        <v>1</v>
      </c>
      <c r="O1181" s="1" t="s">
        <v>11413</v>
      </c>
      <c r="P1181" s="1" t="s">
        <v>11375</v>
      </c>
      <c r="Q1181" s="1" t="s">
        <v>11376</v>
      </c>
      <c r="R1181" s="1" t="s">
        <v>11377</v>
      </c>
      <c r="S1181" s="1" t="s">
        <v>11414</v>
      </c>
      <c r="T1181" s="1" t="s">
        <v>11415</v>
      </c>
      <c r="U1181" s="1" t="s">
        <v>11416</v>
      </c>
      <c r="V1181" s="13">
        <f>COUNTIF(L1181:$M$1659,L1181)</f>
        <v>16</v>
      </c>
      <c r="W1181" s="1" t="s">
        <v>11381</v>
      </c>
      <c r="X1181">
        <v>1524.45</v>
      </c>
      <c r="Y1181">
        <v>813.22</v>
      </c>
      <c r="Z1181">
        <v>15.741393</v>
      </c>
      <c r="AA1181">
        <v>108.35662000000001</v>
      </c>
      <c r="AB1181">
        <v>711.23</v>
      </c>
      <c r="AC1181">
        <v>15.772945</v>
      </c>
      <c r="AD1181">
        <v>108.33508</v>
      </c>
      <c r="AE1181" s="5">
        <f t="shared" si="91"/>
        <v>1.21983</v>
      </c>
      <c r="AF1181" s="5">
        <f t="shared" si="92"/>
        <v>1.066845</v>
      </c>
      <c r="AG1181" s="1" t="str">
        <f>TRIM(LEFT(L1181,FIND("-",L1181)-1))</f>
        <v>Duy Xuyên</v>
      </c>
      <c r="AH1181" s="1" t="str">
        <f>TRIM(RIGHT(L1181, LEN(L1181) - FIND("-", L1181)))</f>
        <v>TT2 Tam Kỳ</v>
      </c>
      <c r="AJ1181">
        <f t="shared" si="93"/>
        <v>0.81322000000000005</v>
      </c>
      <c r="AK1181">
        <f t="shared" si="94"/>
        <v>0.71123000000000003</v>
      </c>
      <c r="AL1181">
        <f>VLOOKUP(L1181,'[1]Tuyến cáp H04'!$B:$E,3,0)/1000</f>
        <v>44.616</v>
      </c>
      <c r="AM1181" t="str">
        <f>VLOOKUP(L1181,'[1]Tuyến cáp H04'!$B:$E,4,0)</f>
        <v>Mạng cấp 3</v>
      </c>
    </row>
    <row r="1182" spans="1:39" x14ac:dyDescent="0.25">
      <c r="A1182" s="1" t="s">
        <v>11417</v>
      </c>
      <c r="B1182" s="1" t="s">
        <v>11355</v>
      </c>
      <c r="C1182" s="1" t="s">
        <v>11356</v>
      </c>
      <c r="D1182" s="1" t="s">
        <v>11418</v>
      </c>
      <c r="E1182" s="1" t="s">
        <v>11419</v>
      </c>
      <c r="F1182" s="1" t="s">
        <v>11420</v>
      </c>
      <c r="G1182" s="1" t="s">
        <v>14129</v>
      </c>
      <c r="H1182" s="1" t="s">
        <v>14532</v>
      </c>
      <c r="I1182" s="1" t="s">
        <v>15291</v>
      </c>
      <c r="J1182" s="1" t="s">
        <v>23</v>
      </c>
      <c r="K1182" s="1"/>
      <c r="L1182" s="1" t="s">
        <v>11373</v>
      </c>
      <c r="M1182" s="1" t="s">
        <v>11373</v>
      </c>
      <c r="N1182" s="12" t="b">
        <f t="shared" si="90"/>
        <v>1</v>
      </c>
      <c r="O1182" s="1" t="s">
        <v>11421</v>
      </c>
      <c r="P1182" s="1" t="s">
        <v>11375</v>
      </c>
      <c r="Q1182" s="1" t="s">
        <v>11376</v>
      </c>
      <c r="R1182" s="1" t="s">
        <v>11377</v>
      </c>
      <c r="S1182" s="1" t="s">
        <v>11422</v>
      </c>
      <c r="T1182" s="1" t="s">
        <v>11423</v>
      </c>
      <c r="U1182" s="1" t="s">
        <v>11424</v>
      </c>
      <c r="V1182" s="13">
        <f>COUNTIF(L1182:$M$1659,L1182)</f>
        <v>14</v>
      </c>
      <c r="W1182" s="1" t="s">
        <v>11381</v>
      </c>
      <c r="X1182">
        <v>868.63</v>
      </c>
      <c r="Y1182">
        <v>813.22</v>
      </c>
      <c r="Z1182">
        <v>15.741393</v>
      </c>
      <c r="AA1182">
        <v>108.35662000000001</v>
      </c>
      <c r="AB1182">
        <v>55.4</v>
      </c>
      <c r="AC1182">
        <v>15.742511</v>
      </c>
      <c r="AD1182">
        <v>108.35896700000001</v>
      </c>
      <c r="AE1182" s="5">
        <f t="shared" si="91"/>
        <v>1.21983</v>
      </c>
      <c r="AF1182" s="5">
        <f t="shared" si="92"/>
        <v>8.3099999999999993E-2</v>
      </c>
      <c r="AG1182" s="1" t="str">
        <f>TRIM(LEFT(L1182,FIND("-",L1182)-1))</f>
        <v>Duy Xuyên</v>
      </c>
      <c r="AH1182" s="1" t="str">
        <f>TRIM(RIGHT(L1182, LEN(L1182) - FIND("-", L1182)))</f>
        <v>TT2 Tam Kỳ</v>
      </c>
      <c r="AJ1182">
        <f t="shared" si="93"/>
        <v>0.81322000000000005</v>
      </c>
      <c r="AK1182">
        <f t="shared" si="94"/>
        <v>5.5399999999999998E-2</v>
      </c>
      <c r="AL1182">
        <f>VLOOKUP(L1182,'[1]Tuyến cáp H04'!$B:$E,3,0)/1000</f>
        <v>44.616</v>
      </c>
      <c r="AM1182" t="str">
        <f>VLOOKUP(L1182,'[1]Tuyến cáp H04'!$B:$E,4,0)</f>
        <v>Mạng cấp 3</v>
      </c>
    </row>
    <row r="1183" spans="1:39" x14ac:dyDescent="0.25">
      <c r="A1183" s="1" t="s">
        <v>11425</v>
      </c>
      <c r="B1183" s="1" t="s">
        <v>11355</v>
      </c>
      <c r="C1183" s="1" t="s">
        <v>11356</v>
      </c>
      <c r="D1183" s="1" t="s">
        <v>11426</v>
      </c>
      <c r="E1183" s="1" t="s">
        <v>11427</v>
      </c>
      <c r="F1183" s="1" t="s">
        <v>11428</v>
      </c>
      <c r="G1183" s="1" t="s">
        <v>14129</v>
      </c>
      <c r="H1183" s="1" t="s">
        <v>14532</v>
      </c>
      <c r="I1183" s="1" t="s">
        <v>15292</v>
      </c>
      <c r="J1183" s="1" t="s">
        <v>23</v>
      </c>
      <c r="K1183" s="1"/>
      <c r="L1183" s="1" t="s">
        <v>11429</v>
      </c>
      <c r="M1183" s="1" t="s">
        <v>11429</v>
      </c>
      <c r="N1183" s="12" t="b">
        <f t="shared" si="90"/>
        <v>1</v>
      </c>
      <c r="O1183" s="1" t="s">
        <v>11430</v>
      </c>
      <c r="P1183" s="1" t="s">
        <v>11431</v>
      </c>
      <c r="Q1183" s="1" t="s">
        <v>11432</v>
      </c>
      <c r="R1183" s="1" t="s">
        <v>11433</v>
      </c>
      <c r="S1183" s="1" t="s">
        <v>11434</v>
      </c>
      <c r="T1183" s="1" t="s">
        <v>11435</v>
      </c>
      <c r="U1183" s="1" t="s">
        <v>11436</v>
      </c>
      <c r="V1183" s="13">
        <f>COUNTIF(L1183:$M$1659,L1183)</f>
        <v>4</v>
      </c>
      <c r="W1183" s="1" t="s">
        <v>11437</v>
      </c>
      <c r="X1183">
        <v>1289.8900000000001</v>
      </c>
      <c r="Y1183">
        <v>1063.79</v>
      </c>
      <c r="Z1183">
        <v>15.742058</v>
      </c>
      <c r="AA1183">
        <v>108.359236</v>
      </c>
      <c r="AB1183">
        <v>226.1</v>
      </c>
      <c r="AC1183">
        <v>15.747146000000001</v>
      </c>
      <c r="AD1183">
        <v>108.376503</v>
      </c>
      <c r="AE1183" s="5">
        <f t="shared" si="91"/>
        <v>1.595685</v>
      </c>
      <c r="AF1183" s="5">
        <f t="shared" si="92"/>
        <v>0.33914999999999995</v>
      </c>
      <c r="AG1183" s="1" t="str">
        <f>TRIM(LEFT(L1183,FIND("-",L1183)-1))</f>
        <v>E28</v>
      </c>
      <c r="AH1183" s="1" t="str">
        <f>TRIM(RIGHT(L1183, LEN(L1183) - FIND("-", L1183)))</f>
        <v>Thăng An</v>
      </c>
      <c r="AJ1183">
        <f t="shared" si="93"/>
        <v>1.06379</v>
      </c>
      <c r="AK1183">
        <f t="shared" si="94"/>
        <v>0.2261</v>
      </c>
      <c r="AL1183">
        <f>VLOOKUP(L1183,'[1]Tuyến cáp H04'!$B:$E,3,0)/1000</f>
        <v>7.88</v>
      </c>
      <c r="AM1183" t="str">
        <f>VLOOKUP(L1183,'[1]Tuyến cáp H04'!$B:$E,4,0)</f>
        <v>Mạng cấp 4</v>
      </c>
    </row>
    <row r="1184" spans="1:39" x14ac:dyDescent="0.25">
      <c r="A1184" s="1" t="s">
        <v>11438</v>
      </c>
      <c r="B1184" s="1" t="s">
        <v>11439</v>
      </c>
      <c r="C1184" s="1" t="s">
        <v>11440</v>
      </c>
      <c r="D1184" s="1" t="s">
        <v>11441</v>
      </c>
      <c r="E1184" s="1" t="s">
        <v>11442</v>
      </c>
      <c r="F1184" s="1" t="s">
        <v>11443</v>
      </c>
      <c r="G1184" s="1" t="s">
        <v>14129</v>
      </c>
      <c r="H1184" s="1" t="s">
        <v>14532</v>
      </c>
      <c r="I1184" s="1" t="s">
        <v>15293</v>
      </c>
      <c r="J1184" s="1" t="s">
        <v>23</v>
      </c>
      <c r="K1184" s="1"/>
      <c r="L1184" s="1" t="s">
        <v>11444</v>
      </c>
      <c r="M1184" s="1" t="s">
        <v>11444</v>
      </c>
      <c r="N1184" s="12" t="b">
        <f t="shared" si="90"/>
        <v>1</v>
      </c>
      <c r="O1184" s="1" t="s">
        <v>11445</v>
      </c>
      <c r="P1184" s="1" t="s">
        <v>11446</v>
      </c>
      <c r="Q1184" s="1" t="s">
        <v>11447</v>
      </c>
      <c r="R1184" s="1" t="s">
        <v>11448</v>
      </c>
      <c r="S1184" s="1" t="s">
        <v>11449</v>
      </c>
      <c r="T1184" s="1" t="s">
        <v>11450</v>
      </c>
      <c r="U1184" s="1" t="s">
        <v>11451</v>
      </c>
      <c r="V1184" s="13">
        <f>COUNTIF(L1184:$M$1659,L1184)</f>
        <v>6</v>
      </c>
      <c r="W1184" s="1" t="s">
        <v>11452</v>
      </c>
      <c r="X1184">
        <v>5860.24</v>
      </c>
      <c r="Y1184">
        <v>2867.84</v>
      </c>
      <c r="Z1184">
        <v>15.643528999999999</v>
      </c>
      <c r="AA1184">
        <v>108.51124799999999</v>
      </c>
      <c r="AB1184">
        <v>2992.4</v>
      </c>
      <c r="AC1184">
        <v>15.60615</v>
      </c>
      <c r="AD1184">
        <v>108.53691600000001</v>
      </c>
      <c r="AE1184" s="5">
        <f t="shared" si="91"/>
        <v>4.3017599999999998</v>
      </c>
      <c r="AF1184" s="5">
        <f t="shared" si="92"/>
        <v>4.4885999999999999</v>
      </c>
      <c r="AG1184" s="1" t="str">
        <f>TRIM(LEFT(L1184,FIND("-",L1184)-1))</f>
        <v>Thăng Trường</v>
      </c>
      <c r="AH1184" s="1" t="str">
        <f>TRIM(RIGHT(L1184, LEN(L1184) - FIND("-", L1184)))</f>
        <v>Quảng Phú</v>
      </c>
      <c r="AJ1184">
        <f t="shared" si="93"/>
        <v>2.8678400000000002</v>
      </c>
      <c r="AK1184">
        <f t="shared" si="94"/>
        <v>2.9923999999999999</v>
      </c>
      <c r="AL1184">
        <f>VLOOKUP(L1184,'[1]Tuyến cáp H04'!$B:$E,3,0)/1000</f>
        <v>9.484</v>
      </c>
      <c r="AM1184" t="str">
        <f>VLOOKUP(L1184,'[1]Tuyến cáp H04'!$B:$E,4,0)</f>
        <v>Mạng cấp 4</v>
      </c>
    </row>
    <row r="1185" spans="1:39" x14ac:dyDescent="0.25">
      <c r="A1185" s="1" t="s">
        <v>11453</v>
      </c>
      <c r="B1185" s="1" t="s">
        <v>11439</v>
      </c>
      <c r="C1185" s="1" t="s">
        <v>11440</v>
      </c>
      <c r="D1185" s="1" t="s">
        <v>11454</v>
      </c>
      <c r="E1185" s="1" t="s">
        <v>11455</v>
      </c>
      <c r="F1185" s="1" t="s">
        <v>11456</v>
      </c>
      <c r="G1185" s="1" t="s">
        <v>14129</v>
      </c>
      <c r="H1185" s="1" t="s">
        <v>14532</v>
      </c>
      <c r="I1185" s="1" t="s">
        <v>15294</v>
      </c>
      <c r="J1185" s="1" t="s">
        <v>23</v>
      </c>
      <c r="K1185" s="1"/>
      <c r="L1185" s="1" t="s">
        <v>11457</v>
      </c>
      <c r="M1185" s="1" t="s">
        <v>11457</v>
      </c>
      <c r="N1185" s="12" t="b">
        <f t="shared" si="90"/>
        <v>1</v>
      </c>
      <c r="O1185" s="1" t="s">
        <v>11458</v>
      </c>
      <c r="P1185" s="1" t="s">
        <v>11459</v>
      </c>
      <c r="Q1185" s="1" t="s">
        <v>11460</v>
      </c>
      <c r="R1185" s="1" t="s">
        <v>11461</v>
      </c>
      <c r="S1185" s="1" t="s">
        <v>11462</v>
      </c>
      <c r="T1185" s="1" t="s">
        <v>11463</v>
      </c>
      <c r="U1185" s="1" t="s">
        <v>11464</v>
      </c>
      <c r="V1185" s="13">
        <f>COUNTIF(L1185:$M$1659,L1185)</f>
        <v>12</v>
      </c>
      <c r="W1185" s="1" t="s">
        <v>11465</v>
      </c>
      <c r="X1185">
        <v>7674.26</v>
      </c>
      <c r="Y1185">
        <v>9.8000000000000007</v>
      </c>
      <c r="Z1185">
        <v>15.650872</v>
      </c>
      <c r="AA1185">
        <v>108.48560500000001</v>
      </c>
      <c r="AB1185">
        <v>7664.46</v>
      </c>
      <c r="AC1185">
        <v>15.649153</v>
      </c>
      <c r="AD1185">
        <v>108.467534</v>
      </c>
      <c r="AE1185" s="5">
        <f t="shared" si="91"/>
        <v>1.4700000000000001E-2</v>
      </c>
      <c r="AF1185" s="5">
        <f t="shared" si="92"/>
        <v>11.496690000000001</v>
      </c>
      <c r="AG1185" s="1" t="str">
        <f>TRIM(LEFT(L1185,FIND("-",L1185)-1))</f>
        <v>TTCMKV Thăng Bình</v>
      </c>
      <c r="AH1185" s="1" t="str">
        <f>TRIM(RIGHT(L1185, LEN(L1185) - FIND("-", L1185)))</f>
        <v>Thăng
Trường</v>
      </c>
      <c r="AJ1185">
        <f t="shared" si="93"/>
        <v>9.8000000000000014E-3</v>
      </c>
      <c r="AK1185">
        <f t="shared" si="94"/>
        <v>7.6644600000000001</v>
      </c>
      <c r="AL1185">
        <f>VLOOKUP(L1185,'[1]Tuyến cáp H04'!$B:$E,3,0)/1000</f>
        <v>20.260999999999999</v>
      </c>
      <c r="AM1185" t="str">
        <f>VLOOKUP(L1185,'[1]Tuyến cáp H04'!$B:$E,4,0)</f>
        <v>Mạng cấp 4</v>
      </c>
    </row>
    <row r="1186" spans="1:39" x14ac:dyDescent="0.25">
      <c r="A1186" s="1" t="s">
        <v>11466</v>
      </c>
      <c r="B1186" s="1" t="s">
        <v>11439</v>
      </c>
      <c r="C1186" s="1" t="s">
        <v>11440</v>
      </c>
      <c r="D1186" s="1" t="s">
        <v>11467</v>
      </c>
      <c r="E1186" s="1" t="s">
        <v>11468</v>
      </c>
      <c r="F1186" s="1" t="s">
        <v>11469</v>
      </c>
      <c r="G1186" s="1"/>
      <c r="H1186" s="1" t="s">
        <v>14532</v>
      </c>
      <c r="I1186" s="1" t="s">
        <v>15295</v>
      </c>
      <c r="J1186" s="1" t="s">
        <v>23</v>
      </c>
      <c r="K1186" s="1"/>
      <c r="L1186" s="1" t="s">
        <v>11470</v>
      </c>
      <c r="M1186" s="1" t="s">
        <v>11470</v>
      </c>
      <c r="N1186" s="12" t="b">
        <f t="shared" si="90"/>
        <v>1</v>
      </c>
      <c r="O1186" s="1" t="s">
        <v>11471</v>
      </c>
      <c r="P1186" s="1" t="s">
        <v>11472</v>
      </c>
      <c r="Q1186" s="1" t="s">
        <v>11473</v>
      </c>
      <c r="R1186" s="1" t="s">
        <v>11474</v>
      </c>
      <c r="S1186" s="1" t="s">
        <v>11475</v>
      </c>
      <c r="T1186" s="1" t="s">
        <v>11476</v>
      </c>
      <c r="U1186" s="1" t="s">
        <v>11477</v>
      </c>
      <c r="V1186" s="13">
        <f>COUNTIF(L1186:$M$1659,L1186)</f>
        <v>30</v>
      </c>
      <c r="W1186" s="1" t="s">
        <v>11478</v>
      </c>
      <c r="X1186">
        <v>5601.75</v>
      </c>
      <c r="Y1186">
        <v>5524.52</v>
      </c>
      <c r="Z1186">
        <v>15.621184</v>
      </c>
      <c r="AA1186">
        <v>108.444299</v>
      </c>
      <c r="AB1186">
        <v>77.23</v>
      </c>
      <c r="AC1186">
        <v>15.574672</v>
      </c>
      <c r="AD1186">
        <v>108.47391</v>
      </c>
      <c r="AE1186" s="5">
        <f t="shared" si="91"/>
        <v>8.2867800000000003</v>
      </c>
      <c r="AF1186" s="5">
        <f t="shared" si="92"/>
        <v>0.115845</v>
      </c>
      <c r="AG1186" s="1" t="str">
        <f>TRIM(LEFT(L1186,FIND("-",L1186)-1))</f>
        <v>TT2 Tam Kỳ</v>
      </c>
      <c r="AH1186" s="1" t="str">
        <f>TRIM(RIGHT(L1186, LEN(L1186) - FIND("-", L1186)))</f>
        <v>Thăng Bình</v>
      </c>
      <c r="AJ1186">
        <f t="shared" si="93"/>
        <v>5.5245200000000008</v>
      </c>
      <c r="AK1186">
        <f t="shared" si="94"/>
        <v>7.7230000000000007E-2</v>
      </c>
      <c r="AL1186">
        <f>VLOOKUP(L1186,'[1]Tuyến cáp H04'!$B:$E,3,0)/1000</f>
        <v>24.648</v>
      </c>
      <c r="AM1186" t="str">
        <f>VLOOKUP(L1186,'[1]Tuyến cáp H04'!$B:$E,4,0)</f>
        <v>Mạng cấp 3</v>
      </c>
    </row>
    <row r="1187" spans="1:39" x14ac:dyDescent="0.25">
      <c r="A1187" s="1" t="s">
        <v>11479</v>
      </c>
      <c r="B1187" s="1" t="s">
        <v>11439</v>
      </c>
      <c r="C1187" s="1" t="s">
        <v>11440</v>
      </c>
      <c r="D1187" s="1" t="s">
        <v>11480</v>
      </c>
      <c r="E1187" s="1" t="s">
        <v>11481</v>
      </c>
      <c r="F1187" s="1" t="s">
        <v>11482</v>
      </c>
      <c r="G1187" s="1" t="s">
        <v>14129</v>
      </c>
      <c r="H1187" s="1" t="s">
        <v>14532</v>
      </c>
      <c r="I1187" s="1" t="s">
        <v>15296</v>
      </c>
      <c r="J1187" s="1" t="s">
        <v>23</v>
      </c>
      <c r="K1187" s="1"/>
      <c r="L1187" s="1" t="s">
        <v>11457</v>
      </c>
      <c r="M1187" s="1" t="s">
        <v>11457</v>
      </c>
      <c r="N1187" s="12" t="b">
        <f t="shared" si="90"/>
        <v>1</v>
      </c>
      <c r="O1187" s="1" t="s">
        <v>11483</v>
      </c>
      <c r="P1187" s="1" t="s">
        <v>11484</v>
      </c>
      <c r="Q1187" s="1" t="s">
        <v>11485</v>
      </c>
      <c r="R1187" s="1" t="s">
        <v>11486</v>
      </c>
      <c r="S1187" s="1" t="s">
        <v>11487</v>
      </c>
      <c r="T1187" s="1" t="s">
        <v>11488</v>
      </c>
      <c r="U1187" s="1" t="s">
        <v>11489</v>
      </c>
      <c r="V1187" s="13">
        <f>COUNTIF(L1187:$M$1659,L1187)</f>
        <v>10</v>
      </c>
      <c r="W1187" s="1" t="s">
        <v>11490</v>
      </c>
      <c r="X1187">
        <v>13367.54</v>
      </c>
      <c r="Y1187">
        <v>2543.98</v>
      </c>
      <c r="Z1187">
        <v>15.646300999999999</v>
      </c>
      <c r="AA1187">
        <v>108.462339</v>
      </c>
      <c r="AB1187">
        <v>10823.56</v>
      </c>
      <c r="AC1187">
        <v>15.736029</v>
      </c>
      <c r="AD1187">
        <v>108.352341</v>
      </c>
      <c r="AE1187" s="5">
        <f t="shared" si="91"/>
        <v>3.8159700000000001</v>
      </c>
      <c r="AF1187" s="5">
        <f t="shared" si="92"/>
        <v>16.235340000000001</v>
      </c>
      <c r="AG1187" s="1" t="str">
        <f>TRIM(LEFT(L1187,FIND("-",L1187)-1))</f>
        <v>TTCMKV Thăng Bình</v>
      </c>
      <c r="AH1187" s="1" t="str">
        <f>TRIM(RIGHT(L1187, LEN(L1187) - FIND("-", L1187)))</f>
        <v>Thăng
Trường</v>
      </c>
      <c r="AJ1187">
        <f t="shared" si="93"/>
        <v>2.5439799999999999</v>
      </c>
      <c r="AK1187">
        <f t="shared" si="94"/>
        <v>10.823559999999999</v>
      </c>
      <c r="AL1187">
        <f>VLOOKUP(L1187,'[1]Tuyến cáp H04'!$B:$E,3,0)/1000</f>
        <v>20.260999999999999</v>
      </c>
      <c r="AM1187" t="str">
        <f>VLOOKUP(L1187,'[1]Tuyến cáp H04'!$B:$E,4,0)</f>
        <v>Mạng cấp 4</v>
      </c>
    </row>
    <row r="1188" spans="1:39" x14ac:dyDescent="0.25">
      <c r="A1188" s="1" t="s">
        <v>11466</v>
      </c>
      <c r="B1188" s="1" t="s">
        <v>11439</v>
      </c>
      <c r="C1188" s="1" t="s">
        <v>11440</v>
      </c>
      <c r="D1188" s="1" t="s">
        <v>11467</v>
      </c>
      <c r="E1188" s="1" t="s">
        <v>11468</v>
      </c>
      <c r="F1188" s="1" t="s">
        <v>11469</v>
      </c>
      <c r="G1188" s="1"/>
      <c r="H1188" s="1" t="s">
        <v>14532</v>
      </c>
      <c r="I1188" s="1" t="s">
        <v>15295</v>
      </c>
      <c r="J1188" s="1" t="s">
        <v>23</v>
      </c>
      <c r="K1188" s="1"/>
      <c r="L1188" s="1" t="s">
        <v>11470</v>
      </c>
      <c r="M1188" s="1" t="s">
        <v>11470</v>
      </c>
      <c r="N1188" s="12" t="b">
        <f t="shared" si="90"/>
        <v>1</v>
      </c>
      <c r="O1188" s="1" t="s">
        <v>11471</v>
      </c>
      <c r="P1188" s="1" t="s">
        <v>11472</v>
      </c>
      <c r="Q1188" s="1" t="s">
        <v>11473</v>
      </c>
      <c r="R1188" s="1" t="s">
        <v>11474</v>
      </c>
      <c r="S1188" s="1" t="s">
        <v>11475</v>
      </c>
      <c r="T1188" s="1" t="s">
        <v>11476</v>
      </c>
      <c r="U1188" s="1" t="s">
        <v>11477</v>
      </c>
      <c r="V1188" s="13">
        <f>COUNTIF(L1188:$M$1659,L1188)</f>
        <v>28</v>
      </c>
      <c r="W1188" s="1" t="s">
        <v>11478</v>
      </c>
      <c r="X1188">
        <v>5601.75</v>
      </c>
      <c r="Y1188">
        <v>5524.52</v>
      </c>
      <c r="Z1188">
        <v>15.621184</v>
      </c>
      <c r="AA1188">
        <v>108.444299</v>
      </c>
      <c r="AB1188">
        <v>77.23</v>
      </c>
      <c r="AC1188">
        <v>15.574672</v>
      </c>
      <c r="AD1188">
        <v>108.47391</v>
      </c>
      <c r="AE1188" s="5">
        <f t="shared" si="91"/>
        <v>8.2867800000000003</v>
      </c>
      <c r="AF1188" s="5">
        <f t="shared" si="92"/>
        <v>0.115845</v>
      </c>
      <c r="AG1188" s="1" t="str">
        <f>TRIM(LEFT(L1188,FIND("-",L1188)-1))</f>
        <v>TT2 Tam Kỳ</v>
      </c>
      <c r="AH1188" s="1" t="str">
        <f>TRIM(RIGHT(L1188, LEN(L1188) - FIND("-", L1188)))</f>
        <v>Thăng Bình</v>
      </c>
      <c r="AJ1188">
        <f t="shared" si="93"/>
        <v>5.5245200000000008</v>
      </c>
      <c r="AK1188">
        <f t="shared" si="94"/>
        <v>7.7230000000000007E-2</v>
      </c>
      <c r="AL1188">
        <f>VLOOKUP(L1188,'[1]Tuyến cáp H04'!$B:$E,3,0)/1000</f>
        <v>24.648</v>
      </c>
      <c r="AM1188" t="str">
        <f>VLOOKUP(L1188,'[1]Tuyến cáp H04'!$B:$E,4,0)</f>
        <v>Mạng cấp 3</v>
      </c>
    </row>
    <row r="1189" spans="1:39" x14ac:dyDescent="0.25">
      <c r="A1189" s="1" t="s">
        <v>11491</v>
      </c>
      <c r="B1189" s="1" t="s">
        <v>11439</v>
      </c>
      <c r="C1189" s="1" t="s">
        <v>11440</v>
      </c>
      <c r="D1189" s="1" t="s">
        <v>11492</v>
      </c>
      <c r="E1189" s="1" t="s">
        <v>11493</v>
      </c>
      <c r="F1189" s="1" t="s">
        <v>11494</v>
      </c>
      <c r="G1189" s="1" t="s">
        <v>14129</v>
      </c>
      <c r="H1189" s="1" t="s">
        <v>14532</v>
      </c>
      <c r="I1189" s="1" t="s">
        <v>15297</v>
      </c>
      <c r="J1189" s="1" t="s">
        <v>23</v>
      </c>
      <c r="K1189" s="1"/>
      <c r="L1189" s="1" t="s">
        <v>11457</v>
      </c>
      <c r="M1189" s="1" t="s">
        <v>11457</v>
      </c>
      <c r="N1189" s="12" t="b">
        <f t="shared" si="90"/>
        <v>1</v>
      </c>
      <c r="O1189" s="1" t="s">
        <v>11495</v>
      </c>
      <c r="P1189" s="1" t="s">
        <v>11484</v>
      </c>
      <c r="Q1189" s="1" t="s">
        <v>11485</v>
      </c>
      <c r="R1189" s="1" t="s">
        <v>11486</v>
      </c>
      <c r="S1189" s="1" t="s">
        <v>11496</v>
      </c>
      <c r="T1189" s="1" t="s">
        <v>11497</v>
      </c>
      <c r="U1189" s="1" t="s">
        <v>11498</v>
      </c>
      <c r="V1189" s="13">
        <f>COUNTIF(L1189:$M$1659,L1189)</f>
        <v>8</v>
      </c>
      <c r="W1189" s="1" t="s">
        <v>11490</v>
      </c>
      <c r="X1189">
        <v>11307.44</v>
      </c>
      <c r="Y1189">
        <v>2543.98</v>
      </c>
      <c r="Z1189">
        <v>15.646300999999999</v>
      </c>
      <c r="AA1189">
        <v>108.462339</v>
      </c>
      <c r="AB1189">
        <v>8763.4599999999991</v>
      </c>
      <c r="AC1189">
        <v>15.706669</v>
      </c>
      <c r="AD1189">
        <v>108.386088</v>
      </c>
      <c r="AE1189" s="5">
        <f t="shared" si="91"/>
        <v>3.8159700000000001</v>
      </c>
      <c r="AF1189" s="5">
        <f t="shared" si="92"/>
        <v>13.145189999999999</v>
      </c>
      <c r="AG1189" s="1" t="str">
        <f>TRIM(LEFT(L1189,FIND("-",L1189)-1))</f>
        <v>TTCMKV Thăng Bình</v>
      </c>
      <c r="AH1189" s="1" t="str">
        <f>TRIM(RIGHT(L1189, LEN(L1189) - FIND("-", L1189)))</f>
        <v>Thăng
Trường</v>
      </c>
      <c r="AJ1189">
        <f t="shared" si="93"/>
        <v>2.5439799999999999</v>
      </c>
      <c r="AK1189">
        <f t="shared" si="94"/>
        <v>8.7634599999999985</v>
      </c>
      <c r="AL1189">
        <f>VLOOKUP(L1189,'[1]Tuyến cáp H04'!$B:$E,3,0)/1000</f>
        <v>20.260999999999999</v>
      </c>
      <c r="AM1189" t="str">
        <f>VLOOKUP(L1189,'[1]Tuyến cáp H04'!$B:$E,4,0)</f>
        <v>Mạng cấp 4</v>
      </c>
    </row>
    <row r="1190" spans="1:39" x14ac:dyDescent="0.25">
      <c r="A1190" s="1" t="s">
        <v>11499</v>
      </c>
      <c r="B1190" s="1" t="s">
        <v>11500</v>
      </c>
      <c r="C1190" s="1" t="s">
        <v>11501</v>
      </c>
      <c r="D1190" s="1" t="s">
        <v>11502</v>
      </c>
      <c r="E1190" s="1" t="s">
        <v>11503</v>
      </c>
      <c r="F1190" s="1" t="s">
        <v>11504</v>
      </c>
      <c r="G1190" s="1" t="s">
        <v>14129</v>
      </c>
      <c r="H1190" s="1" t="s">
        <v>14532</v>
      </c>
      <c r="I1190" s="1" t="s">
        <v>15298</v>
      </c>
      <c r="J1190" s="1" t="s">
        <v>23</v>
      </c>
      <c r="K1190" s="1"/>
      <c r="L1190" s="1" t="s">
        <v>11470</v>
      </c>
      <c r="M1190" s="1" t="s">
        <v>11470</v>
      </c>
      <c r="N1190" s="12" t="b">
        <f t="shared" si="90"/>
        <v>1</v>
      </c>
      <c r="O1190" s="1" t="s">
        <v>11505</v>
      </c>
      <c r="P1190" s="1" t="s">
        <v>11506</v>
      </c>
      <c r="Q1190" s="1" t="s">
        <v>11507</v>
      </c>
      <c r="R1190" s="1" t="s">
        <v>11508</v>
      </c>
      <c r="S1190" s="1" t="s">
        <v>11509</v>
      </c>
      <c r="T1190" s="1" t="s">
        <v>11510</v>
      </c>
      <c r="U1190" s="1" t="s">
        <v>11511</v>
      </c>
      <c r="V1190" s="13">
        <f>COUNTIF(L1190:$M$1659,L1190)</f>
        <v>26</v>
      </c>
      <c r="W1190" s="1" t="s">
        <v>11478</v>
      </c>
      <c r="X1190">
        <v>1806.64</v>
      </c>
      <c r="Y1190">
        <v>569.96</v>
      </c>
      <c r="Z1190">
        <v>15.6469</v>
      </c>
      <c r="AA1190">
        <v>108.43017</v>
      </c>
      <c r="AB1190">
        <v>1236.69</v>
      </c>
      <c r="AC1190">
        <v>15.666873000000001</v>
      </c>
      <c r="AD1190">
        <v>108.412204</v>
      </c>
      <c r="AE1190" s="5">
        <f t="shared" si="91"/>
        <v>0.85494000000000003</v>
      </c>
      <c r="AF1190" s="5">
        <f t="shared" si="92"/>
        <v>1.855035</v>
      </c>
      <c r="AG1190" s="1" t="str">
        <f>TRIM(LEFT(L1190,FIND("-",L1190)-1))</f>
        <v>TT2 Tam Kỳ</v>
      </c>
      <c r="AH1190" s="1" t="str">
        <f>TRIM(RIGHT(L1190, LEN(L1190) - FIND("-", L1190)))</f>
        <v>Thăng Bình</v>
      </c>
      <c r="AJ1190">
        <f t="shared" si="93"/>
        <v>0.56996000000000002</v>
      </c>
      <c r="AK1190">
        <f t="shared" si="94"/>
        <v>1.2366900000000001</v>
      </c>
      <c r="AL1190">
        <f>VLOOKUP(L1190,'[1]Tuyến cáp H04'!$B:$E,3,0)/1000</f>
        <v>24.648</v>
      </c>
      <c r="AM1190" t="str">
        <f>VLOOKUP(L1190,'[1]Tuyến cáp H04'!$B:$E,4,0)</f>
        <v>Mạng cấp 3</v>
      </c>
    </row>
    <row r="1191" spans="1:39" x14ac:dyDescent="0.25">
      <c r="A1191" s="1" t="s">
        <v>11512</v>
      </c>
      <c r="B1191" s="1" t="s">
        <v>11500</v>
      </c>
      <c r="C1191" s="1" t="s">
        <v>11501</v>
      </c>
      <c r="D1191" s="1" t="s">
        <v>11513</v>
      </c>
      <c r="E1191" s="1" t="s">
        <v>11514</v>
      </c>
      <c r="F1191" s="1" t="s">
        <v>11515</v>
      </c>
      <c r="G1191" s="1" t="s">
        <v>14129</v>
      </c>
      <c r="H1191" s="1" t="s">
        <v>14532</v>
      </c>
      <c r="I1191" s="1" t="s">
        <v>15299</v>
      </c>
      <c r="J1191" s="1" t="s">
        <v>23</v>
      </c>
      <c r="K1191" s="1"/>
      <c r="L1191" s="1" t="s">
        <v>11457</v>
      </c>
      <c r="M1191" s="1" t="s">
        <v>11457</v>
      </c>
      <c r="N1191" s="12" t="b">
        <f t="shared" si="90"/>
        <v>1</v>
      </c>
      <c r="O1191" s="1" t="s">
        <v>11516</v>
      </c>
      <c r="P1191" s="1" t="s">
        <v>11517</v>
      </c>
      <c r="Q1191" s="1" t="s">
        <v>11518</v>
      </c>
      <c r="R1191" s="1" t="s">
        <v>11519</v>
      </c>
      <c r="S1191" s="1" t="s">
        <v>11520</v>
      </c>
      <c r="T1191" s="1" t="s">
        <v>11521</v>
      </c>
      <c r="U1191" s="1" t="s">
        <v>11522</v>
      </c>
      <c r="V1191" s="13">
        <f>COUNTIF(L1191:$M$1659,L1191)</f>
        <v>6</v>
      </c>
      <c r="W1191" s="1" t="s">
        <v>11490</v>
      </c>
      <c r="X1191">
        <v>1333.52</v>
      </c>
      <c r="Y1191">
        <v>709.57</v>
      </c>
      <c r="Z1191">
        <v>15.650188</v>
      </c>
      <c r="AA1191">
        <v>108.428378</v>
      </c>
      <c r="AB1191">
        <v>623.95000000000005</v>
      </c>
      <c r="AC1191">
        <v>15.647589</v>
      </c>
      <c r="AD1191">
        <v>108.43842100000001</v>
      </c>
      <c r="AE1191" s="5">
        <f t="shared" si="91"/>
        <v>1.0643549999999999</v>
      </c>
      <c r="AF1191" s="5">
        <f t="shared" si="92"/>
        <v>0.93592500000000012</v>
      </c>
      <c r="AG1191" s="1" t="str">
        <f>TRIM(LEFT(L1191,FIND("-",L1191)-1))</f>
        <v>TTCMKV Thăng Bình</v>
      </c>
      <c r="AH1191" s="1" t="str">
        <f>TRIM(RIGHT(L1191, LEN(L1191) - FIND("-", L1191)))</f>
        <v>Thăng
Trường</v>
      </c>
      <c r="AJ1191">
        <f t="shared" si="93"/>
        <v>0.70957000000000003</v>
      </c>
      <c r="AK1191">
        <f t="shared" si="94"/>
        <v>0.62395</v>
      </c>
      <c r="AL1191">
        <f>VLOOKUP(L1191,'[1]Tuyến cáp H04'!$B:$E,3,0)/1000</f>
        <v>20.260999999999999</v>
      </c>
      <c r="AM1191" t="str">
        <f>VLOOKUP(L1191,'[1]Tuyến cáp H04'!$B:$E,4,0)</f>
        <v>Mạng cấp 4</v>
      </c>
    </row>
    <row r="1192" spans="1:39" x14ac:dyDescent="0.25">
      <c r="A1192" s="1" t="s">
        <v>11523</v>
      </c>
      <c r="B1192" s="1" t="s">
        <v>11500</v>
      </c>
      <c r="C1192" s="1" t="s">
        <v>11501</v>
      </c>
      <c r="D1192" s="1" t="s">
        <v>11524</v>
      </c>
      <c r="E1192" s="1" t="s">
        <v>11525</v>
      </c>
      <c r="F1192" s="1" t="s">
        <v>11526</v>
      </c>
      <c r="G1192" s="1"/>
      <c r="H1192" s="1" t="s">
        <v>14532</v>
      </c>
      <c r="I1192" s="1" t="s">
        <v>15300</v>
      </c>
      <c r="J1192" s="1" t="s">
        <v>23</v>
      </c>
      <c r="K1192" s="1"/>
      <c r="L1192" s="1" t="s">
        <v>11373</v>
      </c>
      <c r="M1192" s="1" t="s">
        <v>11373</v>
      </c>
      <c r="N1192" s="12" t="b">
        <f t="shared" si="90"/>
        <v>1</v>
      </c>
      <c r="O1192" s="1" t="s">
        <v>11527</v>
      </c>
      <c r="P1192" s="1" t="s">
        <v>11528</v>
      </c>
      <c r="Q1192" s="1" t="s">
        <v>11529</v>
      </c>
      <c r="R1192" s="1" t="s">
        <v>11530</v>
      </c>
      <c r="S1192" s="1" t="s">
        <v>11531</v>
      </c>
      <c r="T1192" s="1" t="s">
        <v>11532</v>
      </c>
      <c r="U1192" s="1" t="s">
        <v>11533</v>
      </c>
      <c r="V1192" s="13">
        <f>COUNTIF(L1192:$M$1659,L1192)</f>
        <v>12</v>
      </c>
      <c r="W1192" s="1" t="s">
        <v>11534</v>
      </c>
      <c r="X1192">
        <v>875.94</v>
      </c>
      <c r="Y1192">
        <v>574.59</v>
      </c>
      <c r="Z1192">
        <v>15.646917999999999</v>
      </c>
      <c r="AA1192">
        <v>108.430209</v>
      </c>
      <c r="AB1192">
        <v>301.35000000000002</v>
      </c>
      <c r="AC1192">
        <v>15.717449999999999</v>
      </c>
      <c r="AD1192">
        <v>108.375263</v>
      </c>
      <c r="AE1192" s="5">
        <f t="shared" si="91"/>
        <v>0.86188500000000001</v>
      </c>
      <c r="AF1192" s="5">
        <f t="shared" si="92"/>
        <v>0.45202500000000001</v>
      </c>
      <c r="AG1192" s="1" t="str">
        <f>TRIM(LEFT(L1192,FIND("-",L1192)-1))</f>
        <v>Duy Xuyên</v>
      </c>
      <c r="AH1192" s="1" t="str">
        <f>TRIM(RIGHT(L1192, LEN(L1192) - FIND("-", L1192)))</f>
        <v>TT2 Tam Kỳ</v>
      </c>
      <c r="AJ1192">
        <f t="shared" si="93"/>
        <v>0.57459000000000005</v>
      </c>
      <c r="AK1192">
        <f t="shared" si="94"/>
        <v>0.30135000000000001</v>
      </c>
      <c r="AL1192">
        <f>VLOOKUP(L1192,'[1]Tuyến cáp H04'!$B:$E,3,0)/1000</f>
        <v>44.616</v>
      </c>
      <c r="AM1192" t="str">
        <f>VLOOKUP(L1192,'[1]Tuyến cáp H04'!$B:$E,4,0)</f>
        <v>Mạng cấp 3</v>
      </c>
    </row>
    <row r="1193" spans="1:39" x14ac:dyDescent="0.25">
      <c r="A1193" s="1" t="s">
        <v>11535</v>
      </c>
      <c r="B1193" s="1" t="s">
        <v>11500</v>
      </c>
      <c r="C1193" s="1" t="s">
        <v>11501</v>
      </c>
      <c r="D1193" s="1" t="s">
        <v>11536</v>
      </c>
      <c r="E1193" s="1" t="s">
        <v>11537</v>
      </c>
      <c r="F1193" s="1" t="s">
        <v>11538</v>
      </c>
      <c r="G1193" s="1" t="s">
        <v>14129</v>
      </c>
      <c r="H1193" s="1" t="s">
        <v>14532</v>
      </c>
      <c r="I1193" s="1" t="s">
        <v>15301</v>
      </c>
      <c r="J1193" s="1" t="s">
        <v>23</v>
      </c>
      <c r="K1193" s="1"/>
      <c r="L1193" s="1" t="s">
        <v>11470</v>
      </c>
      <c r="M1193" s="1" t="s">
        <v>11470</v>
      </c>
      <c r="N1193" s="12" t="b">
        <f t="shared" si="90"/>
        <v>1</v>
      </c>
      <c r="O1193" s="1" t="s">
        <v>11539</v>
      </c>
      <c r="P1193" s="1" t="s">
        <v>11506</v>
      </c>
      <c r="Q1193" s="1" t="s">
        <v>11507</v>
      </c>
      <c r="R1193" s="1" t="s">
        <v>11508</v>
      </c>
      <c r="S1193" s="1" t="s">
        <v>11540</v>
      </c>
      <c r="T1193" s="1" t="s">
        <v>11541</v>
      </c>
      <c r="U1193" s="1" t="s">
        <v>11542</v>
      </c>
      <c r="V1193" s="13">
        <f>COUNTIF(L1193:$M$1659,L1193)</f>
        <v>24</v>
      </c>
      <c r="W1193" s="1" t="s">
        <v>11478</v>
      </c>
      <c r="X1193">
        <v>1039.18</v>
      </c>
      <c r="Y1193">
        <v>569.96</v>
      </c>
      <c r="Z1193">
        <v>15.6469</v>
      </c>
      <c r="AA1193">
        <v>108.43017</v>
      </c>
      <c r="AB1193">
        <v>469.22</v>
      </c>
      <c r="AC1193">
        <v>15.58404</v>
      </c>
      <c r="AD1193">
        <v>108.468689</v>
      </c>
      <c r="AE1193" s="5">
        <f t="shared" si="91"/>
        <v>0.85494000000000003</v>
      </c>
      <c r="AF1193" s="5">
        <f t="shared" si="92"/>
        <v>0.70383000000000007</v>
      </c>
      <c r="AG1193" s="1" t="str">
        <f>TRIM(LEFT(L1193,FIND("-",L1193)-1))</f>
        <v>TT2 Tam Kỳ</v>
      </c>
      <c r="AH1193" s="1" t="str">
        <f>TRIM(RIGHT(L1193, LEN(L1193) - FIND("-", L1193)))</f>
        <v>Thăng Bình</v>
      </c>
      <c r="AJ1193">
        <f t="shared" si="93"/>
        <v>0.56996000000000002</v>
      </c>
      <c r="AK1193">
        <f t="shared" si="94"/>
        <v>0.46922000000000003</v>
      </c>
      <c r="AL1193">
        <f>VLOOKUP(L1193,'[1]Tuyến cáp H04'!$B:$E,3,0)/1000</f>
        <v>24.648</v>
      </c>
      <c r="AM1193" t="str">
        <f>VLOOKUP(L1193,'[1]Tuyến cáp H04'!$B:$E,4,0)</f>
        <v>Mạng cấp 3</v>
      </c>
    </row>
    <row r="1194" spans="1:39" x14ac:dyDescent="0.25">
      <c r="A1194" s="1" t="s">
        <v>11543</v>
      </c>
      <c r="B1194" s="1" t="s">
        <v>11500</v>
      </c>
      <c r="C1194" s="1" t="s">
        <v>11501</v>
      </c>
      <c r="D1194" s="1" t="s">
        <v>11544</v>
      </c>
      <c r="E1194" s="1" t="s">
        <v>11545</v>
      </c>
      <c r="F1194" s="1" t="s">
        <v>11546</v>
      </c>
      <c r="G1194" s="1" t="s">
        <v>14129</v>
      </c>
      <c r="H1194" s="1" t="s">
        <v>14532</v>
      </c>
      <c r="I1194" s="1" t="s">
        <v>15302</v>
      </c>
      <c r="J1194" s="1" t="s">
        <v>23</v>
      </c>
      <c r="K1194" s="1"/>
      <c r="L1194" s="1" t="s">
        <v>11470</v>
      </c>
      <c r="M1194" s="1" t="s">
        <v>11470</v>
      </c>
      <c r="N1194" s="12" t="b">
        <f t="shared" si="90"/>
        <v>1</v>
      </c>
      <c r="O1194" s="1" t="s">
        <v>11547</v>
      </c>
      <c r="P1194" s="1" t="s">
        <v>11506</v>
      </c>
      <c r="Q1194" s="1" t="s">
        <v>11507</v>
      </c>
      <c r="R1194" s="1" t="s">
        <v>11508</v>
      </c>
      <c r="S1194" s="1" t="s">
        <v>11548</v>
      </c>
      <c r="T1194" s="1" t="s">
        <v>11549</v>
      </c>
      <c r="U1194" s="1" t="s">
        <v>11550</v>
      </c>
      <c r="V1194" s="13">
        <f>COUNTIF(L1194:$M$1659,L1194)</f>
        <v>22</v>
      </c>
      <c r="W1194" s="1" t="s">
        <v>11478</v>
      </c>
      <c r="X1194">
        <v>630.55999999999995</v>
      </c>
      <c r="Y1194">
        <v>569.96</v>
      </c>
      <c r="Z1194">
        <v>15.6469</v>
      </c>
      <c r="AA1194">
        <v>108.43017</v>
      </c>
      <c r="AB1194">
        <v>60.61</v>
      </c>
      <c r="AC1194">
        <v>15.661580000000001</v>
      </c>
      <c r="AD1194">
        <v>108.41467900000001</v>
      </c>
      <c r="AE1194" s="5">
        <f t="shared" si="91"/>
        <v>0.85494000000000003</v>
      </c>
      <c r="AF1194" s="5">
        <f t="shared" si="92"/>
        <v>9.0914999999999996E-2</v>
      </c>
      <c r="AG1194" s="1" t="str">
        <f>TRIM(LEFT(L1194,FIND("-",L1194)-1))</f>
        <v>TT2 Tam Kỳ</v>
      </c>
      <c r="AH1194" s="1" t="str">
        <f>TRIM(RIGHT(L1194, LEN(L1194) - FIND("-", L1194)))</f>
        <v>Thăng Bình</v>
      </c>
      <c r="AJ1194">
        <f t="shared" si="93"/>
        <v>0.56996000000000002</v>
      </c>
      <c r="AK1194">
        <f t="shared" si="94"/>
        <v>6.0609999999999997E-2</v>
      </c>
      <c r="AL1194">
        <f>VLOOKUP(L1194,'[1]Tuyến cáp H04'!$B:$E,3,0)/1000</f>
        <v>24.648</v>
      </c>
      <c r="AM1194" t="str">
        <f>VLOOKUP(L1194,'[1]Tuyến cáp H04'!$B:$E,4,0)</f>
        <v>Mạng cấp 3</v>
      </c>
    </row>
    <row r="1195" spans="1:39" x14ac:dyDescent="0.25">
      <c r="A1195" s="1" t="s">
        <v>11551</v>
      </c>
      <c r="B1195" s="1" t="s">
        <v>11500</v>
      </c>
      <c r="C1195" s="1" t="s">
        <v>11501</v>
      </c>
      <c r="D1195" s="1" t="s">
        <v>11552</v>
      </c>
      <c r="E1195" s="1" t="s">
        <v>11553</v>
      </c>
      <c r="F1195" s="1" t="s">
        <v>11554</v>
      </c>
      <c r="G1195" s="1" t="s">
        <v>14129</v>
      </c>
      <c r="H1195" s="1" t="s">
        <v>14133</v>
      </c>
      <c r="I1195" s="1" t="s">
        <v>15303</v>
      </c>
      <c r="J1195" s="1" t="s">
        <v>23</v>
      </c>
      <c r="K1195" s="1"/>
      <c r="L1195" s="1" t="s">
        <v>11470</v>
      </c>
      <c r="M1195" s="1" t="s">
        <v>11470</v>
      </c>
      <c r="N1195" s="12" t="b">
        <f t="shared" si="90"/>
        <v>1</v>
      </c>
      <c r="O1195" s="1" t="s">
        <v>11555</v>
      </c>
      <c r="P1195" s="1" t="s">
        <v>11506</v>
      </c>
      <c r="Q1195" s="1" t="s">
        <v>11507</v>
      </c>
      <c r="R1195" s="1" t="s">
        <v>11508</v>
      </c>
      <c r="S1195" s="1" t="s">
        <v>11556</v>
      </c>
      <c r="T1195" s="1" t="s">
        <v>11557</v>
      </c>
      <c r="U1195" s="1" t="s">
        <v>11558</v>
      </c>
      <c r="V1195" s="13">
        <f>COUNTIF(L1195:$M$1659,L1195)</f>
        <v>20</v>
      </c>
      <c r="W1195" s="1" t="s">
        <v>11478</v>
      </c>
      <c r="X1195">
        <v>7272.64</v>
      </c>
      <c r="Y1195">
        <v>569.96</v>
      </c>
      <c r="Z1195">
        <v>15.6469</v>
      </c>
      <c r="AA1195">
        <v>108.43017</v>
      </c>
      <c r="AB1195">
        <v>6702.69</v>
      </c>
      <c r="AC1195">
        <v>15.736011</v>
      </c>
      <c r="AD1195">
        <v>108.352346</v>
      </c>
      <c r="AE1195" s="5">
        <f t="shared" si="91"/>
        <v>0.85494000000000003</v>
      </c>
      <c r="AF1195" s="5">
        <f t="shared" si="92"/>
        <v>10.054035000000001</v>
      </c>
      <c r="AG1195" s="1" t="str">
        <f>TRIM(LEFT(L1195,FIND("-",L1195)-1))</f>
        <v>TT2 Tam Kỳ</v>
      </c>
      <c r="AH1195" s="1" t="str">
        <f>TRIM(RIGHT(L1195, LEN(L1195) - FIND("-", L1195)))</f>
        <v>Thăng Bình</v>
      </c>
      <c r="AJ1195">
        <f t="shared" si="93"/>
        <v>0.56996000000000002</v>
      </c>
      <c r="AK1195">
        <f t="shared" si="94"/>
        <v>6.7026899999999996</v>
      </c>
      <c r="AL1195">
        <f>VLOOKUP(L1195,'[1]Tuyến cáp H04'!$B:$E,3,0)/1000</f>
        <v>24.648</v>
      </c>
      <c r="AM1195" t="str">
        <f>VLOOKUP(L1195,'[1]Tuyến cáp H04'!$B:$E,4,0)</f>
        <v>Mạng cấp 3</v>
      </c>
    </row>
    <row r="1196" spans="1:39" x14ac:dyDescent="0.25">
      <c r="A1196" s="1" t="s">
        <v>11559</v>
      </c>
      <c r="B1196" s="1" t="s">
        <v>11500</v>
      </c>
      <c r="C1196" s="1" t="s">
        <v>11501</v>
      </c>
      <c r="D1196" s="1" t="s">
        <v>11560</v>
      </c>
      <c r="E1196" s="1" t="s">
        <v>11561</v>
      </c>
      <c r="F1196" s="1" t="s">
        <v>11562</v>
      </c>
      <c r="G1196" s="1" t="s">
        <v>14129</v>
      </c>
      <c r="H1196" s="1" t="s">
        <v>14133</v>
      </c>
      <c r="I1196" s="1" t="s">
        <v>15304</v>
      </c>
      <c r="J1196" s="1" t="s">
        <v>23</v>
      </c>
      <c r="K1196" s="1"/>
      <c r="L1196" s="1" t="s">
        <v>11470</v>
      </c>
      <c r="M1196" s="1" t="s">
        <v>11470</v>
      </c>
      <c r="N1196" s="12" t="b">
        <f t="shared" si="90"/>
        <v>1</v>
      </c>
      <c r="O1196" s="1" t="s">
        <v>11563</v>
      </c>
      <c r="P1196" s="1" t="s">
        <v>11506</v>
      </c>
      <c r="Q1196" s="1" t="s">
        <v>11507</v>
      </c>
      <c r="R1196" s="1" t="s">
        <v>11508</v>
      </c>
      <c r="S1196" s="1" t="s">
        <v>11564</v>
      </c>
      <c r="T1196" s="1" t="s">
        <v>11565</v>
      </c>
      <c r="U1196" s="1" t="s">
        <v>11566</v>
      </c>
      <c r="V1196" s="13">
        <f>COUNTIF(L1196:$M$1659,L1196)</f>
        <v>18</v>
      </c>
      <c r="W1196" s="1" t="s">
        <v>11478</v>
      </c>
      <c r="X1196">
        <v>605.12</v>
      </c>
      <c r="Y1196">
        <v>569.96</v>
      </c>
      <c r="Z1196">
        <v>15.6469</v>
      </c>
      <c r="AA1196">
        <v>108.43017</v>
      </c>
      <c r="AB1196">
        <v>35.17</v>
      </c>
      <c r="AC1196">
        <v>15.579651999999999</v>
      </c>
      <c r="AD1196">
        <v>108.473956</v>
      </c>
      <c r="AE1196" s="5">
        <f t="shared" si="91"/>
        <v>0.85494000000000003</v>
      </c>
      <c r="AF1196" s="5">
        <f t="shared" si="92"/>
        <v>5.2755000000000003E-2</v>
      </c>
      <c r="AG1196" s="1" t="str">
        <f>TRIM(LEFT(L1196,FIND("-",L1196)-1))</f>
        <v>TT2 Tam Kỳ</v>
      </c>
      <c r="AH1196" s="1" t="str">
        <f>TRIM(RIGHT(L1196, LEN(L1196) - FIND("-", L1196)))</f>
        <v>Thăng Bình</v>
      </c>
      <c r="AJ1196">
        <f t="shared" si="93"/>
        <v>0.56996000000000002</v>
      </c>
      <c r="AK1196">
        <f t="shared" si="94"/>
        <v>3.517E-2</v>
      </c>
      <c r="AL1196">
        <f>VLOOKUP(L1196,'[1]Tuyến cáp H04'!$B:$E,3,0)/1000</f>
        <v>24.648</v>
      </c>
      <c r="AM1196" t="str">
        <f>VLOOKUP(L1196,'[1]Tuyến cáp H04'!$B:$E,4,0)</f>
        <v>Mạng cấp 3</v>
      </c>
    </row>
    <row r="1197" spans="1:39" x14ac:dyDescent="0.25">
      <c r="A1197" s="1" t="s">
        <v>11567</v>
      </c>
      <c r="B1197" s="1" t="s">
        <v>11467</v>
      </c>
      <c r="C1197" s="1" t="s">
        <v>11468</v>
      </c>
      <c r="D1197" s="1" t="s">
        <v>11568</v>
      </c>
      <c r="E1197" s="1" t="s">
        <v>11569</v>
      </c>
      <c r="F1197" s="1" t="s">
        <v>11570</v>
      </c>
      <c r="G1197" s="1" t="s">
        <v>14129</v>
      </c>
      <c r="H1197" s="1" t="s">
        <v>14532</v>
      </c>
      <c r="I1197" s="1" t="s">
        <v>15305</v>
      </c>
      <c r="J1197" s="1" t="s">
        <v>23</v>
      </c>
      <c r="K1197" s="1"/>
      <c r="L1197" s="1" t="s">
        <v>11571</v>
      </c>
      <c r="M1197" s="1" t="s">
        <v>11571</v>
      </c>
      <c r="N1197" s="12" t="b">
        <f t="shared" si="90"/>
        <v>1</v>
      </c>
      <c r="O1197" s="1" t="s">
        <v>11572</v>
      </c>
      <c r="P1197" s="1" t="s">
        <v>11573</v>
      </c>
      <c r="Q1197" s="1" t="s">
        <v>11574</v>
      </c>
      <c r="R1197" s="1" t="s">
        <v>11575</v>
      </c>
      <c r="S1197" s="1" t="s">
        <v>11576</v>
      </c>
      <c r="T1197" s="1" t="s">
        <v>11577</v>
      </c>
      <c r="U1197" s="1" t="s">
        <v>11578</v>
      </c>
      <c r="V1197" s="13">
        <f>COUNTIF(L1197:$M$1659,L1197)</f>
        <v>10</v>
      </c>
      <c r="W1197" s="1" t="s">
        <v>11579</v>
      </c>
      <c r="X1197">
        <v>1749.52</v>
      </c>
      <c r="Y1197">
        <v>1431.84</v>
      </c>
      <c r="Z1197">
        <v>15.570171999999999</v>
      </c>
      <c r="AA1197">
        <v>108.487201</v>
      </c>
      <c r="AB1197">
        <v>317.68</v>
      </c>
      <c r="AC1197">
        <v>15.553039999999999</v>
      </c>
      <c r="AD1197">
        <v>108.506078</v>
      </c>
      <c r="AE1197" s="5">
        <f t="shared" si="91"/>
        <v>2.1477599999999999</v>
      </c>
      <c r="AF1197" s="5">
        <f t="shared" si="92"/>
        <v>0.47652</v>
      </c>
      <c r="AG1197" s="1" t="str">
        <f>TRIM(LEFT(L1197,FIND("-",L1197)-1))</f>
        <v>TT2 Tam Kỳ</v>
      </c>
      <c r="AH1197" s="1" t="str">
        <f>TRIM(RIGHT(L1197, LEN(L1197) - FIND("-", L1197)))</f>
        <v>Tam Xuân</v>
      </c>
      <c r="AJ1197">
        <f t="shared" si="93"/>
        <v>1.43184</v>
      </c>
      <c r="AK1197">
        <f t="shared" si="94"/>
        <v>0.31768000000000002</v>
      </c>
      <c r="AL1197" t="e">
        <f>VLOOKUP(L1197,'[1]Tuyến cáp H04'!$B:$E,3,0)/1000</f>
        <v>#N/A</v>
      </c>
      <c r="AM1197" t="e">
        <f>VLOOKUP(L1197,'[1]Tuyến cáp H04'!$B:$E,4,0)</f>
        <v>#N/A</v>
      </c>
    </row>
    <row r="1198" spans="1:39" x14ac:dyDescent="0.25">
      <c r="A1198" s="1" t="s">
        <v>11580</v>
      </c>
      <c r="B1198" s="1" t="s">
        <v>11467</v>
      </c>
      <c r="C1198" s="1" t="s">
        <v>11468</v>
      </c>
      <c r="D1198" s="1" t="s">
        <v>11581</v>
      </c>
      <c r="E1198" s="1" t="s">
        <v>11582</v>
      </c>
      <c r="F1198" s="1" t="s">
        <v>11583</v>
      </c>
      <c r="G1198" s="1" t="s">
        <v>14129</v>
      </c>
      <c r="H1198" s="1" t="s">
        <v>14532</v>
      </c>
      <c r="I1198" s="1" t="s">
        <v>15306</v>
      </c>
      <c r="J1198" s="1" t="s">
        <v>23</v>
      </c>
      <c r="K1198" s="1"/>
      <c r="L1198" s="1" t="s">
        <v>11571</v>
      </c>
      <c r="M1198" s="1" t="s">
        <v>11571</v>
      </c>
      <c r="N1198" s="12" t="b">
        <f t="shared" si="90"/>
        <v>1</v>
      </c>
      <c r="O1198" s="1" t="s">
        <v>11584</v>
      </c>
      <c r="P1198" s="1" t="s">
        <v>11585</v>
      </c>
      <c r="Q1198" s="1" t="s">
        <v>11586</v>
      </c>
      <c r="R1198" s="1" t="s">
        <v>11587</v>
      </c>
      <c r="S1198" s="1" t="s">
        <v>11588</v>
      </c>
      <c r="T1198" s="1" t="s">
        <v>11589</v>
      </c>
      <c r="U1198" s="1" t="s">
        <v>11590</v>
      </c>
      <c r="V1198" s="13">
        <f>COUNTIF(L1198:$M$1659,L1198)</f>
        <v>8</v>
      </c>
      <c r="W1198" s="1" t="s">
        <v>11579</v>
      </c>
      <c r="X1198">
        <v>621.57000000000005</v>
      </c>
      <c r="Y1198">
        <v>67.819999999999993</v>
      </c>
      <c r="Z1198">
        <v>15.574916</v>
      </c>
      <c r="AA1198">
        <v>108.475032</v>
      </c>
      <c r="AB1198">
        <v>553.75</v>
      </c>
      <c r="AC1198">
        <v>15.57062</v>
      </c>
      <c r="AD1198">
        <v>108.486687</v>
      </c>
      <c r="AE1198" s="5">
        <f t="shared" si="91"/>
        <v>0.10172999999999999</v>
      </c>
      <c r="AF1198" s="5">
        <f t="shared" si="92"/>
        <v>0.83062499999999995</v>
      </c>
      <c r="AG1198" s="1" t="str">
        <f>TRIM(LEFT(L1198,FIND("-",L1198)-1))</f>
        <v>TT2 Tam Kỳ</v>
      </c>
      <c r="AH1198" s="1" t="str">
        <f>TRIM(RIGHT(L1198, LEN(L1198) - FIND("-", L1198)))</f>
        <v>Tam Xuân</v>
      </c>
      <c r="AJ1198">
        <f t="shared" si="93"/>
        <v>6.7819999999999991E-2</v>
      </c>
      <c r="AK1198">
        <f t="shared" si="94"/>
        <v>0.55374999999999996</v>
      </c>
      <c r="AL1198" t="e">
        <f>VLOOKUP(L1198,'[1]Tuyến cáp H04'!$B:$E,3,0)/1000</f>
        <v>#N/A</v>
      </c>
      <c r="AM1198" t="e">
        <f>VLOOKUP(L1198,'[1]Tuyến cáp H04'!$B:$E,4,0)</f>
        <v>#N/A</v>
      </c>
    </row>
    <row r="1199" spans="1:39" x14ac:dyDescent="0.25">
      <c r="A1199" s="1" t="s">
        <v>11591</v>
      </c>
      <c r="B1199" s="1" t="s">
        <v>11467</v>
      </c>
      <c r="C1199" s="1" t="s">
        <v>11468</v>
      </c>
      <c r="D1199" s="1" t="s">
        <v>11592</v>
      </c>
      <c r="E1199" s="1" t="s">
        <v>11593</v>
      </c>
      <c r="F1199" s="1" t="s">
        <v>11594</v>
      </c>
      <c r="G1199" s="1" t="s">
        <v>14129</v>
      </c>
      <c r="H1199" s="1" t="s">
        <v>14532</v>
      </c>
      <c r="I1199" s="1" t="s">
        <v>15307</v>
      </c>
      <c r="J1199" s="1" t="s">
        <v>23</v>
      </c>
      <c r="K1199" s="1"/>
      <c r="L1199" s="1" t="s">
        <v>11571</v>
      </c>
      <c r="M1199" s="1" t="s">
        <v>11571</v>
      </c>
      <c r="N1199" s="12" t="b">
        <f t="shared" si="90"/>
        <v>1</v>
      </c>
      <c r="O1199" s="1" t="s">
        <v>11595</v>
      </c>
      <c r="P1199" s="1" t="s">
        <v>11585</v>
      </c>
      <c r="Q1199" s="1" t="s">
        <v>11586</v>
      </c>
      <c r="R1199" s="1" t="s">
        <v>11587</v>
      </c>
      <c r="S1199" s="1" t="s">
        <v>11596</v>
      </c>
      <c r="T1199" s="1" t="s">
        <v>11589</v>
      </c>
      <c r="U1199" s="1" t="s">
        <v>11590</v>
      </c>
      <c r="V1199" s="13">
        <f>COUNTIF(L1199:$M$1659,L1199)</f>
        <v>6</v>
      </c>
      <c r="W1199" s="1" t="s">
        <v>11579</v>
      </c>
      <c r="X1199">
        <v>1761.77</v>
      </c>
      <c r="Y1199">
        <v>67.819999999999993</v>
      </c>
      <c r="Z1199">
        <v>15.574916</v>
      </c>
      <c r="AA1199">
        <v>108.475032</v>
      </c>
      <c r="AB1199">
        <v>1693.95</v>
      </c>
      <c r="AC1199">
        <v>15.57062</v>
      </c>
      <c r="AD1199">
        <v>108.486687</v>
      </c>
      <c r="AE1199" s="5">
        <f t="shared" si="91"/>
        <v>0.10172999999999999</v>
      </c>
      <c r="AF1199" s="5">
        <f t="shared" si="92"/>
        <v>2.5409250000000001</v>
      </c>
      <c r="AG1199" s="1" t="str">
        <f>TRIM(LEFT(L1199,FIND("-",L1199)-1))</f>
        <v>TT2 Tam Kỳ</v>
      </c>
      <c r="AH1199" s="1" t="str">
        <f>TRIM(RIGHT(L1199, LEN(L1199) - FIND("-", L1199)))</f>
        <v>Tam Xuân</v>
      </c>
      <c r="AJ1199">
        <f t="shared" si="93"/>
        <v>6.7819999999999991E-2</v>
      </c>
      <c r="AK1199">
        <f t="shared" si="94"/>
        <v>1.6939500000000001</v>
      </c>
      <c r="AL1199" t="e">
        <f>VLOOKUP(L1199,'[1]Tuyến cáp H04'!$B:$E,3,0)/1000</f>
        <v>#N/A</v>
      </c>
      <c r="AM1199" t="e">
        <f>VLOOKUP(L1199,'[1]Tuyến cáp H04'!$B:$E,4,0)</f>
        <v>#N/A</v>
      </c>
    </row>
    <row r="1200" spans="1:39" x14ac:dyDescent="0.25">
      <c r="A1200" s="1" t="s">
        <v>11597</v>
      </c>
      <c r="B1200" s="1" t="s">
        <v>11467</v>
      </c>
      <c r="C1200" s="1" t="s">
        <v>11468</v>
      </c>
      <c r="D1200" s="1" t="s">
        <v>11598</v>
      </c>
      <c r="E1200" s="1" t="s">
        <v>11599</v>
      </c>
      <c r="F1200" s="1" t="s">
        <v>11600</v>
      </c>
      <c r="G1200" s="1" t="s">
        <v>14129</v>
      </c>
      <c r="H1200" s="1" t="s">
        <v>14532</v>
      </c>
      <c r="I1200" s="1" t="s">
        <v>15308</v>
      </c>
      <c r="J1200" s="1" t="s">
        <v>23</v>
      </c>
      <c r="K1200" s="1"/>
      <c r="L1200" s="1" t="s">
        <v>11601</v>
      </c>
      <c r="M1200" s="1" t="s">
        <v>11601</v>
      </c>
      <c r="N1200" s="12" t="b">
        <f t="shared" si="90"/>
        <v>1</v>
      </c>
      <c r="O1200" s="1" t="s">
        <v>11602</v>
      </c>
      <c r="P1200" s="1" t="s">
        <v>11603</v>
      </c>
      <c r="Q1200" s="1" t="s">
        <v>11604</v>
      </c>
      <c r="R1200" s="1" t="s">
        <v>11605</v>
      </c>
      <c r="S1200" s="1" t="s">
        <v>11606</v>
      </c>
      <c r="T1200" s="1" t="s">
        <v>11607</v>
      </c>
      <c r="U1200" s="1" t="s">
        <v>11608</v>
      </c>
      <c r="V1200" s="13">
        <f>COUNTIF(L1200:$M$1659,L1200)</f>
        <v>4</v>
      </c>
      <c r="W1200" s="1" t="s">
        <v>11609</v>
      </c>
      <c r="X1200">
        <v>3418.04</v>
      </c>
      <c r="Y1200">
        <v>3259.01</v>
      </c>
      <c r="Z1200">
        <v>15.575377</v>
      </c>
      <c r="AA1200">
        <v>108.444188</v>
      </c>
      <c r="AB1200">
        <v>159.03</v>
      </c>
      <c r="AC1200">
        <v>15.563253</v>
      </c>
      <c r="AD1200">
        <v>108.371691</v>
      </c>
      <c r="AE1200" s="5">
        <f t="shared" si="91"/>
        <v>4.8885149999999999</v>
      </c>
      <c r="AF1200" s="5">
        <f t="shared" si="92"/>
        <v>0.23854500000000001</v>
      </c>
      <c r="AG1200" s="1" t="str">
        <f>TRIM(LEFT(L1200,FIND("-",L1200)-1))</f>
        <v>TT2 Tam Kỳ</v>
      </c>
      <c r="AH1200" s="1" t="str">
        <f>TRIM(RIGHT(L1200, LEN(L1200) - FIND("-", L1200)))</f>
        <v>CAX Tiên Sơn (Tiên Phước)</v>
      </c>
      <c r="AJ1200">
        <f t="shared" si="93"/>
        <v>3.2590100000000004</v>
      </c>
      <c r="AK1200">
        <f t="shared" si="94"/>
        <v>0.15903</v>
      </c>
      <c r="AL1200">
        <f>VLOOKUP(L1200,'[1]Tuyến cáp H04'!$B:$E,3,0)/1000</f>
        <v>28.587</v>
      </c>
      <c r="AM1200" t="str">
        <f>VLOOKUP(L1200,'[1]Tuyến cáp H04'!$B:$E,4,0)</f>
        <v>Mạng cấp 3</v>
      </c>
    </row>
    <row r="1201" spans="1:39" x14ac:dyDescent="0.25">
      <c r="A1201" s="1" t="s">
        <v>11610</v>
      </c>
      <c r="B1201" s="1" t="s">
        <v>11467</v>
      </c>
      <c r="C1201" s="1" t="s">
        <v>11468</v>
      </c>
      <c r="D1201" s="1" t="s">
        <v>11611</v>
      </c>
      <c r="E1201" s="1" t="s">
        <v>11612</v>
      </c>
      <c r="F1201" s="1" t="s">
        <v>11613</v>
      </c>
      <c r="G1201" s="1" t="s">
        <v>14129</v>
      </c>
      <c r="H1201" s="1" t="s">
        <v>14532</v>
      </c>
      <c r="I1201" s="1" t="s">
        <v>15309</v>
      </c>
      <c r="J1201" s="1" t="s">
        <v>23</v>
      </c>
      <c r="K1201" s="1"/>
      <c r="L1201" s="1" t="s">
        <v>11571</v>
      </c>
      <c r="M1201" s="1" t="s">
        <v>11571</v>
      </c>
      <c r="N1201" s="12" t="b">
        <f t="shared" si="90"/>
        <v>1</v>
      </c>
      <c r="O1201" s="1" t="s">
        <v>11614</v>
      </c>
      <c r="P1201" s="1" t="s">
        <v>11585</v>
      </c>
      <c r="Q1201" s="1" t="s">
        <v>11586</v>
      </c>
      <c r="R1201" s="1" t="s">
        <v>11587</v>
      </c>
      <c r="S1201" s="1" t="s">
        <v>11615</v>
      </c>
      <c r="T1201" s="1" t="s">
        <v>11589</v>
      </c>
      <c r="U1201" s="1" t="s">
        <v>11590</v>
      </c>
      <c r="V1201" s="13">
        <f>COUNTIF(L1201:$M$1659,L1201)</f>
        <v>4</v>
      </c>
      <c r="W1201" s="1" t="s">
        <v>11579</v>
      </c>
      <c r="X1201">
        <v>1121.08</v>
      </c>
      <c r="Y1201">
        <v>67.819999999999993</v>
      </c>
      <c r="Z1201">
        <v>15.574916</v>
      </c>
      <c r="AA1201">
        <v>108.475032</v>
      </c>
      <c r="AB1201">
        <v>1053.25</v>
      </c>
      <c r="AC1201">
        <v>15.57062</v>
      </c>
      <c r="AD1201">
        <v>108.486687</v>
      </c>
      <c r="AE1201" s="5">
        <f t="shared" si="91"/>
        <v>0.10172999999999999</v>
      </c>
      <c r="AF1201" s="5">
        <f t="shared" si="92"/>
        <v>1.5798749999999999</v>
      </c>
      <c r="AG1201" s="1" t="str">
        <f>TRIM(LEFT(L1201,FIND("-",L1201)-1))</f>
        <v>TT2 Tam Kỳ</v>
      </c>
      <c r="AH1201" s="1" t="str">
        <f>TRIM(RIGHT(L1201, LEN(L1201) - FIND("-", L1201)))</f>
        <v>Tam Xuân</v>
      </c>
      <c r="AJ1201">
        <f t="shared" si="93"/>
        <v>6.7819999999999991E-2</v>
      </c>
      <c r="AK1201">
        <f t="shared" si="94"/>
        <v>1.05325</v>
      </c>
      <c r="AL1201" t="e">
        <f>VLOOKUP(L1201,'[1]Tuyến cáp H04'!$B:$E,3,0)/1000</f>
        <v>#N/A</v>
      </c>
      <c r="AM1201" t="e">
        <f>VLOOKUP(L1201,'[1]Tuyến cáp H04'!$B:$E,4,0)</f>
        <v>#N/A</v>
      </c>
    </row>
    <row r="1202" spans="1:39" x14ac:dyDescent="0.25">
      <c r="A1202" s="1" t="s">
        <v>11616</v>
      </c>
      <c r="B1202" s="1" t="s">
        <v>11467</v>
      </c>
      <c r="C1202" s="1" t="s">
        <v>11468</v>
      </c>
      <c r="D1202" s="1" t="s">
        <v>11617</v>
      </c>
      <c r="E1202" s="1" t="s">
        <v>11618</v>
      </c>
      <c r="F1202" s="1" t="s">
        <v>11619</v>
      </c>
      <c r="G1202" s="1" t="s">
        <v>14129</v>
      </c>
      <c r="H1202" s="1" t="s">
        <v>14532</v>
      </c>
      <c r="I1202" s="1" t="s">
        <v>15310</v>
      </c>
      <c r="J1202" s="1" t="s">
        <v>23</v>
      </c>
      <c r="K1202" s="1"/>
      <c r="L1202" s="1" t="s">
        <v>11620</v>
      </c>
      <c r="M1202" s="1" t="s">
        <v>11620</v>
      </c>
      <c r="N1202" s="12" t="b">
        <f t="shared" si="90"/>
        <v>1</v>
      </c>
      <c r="O1202" s="1" t="s">
        <v>11621</v>
      </c>
      <c r="P1202" s="1" t="s">
        <v>11622</v>
      </c>
      <c r="Q1202" s="1" t="s">
        <v>11623</v>
      </c>
      <c r="R1202" s="1" t="s">
        <v>11624</v>
      </c>
      <c r="S1202" s="1" t="s">
        <v>11625</v>
      </c>
      <c r="T1202" s="1" t="s">
        <v>11626</v>
      </c>
      <c r="U1202" s="1" t="s">
        <v>11627</v>
      </c>
      <c r="V1202" s="13">
        <f>COUNTIF(L1202:$M$1659,L1202)</f>
        <v>2</v>
      </c>
      <c r="W1202" s="1" t="s">
        <v>11628</v>
      </c>
      <c r="X1202">
        <v>1163.3800000000001</v>
      </c>
      <c r="Y1202">
        <v>114</v>
      </c>
      <c r="Z1202">
        <v>15.574221</v>
      </c>
      <c r="AA1202">
        <v>108.473568</v>
      </c>
      <c r="AB1202">
        <v>1049.3900000000001</v>
      </c>
      <c r="AC1202">
        <v>15.565075999999999</v>
      </c>
      <c r="AD1202">
        <v>108.48103</v>
      </c>
      <c r="AE1202" s="5">
        <f t="shared" si="91"/>
        <v>0.17100000000000001</v>
      </c>
      <c r="AF1202" s="5">
        <f t="shared" si="92"/>
        <v>1.574085</v>
      </c>
      <c r="AG1202" s="1" t="str">
        <f>TRIM(LEFT(L1202,FIND("-",L1202)-1))</f>
        <v>Tam Kỳ</v>
      </c>
      <c r="AH1202" s="1" t="str">
        <f>TRIM(RIGHT(L1202, LEN(L1202) - FIND("-", L1202)))</f>
        <v>TT2 Đà Nẵng (Tam Kỳ)</v>
      </c>
      <c r="AJ1202">
        <f t="shared" si="93"/>
        <v>0.114</v>
      </c>
      <c r="AK1202">
        <f t="shared" si="94"/>
        <v>1.04939</v>
      </c>
      <c r="AL1202">
        <f>VLOOKUP(L1202,'[1]Tuyến cáp H04'!$B:$E,3,0)/1000</f>
        <v>1.8109999999999999</v>
      </c>
      <c r="AM1202" t="str">
        <f>VLOOKUP(L1202,'[1]Tuyến cáp H04'!$B:$E,4,0)</f>
        <v>Mạng cấp 4</v>
      </c>
    </row>
    <row r="1203" spans="1:39" x14ac:dyDescent="0.25">
      <c r="A1203" s="1" t="s">
        <v>11629</v>
      </c>
      <c r="B1203" s="1" t="s">
        <v>11467</v>
      </c>
      <c r="C1203" s="1" t="s">
        <v>11468</v>
      </c>
      <c r="D1203" s="1" t="s">
        <v>11630</v>
      </c>
      <c r="E1203" s="1" t="s">
        <v>11631</v>
      </c>
      <c r="F1203" s="1" t="s">
        <v>11632</v>
      </c>
      <c r="G1203" s="1" t="s">
        <v>14129</v>
      </c>
      <c r="H1203" s="1" t="s">
        <v>14532</v>
      </c>
      <c r="I1203" s="1" t="s">
        <v>15311</v>
      </c>
      <c r="J1203" s="1" t="s">
        <v>23</v>
      </c>
      <c r="K1203" s="1"/>
      <c r="L1203" s="1" t="s">
        <v>11633</v>
      </c>
      <c r="M1203" s="1" t="s">
        <v>11633</v>
      </c>
      <c r="N1203" s="12" t="b">
        <f t="shared" si="90"/>
        <v>1</v>
      </c>
      <c r="O1203" s="1" t="s">
        <v>11634</v>
      </c>
      <c r="P1203" s="1" t="s">
        <v>11635</v>
      </c>
      <c r="Q1203" s="1" t="s">
        <v>11636</v>
      </c>
      <c r="R1203" s="1" t="s">
        <v>11637</v>
      </c>
      <c r="S1203" s="1" t="s">
        <v>11638</v>
      </c>
      <c r="T1203" s="1" t="s">
        <v>11639</v>
      </c>
      <c r="U1203" s="1" t="s">
        <v>11640</v>
      </c>
      <c r="V1203" s="13">
        <f>COUNTIF(L1203:$M$1659,L1203)</f>
        <v>14</v>
      </c>
      <c r="W1203" s="1" t="s">
        <v>11641</v>
      </c>
      <c r="X1203">
        <v>1902.84</v>
      </c>
      <c r="Y1203">
        <v>1446.78</v>
      </c>
      <c r="Z1203">
        <v>15.563969</v>
      </c>
      <c r="AA1203">
        <v>108.482575</v>
      </c>
      <c r="AB1203">
        <v>456.06</v>
      </c>
      <c r="AC1203">
        <v>15.546303999999999</v>
      </c>
      <c r="AD1203">
        <v>108.490387</v>
      </c>
      <c r="AE1203" s="5">
        <f t="shared" si="91"/>
        <v>2.1701700000000002</v>
      </c>
      <c r="AF1203" s="5">
        <f t="shared" si="92"/>
        <v>0.68409000000000009</v>
      </c>
      <c r="AG1203" s="1" t="str">
        <f>TRIM(LEFT(L1203,FIND("-",L1203)-1))</f>
        <v>Hương Trà</v>
      </c>
      <c r="AH1203" s="1" t="str">
        <f>TRIM(RIGHT(L1203, LEN(L1203) - FIND("-", L1203)))</f>
        <v>Tam Kỳ</v>
      </c>
      <c r="AJ1203">
        <f t="shared" si="93"/>
        <v>1.44678</v>
      </c>
      <c r="AK1203">
        <f t="shared" si="94"/>
        <v>0.45606000000000002</v>
      </c>
      <c r="AL1203">
        <f>VLOOKUP(L1203,'[1]Tuyến cáp H04'!$B:$E,3,0)/1000</f>
        <v>5.2249999999999996</v>
      </c>
      <c r="AM1203" t="str">
        <f>VLOOKUP(L1203,'[1]Tuyến cáp H04'!$B:$E,4,0)</f>
        <v>Mạng cấp 4</v>
      </c>
    </row>
    <row r="1204" spans="1:39" x14ac:dyDescent="0.25">
      <c r="A1204" s="1" t="s">
        <v>11642</v>
      </c>
      <c r="B1204" s="1" t="s">
        <v>11467</v>
      </c>
      <c r="C1204" s="1" t="s">
        <v>11468</v>
      </c>
      <c r="D1204" s="1" t="s">
        <v>11643</v>
      </c>
      <c r="E1204" s="1" t="s">
        <v>11644</v>
      </c>
      <c r="F1204" s="1" t="s">
        <v>11645</v>
      </c>
      <c r="G1204" s="1"/>
      <c r="H1204" s="1" t="s">
        <v>14532</v>
      </c>
      <c r="I1204" s="1" t="s">
        <v>15312</v>
      </c>
      <c r="J1204" s="1" t="s">
        <v>23</v>
      </c>
      <c r="K1204" s="1"/>
      <c r="L1204" s="1" t="s">
        <v>11633</v>
      </c>
      <c r="M1204" s="1" t="s">
        <v>11633</v>
      </c>
      <c r="N1204" s="12" t="b">
        <f t="shared" si="90"/>
        <v>1</v>
      </c>
      <c r="O1204" s="1" t="s">
        <v>11646</v>
      </c>
      <c r="P1204" s="1" t="s">
        <v>11635</v>
      </c>
      <c r="Q1204" s="1" t="s">
        <v>11636</v>
      </c>
      <c r="R1204" s="1" t="s">
        <v>11637</v>
      </c>
      <c r="S1204" s="1" t="s">
        <v>11647</v>
      </c>
      <c r="T1204" s="1" t="s">
        <v>11648</v>
      </c>
      <c r="U1204" s="1" t="s">
        <v>11649</v>
      </c>
      <c r="V1204" s="13">
        <f>COUNTIF(L1204:$M$1659,L1204)</f>
        <v>12</v>
      </c>
      <c r="W1204" s="1" t="s">
        <v>11641</v>
      </c>
      <c r="X1204">
        <v>1876.33</v>
      </c>
      <c r="Y1204">
        <v>1446.78</v>
      </c>
      <c r="Z1204">
        <v>15.563969</v>
      </c>
      <c r="AA1204">
        <v>108.482575</v>
      </c>
      <c r="AB1204">
        <v>429.55</v>
      </c>
      <c r="AC1204">
        <v>15.544556999999999</v>
      </c>
      <c r="AD1204">
        <v>108.488028</v>
      </c>
      <c r="AE1204" s="5">
        <f t="shared" si="91"/>
        <v>2.1701700000000002</v>
      </c>
      <c r="AF1204" s="5">
        <f t="shared" si="92"/>
        <v>0.64432500000000004</v>
      </c>
      <c r="AG1204" s="1" t="str">
        <f>TRIM(LEFT(L1204,FIND("-",L1204)-1))</f>
        <v>Hương Trà</v>
      </c>
      <c r="AH1204" s="1" t="str">
        <f>TRIM(RIGHT(L1204, LEN(L1204) - FIND("-", L1204)))</f>
        <v>Tam Kỳ</v>
      </c>
      <c r="AJ1204">
        <f t="shared" si="93"/>
        <v>1.44678</v>
      </c>
      <c r="AK1204">
        <f t="shared" si="94"/>
        <v>0.42954999999999999</v>
      </c>
      <c r="AL1204">
        <f>VLOOKUP(L1204,'[1]Tuyến cáp H04'!$B:$E,3,0)/1000</f>
        <v>5.2249999999999996</v>
      </c>
      <c r="AM1204" t="str">
        <f>VLOOKUP(L1204,'[1]Tuyến cáp H04'!$B:$E,4,0)</f>
        <v>Mạng cấp 4</v>
      </c>
    </row>
    <row r="1205" spans="1:39" x14ac:dyDescent="0.25">
      <c r="A1205" s="1" t="s">
        <v>11650</v>
      </c>
      <c r="B1205" s="1" t="s">
        <v>11467</v>
      </c>
      <c r="C1205" s="1" t="s">
        <v>11468</v>
      </c>
      <c r="D1205" s="1" t="s">
        <v>11439</v>
      </c>
      <c r="E1205" s="1" t="s">
        <v>11440</v>
      </c>
      <c r="F1205" s="1" t="s">
        <v>11469</v>
      </c>
      <c r="G1205" s="1"/>
      <c r="H1205" s="1" t="s">
        <v>14532</v>
      </c>
      <c r="I1205" s="1" t="s">
        <v>15295</v>
      </c>
      <c r="J1205" s="1" t="s">
        <v>23</v>
      </c>
      <c r="K1205" s="1"/>
      <c r="L1205" s="1" t="s">
        <v>11470</v>
      </c>
      <c r="M1205" s="1" t="s">
        <v>11470</v>
      </c>
      <c r="N1205" s="12" t="b">
        <f t="shared" si="90"/>
        <v>1</v>
      </c>
      <c r="O1205" s="1" t="s">
        <v>11471</v>
      </c>
      <c r="P1205" s="1" t="s">
        <v>11475</v>
      </c>
      <c r="Q1205" s="1" t="s">
        <v>11476</v>
      </c>
      <c r="R1205" s="1" t="s">
        <v>11477</v>
      </c>
      <c r="S1205" s="1" t="s">
        <v>11472</v>
      </c>
      <c r="T1205" s="1" t="s">
        <v>11473</v>
      </c>
      <c r="U1205" s="1" t="s">
        <v>11474</v>
      </c>
      <c r="V1205" s="13">
        <f>COUNTIF(L1205:$M$1659,L1205)</f>
        <v>16</v>
      </c>
      <c r="W1205" s="1" t="s">
        <v>11478</v>
      </c>
      <c r="X1205">
        <v>5601.75</v>
      </c>
      <c r="Y1205">
        <v>77.23</v>
      </c>
      <c r="Z1205">
        <v>15.574672</v>
      </c>
      <c r="AA1205">
        <v>108.47391</v>
      </c>
      <c r="AB1205">
        <v>5524.52</v>
      </c>
      <c r="AC1205">
        <v>15.621184</v>
      </c>
      <c r="AD1205">
        <v>108.444299</v>
      </c>
      <c r="AE1205" s="5">
        <f t="shared" si="91"/>
        <v>0.115845</v>
      </c>
      <c r="AF1205" s="5">
        <f t="shared" si="92"/>
        <v>8.2867800000000003</v>
      </c>
      <c r="AG1205" s="1" t="str">
        <f>TRIM(LEFT(L1205,FIND("-",L1205)-1))</f>
        <v>TT2 Tam Kỳ</v>
      </c>
      <c r="AH1205" s="1" t="str">
        <f>TRIM(RIGHT(L1205, LEN(L1205) - FIND("-", L1205)))</f>
        <v>Thăng Bình</v>
      </c>
      <c r="AJ1205">
        <f t="shared" si="93"/>
        <v>7.7230000000000007E-2</v>
      </c>
      <c r="AK1205">
        <f t="shared" si="94"/>
        <v>5.5245200000000008</v>
      </c>
      <c r="AL1205">
        <f>VLOOKUP(L1205,'[1]Tuyến cáp H04'!$B:$E,3,0)/1000</f>
        <v>24.648</v>
      </c>
      <c r="AM1205" t="str">
        <f>VLOOKUP(L1205,'[1]Tuyến cáp H04'!$B:$E,4,0)</f>
        <v>Mạng cấp 3</v>
      </c>
    </row>
    <row r="1206" spans="1:39" x14ac:dyDescent="0.25">
      <c r="A1206" s="1" t="s">
        <v>11650</v>
      </c>
      <c r="B1206" s="1" t="s">
        <v>11467</v>
      </c>
      <c r="C1206" s="1" t="s">
        <v>11468</v>
      </c>
      <c r="D1206" s="1" t="s">
        <v>11439</v>
      </c>
      <c r="E1206" s="1" t="s">
        <v>11440</v>
      </c>
      <c r="F1206" s="1" t="s">
        <v>11469</v>
      </c>
      <c r="G1206" s="1"/>
      <c r="H1206" s="1" t="s">
        <v>14532</v>
      </c>
      <c r="I1206" s="1" t="s">
        <v>15295</v>
      </c>
      <c r="J1206" s="1" t="s">
        <v>23</v>
      </c>
      <c r="K1206" s="1"/>
      <c r="L1206" s="1" t="s">
        <v>11470</v>
      </c>
      <c r="M1206" s="1" t="s">
        <v>11470</v>
      </c>
      <c r="N1206" s="12" t="b">
        <f t="shared" si="90"/>
        <v>1</v>
      </c>
      <c r="O1206" s="1" t="s">
        <v>11471</v>
      </c>
      <c r="P1206" s="1" t="s">
        <v>11475</v>
      </c>
      <c r="Q1206" s="1" t="s">
        <v>11476</v>
      </c>
      <c r="R1206" s="1" t="s">
        <v>11477</v>
      </c>
      <c r="S1206" s="1" t="s">
        <v>11472</v>
      </c>
      <c r="T1206" s="1" t="s">
        <v>11473</v>
      </c>
      <c r="U1206" s="1" t="s">
        <v>11474</v>
      </c>
      <c r="V1206" s="13">
        <f>COUNTIF(L1206:$M$1659,L1206)</f>
        <v>14</v>
      </c>
      <c r="W1206" s="1" t="s">
        <v>11478</v>
      </c>
      <c r="X1206">
        <v>5601.75</v>
      </c>
      <c r="Y1206">
        <v>77.23</v>
      </c>
      <c r="Z1206">
        <v>15.574672</v>
      </c>
      <c r="AA1206">
        <v>108.47391</v>
      </c>
      <c r="AB1206">
        <v>5524.52</v>
      </c>
      <c r="AC1206">
        <v>15.621184</v>
      </c>
      <c r="AD1206">
        <v>108.444299</v>
      </c>
      <c r="AE1206" s="5">
        <f t="shared" si="91"/>
        <v>0.115845</v>
      </c>
      <c r="AF1206" s="5">
        <f t="shared" si="92"/>
        <v>8.2867800000000003</v>
      </c>
      <c r="AG1206" s="1" t="str">
        <f>TRIM(LEFT(L1206,FIND("-",L1206)-1))</f>
        <v>TT2 Tam Kỳ</v>
      </c>
      <c r="AH1206" s="1" t="str">
        <f>TRIM(RIGHT(L1206, LEN(L1206) - FIND("-", L1206)))</f>
        <v>Thăng Bình</v>
      </c>
      <c r="AJ1206">
        <f t="shared" si="93"/>
        <v>7.7230000000000007E-2</v>
      </c>
      <c r="AK1206">
        <f t="shared" si="94"/>
        <v>5.5245200000000008</v>
      </c>
      <c r="AL1206">
        <f>VLOOKUP(L1206,'[1]Tuyến cáp H04'!$B:$E,3,0)/1000</f>
        <v>24.648</v>
      </c>
      <c r="AM1206" t="str">
        <f>VLOOKUP(L1206,'[1]Tuyến cáp H04'!$B:$E,4,0)</f>
        <v>Mạng cấp 3</v>
      </c>
    </row>
    <row r="1207" spans="1:39" x14ac:dyDescent="0.25">
      <c r="A1207" s="1" t="s">
        <v>11651</v>
      </c>
      <c r="B1207" s="1" t="s">
        <v>11652</v>
      </c>
      <c r="C1207" s="1" t="s">
        <v>11653</v>
      </c>
      <c r="D1207" s="1" t="s">
        <v>11654</v>
      </c>
      <c r="E1207" s="1" t="s">
        <v>11655</v>
      </c>
      <c r="F1207" s="1" t="s">
        <v>11656</v>
      </c>
      <c r="G1207" s="1" t="s">
        <v>14129</v>
      </c>
      <c r="H1207" s="1" t="s">
        <v>14133</v>
      </c>
      <c r="I1207" s="1" t="s">
        <v>15313</v>
      </c>
      <c r="J1207" s="1" t="s">
        <v>23</v>
      </c>
      <c r="K1207" s="1"/>
      <c r="L1207" s="1" t="s">
        <v>11657</v>
      </c>
      <c r="M1207" s="1" t="s">
        <v>11657</v>
      </c>
      <c r="N1207" s="12" t="b">
        <f t="shared" si="90"/>
        <v>1</v>
      </c>
      <c r="O1207" s="1" t="s">
        <v>11658</v>
      </c>
      <c r="P1207" s="1" t="s">
        <v>11659</v>
      </c>
      <c r="Q1207" s="1" t="s">
        <v>11660</v>
      </c>
      <c r="R1207" s="1" t="s">
        <v>11661</v>
      </c>
      <c r="S1207" s="1" t="s">
        <v>11662</v>
      </c>
      <c r="T1207" s="1" t="s">
        <v>11660</v>
      </c>
      <c r="U1207" s="1" t="s">
        <v>11661</v>
      </c>
      <c r="V1207" s="13">
        <f>COUNTIF(L1207:$M$1659,L1207)</f>
        <v>16</v>
      </c>
      <c r="W1207" s="1" t="s">
        <v>11663</v>
      </c>
      <c r="X1207">
        <v>251.51</v>
      </c>
      <c r="Y1207">
        <v>37.74</v>
      </c>
      <c r="Z1207">
        <v>16.035793000000002</v>
      </c>
      <c r="AA1207">
        <v>108.212664</v>
      </c>
      <c r="AB1207">
        <v>213.77</v>
      </c>
      <c r="AC1207">
        <v>16.035793000000002</v>
      </c>
      <c r="AD1207">
        <v>108.212664</v>
      </c>
      <c r="AE1207" s="5">
        <f t="shared" si="91"/>
        <v>5.6610000000000001E-2</v>
      </c>
      <c r="AF1207" s="5">
        <f t="shared" si="92"/>
        <v>0.32065500000000002</v>
      </c>
      <c r="AG1207" s="1" t="str">
        <f>TRIM(LEFT(L1207,FIND("-",L1207)-1))</f>
        <v>PC08</v>
      </c>
      <c r="AH1207" s="1" t="str">
        <f>TRIM(RIGHT(L1207, LEN(L1207) - FIND("-", L1207)))</f>
        <v>PC07</v>
      </c>
      <c r="AJ1207">
        <f t="shared" si="93"/>
        <v>3.7740000000000003E-2</v>
      </c>
      <c r="AK1207">
        <f t="shared" si="94"/>
        <v>0.21377000000000002</v>
      </c>
      <c r="AL1207" t="e">
        <f>VLOOKUP(L1207,'[1]Tuyến cáp H04'!$B:$E,3,0)/1000</f>
        <v>#N/A</v>
      </c>
      <c r="AM1207" t="e">
        <f>VLOOKUP(L1207,'[1]Tuyến cáp H04'!$B:$E,4,0)</f>
        <v>#N/A</v>
      </c>
    </row>
    <row r="1208" spans="1:39" x14ac:dyDescent="0.25">
      <c r="A1208" s="1" t="s">
        <v>11664</v>
      </c>
      <c r="B1208" s="1" t="s">
        <v>11665</v>
      </c>
      <c r="C1208" s="1" t="s">
        <v>11666</v>
      </c>
      <c r="D1208" s="1" t="s">
        <v>11667</v>
      </c>
      <c r="E1208" s="1" t="s">
        <v>11668</v>
      </c>
      <c r="F1208" s="1" t="s">
        <v>11669</v>
      </c>
      <c r="G1208" s="1" t="s">
        <v>14129</v>
      </c>
      <c r="H1208" s="1" t="s">
        <v>14133</v>
      </c>
      <c r="I1208" s="1" t="s">
        <v>15314</v>
      </c>
      <c r="J1208" s="1" t="s">
        <v>23</v>
      </c>
      <c r="K1208" s="1"/>
      <c r="L1208" s="1" t="s">
        <v>11670</v>
      </c>
      <c r="M1208" s="1" t="s">
        <v>11670</v>
      </c>
      <c r="N1208" s="12" t="b">
        <f t="shared" si="90"/>
        <v>1</v>
      </c>
      <c r="O1208" s="1" t="s">
        <v>11671</v>
      </c>
      <c r="P1208" s="1" t="s">
        <v>11672</v>
      </c>
      <c r="Q1208" s="1" t="s">
        <v>11673</v>
      </c>
      <c r="R1208" s="1" t="s">
        <v>11674</v>
      </c>
      <c r="S1208" s="1" t="s">
        <v>11675</v>
      </c>
      <c r="T1208" s="1" t="s">
        <v>11676</v>
      </c>
      <c r="U1208" s="1" t="s">
        <v>11677</v>
      </c>
      <c r="V1208" s="13">
        <f>COUNTIF(L1208:$M$1659,L1208)</f>
        <v>4</v>
      </c>
      <c r="W1208" s="1" t="s">
        <v>11678</v>
      </c>
      <c r="X1208">
        <v>512.45000000000005</v>
      </c>
      <c r="Y1208">
        <v>2.19</v>
      </c>
      <c r="Z1208">
        <v>16.011855000000001</v>
      </c>
      <c r="AA1208">
        <v>108.19738700000001</v>
      </c>
      <c r="AB1208">
        <v>510.27</v>
      </c>
      <c r="AC1208">
        <v>16.011551999999998</v>
      </c>
      <c r="AD1208">
        <v>108.19746000000001</v>
      </c>
      <c r="AE1208" s="5">
        <f t="shared" si="91"/>
        <v>3.2850000000000002E-3</v>
      </c>
      <c r="AF1208" s="5">
        <f t="shared" si="92"/>
        <v>0.765405</v>
      </c>
      <c r="AG1208" s="1" t="str">
        <f>TRIM(LEFT(L1208,FIND("-",L1208)-1))</f>
        <v>Ngũ Hành Sơn</v>
      </c>
      <c r="AH1208" s="1" t="str">
        <f>TRIM(RIGHT(L1208, LEN(L1208) - FIND("-", L1208)))</f>
        <v>Cẩm Lệ</v>
      </c>
      <c r="AJ1208">
        <f t="shared" si="93"/>
        <v>2.1900000000000001E-3</v>
      </c>
      <c r="AK1208">
        <f t="shared" si="94"/>
        <v>0.51027</v>
      </c>
      <c r="AL1208" t="e">
        <f>VLOOKUP(L1208,'[1]Tuyến cáp H04'!$B:$E,3,0)/1000</f>
        <v>#N/A</v>
      </c>
      <c r="AM1208" t="e">
        <f>VLOOKUP(L1208,'[1]Tuyến cáp H04'!$B:$E,4,0)</f>
        <v>#N/A</v>
      </c>
    </row>
    <row r="1209" spans="1:39" x14ac:dyDescent="0.25">
      <c r="A1209" s="1" t="s">
        <v>11679</v>
      </c>
      <c r="B1209" s="1" t="s">
        <v>11665</v>
      </c>
      <c r="C1209" s="1" t="s">
        <v>11666</v>
      </c>
      <c r="D1209" s="1" t="s">
        <v>11680</v>
      </c>
      <c r="E1209" s="1" t="s">
        <v>11681</v>
      </c>
      <c r="F1209" s="1" t="s">
        <v>11682</v>
      </c>
      <c r="G1209" s="1" t="s">
        <v>14129</v>
      </c>
      <c r="H1209" s="1" t="s">
        <v>14133</v>
      </c>
      <c r="I1209" s="1" t="s">
        <v>15315</v>
      </c>
      <c r="J1209" s="1" t="s">
        <v>23</v>
      </c>
      <c r="K1209" s="1"/>
      <c r="L1209" s="1" t="s">
        <v>11022</v>
      </c>
      <c r="M1209" s="1" t="s">
        <v>11022</v>
      </c>
      <c r="N1209" s="12" t="b">
        <f t="shared" si="90"/>
        <v>1</v>
      </c>
      <c r="O1209" s="1" t="s">
        <v>11683</v>
      </c>
      <c r="P1209" s="1" t="s">
        <v>11684</v>
      </c>
      <c r="Q1209" s="1" t="s">
        <v>11685</v>
      </c>
      <c r="R1209" s="1" t="s">
        <v>11686</v>
      </c>
      <c r="S1209" s="1" t="s">
        <v>11687</v>
      </c>
      <c r="T1209" s="1" t="s">
        <v>11688</v>
      </c>
      <c r="U1209" s="1" t="s">
        <v>11689</v>
      </c>
      <c r="V1209" s="13">
        <f>COUNTIF(L1209:$M$1659,L1209)</f>
        <v>12</v>
      </c>
      <c r="W1209" s="1" t="s">
        <v>11030</v>
      </c>
      <c r="X1209">
        <v>188.49</v>
      </c>
      <c r="Y1209">
        <v>33.950000000000003</v>
      </c>
      <c r="Z1209">
        <v>16.011571</v>
      </c>
      <c r="AA1209">
        <v>108.197464</v>
      </c>
      <c r="AB1209">
        <v>154.54</v>
      </c>
      <c r="AC1209">
        <v>16.010859</v>
      </c>
      <c r="AD1209">
        <v>108.195474</v>
      </c>
      <c r="AE1209" s="5">
        <f t="shared" si="91"/>
        <v>5.0925000000000005E-2</v>
      </c>
      <c r="AF1209" s="5">
        <f t="shared" si="92"/>
        <v>0.23181000000000002</v>
      </c>
      <c r="AG1209" s="1" t="str">
        <f>TRIM(LEFT(L1209,FIND("-",L1209)-1))</f>
        <v>Hòa Xuân</v>
      </c>
      <c r="AH1209" s="1" t="str">
        <f>TRIM(RIGHT(L1209, LEN(L1209) - FIND("-", L1209)))</f>
        <v>TTKV Cẩm Lệ</v>
      </c>
      <c r="AJ1209">
        <f t="shared" si="93"/>
        <v>3.3950000000000001E-2</v>
      </c>
      <c r="AK1209">
        <f t="shared" si="94"/>
        <v>0.15453999999999998</v>
      </c>
      <c r="AL1209" t="e">
        <f>VLOOKUP(L1209,'[1]Tuyến cáp H04'!$B:$E,3,0)/1000</f>
        <v>#N/A</v>
      </c>
      <c r="AM1209" t="e">
        <f>VLOOKUP(L1209,'[1]Tuyến cáp H04'!$B:$E,4,0)</f>
        <v>#N/A</v>
      </c>
    </row>
    <row r="1210" spans="1:39" x14ac:dyDescent="0.25">
      <c r="A1210" s="1" t="s">
        <v>11690</v>
      </c>
      <c r="B1210" s="1" t="s">
        <v>11665</v>
      </c>
      <c r="C1210" s="1" t="s">
        <v>11666</v>
      </c>
      <c r="D1210" s="1" t="s">
        <v>11691</v>
      </c>
      <c r="E1210" s="1" t="s">
        <v>11692</v>
      </c>
      <c r="F1210" s="1" t="s">
        <v>11693</v>
      </c>
      <c r="G1210" s="1" t="s">
        <v>14129</v>
      </c>
      <c r="H1210" s="1" t="s">
        <v>14133</v>
      </c>
      <c r="I1210" s="1" t="s">
        <v>15316</v>
      </c>
      <c r="J1210" s="1" t="s">
        <v>23</v>
      </c>
      <c r="K1210" s="1"/>
      <c r="L1210" s="1" t="s">
        <v>11022</v>
      </c>
      <c r="M1210" s="1" t="s">
        <v>11022</v>
      </c>
      <c r="N1210" s="12" t="b">
        <f t="shared" si="90"/>
        <v>1</v>
      </c>
      <c r="O1210" s="1" t="s">
        <v>11694</v>
      </c>
      <c r="P1210" s="1" t="s">
        <v>11684</v>
      </c>
      <c r="Q1210" s="1" t="s">
        <v>11685</v>
      </c>
      <c r="R1210" s="1" t="s">
        <v>11686</v>
      </c>
      <c r="S1210" s="1" t="s">
        <v>11695</v>
      </c>
      <c r="T1210" s="1" t="s">
        <v>11696</v>
      </c>
      <c r="U1210" s="1" t="s">
        <v>11697</v>
      </c>
      <c r="V1210" s="13">
        <f>COUNTIF(L1210:$M$1659,L1210)</f>
        <v>10</v>
      </c>
      <c r="W1210" s="1" t="s">
        <v>11030</v>
      </c>
      <c r="X1210">
        <v>570.08000000000004</v>
      </c>
      <c r="Y1210">
        <v>33.950000000000003</v>
      </c>
      <c r="Z1210">
        <v>16.011571</v>
      </c>
      <c r="AA1210">
        <v>108.197464</v>
      </c>
      <c r="AB1210">
        <v>536.13</v>
      </c>
      <c r="AC1210">
        <v>16.012028000000001</v>
      </c>
      <c r="AD1210">
        <v>108.198609</v>
      </c>
      <c r="AE1210" s="5">
        <f t="shared" si="91"/>
        <v>5.0925000000000005E-2</v>
      </c>
      <c r="AF1210" s="5">
        <f t="shared" si="92"/>
        <v>0.80419499999999988</v>
      </c>
      <c r="AG1210" s="1" t="str">
        <f>TRIM(LEFT(L1210,FIND("-",L1210)-1))</f>
        <v>Hòa Xuân</v>
      </c>
      <c r="AH1210" s="1" t="str">
        <f>TRIM(RIGHT(L1210, LEN(L1210) - FIND("-", L1210)))</f>
        <v>TTKV Cẩm Lệ</v>
      </c>
      <c r="AJ1210">
        <f t="shared" si="93"/>
        <v>3.3950000000000001E-2</v>
      </c>
      <c r="AK1210">
        <f t="shared" si="94"/>
        <v>0.53613</v>
      </c>
      <c r="AL1210" t="e">
        <f>VLOOKUP(L1210,'[1]Tuyến cáp H04'!$B:$E,3,0)/1000</f>
        <v>#N/A</v>
      </c>
      <c r="AM1210" t="e">
        <f>VLOOKUP(L1210,'[1]Tuyến cáp H04'!$B:$E,4,0)</f>
        <v>#N/A</v>
      </c>
    </row>
    <row r="1211" spans="1:39" x14ac:dyDescent="0.25">
      <c r="A1211" s="1" t="s">
        <v>11698</v>
      </c>
      <c r="B1211" s="1" t="s">
        <v>4738</v>
      </c>
      <c r="C1211" s="1" t="s">
        <v>4739</v>
      </c>
      <c r="D1211" s="1" t="s">
        <v>11699</v>
      </c>
      <c r="E1211" s="1" t="s">
        <v>11700</v>
      </c>
      <c r="F1211" s="1" t="s">
        <v>11701</v>
      </c>
      <c r="G1211" s="1" t="s">
        <v>14129</v>
      </c>
      <c r="H1211" s="1" t="s">
        <v>14130</v>
      </c>
      <c r="I1211" s="1" t="s">
        <v>15317</v>
      </c>
      <c r="J1211" s="1" t="s">
        <v>23</v>
      </c>
      <c r="K1211" s="1"/>
      <c r="L1211" s="1" t="s">
        <v>11657</v>
      </c>
      <c r="M1211" s="1" t="s">
        <v>11657</v>
      </c>
      <c r="N1211" s="12" t="b">
        <f t="shared" si="90"/>
        <v>1</v>
      </c>
      <c r="O1211" s="1" t="s">
        <v>11702</v>
      </c>
      <c r="P1211" s="1" t="s">
        <v>11703</v>
      </c>
      <c r="Q1211" s="1" t="s">
        <v>11704</v>
      </c>
      <c r="R1211" s="1" t="s">
        <v>11705</v>
      </c>
      <c r="S1211" s="1" t="s">
        <v>11706</v>
      </c>
      <c r="T1211" s="1" t="s">
        <v>11707</v>
      </c>
      <c r="U1211" s="1" t="s">
        <v>11708</v>
      </c>
      <c r="V1211" s="13">
        <f>COUNTIF(L1211:$M$1659,L1211)</f>
        <v>14</v>
      </c>
      <c r="W1211" s="1" t="s">
        <v>11709</v>
      </c>
      <c r="X1211">
        <v>1975.84</v>
      </c>
      <c r="Y1211">
        <v>18.12</v>
      </c>
      <c r="Z1211">
        <v>16.007725000000001</v>
      </c>
      <c r="AA1211">
        <v>108.217546</v>
      </c>
      <c r="AB1211">
        <v>1957.72</v>
      </c>
      <c r="AC1211">
        <v>16.010805000000001</v>
      </c>
      <c r="AD1211">
        <v>108.21711500000001</v>
      </c>
      <c r="AE1211" s="5">
        <f t="shared" si="91"/>
        <v>2.7179999999999999E-2</v>
      </c>
      <c r="AF1211" s="5">
        <f t="shared" si="92"/>
        <v>2.9365799999999997</v>
      </c>
      <c r="AG1211" s="1" t="str">
        <f>TRIM(LEFT(L1211,FIND("-",L1211)-1))</f>
        <v>PC08</v>
      </c>
      <c r="AH1211" s="1" t="str">
        <f>TRIM(RIGHT(L1211, LEN(L1211) - FIND("-", L1211)))</f>
        <v>PC07</v>
      </c>
      <c r="AJ1211">
        <f t="shared" si="93"/>
        <v>1.8120000000000001E-2</v>
      </c>
      <c r="AK1211">
        <f t="shared" si="94"/>
        <v>1.9577200000000001</v>
      </c>
      <c r="AL1211" t="e">
        <f>VLOOKUP(L1211,'[1]Tuyến cáp H04'!$B:$E,3,0)/1000</f>
        <v>#N/A</v>
      </c>
      <c r="AM1211" t="e">
        <f>VLOOKUP(L1211,'[1]Tuyến cáp H04'!$B:$E,4,0)</f>
        <v>#N/A</v>
      </c>
    </row>
    <row r="1212" spans="1:39" x14ac:dyDescent="0.25">
      <c r="A1212" s="1" t="s">
        <v>11710</v>
      </c>
      <c r="B1212" s="1" t="s">
        <v>4738</v>
      </c>
      <c r="C1212" s="1" t="s">
        <v>4739</v>
      </c>
      <c r="D1212" s="1" t="s">
        <v>11711</v>
      </c>
      <c r="E1212" s="1" t="s">
        <v>11712</v>
      </c>
      <c r="F1212" s="1" t="s">
        <v>11713</v>
      </c>
      <c r="G1212" s="1" t="s">
        <v>14129</v>
      </c>
      <c r="H1212" s="1" t="s">
        <v>14133</v>
      </c>
      <c r="I1212" s="1" t="s">
        <v>15318</v>
      </c>
      <c r="J1212" s="1" t="s">
        <v>23</v>
      </c>
      <c r="K1212" s="1"/>
      <c r="L1212" s="1" t="s">
        <v>11657</v>
      </c>
      <c r="M1212" s="1" t="s">
        <v>11657</v>
      </c>
      <c r="N1212" s="12" t="b">
        <f t="shared" si="90"/>
        <v>1</v>
      </c>
      <c r="O1212" s="1" t="s">
        <v>11714</v>
      </c>
      <c r="P1212" s="1" t="s">
        <v>11703</v>
      </c>
      <c r="Q1212" s="1" t="s">
        <v>11704</v>
      </c>
      <c r="R1212" s="1" t="s">
        <v>11705</v>
      </c>
      <c r="S1212" s="1" t="s">
        <v>11715</v>
      </c>
      <c r="T1212" s="1" t="s">
        <v>11707</v>
      </c>
      <c r="U1212" s="1" t="s">
        <v>11708</v>
      </c>
      <c r="V1212" s="13">
        <f>COUNTIF(L1212:$M$1659,L1212)</f>
        <v>12</v>
      </c>
      <c r="W1212" s="1" t="s">
        <v>11709</v>
      </c>
      <c r="X1212">
        <v>710.52</v>
      </c>
      <c r="Y1212">
        <v>18.12</v>
      </c>
      <c r="Z1212">
        <v>16.007725000000001</v>
      </c>
      <c r="AA1212">
        <v>108.217546</v>
      </c>
      <c r="AB1212">
        <v>692.39</v>
      </c>
      <c r="AC1212">
        <v>16.010805000000001</v>
      </c>
      <c r="AD1212">
        <v>108.21711500000001</v>
      </c>
      <c r="AE1212" s="5">
        <f t="shared" si="91"/>
        <v>2.7179999999999999E-2</v>
      </c>
      <c r="AF1212" s="5">
        <f t="shared" si="92"/>
        <v>1.0385850000000001</v>
      </c>
      <c r="AG1212" s="1" t="str">
        <f>TRIM(LEFT(L1212,FIND("-",L1212)-1))</f>
        <v>PC08</v>
      </c>
      <c r="AH1212" s="1" t="str">
        <f>TRIM(RIGHT(L1212, LEN(L1212) - FIND("-", L1212)))</f>
        <v>PC07</v>
      </c>
      <c r="AJ1212">
        <f t="shared" si="93"/>
        <v>1.8120000000000001E-2</v>
      </c>
      <c r="AK1212">
        <f t="shared" si="94"/>
        <v>0.69238999999999995</v>
      </c>
      <c r="AL1212" t="e">
        <f>VLOOKUP(L1212,'[1]Tuyến cáp H04'!$B:$E,3,0)/1000</f>
        <v>#N/A</v>
      </c>
      <c r="AM1212" t="e">
        <f>VLOOKUP(L1212,'[1]Tuyến cáp H04'!$B:$E,4,0)</f>
        <v>#N/A</v>
      </c>
    </row>
    <row r="1213" spans="1:39" x14ac:dyDescent="0.25">
      <c r="A1213" s="1" t="s">
        <v>11716</v>
      </c>
      <c r="B1213" s="1" t="s">
        <v>4738</v>
      </c>
      <c r="C1213" s="1" t="s">
        <v>4739</v>
      </c>
      <c r="D1213" s="1" t="s">
        <v>11717</v>
      </c>
      <c r="E1213" s="1" t="s">
        <v>11718</v>
      </c>
      <c r="F1213" s="1" t="s">
        <v>11719</v>
      </c>
      <c r="G1213" s="1" t="s">
        <v>14129</v>
      </c>
      <c r="H1213" s="1" t="s">
        <v>14133</v>
      </c>
      <c r="I1213" s="1" t="s">
        <v>15319</v>
      </c>
      <c r="J1213" s="1" t="s">
        <v>23</v>
      </c>
      <c r="K1213" s="1"/>
      <c r="L1213" s="1" t="s">
        <v>11657</v>
      </c>
      <c r="M1213" s="1" t="s">
        <v>11657</v>
      </c>
      <c r="N1213" s="12" t="b">
        <f t="shared" si="90"/>
        <v>1</v>
      </c>
      <c r="O1213" s="1" t="s">
        <v>11720</v>
      </c>
      <c r="P1213" s="1" t="s">
        <v>11703</v>
      </c>
      <c r="Q1213" s="1" t="s">
        <v>11704</v>
      </c>
      <c r="R1213" s="1" t="s">
        <v>11705</v>
      </c>
      <c r="S1213" s="1" t="s">
        <v>11721</v>
      </c>
      <c r="T1213" s="1" t="s">
        <v>11722</v>
      </c>
      <c r="U1213" s="1" t="s">
        <v>11723</v>
      </c>
      <c r="V1213" s="13">
        <f>COUNTIF(L1213:$M$1659,L1213)</f>
        <v>10</v>
      </c>
      <c r="W1213" s="1" t="s">
        <v>11709</v>
      </c>
      <c r="X1213">
        <v>1232.94</v>
      </c>
      <c r="Y1213">
        <v>18.12</v>
      </c>
      <c r="Z1213">
        <v>16.007725000000001</v>
      </c>
      <c r="AA1213">
        <v>108.217546</v>
      </c>
      <c r="AB1213">
        <v>1214.82</v>
      </c>
      <c r="AC1213">
        <v>16.008358000000001</v>
      </c>
      <c r="AD1213">
        <v>108.218391</v>
      </c>
      <c r="AE1213" s="5">
        <f t="shared" si="91"/>
        <v>2.7179999999999999E-2</v>
      </c>
      <c r="AF1213" s="5">
        <f t="shared" si="92"/>
        <v>1.82223</v>
      </c>
      <c r="AG1213" s="1" t="str">
        <f>TRIM(LEFT(L1213,FIND("-",L1213)-1))</f>
        <v>PC08</v>
      </c>
      <c r="AH1213" s="1" t="str">
        <f>TRIM(RIGHT(L1213, LEN(L1213) - FIND("-", L1213)))</f>
        <v>PC07</v>
      </c>
      <c r="AJ1213">
        <f t="shared" si="93"/>
        <v>1.8120000000000001E-2</v>
      </c>
      <c r="AK1213">
        <f t="shared" si="94"/>
        <v>1.21482</v>
      </c>
      <c r="AL1213" t="e">
        <f>VLOOKUP(L1213,'[1]Tuyến cáp H04'!$B:$E,3,0)/1000</f>
        <v>#N/A</v>
      </c>
      <c r="AM1213" t="e">
        <f>VLOOKUP(L1213,'[1]Tuyến cáp H04'!$B:$E,4,0)</f>
        <v>#N/A</v>
      </c>
    </row>
    <row r="1214" spans="1:39" x14ac:dyDescent="0.25">
      <c r="A1214" s="1" t="s">
        <v>11724</v>
      </c>
      <c r="B1214" s="1" t="s">
        <v>4738</v>
      </c>
      <c r="C1214" s="1" t="s">
        <v>4739</v>
      </c>
      <c r="D1214" s="1" t="s">
        <v>11725</v>
      </c>
      <c r="E1214" s="1" t="s">
        <v>11726</v>
      </c>
      <c r="F1214" s="1" t="s">
        <v>11727</v>
      </c>
      <c r="G1214" s="1" t="s">
        <v>14129</v>
      </c>
      <c r="H1214" s="1" t="s">
        <v>14130</v>
      </c>
      <c r="I1214" s="1" t="s">
        <v>15320</v>
      </c>
      <c r="J1214" s="1" t="s">
        <v>23</v>
      </c>
      <c r="K1214" s="1"/>
      <c r="L1214" s="1" t="s">
        <v>11657</v>
      </c>
      <c r="M1214" s="1" t="s">
        <v>11657</v>
      </c>
      <c r="N1214" s="12" t="b">
        <f t="shared" si="90"/>
        <v>1</v>
      </c>
      <c r="O1214" s="1" t="s">
        <v>11728</v>
      </c>
      <c r="P1214" s="1" t="s">
        <v>11703</v>
      </c>
      <c r="Q1214" s="1" t="s">
        <v>11704</v>
      </c>
      <c r="R1214" s="1" t="s">
        <v>11705</v>
      </c>
      <c r="S1214" s="1" t="s">
        <v>11729</v>
      </c>
      <c r="T1214" s="1" t="s">
        <v>11707</v>
      </c>
      <c r="U1214" s="1" t="s">
        <v>11708</v>
      </c>
      <c r="V1214" s="13">
        <f>COUNTIF(L1214:$M$1659,L1214)</f>
        <v>8</v>
      </c>
      <c r="W1214" s="1" t="s">
        <v>11709</v>
      </c>
      <c r="X1214">
        <v>1411.01</v>
      </c>
      <c r="Y1214">
        <v>18.12</v>
      </c>
      <c r="Z1214">
        <v>16.007725000000001</v>
      </c>
      <c r="AA1214">
        <v>108.217546</v>
      </c>
      <c r="AB1214">
        <v>1392.89</v>
      </c>
      <c r="AC1214">
        <v>16.010805000000001</v>
      </c>
      <c r="AD1214">
        <v>108.21711500000001</v>
      </c>
      <c r="AE1214" s="5">
        <f t="shared" si="91"/>
        <v>2.7179999999999999E-2</v>
      </c>
      <c r="AF1214" s="5">
        <f t="shared" si="92"/>
        <v>2.0893350000000002</v>
      </c>
      <c r="AG1214" s="1" t="str">
        <f>TRIM(LEFT(L1214,FIND("-",L1214)-1))</f>
        <v>PC08</v>
      </c>
      <c r="AH1214" s="1" t="str">
        <f>TRIM(RIGHT(L1214, LEN(L1214) - FIND("-", L1214)))</f>
        <v>PC07</v>
      </c>
      <c r="AJ1214">
        <f t="shared" si="93"/>
        <v>1.8120000000000001E-2</v>
      </c>
      <c r="AK1214">
        <f t="shared" si="94"/>
        <v>1.3928900000000002</v>
      </c>
      <c r="AL1214" t="e">
        <f>VLOOKUP(L1214,'[1]Tuyến cáp H04'!$B:$E,3,0)/1000</f>
        <v>#N/A</v>
      </c>
      <c r="AM1214" t="e">
        <f>VLOOKUP(L1214,'[1]Tuyến cáp H04'!$B:$E,4,0)</f>
        <v>#N/A</v>
      </c>
    </row>
    <row r="1215" spans="1:39" x14ac:dyDescent="0.25">
      <c r="A1215" s="1" t="s">
        <v>11730</v>
      </c>
      <c r="B1215" s="1" t="s">
        <v>4948</v>
      </c>
      <c r="C1215" s="1" t="s">
        <v>4949</v>
      </c>
      <c r="D1215" s="1" t="s">
        <v>11731</v>
      </c>
      <c r="E1215" s="1" t="s">
        <v>11732</v>
      </c>
      <c r="F1215" s="1" t="s">
        <v>11733</v>
      </c>
      <c r="G1215" s="1" t="s">
        <v>14129</v>
      </c>
      <c r="H1215" s="1" t="s">
        <v>14133</v>
      </c>
      <c r="I1215" s="1" t="s">
        <v>15321</v>
      </c>
      <c r="J1215" s="1" t="s">
        <v>23</v>
      </c>
      <c r="K1215" s="1"/>
      <c r="L1215" s="1" t="s">
        <v>11734</v>
      </c>
      <c r="M1215" s="1" t="s">
        <v>11734</v>
      </c>
      <c r="N1215" s="12" t="b">
        <f t="shared" si="90"/>
        <v>1</v>
      </c>
      <c r="O1215" s="1" t="s">
        <v>11735</v>
      </c>
      <c r="P1215" s="1" t="s">
        <v>3684</v>
      </c>
      <c r="Q1215" s="1" t="s">
        <v>11736</v>
      </c>
      <c r="R1215" s="1" t="s">
        <v>11737</v>
      </c>
      <c r="S1215" s="1" t="s">
        <v>11738</v>
      </c>
      <c r="T1215" s="1" t="s">
        <v>11739</v>
      </c>
      <c r="U1215" s="1" t="s">
        <v>11740</v>
      </c>
      <c r="V1215" s="13">
        <f>COUNTIF(L1215:$M$1659,L1215)</f>
        <v>8</v>
      </c>
      <c r="W1215" s="1" t="s">
        <v>11741</v>
      </c>
      <c r="X1215">
        <v>86.32</v>
      </c>
      <c r="Y1215">
        <v>16.7</v>
      </c>
      <c r="Z1215">
        <v>16.066120000000002</v>
      </c>
      <c r="AA1215">
        <v>108.221645</v>
      </c>
      <c r="AB1215">
        <v>69.62</v>
      </c>
      <c r="AC1215">
        <v>16.066289999999999</v>
      </c>
      <c r="AD1215">
        <v>108.221667</v>
      </c>
      <c r="AE1215" s="5">
        <f t="shared" si="91"/>
        <v>2.5049999999999996E-2</v>
      </c>
      <c r="AF1215" s="5">
        <f t="shared" si="92"/>
        <v>0.10443000000000001</v>
      </c>
      <c r="AG1215" s="1" t="str">
        <f>TRIM(LEFT(L1215,FIND("-",L1215)-1))</f>
        <v>PA07</v>
      </c>
      <c r="AH1215" s="1" t="str">
        <f>TRIM(RIGHT(L1215, LEN(L1215) - FIND("-", L1215)))</f>
        <v>PA06</v>
      </c>
      <c r="AJ1215">
        <f t="shared" si="93"/>
        <v>1.67E-2</v>
      </c>
      <c r="AK1215">
        <f t="shared" si="94"/>
        <v>6.9620000000000001E-2</v>
      </c>
      <c r="AL1215">
        <f>VLOOKUP(L1215,'[1]Tuyến cáp H04'!$B:$E,3,0)/1000</f>
        <v>1.2589999999999999</v>
      </c>
      <c r="AM1215" t="str">
        <f>VLOOKUP(L1215,'[1]Tuyến cáp H04'!$B:$E,4,0)</f>
        <v>Mạng cấp 3</v>
      </c>
    </row>
    <row r="1216" spans="1:39" x14ac:dyDescent="0.25">
      <c r="A1216" s="1" t="s">
        <v>11742</v>
      </c>
      <c r="B1216" s="1" t="s">
        <v>4948</v>
      </c>
      <c r="C1216" s="1" t="s">
        <v>4949</v>
      </c>
      <c r="D1216" s="1" t="s">
        <v>11743</v>
      </c>
      <c r="E1216" s="1" t="s">
        <v>11744</v>
      </c>
      <c r="F1216" s="1" t="s">
        <v>11745</v>
      </c>
      <c r="G1216" s="1" t="s">
        <v>14129</v>
      </c>
      <c r="H1216" s="1" t="s">
        <v>14133</v>
      </c>
      <c r="I1216" s="1" t="s">
        <v>15322</v>
      </c>
      <c r="J1216" s="1" t="s">
        <v>23</v>
      </c>
      <c r="K1216" s="1"/>
      <c r="L1216" s="1" t="s">
        <v>11734</v>
      </c>
      <c r="M1216" s="1" t="s">
        <v>11734</v>
      </c>
      <c r="N1216" s="12" t="b">
        <f t="shared" si="90"/>
        <v>1</v>
      </c>
      <c r="O1216" s="1" t="s">
        <v>11746</v>
      </c>
      <c r="P1216" s="1" t="s">
        <v>3684</v>
      </c>
      <c r="Q1216" s="1" t="s">
        <v>11736</v>
      </c>
      <c r="R1216" s="1" t="s">
        <v>11737</v>
      </c>
      <c r="S1216" s="1" t="s">
        <v>11747</v>
      </c>
      <c r="T1216" s="1" t="s">
        <v>11748</v>
      </c>
      <c r="U1216" s="1" t="s">
        <v>11749</v>
      </c>
      <c r="V1216" s="13">
        <f>COUNTIF(L1216:$M$1659,L1216)</f>
        <v>6</v>
      </c>
      <c r="W1216" s="1" t="s">
        <v>11741</v>
      </c>
      <c r="X1216">
        <v>174.97</v>
      </c>
      <c r="Y1216">
        <v>16.7</v>
      </c>
      <c r="Z1216">
        <v>16.066120000000002</v>
      </c>
      <c r="AA1216">
        <v>108.221645</v>
      </c>
      <c r="AB1216">
        <v>158.27000000000001</v>
      </c>
      <c r="AC1216">
        <v>16.066134000000002</v>
      </c>
      <c r="AD1216">
        <v>108.223629</v>
      </c>
      <c r="AE1216" s="5">
        <f t="shared" si="91"/>
        <v>2.5049999999999996E-2</v>
      </c>
      <c r="AF1216" s="5">
        <f t="shared" si="92"/>
        <v>0.23740500000000003</v>
      </c>
      <c r="AG1216" s="1" t="str">
        <f>TRIM(LEFT(L1216,FIND("-",L1216)-1))</f>
        <v>PA07</v>
      </c>
      <c r="AH1216" s="1" t="str">
        <f>TRIM(RIGHT(L1216, LEN(L1216) - FIND("-", L1216)))</f>
        <v>PA06</v>
      </c>
      <c r="AJ1216">
        <f t="shared" si="93"/>
        <v>1.67E-2</v>
      </c>
      <c r="AK1216">
        <f t="shared" si="94"/>
        <v>0.15827000000000002</v>
      </c>
      <c r="AL1216">
        <f>VLOOKUP(L1216,'[1]Tuyến cáp H04'!$B:$E,3,0)/1000</f>
        <v>1.2589999999999999</v>
      </c>
      <c r="AM1216" t="str">
        <f>VLOOKUP(L1216,'[1]Tuyến cáp H04'!$B:$E,4,0)</f>
        <v>Mạng cấp 3</v>
      </c>
    </row>
    <row r="1217" spans="1:39" x14ac:dyDescent="0.25">
      <c r="A1217" s="1" t="s">
        <v>11750</v>
      </c>
      <c r="B1217" s="1" t="s">
        <v>4948</v>
      </c>
      <c r="C1217" s="1" t="s">
        <v>4949</v>
      </c>
      <c r="D1217" s="1" t="s">
        <v>11751</v>
      </c>
      <c r="E1217" s="1" t="s">
        <v>11752</v>
      </c>
      <c r="F1217" s="1" t="s">
        <v>11753</v>
      </c>
      <c r="G1217" s="1" t="s">
        <v>14129</v>
      </c>
      <c r="H1217" s="1" t="s">
        <v>14133</v>
      </c>
      <c r="I1217" s="1" t="s">
        <v>15323</v>
      </c>
      <c r="J1217" s="1" t="s">
        <v>23</v>
      </c>
      <c r="K1217" s="1"/>
      <c r="L1217" s="1" t="s">
        <v>11734</v>
      </c>
      <c r="M1217" s="1" t="s">
        <v>11734</v>
      </c>
      <c r="N1217" s="12" t="b">
        <f t="shared" si="90"/>
        <v>1</v>
      </c>
      <c r="O1217" s="1" t="s">
        <v>11754</v>
      </c>
      <c r="P1217" s="1" t="s">
        <v>3684</v>
      </c>
      <c r="Q1217" s="1" t="s">
        <v>11736</v>
      </c>
      <c r="R1217" s="1" t="s">
        <v>11737</v>
      </c>
      <c r="S1217" s="1" t="s">
        <v>11755</v>
      </c>
      <c r="T1217" s="1" t="s">
        <v>11748</v>
      </c>
      <c r="U1217" s="1" t="s">
        <v>11749</v>
      </c>
      <c r="V1217" s="13">
        <f>COUNTIF(L1217:$M$1659,L1217)</f>
        <v>4</v>
      </c>
      <c r="W1217" s="1" t="s">
        <v>11741</v>
      </c>
      <c r="X1217">
        <v>130.54</v>
      </c>
      <c r="Y1217">
        <v>16.7</v>
      </c>
      <c r="Z1217">
        <v>16.066120000000002</v>
      </c>
      <c r="AA1217">
        <v>108.221645</v>
      </c>
      <c r="AB1217">
        <v>113.84</v>
      </c>
      <c r="AC1217">
        <v>16.066134000000002</v>
      </c>
      <c r="AD1217">
        <v>108.223629</v>
      </c>
      <c r="AE1217" s="5">
        <f t="shared" si="91"/>
        <v>2.5049999999999996E-2</v>
      </c>
      <c r="AF1217" s="5">
        <f t="shared" si="92"/>
        <v>0.17076</v>
      </c>
      <c r="AG1217" s="1" t="str">
        <f>TRIM(LEFT(L1217,FIND("-",L1217)-1))</f>
        <v>PA07</v>
      </c>
      <c r="AH1217" s="1" t="str">
        <f>TRIM(RIGHT(L1217, LEN(L1217) - FIND("-", L1217)))</f>
        <v>PA06</v>
      </c>
      <c r="AJ1217">
        <f t="shared" si="93"/>
        <v>1.67E-2</v>
      </c>
      <c r="AK1217">
        <f t="shared" si="94"/>
        <v>0.11384</v>
      </c>
      <c r="AL1217">
        <f>VLOOKUP(L1217,'[1]Tuyến cáp H04'!$B:$E,3,0)/1000</f>
        <v>1.2589999999999999</v>
      </c>
      <c r="AM1217" t="str">
        <f>VLOOKUP(L1217,'[1]Tuyến cáp H04'!$B:$E,4,0)</f>
        <v>Mạng cấp 3</v>
      </c>
    </row>
    <row r="1218" spans="1:39" x14ac:dyDescent="0.25">
      <c r="A1218" s="1" t="s">
        <v>11756</v>
      </c>
      <c r="B1218" s="1" t="s">
        <v>4948</v>
      </c>
      <c r="C1218" s="1" t="s">
        <v>4949</v>
      </c>
      <c r="D1218" s="1" t="s">
        <v>11757</v>
      </c>
      <c r="E1218" s="1" t="s">
        <v>11758</v>
      </c>
      <c r="F1218" s="1" t="s">
        <v>11759</v>
      </c>
      <c r="G1218" s="1" t="s">
        <v>14129</v>
      </c>
      <c r="H1218" s="1" t="s">
        <v>14532</v>
      </c>
      <c r="I1218" s="1" t="s">
        <v>15324</v>
      </c>
      <c r="J1218" s="1" t="s">
        <v>23</v>
      </c>
      <c r="K1218" s="1"/>
      <c r="L1218" s="1" t="s">
        <v>11760</v>
      </c>
      <c r="M1218" s="1" t="s">
        <v>11760</v>
      </c>
      <c r="N1218" s="12" t="b">
        <f t="shared" si="90"/>
        <v>1</v>
      </c>
      <c r="O1218" s="1" t="s">
        <v>11761</v>
      </c>
      <c r="P1218" s="1" t="s">
        <v>11762</v>
      </c>
      <c r="Q1218" s="1" t="s">
        <v>11763</v>
      </c>
      <c r="R1218" s="1" t="s">
        <v>11764</v>
      </c>
      <c r="S1218" s="1" t="s">
        <v>11765</v>
      </c>
      <c r="T1218" s="1" t="s">
        <v>11766</v>
      </c>
      <c r="U1218" s="1" t="s">
        <v>11767</v>
      </c>
      <c r="V1218" s="13">
        <f>COUNTIF(L1218:$M$1659,L1218)</f>
        <v>18</v>
      </c>
      <c r="W1218" s="1" t="s">
        <v>11768</v>
      </c>
      <c r="X1218">
        <v>273.16000000000003</v>
      </c>
      <c r="Y1218">
        <v>70.849999999999994</v>
      </c>
      <c r="Z1218">
        <v>16.065805999999998</v>
      </c>
      <c r="AA1218">
        <v>108.222388</v>
      </c>
      <c r="AB1218">
        <v>202.32</v>
      </c>
      <c r="AC1218">
        <v>16.062224000000001</v>
      </c>
      <c r="AD1218">
        <v>108.21966</v>
      </c>
      <c r="AE1218" s="5">
        <f t="shared" si="91"/>
        <v>0.10627499999999999</v>
      </c>
      <c r="AF1218" s="5">
        <f t="shared" si="92"/>
        <v>0.30348000000000003</v>
      </c>
      <c r="AG1218" s="1" t="str">
        <f>TRIM(LEFT(L1218,FIND("-",L1218)-1))</f>
        <v>Hải Châu</v>
      </c>
      <c r="AH1218" s="1" t="str">
        <f>TRIM(RIGHT(L1218, LEN(L1218) - FIND("-", L1218)))</f>
        <v>Hòa Cường</v>
      </c>
      <c r="AJ1218">
        <f t="shared" si="93"/>
        <v>7.0849999999999996E-2</v>
      </c>
      <c r="AK1218">
        <f t="shared" si="94"/>
        <v>0.20232</v>
      </c>
      <c r="AL1218" t="e">
        <f>VLOOKUP(L1218,'[1]Tuyến cáp H04'!$B:$E,3,0)/1000</f>
        <v>#N/A</v>
      </c>
      <c r="AM1218" t="e">
        <f>VLOOKUP(L1218,'[1]Tuyến cáp H04'!$B:$E,4,0)</f>
        <v>#N/A</v>
      </c>
    </row>
    <row r="1219" spans="1:39" x14ac:dyDescent="0.25">
      <c r="A1219" s="1" t="s">
        <v>11769</v>
      </c>
      <c r="B1219" s="1" t="s">
        <v>4948</v>
      </c>
      <c r="C1219" s="1" t="s">
        <v>4949</v>
      </c>
      <c r="D1219" s="1" t="s">
        <v>11770</v>
      </c>
      <c r="E1219" s="1" t="s">
        <v>11771</v>
      </c>
      <c r="F1219" s="1" t="s">
        <v>11772</v>
      </c>
      <c r="G1219" s="1" t="s">
        <v>14129</v>
      </c>
      <c r="H1219" s="1" t="s">
        <v>14532</v>
      </c>
      <c r="I1219" s="1" t="s">
        <v>15325</v>
      </c>
      <c r="J1219" s="1" t="s">
        <v>23</v>
      </c>
      <c r="K1219" s="1"/>
      <c r="L1219" s="1" t="s">
        <v>11760</v>
      </c>
      <c r="M1219" s="1" t="s">
        <v>11760</v>
      </c>
      <c r="N1219" s="12" t="b">
        <f t="shared" ref="N1219:N1282" si="95">L1219=M1219</f>
        <v>1</v>
      </c>
      <c r="O1219" s="1" t="s">
        <v>11773</v>
      </c>
      <c r="P1219" s="1" t="s">
        <v>11762</v>
      </c>
      <c r="Q1219" s="1" t="s">
        <v>11763</v>
      </c>
      <c r="R1219" s="1" t="s">
        <v>11764</v>
      </c>
      <c r="S1219" s="1" t="s">
        <v>11774</v>
      </c>
      <c r="T1219" s="1" t="s">
        <v>11775</v>
      </c>
      <c r="U1219" s="1" t="s">
        <v>11776</v>
      </c>
      <c r="V1219" s="13">
        <f>COUNTIF(L1219:$M$1659,L1219)</f>
        <v>16</v>
      </c>
      <c r="W1219" s="1" t="s">
        <v>11768</v>
      </c>
      <c r="X1219">
        <v>90.31</v>
      </c>
      <c r="Y1219">
        <v>70.849999999999994</v>
      </c>
      <c r="Z1219">
        <v>16.065805999999998</v>
      </c>
      <c r="AA1219">
        <v>108.222388</v>
      </c>
      <c r="AB1219">
        <v>19.47</v>
      </c>
      <c r="AC1219">
        <v>16.071145999999999</v>
      </c>
      <c r="AD1219">
        <v>108.22106100000001</v>
      </c>
      <c r="AE1219" s="5">
        <f t="shared" ref="AE1219:AE1282" si="96">Y1219*1.5/1000</f>
        <v>0.10627499999999999</v>
      </c>
      <c r="AF1219" s="5">
        <f t="shared" ref="AF1219:AF1282" si="97">AB1219*1.5/1000</f>
        <v>2.9204999999999998E-2</v>
      </c>
      <c r="AG1219" s="1" t="str">
        <f>TRIM(LEFT(L1219,FIND("-",L1219)-1))</f>
        <v>Hải Châu</v>
      </c>
      <c r="AH1219" s="1" t="str">
        <f>TRIM(RIGHT(L1219, LEN(L1219) - FIND("-", L1219)))</f>
        <v>Hòa Cường</v>
      </c>
      <c r="AJ1219">
        <f t="shared" ref="AJ1219:AJ1282" si="98">Y1219/1000</f>
        <v>7.0849999999999996E-2</v>
      </c>
      <c r="AK1219">
        <f t="shared" ref="AK1219:AK1282" si="99">AB1219/1000</f>
        <v>1.9469999999999998E-2</v>
      </c>
      <c r="AL1219" t="e">
        <f>VLOOKUP(L1219,'[1]Tuyến cáp H04'!$B:$E,3,0)/1000</f>
        <v>#N/A</v>
      </c>
      <c r="AM1219" t="e">
        <f>VLOOKUP(L1219,'[1]Tuyến cáp H04'!$B:$E,4,0)</f>
        <v>#N/A</v>
      </c>
    </row>
    <row r="1220" spans="1:39" x14ac:dyDescent="0.25">
      <c r="A1220" s="1" t="s">
        <v>11777</v>
      </c>
      <c r="B1220" s="1" t="s">
        <v>11778</v>
      </c>
      <c r="C1220" s="1" t="s">
        <v>11779</v>
      </c>
      <c r="D1220" s="1" t="s">
        <v>11780</v>
      </c>
      <c r="E1220" s="1" t="s">
        <v>11781</v>
      </c>
      <c r="F1220" s="1" t="s">
        <v>11782</v>
      </c>
      <c r="G1220" s="1"/>
      <c r="H1220" s="1" t="s">
        <v>14133</v>
      </c>
      <c r="I1220" s="1" t="s">
        <v>15326</v>
      </c>
      <c r="J1220" s="1" t="s">
        <v>23</v>
      </c>
      <c r="K1220" s="1"/>
      <c r="L1220" s="1" t="s">
        <v>11760</v>
      </c>
      <c r="M1220" s="1" t="s">
        <v>11760</v>
      </c>
      <c r="N1220" s="12" t="b">
        <f t="shared" si="95"/>
        <v>1</v>
      </c>
      <c r="O1220" s="1" t="s">
        <v>11783</v>
      </c>
      <c r="P1220" s="1" t="s">
        <v>11784</v>
      </c>
      <c r="Q1220" s="1" t="s">
        <v>11785</v>
      </c>
      <c r="R1220" s="1" t="s">
        <v>11786</v>
      </c>
      <c r="S1220" s="1" t="s">
        <v>11787</v>
      </c>
      <c r="T1220" s="1" t="s">
        <v>11788</v>
      </c>
      <c r="U1220" s="1" t="s">
        <v>11789</v>
      </c>
      <c r="V1220" s="13">
        <f>COUNTIF(L1220:$M$1659,L1220)</f>
        <v>14</v>
      </c>
      <c r="W1220" s="1" t="s">
        <v>11768</v>
      </c>
      <c r="X1220">
        <v>276.48</v>
      </c>
      <c r="Y1220">
        <v>68.41</v>
      </c>
      <c r="Z1220">
        <v>16.078868</v>
      </c>
      <c r="AA1220">
        <v>108.22156699999999</v>
      </c>
      <c r="AB1220">
        <v>208.08</v>
      </c>
      <c r="AC1220">
        <v>16.073931000000002</v>
      </c>
      <c r="AD1220">
        <v>108.220707</v>
      </c>
      <c r="AE1220" s="5">
        <f t="shared" si="96"/>
        <v>0.102615</v>
      </c>
      <c r="AF1220" s="5">
        <f t="shared" si="97"/>
        <v>0.31212000000000001</v>
      </c>
      <c r="AG1220" s="1" t="str">
        <f>TRIM(LEFT(L1220,FIND("-",L1220)-1))</f>
        <v>Hải Châu</v>
      </c>
      <c r="AH1220" s="1" t="str">
        <f>TRIM(RIGHT(L1220, LEN(L1220) - FIND("-", L1220)))</f>
        <v>Hòa Cường</v>
      </c>
      <c r="AJ1220">
        <f t="shared" si="98"/>
        <v>6.8409999999999999E-2</v>
      </c>
      <c r="AK1220">
        <f t="shared" si="99"/>
        <v>0.20808000000000001</v>
      </c>
      <c r="AL1220" t="e">
        <f>VLOOKUP(L1220,'[1]Tuyến cáp H04'!$B:$E,3,0)/1000</f>
        <v>#N/A</v>
      </c>
      <c r="AM1220" t="e">
        <f>VLOOKUP(L1220,'[1]Tuyến cáp H04'!$B:$E,4,0)</f>
        <v>#N/A</v>
      </c>
    </row>
    <row r="1221" spans="1:39" x14ac:dyDescent="0.25">
      <c r="A1221" s="1" t="s">
        <v>11790</v>
      </c>
      <c r="B1221" s="1" t="s">
        <v>11791</v>
      </c>
      <c r="C1221" s="1" t="s">
        <v>11792</v>
      </c>
      <c r="D1221" s="1" t="s">
        <v>11793</v>
      </c>
      <c r="E1221" s="1" t="s">
        <v>11794</v>
      </c>
      <c r="F1221" s="1" t="s">
        <v>11795</v>
      </c>
      <c r="G1221" s="1" t="s">
        <v>14129</v>
      </c>
      <c r="H1221" s="1" t="s">
        <v>14133</v>
      </c>
      <c r="I1221" s="1" t="s">
        <v>15327</v>
      </c>
      <c r="J1221" s="1" t="s">
        <v>23</v>
      </c>
      <c r="K1221" s="1"/>
      <c r="L1221" s="1" t="s">
        <v>11796</v>
      </c>
      <c r="M1221" s="1" t="s">
        <v>11796</v>
      </c>
      <c r="N1221" s="12" t="b">
        <f t="shared" si="95"/>
        <v>1</v>
      </c>
      <c r="O1221" s="1" t="s">
        <v>11797</v>
      </c>
      <c r="P1221" s="1" t="s">
        <v>11798</v>
      </c>
      <c r="Q1221" s="1" t="s">
        <v>11799</v>
      </c>
      <c r="R1221" s="1" t="s">
        <v>11800</v>
      </c>
      <c r="S1221" s="1" t="s">
        <v>11801</v>
      </c>
      <c r="T1221" s="1" t="s">
        <v>11802</v>
      </c>
      <c r="U1221" s="1" t="s">
        <v>11803</v>
      </c>
      <c r="V1221" s="13">
        <f>COUNTIF(L1221:$M$1659,L1221)</f>
        <v>4</v>
      </c>
      <c r="W1221" s="1" t="s">
        <v>11804</v>
      </c>
      <c r="X1221">
        <v>172.38</v>
      </c>
      <c r="Y1221">
        <v>11.45</v>
      </c>
      <c r="Z1221">
        <v>16.037827</v>
      </c>
      <c r="AA1221">
        <v>108.215503</v>
      </c>
      <c r="AB1221">
        <v>160.93</v>
      </c>
      <c r="AC1221">
        <v>16.036906999999999</v>
      </c>
      <c r="AD1221">
        <v>108.216774</v>
      </c>
      <c r="AE1221" s="5">
        <f t="shared" si="96"/>
        <v>1.7174999999999996E-2</v>
      </c>
      <c r="AF1221" s="5">
        <f t="shared" si="97"/>
        <v>0.241395</v>
      </c>
      <c r="AG1221" s="1" t="str">
        <f>TRIM(LEFT(L1221,FIND("-",L1221)-1))</f>
        <v>Hòa CƯờng</v>
      </c>
      <c r="AH1221" s="1" t="str">
        <f>TRIM(RIGHT(L1221, LEN(L1221) - FIND("-", L1221)))</f>
        <v>TTKV Cẩm Lệ</v>
      </c>
      <c r="AJ1221">
        <f t="shared" si="98"/>
        <v>1.145E-2</v>
      </c>
      <c r="AK1221">
        <f t="shared" si="99"/>
        <v>0.16093000000000002</v>
      </c>
      <c r="AL1221" t="e">
        <f>VLOOKUP(L1221,'[1]Tuyến cáp H04'!$B:$E,3,0)/1000</f>
        <v>#N/A</v>
      </c>
      <c r="AM1221" t="e">
        <f>VLOOKUP(L1221,'[1]Tuyến cáp H04'!$B:$E,4,0)</f>
        <v>#N/A</v>
      </c>
    </row>
    <row r="1222" spans="1:39" x14ac:dyDescent="0.25">
      <c r="A1222" s="1" t="s">
        <v>11805</v>
      </c>
      <c r="B1222" s="1" t="s">
        <v>11791</v>
      </c>
      <c r="C1222" s="1" t="s">
        <v>11792</v>
      </c>
      <c r="D1222" s="1" t="s">
        <v>11806</v>
      </c>
      <c r="E1222" s="1" t="s">
        <v>11807</v>
      </c>
      <c r="F1222" s="1" t="s">
        <v>11808</v>
      </c>
      <c r="G1222" s="1" t="s">
        <v>14129</v>
      </c>
      <c r="H1222" s="1" t="s">
        <v>14133</v>
      </c>
      <c r="I1222" s="1" t="s">
        <v>15328</v>
      </c>
      <c r="J1222" s="1" t="s">
        <v>23</v>
      </c>
      <c r="K1222" s="1"/>
      <c r="L1222" s="1" t="s">
        <v>11760</v>
      </c>
      <c r="M1222" s="1" t="s">
        <v>11760</v>
      </c>
      <c r="N1222" s="12" t="b">
        <f t="shared" si="95"/>
        <v>1</v>
      </c>
      <c r="O1222" s="1" t="s">
        <v>11809</v>
      </c>
      <c r="P1222" s="1" t="s">
        <v>11810</v>
      </c>
      <c r="Q1222" s="1" t="s">
        <v>11811</v>
      </c>
      <c r="R1222" s="1" t="s">
        <v>11812</v>
      </c>
      <c r="S1222" s="1" t="s">
        <v>11813</v>
      </c>
      <c r="T1222" s="1" t="s">
        <v>11814</v>
      </c>
      <c r="U1222" s="1" t="s">
        <v>11815</v>
      </c>
      <c r="V1222" s="13">
        <f>COUNTIF(L1222:$M$1659,L1222)</f>
        <v>12</v>
      </c>
      <c r="W1222" s="1" t="s">
        <v>11768</v>
      </c>
      <c r="X1222">
        <v>45.27</v>
      </c>
      <c r="Y1222">
        <v>7.13</v>
      </c>
      <c r="Z1222">
        <v>16.037737</v>
      </c>
      <c r="AA1222">
        <v>108.215386</v>
      </c>
      <c r="AB1222">
        <v>38.14</v>
      </c>
      <c r="AC1222">
        <v>16.039169000000001</v>
      </c>
      <c r="AD1222">
        <v>108.215182</v>
      </c>
      <c r="AE1222" s="5">
        <f t="shared" si="96"/>
        <v>1.0695E-2</v>
      </c>
      <c r="AF1222" s="5">
        <f t="shared" si="97"/>
        <v>5.7210000000000004E-2</v>
      </c>
      <c r="AG1222" s="1" t="str">
        <f>TRIM(LEFT(L1222,FIND("-",L1222)-1))</f>
        <v>Hải Châu</v>
      </c>
      <c r="AH1222" s="1" t="str">
        <f>TRIM(RIGHT(L1222, LEN(L1222) - FIND("-", L1222)))</f>
        <v>Hòa Cường</v>
      </c>
      <c r="AJ1222">
        <f t="shared" si="98"/>
        <v>7.1300000000000001E-3</v>
      </c>
      <c r="AK1222">
        <f t="shared" si="99"/>
        <v>3.814E-2</v>
      </c>
      <c r="AL1222" t="e">
        <f>VLOOKUP(L1222,'[1]Tuyến cáp H04'!$B:$E,3,0)/1000</f>
        <v>#N/A</v>
      </c>
      <c r="AM1222" t="e">
        <f>VLOOKUP(L1222,'[1]Tuyến cáp H04'!$B:$E,4,0)</f>
        <v>#N/A</v>
      </c>
    </row>
    <row r="1223" spans="1:39" x14ac:dyDescent="0.25">
      <c r="A1223" s="1" t="s">
        <v>11816</v>
      </c>
      <c r="B1223" s="1" t="s">
        <v>11780</v>
      </c>
      <c r="C1223" s="1" t="s">
        <v>11781</v>
      </c>
      <c r="D1223" s="1" t="s">
        <v>11778</v>
      </c>
      <c r="E1223" s="1" t="s">
        <v>11779</v>
      </c>
      <c r="F1223" s="1" t="s">
        <v>11782</v>
      </c>
      <c r="G1223" s="1"/>
      <c r="H1223" s="1" t="s">
        <v>14133</v>
      </c>
      <c r="I1223" s="1" t="s">
        <v>15326</v>
      </c>
      <c r="J1223" s="1" t="s">
        <v>23</v>
      </c>
      <c r="K1223" s="1"/>
      <c r="L1223" s="1" t="s">
        <v>11760</v>
      </c>
      <c r="M1223" s="1" t="s">
        <v>11760</v>
      </c>
      <c r="N1223" s="12" t="b">
        <f t="shared" si="95"/>
        <v>1</v>
      </c>
      <c r="O1223" s="1" t="s">
        <v>11783</v>
      </c>
      <c r="P1223" s="1" t="s">
        <v>11787</v>
      </c>
      <c r="Q1223" s="1" t="s">
        <v>11788</v>
      </c>
      <c r="R1223" s="1" t="s">
        <v>11789</v>
      </c>
      <c r="S1223" s="1" t="s">
        <v>11784</v>
      </c>
      <c r="T1223" s="1" t="s">
        <v>11785</v>
      </c>
      <c r="U1223" s="1" t="s">
        <v>11786</v>
      </c>
      <c r="V1223" s="13">
        <f>COUNTIF(L1223:$M$1659,L1223)</f>
        <v>10</v>
      </c>
      <c r="W1223" s="1" t="s">
        <v>11768</v>
      </c>
      <c r="X1223">
        <v>276.48</v>
      </c>
      <c r="Y1223">
        <v>208.08</v>
      </c>
      <c r="Z1223">
        <v>16.073931000000002</v>
      </c>
      <c r="AA1223">
        <v>108.220707</v>
      </c>
      <c r="AB1223">
        <v>68.41</v>
      </c>
      <c r="AC1223">
        <v>16.078868</v>
      </c>
      <c r="AD1223">
        <v>108.22156699999999</v>
      </c>
      <c r="AE1223" s="5">
        <f t="shared" si="96"/>
        <v>0.31212000000000001</v>
      </c>
      <c r="AF1223" s="5">
        <f t="shared" si="97"/>
        <v>0.102615</v>
      </c>
      <c r="AG1223" s="1" t="str">
        <f>TRIM(LEFT(L1223,FIND("-",L1223)-1))</f>
        <v>Hải Châu</v>
      </c>
      <c r="AH1223" s="1" t="str">
        <f>TRIM(RIGHT(L1223, LEN(L1223) - FIND("-", L1223)))</f>
        <v>Hòa Cường</v>
      </c>
      <c r="AJ1223">
        <f t="shared" si="98"/>
        <v>0.20808000000000001</v>
      </c>
      <c r="AK1223">
        <f t="shared" si="99"/>
        <v>6.8409999999999999E-2</v>
      </c>
      <c r="AL1223" t="e">
        <f>VLOOKUP(L1223,'[1]Tuyến cáp H04'!$B:$E,3,0)/1000</f>
        <v>#N/A</v>
      </c>
      <c r="AM1223" t="e">
        <f>VLOOKUP(L1223,'[1]Tuyến cáp H04'!$B:$E,4,0)</f>
        <v>#N/A</v>
      </c>
    </row>
    <row r="1224" spans="1:39" x14ac:dyDescent="0.25">
      <c r="A1224" s="1" t="s">
        <v>11817</v>
      </c>
      <c r="B1224" s="1" t="s">
        <v>11818</v>
      </c>
      <c r="C1224" s="1" t="s">
        <v>11819</v>
      </c>
      <c r="D1224" s="1" t="s">
        <v>11820</v>
      </c>
      <c r="E1224" s="1" t="s">
        <v>11821</v>
      </c>
      <c r="F1224" s="1" t="s">
        <v>11822</v>
      </c>
      <c r="G1224" s="1" t="s">
        <v>14129</v>
      </c>
      <c r="H1224" s="1" t="s">
        <v>14133</v>
      </c>
      <c r="I1224" s="1" t="s">
        <v>15329</v>
      </c>
      <c r="J1224" s="1" t="s">
        <v>23</v>
      </c>
      <c r="K1224" s="1"/>
      <c r="L1224" s="1" t="s">
        <v>11045</v>
      </c>
      <c r="M1224" s="1" t="s">
        <v>11045</v>
      </c>
      <c r="N1224" s="12" t="b">
        <f t="shared" si="95"/>
        <v>1</v>
      </c>
      <c r="O1224" s="1" t="s">
        <v>11823</v>
      </c>
      <c r="P1224" s="1" t="s">
        <v>319</v>
      </c>
      <c r="Q1224" s="1" t="s">
        <v>11824</v>
      </c>
      <c r="R1224" s="1" t="s">
        <v>11825</v>
      </c>
      <c r="S1224" s="1" t="s">
        <v>11826</v>
      </c>
      <c r="T1224" s="1" t="s">
        <v>11827</v>
      </c>
      <c r="U1224" s="1" t="s">
        <v>11828</v>
      </c>
      <c r="V1224" s="13">
        <f>COUNTIF(L1224:$M$1659,L1224)</f>
        <v>16</v>
      </c>
      <c r="W1224" s="1" t="s">
        <v>11829</v>
      </c>
      <c r="X1224">
        <v>50.42</v>
      </c>
      <c r="Y1224">
        <v>7.22</v>
      </c>
      <c r="Z1224">
        <v>16.052781</v>
      </c>
      <c r="AA1224">
        <v>108.203267</v>
      </c>
      <c r="AB1224">
        <v>43.2</v>
      </c>
      <c r="AC1224">
        <v>16.051763000000001</v>
      </c>
      <c r="AD1224">
        <v>108.209971</v>
      </c>
      <c r="AE1224" s="5">
        <f t="shared" si="96"/>
        <v>1.0829999999999999E-2</v>
      </c>
      <c r="AF1224" s="5">
        <f t="shared" si="97"/>
        <v>6.480000000000001E-2</v>
      </c>
      <c r="AG1224" s="1" t="e">
        <f>TRIM(LEFT(L1224,FIND("-",L1224)-1))</f>
        <v>#VALUE!</v>
      </c>
      <c r="AH1224" s="1" t="e">
        <f>TRIM(RIGHT(L1224, LEN(L1224) - FIND("-", L1224)))</f>
        <v>#VALUE!</v>
      </c>
      <c r="AJ1224">
        <f t="shared" si="98"/>
        <v>7.2199999999999999E-3</v>
      </c>
      <c r="AK1224">
        <f t="shared" si="99"/>
        <v>4.3200000000000002E-2</v>
      </c>
      <c r="AL1224" t="e">
        <f>VLOOKUP(L1224,'[1]Tuyến cáp H04'!$B:$E,3,0)/1000</f>
        <v>#N/A</v>
      </c>
      <c r="AM1224" t="e">
        <f>VLOOKUP(L1224,'[1]Tuyến cáp H04'!$B:$E,4,0)</f>
        <v>#N/A</v>
      </c>
    </row>
    <row r="1225" spans="1:39" x14ac:dyDescent="0.25">
      <c r="A1225" s="1" t="s">
        <v>11830</v>
      </c>
      <c r="B1225" s="1" t="s">
        <v>11818</v>
      </c>
      <c r="C1225" s="1" t="s">
        <v>11819</v>
      </c>
      <c r="D1225" s="1" t="s">
        <v>11831</v>
      </c>
      <c r="E1225" s="1" t="s">
        <v>11832</v>
      </c>
      <c r="F1225" s="1" t="s">
        <v>11833</v>
      </c>
      <c r="G1225" s="1" t="s">
        <v>14129</v>
      </c>
      <c r="H1225" s="1" t="s">
        <v>14130</v>
      </c>
      <c r="I1225" s="1" t="s">
        <v>15330</v>
      </c>
      <c r="J1225" s="1" t="s">
        <v>23</v>
      </c>
      <c r="K1225" s="1"/>
      <c r="L1225" s="1" t="s">
        <v>11045</v>
      </c>
      <c r="M1225" s="1" t="s">
        <v>11045</v>
      </c>
      <c r="N1225" s="12" t="b">
        <f t="shared" si="95"/>
        <v>1</v>
      </c>
      <c r="O1225" s="1" t="s">
        <v>11834</v>
      </c>
      <c r="P1225" s="1" t="s">
        <v>319</v>
      </c>
      <c r="Q1225" s="1" t="s">
        <v>11824</v>
      </c>
      <c r="R1225" s="1" t="s">
        <v>11825</v>
      </c>
      <c r="S1225" s="1" t="s">
        <v>11835</v>
      </c>
      <c r="T1225" s="1" t="s">
        <v>11836</v>
      </c>
      <c r="U1225" s="1" t="s">
        <v>11837</v>
      </c>
      <c r="V1225" s="13">
        <f>COUNTIF(L1225:$M$1659,L1225)</f>
        <v>14</v>
      </c>
      <c r="W1225" s="1" t="s">
        <v>11829</v>
      </c>
      <c r="X1225">
        <v>434.2</v>
      </c>
      <c r="Y1225">
        <v>7.22</v>
      </c>
      <c r="Z1225">
        <v>16.052781</v>
      </c>
      <c r="AA1225">
        <v>108.203267</v>
      </c>
      <c r="AB1225">
        <v>426.99</v>
      </c>
      <c r="AC1225">
        <v>16.050820000000002</v>
      </c>
      <c r="AD1225">
        <v>108.20695000000001</v>
      </c>
      <c r="AE1225" s="5">
        <f t="shared" si="96"/>
        <v>1.0829999999999999E-2</v>
      </c>
      <c r="AF1225" s="5">
        <f t="shared" si="97"/>
        <v>0.64048499999999997</v>
      </c>
      <c r="AG1225" s="1" t="e">
        <f>TRIM(LEFT(L1225,FIND("-",L1225)-1))</f>
        <v>#VALUE!</v>
      </c>
      <c r="AH1225" s="1" t="e">
        <f>TRIM(RIGHT(L1225, LEN(L1225) - FIND("-", L1225)))</f>
        <v>#VALUE!</v>
      </c>
      <c r="AJ1225">
        <f t="shared" si="98"/>
        <v>7.2199999999999999E-3</v>
      </c>
      <c r="AK1225">
        <f t="shared" si="99"/>
        <v>0.42699000000000004</v>
      </c>
      <c r="AL1225" t="e">
        <f>VLOOKUP(L1225,'[1]Tuyến cáp H04'!$B:$E,3,0)/1000</f>
        <v>#N/A</v>
      </c>
      <c r="AM1225" t="e">
        <f>VLOOKUP(L1225,'[1]Tuyến cáp H04'!$B:$E,4,0)</f>
        <v>#N/A</v>
      </c>
    </row>
    <row r="1226" spans="1:39" x14ac:dyDescent="0.25">
      <c r="A1226" s="1" t="s">
        <v>11838</v>
      </c>
      <c r="B1226" s="1" t="s">
        <v>11839</v>
      </c>
      <c r="C1226" s="1" t="s">
        <v>11840</v>
      </c>
      <c r="D1226" s="1" t="s">
        <v>11841</v>
      </c>
      <c r="E1226" s="1" t="s">
        <v>11842</v>
      </c>
      <c r="F1226" s="1" t="s">
        <v>11843</v>
      </c>
      <c r="G1226" s="1" t="s">
        <v>14129</v>
      </c>
      <c r="H1226" s="1" t="s">
        <v>14133</v>
      </c>
      <c r="I1226" s="1" t="s">
        <v>15331</v>
      </c>
      <c r="J1226" s="1" t="s">
        <v>23</v>
      </c>
      <c r="K1226" s="1"/>
      <c r="L1226" s="1" t="s">
        <v>11844</v>
      </c>
      <c r="M1226" s="1" t="s">
        <v>11844</v>
      </c>
      <c r="N1226" s="12" t="b">
        <f t="shared" si="95"/>
        <v>1</v>
      </c>
      <c r="O1226" s="1" t="s">
        <v>11845</v>
      </c>
      <c r="P1226" s="1" t="s">
        <v>11846</v>
      </c>
      <c r="Q1226" s="1" t="s">
        <v>11847</v>
      </c>
      <c r="R1226" s="1" t="s">
        <v>11848</v>
      </c>
      <c r="S1226" s="1" t="s">
        <v>11849</v>
      </c>
      <c r="T1226" s="1" t="s">
        <v>11850</v>
      </c>
      <c r="U1226" s="1" t="s">
        <v>11851</v>
      </c>
      <c r="V1226" s="13">
        <f>COUNTIF(L1226:$M$1659,L1226)</f>
        <v>8</v>
      </c>
      <c r="W1226" s="1" t="s">
        <v>11852</v>
      </c>
      <c r="X1226">
        <v>1313.57</v>
      </c>
      <c r="Y1226">
        <v>878.82</v>
      </c>
      <c r="Z1226">
        <v>15.981011000000001</v>
      </c>
      <c r="AA1226">
        <v>108.208241</v>
      </c>
      <c r="AB1226">
        <v>434.75</v>
      </c>
      <c r="AC1226">
        <v>15.981517999999999</v>
      </c>
      <c r="AD1226">
        <v>108.21104</v>
      </c>
      <c r="AE1226" s="5">
        <f t="shared" si="96"/>
        <v>1.31823</v>
      </c>
      <c r="AF1226" s="5">
        <f t="shared" si="97"/>
        <v>0.65212499999999995</v>
      </c>
      <c r="AG1226" s="1" t="str">
        <f>TRIM(LEFT(L1226,FIND("-",L1226)-1))</f>
        <v>C09</v>
      </c>
      <c r="AH1226" s="1" t="str">
        <f>TRIM(RIGHT(L1226, LEN(L1226) - FIND("-", L1226)))</f>
        <v>A06</v>
      </c>
      <c r="AJ1226">
        <f t="shared" si="98"/>
        <v>0.87882000000000005</v>
      </c>
      <c r="AK1226">
        <f t="shared" si="99"/>
        <v>0.43475000000000003</v>
      </c>
      <c r="AL1226" t="e">
        <f>VLOOKUP(L1226,'[1]Tuyến cáp H04'!$B:$E,3,0)/1000</f>
        <v>#N/A</v>
      </c>
      <c r="AM1226" t="e">
        <f>VLOOKUP(L1226,'[1]Tuyến cáp H04'!$B:$E,4,0)</f>
        <v>#N/A</v>
      </c>
    </row>
    <row r="1227" spans="1:39" x14ac:dyDescent="0.25">
      <c r="A1227" s="1" t="s">
        <v>11853</v>
      </c>
      <c r="B1227" s="1" t="s">
        <v>11839</v>
      </c>
      <c r="C1227" s="1" t="s">
        <v>11840</v>
      </c>
      <c r="D1227" s="1" t="s">
        <v>11854</v>
      </c>
      <c r="E1227" s="1" t="s">
        <v>11855</v>
      </c>
      <c r="F1227" s="1" t="s">
        <v>11856</v>
      </c>
      <c r="G1227" s="1" t="s">
        <v>14129</v>
      </c>
      <c r="H1227" s="1" t="s">
        <v>14133</v>
      </c>
      <c r="I1227" s="1" t="s">
        <v>15332</v>
      </c>
      <c r="J1227" s="1" t="s">
        <v>23</v>
      </c>
      <c r="K1227" s="1"/>
      <c r="L1227" s="1" t="s">
        <v>11857</v>
      </c>
      <c r="M1227" s="1" t="s">
        <v>11857</v>
      </c>
      <c r="N1227" s="12" t="b">
        <f t="shared" si="95"/>
        <v>1</v>
      </c>
      <c r="O1227" s="1" t="s">
        <v>11858</v>
      </c>
      <c r="P1227" s="1" t="s">
        <v>11859</v>
      </c>
      <c r="Q1227" s="1" t="s">
        <v>11860</v>
      </c>
      <c r="R1227" s="1" t="s">
        <v>11861</v>
      </c>
      <c r="S1227" s="1" t="s">
        <v>11862</v>
      </c>
      <c r="T1227" s="1" t="s">
        <v>11863</v>
      </c>
      <c r="U1227" s="1" t="s">
        <v>11864</v>
      </c>
      <c r="V1227" s="13">
        <f>COUNTIF(L1227:$M$1659,L1227)</f>
        <v>4</v>
      </c>
      <c r="W1227" s="1" t="s">
        <v>11865</v>
      </c>
      <c r="X1227">
        <v>1383.89</v>
      </c>
      <c r="Y1227">
        <v>764.05</v>
      </c>
      <c r="Z1227">
        <v>15.982775999999999</v>
      </c>
      <c r="AA1227">
        <v>108.208083</v>
      </c>
      <c r="AB1227">
        <v>619.83000000000004</v>
      </c>
      <c r="AC1227">
        <v>15.972878</v>
      </c>
      <c r="AD1227">
        <v>108.208688</v>
      </c>
      <c r="AE1227" s="5">
        <f t="shared" si="96"/>
        <v>1.1460749999999997</v>
      </c>
      <c r="AF1227" s="5">
        <f t="shared" si="97"/>
        <v>0.92974500000000015</v>
      </c>
      <c r="AG1227" s="1" t="str">
        <f>TRIM(LEFT(L1227,FIND("-",L1227)-1))</f>
        <v>Cẩm Lệ</v>
      </c>
      <c r="AH1227" s="1" t="str">
        <f>TRIM(RIGHT(L1227, LEN(L1227) - FIND("-", L1227)))</f>
        <v>Điện Bàn</v>
      </c>
      <c r="AJ1227">
        <f t="shared" si="98"/>
        <v>0.76405000000000001</v>
      </c>
      <c r="AK1227">
        <f t="shared" si="99"/>
        <v>0.61982999999999999</v>
      </c>
      <c r="AL1227">
        <f>VLOOKUP(L1227,'[1]Tuyến cáp H04'!$B:$E,3,0)/1000</f>
        <v>17.334</v>
      </c>
      <c r="AM1227" t="str">
        <f>VLOOKUP(L1227,'[1]Tuyến cáp H04'!$B:$E,4,0)</f>
        <v>Mạng cấp 3</v>
      </c>
    </row>
    <row r="1228" spans="1:39" x14ac:dyDescent="0.25">
      <c r="A1228" s="1" t="s">
        <v>11866</v>
      </c>
      <c r="B1228" s="1" t="s">
        <v>11839</v>
      </c>
      <c r="C1228" s="1" t="s">
        <v>11840</v>
      </c>
      <c r="D1228" s="1" t="s">
        <v>11867</v>
      </c>
      <c r="E1228" s="1" t="s">
        <v>11868</v>
      </c>
      <c r="F1228" s="1" t="s">
        <v>11869</v>
      </c>
      <c r="G1228" s="1" t="s">
        <v>14129</v>
      </c>
      <c r="H1228" s="1" t="s">
        <v>14133</v>
      </c>
      <c r="I1228" s="1" t="s">
        <v>15333</v>
      </c>
      <c r="J1228" s="1" t="s">
        <v>23</v>
      </c>
      <c r="K1228" s="1"/>
      <c r="L1228" s="1" t="s">
        <v>11844</v>
      </c>
      <c r="M1228" s="1" t="s">
        <v>11844</v>
      </c>
      <c r="N1228" s="12" t="b">
        <f t="shared" si="95"/>
        <v>1</v>
      </c>
      <c r="O1228" s="1" t="s">
        <v>11870</v>
      </c>
      <c r="P1228" s="1" t="s">
        <v>11846</v>
      </c>
      <c r="Q1228" s="1" t="s">
        <v>11847</v>
      </c>
      <c r="R1228" s="1" t="s">
        <v>11848</v>
      </c>
      <c r="S1228" s="1" t="s">
        <v>11871</v>
      </c>
      <c r="T1228" s="1" t="s">
        <v>11872</v>
      </c>
      <c r="U1228" s="1" t="s">
        <v>11873</v>
      </c>
      <c r="V1228" s="13">
        <f>COUNTIF(L1228:$M$1659,L1228)</f>
        <v>6</v>
      </c>
      <c r="W1228" s="1" t="s">
        <v>11852</v>
      </c>
      <c r="X1228">
        <v>970.19</v>
      </c>
      <c r="Y1228">
        <v>878.82</v>
      </c>
      <c r="Z1228">
        <v>15.981011000000001</v>
      </c>
      <c r="AA1228">
        <v>108.208241</v>
      </c>
      <c r="AB1228">
        <v>91.37</v>
      </c>
      <c r="AC1228">
        <v>15.982246</v>
      </c>
      <c r="AD1228">
        <v>108.211079</v>
      </c>
      <c r="AE1228" s="5">
        <f t="shared" si="96"/>
        <v>1.31823</v>
      </c>
      <c r="AF1228" s="5">
        <f t="shared" si="97"/>
        <v>0.13705500000000001</v>
      </c>
      <c r="AG1228" s="1" t="str">
        <f>TRIM(LEFT(L1228,FIND("-",L1228)-1))</f>
        <v>C09</v>
      </c>
      <c r="AH1228" s="1" t="str">
        <f>TRIM(RIGHT(L1228, LEN(L1228) - FIND("-", L1228)))</f>
        <v>A06</v>
      </c>
      <c r="AJ1228">
        <f t="shared" si="98"/>
        <v>0.87882000000000005</v>
      </c>
      <c r="AK1228">
        <f t="shared" si="99"/>
        <v>9.1370000000000007E-2</v>
      </c>
      <c r="AL1228" t="e">
        <f>VLOOKUP(L1228,'[1]Tuyến cáp H04'!$B:$E,3,0)/1000</f>
        <v>#N/A</v>
      </c>
      <c r="AM1228" t="e">
        <f>VLOOKUP(L1228,'[1]Tuyến cáp H04'!$B:$E,4,0)</f>
        <v>#N/A</v>
      </c>
    </row>
    <row r="1229" spans="1:39" x14ac:dyDescent="0.25">
      <c r="A1229" s="1" t="s">
        <v>11874</v>
      </c>
      <c r="B1229" s="1" t="s">
        <v>11839</v>
      </c>
      <c r="C1229" s="1" t="s">
        <v>11840</v>
      </c>
      <c r="D1229" s="1" t="s">
        <v>11875</v>
      </c>
      <c r="E1229" s="1" t="s">
        <v>11876</v>
      </c>
      <c r="F1229" s="1" t="s">
        <v>11877</v>
      </c>
      <c r="G1229" s="1" t="s">
        <v>14129</v>
      </c>
      <c r="H1229" s="1" t="s">
        <v>14133</v>
      </c>
      <c r="I1229" s="1" t="s">
        <v>15334</v>
      </c>
      <c r="J1229" s="1" t="s">
        <v>23</v>
      </c>
      <c r="K1229" s="1"/>
      <c r="L1229" s="1" t="s">
        <v>11878</v>
      </c>
      <c r="M1229" s="1" t="s">
        <v>11878</v>
      </c>
      <c r="N1229" s="12" t="b">
        <f t="shared" si="95"/>
        <v>1</v>
      </c>
      <c r="O1229" s="1" t="s">
        <v>11879</v>
      </c>
      <c r="P1229" s="1" t="s">
        <v>11880</v>
      </c>
      <c r="Q1229" s="1" t="s">
        <v>11881</v>
      </c>
      <c r="R1229" s="1" t="s">
        <v>11882</v>
      </c>
      <c r="S1229" s="1" t="s">
        <v>11883</v>
      </c>
      <c r="T1229" s="1" t="s">
        <v>11881</v>
      </c>
      <c r="U1229" s="1" t="s">
        <v>11882</v>
      </c>
      <c r="V1229" s="13">
        <f>COUNTIF(L1229:$M$1659,L1229)</f>
        <v>10</v>
      </c>
      <c r="W1229" s="1" t="s">
        <v>11884</v>
      </c>
      <c r="X1229">
        <v>71.22</v>
      </c>
      <c r="Y1229">
        <v>3.69</v>
      </c>
      <c r="Z1229">
        <v>15.985678999999999</v>
      </c>
      <c r="AA1229">
        <v>108.201567</v>
      </c>
      <c r="AB1229">
        <v>67.53</v>
      </c>
      <c r="AC1229">
        <v>15.985678999999999</v>
      </c>
      <c r="AD1229">
        <v>108.201567</v>
      </c>
      <c r="AE1229" s="5">
        <f t="shared" si="96"/>
        <v>5.535E-3</v>
      </c>
      <c r="AF1229" s="5">
        <f t="shared" si="97"/>
        <v>0.101295</v>
      </c>
      <c r="AG1229" s="1" t="str">
        <f>TRIM(LEFT(L1229,FIND("-",L1229)-1))</f>
        <v>TTKV Ngũ Hành Sơn</v>
      </c>
      <c r="AH1229" s="1" t="str">
        <f>TRIM(RIGHT(L1229, LEN(L1229) - FIND("-", L1229)))</f>
        <v>Hòa Xuân</v>
      </c>
      <c r="AJ1229">
        <f t="shared" si="98"/>
        <v>3.6900000000000001E-3</v>
      </c>
      <c r="AK1229">
        <f t="shared" si="99"/>
        <v>6.7530000000000007E-2</v>
      </c>
      <c r="AL1229" t="e">
        <f>VLOOKUP(L1229,'[1]Tuyến cáp H04'!$B:$E,3,0)/1000</f>
        <v>#N/A</v>
      </c>
      <c r="AM1229" t="e">
        <f>VLOOKUP(L1229,'[1]Tuyến cáp H04'!$B:$E,4,0)</f>
        <v>#N/A</v>
      </c>
    </row>
    <row r="1230" spans="1:39" x14ac:dyDescent="0.25">
      <c r="A1230" s="1" t="s">
        <v>11885</v>
      </c>
      <c r="B1230" s="1" t="s">
        <v>11839</v>
      </c>
      <c r="C1230" s="1" t="s">
        <v>11840</v>
      </c>
      <c r="D1230" s="1" t="s">
        <v>11886</v>
      </c>
      <c r="E1230" s="1" t="s">
        <v>11887</v>
      </c>
      <c r="F1230" s="1" t="s">
        <v>11888</v>
      </c>
      <c r="G1230" s="1" t="s">
        <v>14129</v>
      </c>
      <c r="H1230" s="1" t="s">
        <v>14133</v>
      </c>
      <c r="I1230" s="1" t="s">
        <v>15335</v>
      </c>
      <c r="J1230" s="1" t="s">
        <v>23</v>
      </c>
      <c r="K1230" s="1"/>
      <c r="L1230" s="1" t="s">
        <v>11844</v>
      </c>
      <c r="M1230" s="1" t="s">
        <v>11844</v>
      </c>
      <c r="N1230" s="12" t="b">
        <f t="shared" si="95"/>
        <v>1</v>
      </c>
      <c r="O1230" s="1" t="s">
        <v>11889</v>
      </c>
      <c r="P1230" s="1" t="s">
        <v>11846</v>
      </c>
      <c r="Q1230" s="1" t="s">
        <v>11847</v>
      </c>
      <c r="R1230" s="1" t="s">
        <v>11848</v>
      </c>
      <c r="S1230" s="1" t="s">
        <v>11890</v>
      </c>
      <c r="T1230" s="1" t="s">
        <v>11850</v>
      </c>
      <c r="U1230" s="1" t="s">
        <v>11851</v>
      </c>
      <c r="V1230" s="13">
        <f>COUNTIF(L1230:$M$1659,L1230)</f>
        <v>4</v>
      </c>
      <c r="W1230" s="1" t="s">
        <v>11852</v>
      </c>
      <c r="X1230">
        <v>1039.6600000000001</v>
      </c>
      <c r="Y1230">
        <v>878.82</v>
      </c>
      <c r="Z1230">
        <v>15.981011000000001</v>
      </c>
      <c r="AA1230">
        <v>108.208241</v>
      </c>
      <c r="AB1230">
        <v>160.84</v>
      </c>
      <c r="AC1230">
        <v>15.981517999999999</v>
      </c>
      <c r="AD1230">
        <v>108.21104</v>
      </c>
      <c r="AE1230" s="5">
        <f t="shared" si="96"/>
        <v>1.31823</v>
      </c>
      <c r="AF1230" s="5">
        <f t="shared" si="97"/>
        <v>0.24126</v>
      </c>
      <c r="AG1230" s="1" t="str">
        <f>TRIM(LEFT(L1230,FIND("-",L1230)-1))</f>
        <v>C09</v>
      </c>
      <c r="AH1230" s="1" t="str">
        <f>TRIM(RIGHT(L1230, LEN(L1230) - FIND("-", L1230)))</f>
        <v>A06</v>
      </c>
      <c r="AJ1230">
        <f t="shared" si="98"/>
        <v>0.87882000000000005</v>
      </c>
      <c r="AK1230">
        <f t="shared" si="99"/>
        <v>0.16084000000000001</v>
      </c>
      <c r="AL1230" t="e">
        <f>VLOOKUP(L1230,'[1]Tuyến cáp H04'!$B:$E,3,0)/1000</f>
        <v>#N/A</v>
      </c>
      <c r="AM1230" t="e">
        <f>VLOOKUP(L1230,'[1]Tuyến cáp H04'!$B:$E,4,0)</f>
        <v>#N/A</v>
      </c>
    </row>
    <row r="1231" spans="1:39" x14ac:dyDescent="0.25">
      <c r="A1231" s="1" t="s">
        <v>11891</v>
      </c>
      <c r="B1231" s="1" t="s">
        <v>11839</v>
      </c>
      <c r="C1231" s="1" t="s">
        <v>11840</v>
      </c>
      <c r="D1231" s="1" t="e">
        <v>#N/A</v>
      </c>
      <c r="E1231" s="1" t="e">
        <v>#N/A</v>
      </c>
      <c r="F1231" s="1" t="s">
        <v>11892</v>
      </c>
      <c r="G1231" s="1" t="s">
        <v>14129</v>
      </c>
      <c r="H1231" s="1" t="s">
        <v>14532</v>
      </c>
      <c r="I1231" s="1" t="s">
        <v>15336</v>
      </c>
      <c r="J1231" s="1" t="s">
        <v>5166</v>
      </c>
      <c r="K1231" s="1" t="s">
        <v>11893</v>
      </c>
      <c r="L1231" s="1"/>
      <c r="M1231" s="1"/>
      <c r="N1231" s="12" t="b">
        <f t="shared" si="95"/>
        <v>1</v>
      </c>
      <c r="O1231" s="1"/>
      <c r="P1231" s="1"/>
      <c r="Q1231" s="1"/>
      <c r="R1231" s="1"/>
      <c r="S1231" s="1"/>
      <c r="T1231" s="1"/>
      <c r="U1231" s="1"/>
      <c r="V1231" s="13">
        <f>COUNTIF(L1231:$M$1659,L1231)</f>
        <v>0</v>
      </c>
      <c r="W1231" s="1"/>
      <c r="AE1231" s="5"/>
      <c r="AF1231" s="5"/>
      <c r="AG1231" s="1"/>
      <c r="AH1231" s="1"/>
      <c r="AL1231" t="e">
        <f>VLOOKUP(L1231,'[1]Tuyến cáp H04'!$B:$E,3,0)/1000</f>
        <v>#N/A</v>
      </c>
      <c r="AM1231" t="e">
        <f>VLOOKUP(L1231,'[1]Tuyến cáp H04'!$B:$E,4,0)</f>
        <v>#N/A</v>
      </c>
    </row>
    <row r="1232" spans="1:39" x14ac:dyDescent="0.25">
      <c r="A1232" s="1" t="s">
        <v>11894</v>
      </c>
      <c r="B1232" s="1" t="s">
        <v>11839</v>
      </c>
      <c r="C1232" s="1" t="s">
        <v>11840</v>
      </c>
      <c r="D1232" s="1" t="e">
        <v>#N/A</v>
      </c>
      <c r="E1232" s="1" t="e">
        <v>#N/A</v>
      </c>
      <c r="F1232" s="1" t="s">
        <v>11895</v>
      </c>
      <c r="G1232" s="1" t="s">
        <v>14129</v>
      </c>
      <c r="H1232" s="1" t="s">
        <v>14532</v>
      </c>
      <c r="I1232" s="1" t="s">
        <v>15337</v>
      </c>
      <c r="J1232" s="1" t="s">
        <v>5166</v>
      </c>
      <c r="K1232" s="1" t="s">
        <v>11893</v>
      </c>
      <c r="L1232" s="1"/>
      <c r="M1232" s="1"/>
      <c r="N1232" s="12" t="b">
        <f t="shared" si="95"/>
        <v>1</v>
      </c>
      <c r="O1232" s="1"/>
      <c r="P1232" s="1"/>
      <c r="Q1232" s="1"/>
      <c r="R1232" s="1"/>
      <c r="S1232" s="1"/>
      <c r="T1232" s="1"/>
      <c r="U1232" s="1"/>
      <c r="V1232" s="13">
        <f>COUNTIF(L1232:$M$1659,L1232)</f>
        <v>0</v>
      </c>
      <c r="W1232" s="1"/>
      <c r="AE1232" s="5"/>
      <c r="AF1232" s="5"/>
      <c r="AG1232" s="1"/>
      <c r="AH1232" s="1"/>
      <c r="AL1232" t="e">
        <f>VLOOKUP(L1232,'[1]Tuyến cáp H04'!$B:$E,3,0)/1000</f>
        <v>#N/A</v>
      </c>
      <c r="AM1232" t="e">
        <f>VLOOKUP(L1232,'[1]Tuyến cáp H04'!$B:$E,4,0)</f>
        <v>#N/A</v>
      </c>
    </row>
    <row r="1233" spans="1:39" x14ac:dyDescent="0.25">
      <c r="A1233" s="1" t="s">
        <v>11896</v>
      </c>
      <c r="B1233" s="1" t="s">
        <v>11897</v>
      </c>
      <c r="C1233" s="1" t="s">
        <v>11898</v>
      </c>
      <c r="D1233" s="1" t="s">
        <v>11899</v>
      </c>
      <c r="E1233" s="1" t="s">
        <v>11900</v>
      </c>
      <c r="F1233" s="1" t="s">
        <v>11901</v>
      </c>
      <c r="G1233" s="1" t="s">
        <v>14129</v>
      </c>
      <c r="H1233" s="1" t="s">
        <v>14133</v>
      </c>
      <c r="I1233" s="1" t="s">
        <v>15338</v>
      </c>
      <c r="J1233" s="1" t="s">
        <v>23</v>
      </c>
      <c r="K1233" s="1"/>
      <c r="L1233" s="1" t="s">
        <v>11902</v>
      </c>
      <c r="M1233" s="1" t="s">
        <v>11902</v>
      </c>
      <c r="N1233" s="12" t="b">
        <f t="shared" si="95"/>
        <v>1</v>
      </c>
      <c r="O1233" s="1" t="s">
        <v>11903</v>
      </c>
      <c r="P1233" s="1" t="s">
        <v>11904</v>
      </c>
      <c r="Q1233" s="1" t="s">
        <v>11905</v>
      </c>
      <c r="R1233" s="1" t="s">
        <v>11906</v>
      </c>
      <c r="S1233" s="1" t="s">
        <v>11907</v>
      </c>
      <c r="T1233" s="1" t="s">
        <v>11908</v>
      </c>
      <c r="U1233" s="1" t="s">
        <v>11909</v>
      </c>
      <c r="V1233" s="13">
        <f>COUNTIF(L1233:$M$1659,L1233)</f>
        <v>26</v>
      </c>
      <c r="W1233" s="1" t="s">
        <v>11910</v>
      </c>
      <c r="X1233">
        <v>56.27</v>
      </c>
      <c r="Y1233">
        <v>12.02</v>
      </c>
      <c r="Z1233">
        <v>16.078043999999998</v>
      </c>
      <c r="AA1233">
        <v>108.11501800000001</v>
      </c>
      <c r="AB1233">
        <v>44.25</v>
      </c>
      <c r="AC1233">
        <v>16.077950000000001</v>
      </c>
      <c r="AD1233">
        <v>108.11497199999999</v>
      </c>
      <c r="AE1233" s="5">
        <f t="shared" si="96"/>
        <v>1.8030000000000001E-2</v>
      </c>
      <c r="AF1233" s="5">
        <f t="shared" si="97"/>
        <v>6.6375000000000003E-2</v>
      </c>
      <c r="AG1233" s="1" t="str">
        <f>TRIM(LEFT(L1233,FIND("-",L1233)-1))</f>
        <v>Trạm CSGT Hòa Hiệp</v>
      </c>
      <c r="AH1233" s="1" t="str">
        <f>TRIM(RIGHT(L1233, LEN(L1233) - FIND("-", L1233)))</f>
        <v>Trại giam CATP</v>
      </c>
      <c r="AJ1233">
        <f t="shared" si="98"/>
        <v>1.2019999999999999E-2</v>
      </c>
      <c r="AK1233">
        <f t="shared" si="99"/>
        <v>4.4249999999999998E-2</v>
      </c>
      <c r="AL1233">
        <f>VLOOKUP(L1233,'[1]Tuyến cáp H04'!$B:$E,3,0)/1000</f>
        <v>9.7919999999999998</v>
      </c>
      <c r="AM1233" t="str">
        <f>VLOOKUP(L1233,'[1]Tuyến cáp H04'!$B:$E,4,0)</f>
        <v>Mạng cấp 3</v>
      </c>
    </row>
    <row r="1234" spans="1:39" x14ac:dyDescent="0.25">
      <c r="A1234" s="1" t="s">
        <v>11911</v>
      </c>
      <c r="B1234" s="1" t="s">
        <v>11912</v>
      </c>
      <c r="C1234" s="1" t="s">
        <v>11913</v>
      </c>
      <c r="D1234" s="1" t="s">
        <v>11914</v>
      </c>
      <c r="E1234" s="1" t="s">
        <v>11915</v>
      </c>
      <c r="F1234" s="1" t="s">
        <v>11916</v>
      </c>
      <c r="G1234" s="1" t="s">
        <v>14129</v>
      </c>
      <c r="H1234" s="1" t="s">
        <v>14532</v>
      </c>
      <c r="I1234" s="1" t="s">
        <v>15339</v>
      </c>
      <c r="J1234" s="1" t="s">
        <v>23</v>
      </c>
      <c r="K1234" s="1"/>
      <c r="L1234" s="1" t="s">
        <v>11917</v>
      </c>
      <c r="M1234" s="1" t="s">
        <v>11917</v>
      </c>
      <c r="N1234" s="12" t="b">
        <f t="shared" si="95"/>
        <v>1</v>
      </c>
      <c r="O1234" s="1" t="s">
        <v>11918</v>
      </c>
      <c r="P1234" s="1" t="s">
        <v>11919</v>
      </c>
      <c r="Q1234" s="1" t="s">
        <v>11920</v>
      </c>
      <c r="R1234" s="1" t="s">
        <v>11921</v>
      </c>
      <c r="S1234" s="1" t="s">
        <v>11922</v>
      </c>
      <c r="T1234" s="1" t="s">
        <v>11923</v>
      </c>
      <c r="U1234" s="1" t="s">
        <v>11924</v>
      </c>
      <c r="V1234" s="13">
        <f>COUNTIF(L1234:$M$1659,L1234)</f>
        <v>4</v>
      </c>
      <c r="W1234" s="1" t="s">
        <v>11925</v>
      </c>
      <c r="X1234">
        <v>1791</v>
      </c>
      <c r="Y1234">
        <v>41.12</v>
      </c>
      <c r="Z1234">
        <v>16.046609</v>
      </c>
      <c r="AA1234">
        <v>108.15746300000001</v>
      </c>
      <c r="AB1234">
        <v>1749.89</v>
      </c>
      <c r="AC1234">
        <v>16.049126000000001</v>
      </c>
      <c r="AD1234">
        <v>108.160696</v>
      </c>
      <c r="AE1234" s="5">
        <f t="shared" si="96"/>
        <v>6.1679999999999992E-2</v>
      </c>
      <c r="AF1234" s="5">
        <f t="shared" si="97"/>
        <v>2.624835</v>
      </c>
      <c r="AG1234" s="1" t="str">
        <f>TRIM(LEFT(L1234,FIND("-",L1234)-1))</f>
        <v>TT1 Đà Nẵng</v>
      </c>
      <c r="AH1234" s="1" t="str">
        <f>TRIM(RIGHT(L1234, LEN(L1234) - FIND("-", L1234)))</f>
        <v>PK02</v>
      </c>
      <c r="AJ1234">
        <f t="shared" si="98"/>
        <v>4.1119999999999997E-2</v>
      </c>
      <c r="AK1234">
        <f t="shared" si="99"/>
        <v>1.7498900000000002</v>
      </c>
      <c r="AL1234">
        <f>VLOOKUP(L1234,'[1]Tuyến cáp H04'!$B:$E,3,0)/1000</f>
        <v>8.9160000000000004</v>
      </c>
      <c r="AM1234" t="str">
        <f>VLOOKUP(L1234,'[1]Tuyến cáp H04'!$B:$E,4,0)</f>
        <v>Mạng cấp 3</v>
      </c>
    </row>
    <row r="1235" spans="1:39" x14ac:dyDescent="0.25">
      <c r="A1235" s="1" t="s">
        <v>11926</v>
      </c>
      <c r="B1235" s="1" t="s">
        <v>11912</v>
      </c>
      <c r="C1235" s="1" t="s">
        <v>11913</v>
      </c>
      <c r="D1235" s="1" t="s">
        <v>11927</v>
      </c>
      <c r="E1235" s="1" t="s">
        <v>11928</v>
      </c>
      <c r="F1235" s="1" t="s">
        <v>11929</v>
      </c>
      <c r="G1235" s="1" t="s">
        <v>14129</v>
      </c>
      <c r="H1235" s="1" t="s">
        <v>14532</v>
      </c>
      <c r="I1235" s="1" t="s">
        <v>15340</v>
      </c>
      <c r="J1235" s="1" t="s">
        <v>23</v>
      </c>
      <c r="K1235" s="1"/>
      <c r="L1235" s="1" t="s">
        <v>11930</v>
      </c>
      <c r="M1235" s="1" t="s">
        <v>11930</v>
      </c>
      <c r="N1235" s="12" t="b">
        <f t="shared" si="95"/>
        <v>1</v>
      </c>
      <c r="O1235" s="1" t="s">
        <v>11931</v>
      </c>
      <c r="P1235" s="1" t="s">
        <v>11932</v>
      </c>
      <c r="Q1235" s="1" t="s">
        <v>11933</v>
      </c>
      <c r="R1235" s="1" t="s">
        <v>11934</v>
      </c>
      <c r="S1235" s="1" t="s">
        <v>11935</v>
      </c>
      <c r="T1235" s="1" t="s">
        <v>11936</v>
      </c>
      <c r="U1235" s="1" t="s">
        <v>11937</v>
      </c>
      <c r="V1235" s="13">
        <f>COUNTIF(L1235:$M$1659,L1235)</f>
        <v>6</v>
      </c>
      <c r="W1235" s="1" t="s">
        <v>11938</v>
      </c>
      <c r="X1235">
        <v>121.93</v>
      </c>
      <c r="Y1235">
        <v>33.35</v>
      </c>
      <c r="Z1235">
        <v>16.046617000000001</v>
      </c>
      <c r="AA1235">
        <v>108.15738899999999</v>
      </c>
      <c r="AB1235">
        <v>88.58</v>
      </c>
      <c r="AC1235">
        <v>16.053637999999999</v>
      </c>
      <c r="AD1235">
        <v>108.157757</v>
      </c>
      <c r="AE1235" s="5">
        <f t="shared" si="96"/>
        <v>5.0025000000000007E-2</v>
      </c>
      <c r="AF1235" s="5">
        <f t="shared" si="97"/>
        <v>0.13287000000000002</v>
      </c>
      <c r="AG1235" s="1" t="str">
        <f>TRIM(LEFT(L1235,FIND("-",L1235)-1))</f>
        <v>PK02</v>
      </c>
      <c r="AH1235" s="1" t="str">
        <f>TRIM(RIGHT(L1235, LEN(L1235) - FIND("-", L1235)))</f>
        <v>TTCMKV Liên Chiểu</v>
      </c>
      <c r="AJ1235">
        <f t="shared" si="98"/>
        <v>3.3350000000000005E-2</v>
      </c>
      <c r="AK1235">
        <f t="shared" si="99"/>
        <v>8.8579999999999992E-2</v>
      </c>
      <c r="AL1235">
        <f>VLOOKUP(L1235,'[1]Tuyến cáp H04'!$B:$E,3,0)/1000</f>
        <v>5.165</v>
      </c>
      <c r="AM1235" t="str">
        <f>VLOOKUP(L1235,'[1]Tuyến cáp H04'!$B:$E,4,0)</f>
        <v>Mạng cấp 3</v>
      </c>
    </row>
    <row r="1236" spans="1:39" x14ac:dyDescent="0.25">
      <c r="A1236" s="1" t="s">
        <v>11939</v>
      </c>
      <c r="B1236" s="1" t="s">
        <v>11940</v>
      </c>
      <c r="C1236" s="1" t="s">
        <v>11941</v>
      </c>
      <c r="D1236" s="1" t="s">
        <v>11942</v>
      </c>
      <c r="E1236" s="1" t="s">
        <v>11943</v>
      </c>
      <c r="F1236" s="1" t="s">
        <v>11944</v>
      </c>
      <c r="G1236" s="1" t="s">
        <v>14129</v>
      </c>
      <c r="H1236" s="1" t="s">
        <v>14130</v>
      </c>
      <c r="I1236" s="1" t="s">
        <v>15341</v>
      </c>
      <c r="J1236" s="1" t="s">
        <v>23</v>
      </c>
      <c r="K1236" s="1"/>
      <c r="L1236" s="1" t="s">
        <v>11902</v>
      </c>
      <c r="M1236" s="1" t="s">
        <v>11902</v>
      </c>
      <c r="N1236" s="12" t="b">
        <f t="shared" si="95"/>
        <v>1</v>
      </c>
      <c r="O1236" s="1" t="s">
        <v>11945</v>
      </c>
      <c r="P1236" s="1" t="s">
        <v>11946</v>
      </c>
      <c r="Q1236" s="1" t="s">
        <v>11947</v>
      </c>
      <c r="R1236" s="1" t="s">
        <v>11948</v>
      </c>
      <c r="S1236" s="1" t="s">
        <v>11949</v>
      </c>
      <c r="T1236" s="1" t="s">
        <v>11950</v>
      </c>
      <c r="U1236" s="1" t="s">
        <v>11951</v>
      </c>
      <c r="V1236" s="13">
        <f>COUNTIF(L1236:$M$1659,L1236)</f>
        <v>24</v>
      </c>
      <c r="W1236" s="1" t="s">
        <v>11952</v>
      </c>
      <c r="X1236">
        <v>1713.56</v>
      </c>
      <c r="Y1236">
        <v>20.38</v>
      </c>
      <c r="Z1236">
        <v>16.140616000000001</v>
      </c>
      <c r="AA1236">
        <v>108.11979100000001</v>
      </c>
      <c r="AB1236">
        <v>1693.18</v>
      </c>
      <c r="AC1236">
        <v>16.128188999999999</v>
      </c>
      <c r="AD1236">
        <v>108.11491700000001</v>
      </c>
      <c r="AE1236" s="5">
        <f t="shared" si="96"/>
        <v>3.057E-2</v>
      </c>
      <c r="AF1236" s="5">
        <f t="shared" si="97"/>
        <v>2.5397699999999999</v>
      </c>
      <c r="AG1236" s="1" t="str">
        <f>TRIM(LEFT(L1236,FIND("-",L1236)-1))</f>
        <v>Trạm CSGT Hòa Hiệp</v>
      </c>
      <c r="AH1236" s="1" t="str">
        <f>TRIM(RIGHT(L1236, LEN(L1236) - FIND("-", L1236)))</f>
        <v>Trại giam CATP</v>
      </c>
      <c r="AJ1236">
        <f t="shared" si="98"/>
        <v>2.0379999999999999E-2</v>
      </c>
      <c r="AK1236">
        <f t="shared" si="99"/>
        <v>1.6931800000000001</v>
      </c>
      <c r="AL1236">
        <f>VLOOKUP(L1236,'[1]Tuyến cáp H04'!$B:$E,3,0)/1000</f>
        <v>9.7919999999999998</v>
      </c>
      <c r="AM1236" t="str">
        <f>VLOOKUP(L1236,'[1]Tuyến cáp H04'!$B:$E,4,0)</f>
        <v>Mạng cấp 3</v>
      </c>
    </row>
    <row r="1237" spans="1:39" x14ac:dyDescent="0.25">
      <c r="A1237" s="1" t="s">
        <v>11953</v>
      </c>
      <c r="B1237" s="1" t="s">
        <v>11940</v>
      </c>
      <c r="C1237" s="1" t="s">
        <v>11941</v>
      </c>
      <c r="D1237" s="1" t="s">
        <v>11954</v>
      </c>
      <c r="E1237" s="1" t="s">
        <v>11955</v>
      </c>
      <c r="F1237" s="1" t="s">
        <v>11956</v>
      </c>
      <c r="G1237" s="1" t="s">
        <v>14129</v>
      </c>
      <c r="H1237" s="1" t="s">
        <v>14133</v>
      </c>
      <c r="I1237" s="1" t="s">
        <v>15342</v>
      </c>
      <c r="J1237" s="1" t="s">
        <v>23</v>
      </c>
      <c r="K1237" s="1"/>
      <c r="L1237" s="1" t="s">
        <v>11902</v>
      </c>
      <c r="M1237" s="1" t="s">
        <v>11902</v>
      </c>
      <c r="N1237" s="12" t="b">
        <f t="shared" si="95"/>
        <v>1</v>
      </c>
      <c r="O1237" s="1" t="s">
        <v>11957</v>
      </c>
      <c r="P1237" s="1" t="s">
        <v>11946</v>
      </c>
      <c r="Q1237" s="1" t="s">
        <v>11947</v>
      </c>
      <c r="R1237" s="1" t="s">
        <v>11948</v>
      </c>
      <c r="S1237" s="1" t="s">
        <v>11958</v>
      </c>
      <c r="T1237" s="1" t="s">
        <v>11959</v>
      </c>
      <c r="U1237" s="1" t="s">
        <v>11960</v>
      </c>
      <c r="V1237" s="13">
        <f>COUNTIF(L1237:$M$1659,L1237)</f>
        <v>22</v>
      </c>
      <c r="W1237" s="1" t="s">
        <v>11952</v>
      </c>
      <c r="X1237">
        <v>129.5</v>
      </c>
      <c r="Y1237">
        <v>20.38</v>
      </c>
      <c r="Z1237">
        <v>16.140616000000001</v>
      </c>
      <c r="AA1237">
        <v>108.11979100000001</v>
      </c>
      <c r="AB1237">
        <v>109.11</v>
      </c>
      <c r="AC1237">
        <v>16.125029000000001</v>
      </c>
      <c r="AD1237">
        <v>108.12010600000001</v>
      </c>
      <c r="AE1237" s="5">
        <f t="shared" si="96"/>
        <v>3.057E-2</v>
      </c>
      <c r="AF1237" s="5">
        <f t="shared" si="97"/>
        <v>0.163665</v>
      </c>
      <c r="AG1237" s="1" t="str">
        <f>TRIM(LEFT(L1237,FIND("-",L1237)-1))</f>
        <v>Trạm CSGT Hòa Hiệp</v>
      </c>
      <c r="AH1237" s="1" t="str">
        <f>TRIM(RIGHT(L1237, LEN(L1237) - FIND("-", L1237)))</f>
        <v>Trại giam CATP</v>
      </c>
      <c r="AJ1237">
        <f t="shared" si="98"/>
        <v>2.0379999999999999E-2</v>
      </c>
      <c r="AK1237">
        <f t="shared" si="99"/>
        <v>0.10911</v>
      </c>
      <c r="AL1237">
        <f>VLOOKUP(L1237,'[1]Tuyến cáp H04'!$B:$E,3,0)/1000</f>
        <v>9.7919999999999998</v>
      </c>
      <c r="AM1237" t="str">
        <f>VLOOKUP(L1237,'[1]Tuyến cáp H04'!$B:$E,4,0)</f>
        <v>Mạng cấp 3</v>
      </c>
    </row>
    <row r="1238" spans="1:39" x14ac:dyDescent="0.25">
      <c r="A1238" s="1" t="s">
        <v>11961</v>
      </c>
      <c r="B1238" s="1" t="s">
        <v>11940</v>
      </c>
      <c r="C1238" s="1" t="s">
        <v>11941</v>
      </c>
      <c r="D1238" s="1" t="s">
        <v>11962</v>
      </c>
      <c r="E1238" s="1" t="s">
        <v>11963</v>
      </c>
      <c r="F1238" s="1" t="s">
        <v>11964</v>
      </c>
      <c r="G1238" s="1" t="s">
        <v>14129</v>
      </c>
      <c r="H1238" s="1" t="s">
        <v>14133</v>
      </c>
      <c r="I1238" s="1" t="s">
        <v>15343</v>
      </c>
      <c r="J1238" s="1" t="s">
        <v>23</v>
      </c>
      <c r="K1238" s="1"/>
      <c r="L1238" s="1" t="s">
        <v>11902</v>
      </c>
      <c r="M1238" s="1" t="s">
        <v>11902</v>
      </c>
      <c r="N1238" s="12" t="b">
        <f t="shared" si="95"/>
        <v>1</v>
      </c>
      <c r="O1238" s="1" t="s">
        <v>11965</v>
      </c>
      <c r="P1238" s="1" t="s">
        <v>11946</v>
      </c>
      <c r="Q1238" s="1" t="s">
        <v>11947</v>
      </c>
      <c r="R1238" s="1" t="s">
        <v>11948</v>
      </c>
      <c r="S1238" s="1" t="s">
        <v>11966</v>
      </c>
      <c r="T1238" s="1" t="s">
        <v>11950</v>
      </c>
      <c r="U1238" s="1" t="s">
        <v>11951</v>
      </c>
      <c r="V1238" s="13">
        <f>COUNTIF(L1238:$M$1659,L1238)</f>
        <v>20</v>
      </c>
      <c r="W1238" s="1" t="s">
        <v>11952</v>
      </c>
      <c r="X1238">
        <v>448.73</v>
      </c>
      <c r="Y1238">
        <v>20.38</v>
      </c>
      <c r="Z1238">
        <v>16.140616000000001</v>
      </c>
      <c r="AA1238">
        <v>108.11979100000001</v>
      </c>
      <c r="AB1238">
        <v>428.35</v>
      </c>
      <c r="AC1238">
        <v>16.128188999999999</v>
      </c>
      <c r="AD1238">
        <v>108.11491700000001</v>
      </c>
      <c r="AE1238" s="5">
        <f t="shared" si="96"/>
        <v>3.057E-2</v>
      </c>
      <c r="AF1238" s="5">
        <f t="shared" si="97"/>
        <v>0.64252500000000012</v>
      </c>
      <c r="AG1238" s="1" t="str">
        <f>TRIM(LEFT(L1238,FIND("-",L1238)-1))</f>
        <v>Trạm CSGT Hòa Hiệp</v>
      </c>
      <c r="AH1238" s="1" t="str">
        <f>TRIM(RIGHT(L1238, LEN(L1238) - FIND("-", L1238)))</f>
        <v>Trại giam CATP</v>
      </c>
      <c r="AJ1238">
        <f t="shared" si="98"/>
        <v>2.0379999999999999E-2</v>
      </c>
      <c r="AK1238">
        <f t="shared" si="99"/>
        <v>0.42835000000000001</v>
      </c>
      <c r="AL1238">
        <f>VLOOKUP(L1238,'[1]Tuyến cáp H04'!$B:$E,3,0)/1000</f>
        <v>9.7919999999999998</v>
      </c>
      <c r="AM1238" t="str">
        <f>VLOOKUP(L1238,'[1]Tuyến cáp H04'!$B:$E,4,0)</f>
        <v>Mạng cấp 3</v>
      </c>
    </row>
    <row r="1239" spans="1:39" x14ac:dyDescent="0.25">
      <c r="A1239" s="1" t="s">
        <v>11967</v>
      </c>
      <c r="B1239" s="1" t="s">
        <v>11940</v>
      </c>
      <c r="C1239" s="1" t="s">
        <v>11941</v>
      </c>
      <c r="D1239" s="1" t="s">
        <v>11968</v>
      </c>
      <c r="E1239" s="1" t="s">
        <v>11969</v>
      </c>
      <c r="F1239" s="1" t="s">
        <v>11970</v>
      </c>
      <c r="G1239" s="1" t="s">
        <v>14129</v>
      </c>
      <c r="H1239" s="1" t="s">
        <v>14133</v>
      </c>
      <c r="I1239" s="1" t="s">
        <v>15344</v>
      </c>
      <c r="J1239" s="1" t="s">
        <v>23</v>
      </c>
      <c r="K1239" s="1"/>
      <c r="L1239" s="1" t="s">
        <v>11179</v>
      </c>
      <c r="M1239" s="1" t="s">
        <v>11179</v>
      </c>
      <c r="N1239" s="12" t="b">
        <f t="shared" si="95"/>
        <v>1</v>
      </c>
      <c r="O1239" s="1" t="s">
        <v>11971</v>
      </c>
      <c r="P1239" s="1" t="s">
        <v>11972</v>
      </c>
      <c r="Q1239" s="1" t="s">
        <v>11947</v>
      </c>
      <c r="R1239" s="1" t="s">
        <v>11973</v>
      </c>
      <c r="S1239" s="1" t="s">
        <v>11974</v>
      </c>
      <c r="T1239" s="1" t="s">
        <v>11975</v>
      </c>
      <c r="U1239" s="1" t="s">
        <v>11976</v>
      </c>
      <c r="V1239" s="13">
        <f>COUNTIF(L1239:$M$1659,L1239)</f>
        <v>14</v>
      </c>
      <c r="W1239" s="1" t="s">
        <v>11187</v>
      </c>
      <c r="X1239">
        <v>329.95</v>
      </c>
      <c r="Y1239">
        <v>16.23</v>
      </c>
      <c r="Z1239">
        <v>16.140616000000001</v>
      </c>
      <c r="AA1239">
        <v>108.11975200000001</v>
      </c>
      <c r="AB1239">
        <v>313.73</v>
      </c>
      <c r="AC1239">
        <v>16.127396000000001</v>
      </c>
      <c r="AD1239">
        <v>108.11936900000001</v>
      </c>
      <c r="AE1239" s="5">
        <f t="shared" si="96"/>
        <v>2.4344999999999999E-2</v>
      </c>
      <c r="AF1239" s="5">
        <f t="shared" si="97"/>
        <v>0.47059500000000004</v>
      </c>
      <c r="AG1239" s="1" t="str">
        <f>TRIM(LEFT(L1239,FIND("-",L1239)-1))</f>
        <v>TTCMKV Liên Chiểu</v>
      </c>
      <c r="AH1239" s="1" t="str">
        <f>TRIM(RIGHT(L1239, LEN(L1239) - FIND("-", L1239)))</f>
        <v>Trạm CSGT Hòa Hiệp</v>
      </c>
      <c r="AJ1239">
        <f t="shared" si="98"/>
        <v>1.6230000000000001E-2</v>
      </c>
      <c r="AK1239">
        <f t="shared" si="99"/>
        <v>0.31373000000000001</v>
      </c>
      <c r="AL1239">
        <f>VLOOKUP(L1239,'[1]Tuyến cáp H04'!$B:$E,3,0)/1000</f>
        <v>9.5169999999999995</v>
      </c>
      <c r="AM1239" t="str">
        <f>VLOOKUP(L1239,'[1]Tuyến cáp H04'!$B:$E,4,0)</f>
        <v>Mạng cấp 3</v>
      </c>
    </row>
    <row r="1240" spans="1:39" x14ac:dyDescent="0.25">
      <c r="A1240" s="1" t="s">
        <v>11977</v>
      </c>
      <c r="B1240" s="1" t="s">
        <v>11940</v>
      </c>
      <c r="C1240" s="1" t="s">
        <v>11941</v>
      </c>
      <c r="D1240" s="1" t="s">
        <v>11978</v>
      </c>
      <c r="E1240" s="1" t="s">
        <v>11979</v>
      </c>
      <c r="F1240" s="1" t="s">
        <v>11980</v>
      </c>
      <c r="G1240" s="1" t="s">
        <v>14129</v>
      </c>
      <c r="H1240" s="1" t="s">
        <v>14532</v>
      </c>
      <c r="I1240" s="1" t="s">
        <v>15345</v>
      </c>
      <c r="J1240" s="1" t="s">
        <v>23</v>
      </c>
      <c r="K1240" s="1"/>
      <c r="L1240" s="1" t="s">
        <v>11902</v>
      </c>
      <c r="M1240" s="1" t="s">
        <v>11902</v>
      </c>
      <c r="N1240" s="12" t="b">
        <f t="shared" si="95"/>
        <v>1</v>
      </c>
      <c r="O1240" s="1" t="s">
        <v>11981</v>
      </c>
      <c r="P1240" s="1" t="s">
        <v>11946</v>
      </c>
      <c r="Q1240" s="1" t="s">
        <v>11947</v>
      </c>
      <c r="R1240" s="1" t="s">
        <v>11948</v>
      </c>
      <c r="S1240" s="1" t="s">
        <v>11982</v>
      </c>
      <c r="T1240" s="1" t="s">
        <v>11950</v>
      </c>
      <c r="U1240" s="1" t="s">
        <v>11951</v>
      </c>
      <c r="V1240" s="13">
        <f>COUNTIF(L1240:$M$1659,L1240)</f>
        <v>18</v>
      </c>
      <c r="W1240" s="1" t="s">
        <v>11952</v>
      </c>
      <c r="X1240">
        <v>3483.25</v>
      </c>
      <c r="Y1240">
        <v>20.38</v>
      </c>
      <c r="Z1240">
        <v>16.140616000000001</v>
      </c>
      <c r="AA1240">
        <v>108.11979100000001</v>
      </c>
      <c r="AB1240">
        <v>3462.87</v>
      </c>
      <c r="AC1240">
        <v>16.128188999999999</v>
      </c>
      <c r="AD1240">
        <v>108.11491700000001</v>
      </c>
      <c r="AE1240" s="5">
        <f t="shared" si="96"/>
        <v>3.057E-2</v>
      </c>
      <c r="AF1240" s="5">
        <f t="shared" si="97"/>
        <v>5.1943049999999999</v>
      </c>
      <c r="AG1240" s="1" t="str">
        <f>TRIM(LEFT(L1240,FIND("-",L1240)-1))</f>
        <v>Trạm CSGT Hòa Hiệp</v>
      </c>
      <c r="AH1240" s="1" t="str">
        <f>TRIM(RIGHT(L1240, LEN(L1240) - FIND("-", L1240)))</f>
        <v>Trại giam CATP</v>
      </c>
      <c r="AJ1240">
        <f t="shared" si="98"/>
        <v>2.0379999999999999E-2</v>
      </c>
      <c r="AK1240">
        <f t="shared" si="99"/>
        <v>3.4628699999999997</v>
      </c>
      <c r="AL1240">
        <f>VLOOKUP(L1240,'[1]Tuyến cáp H04'!$B:$E,3,0)/1000</f>
        <v>9.7919999999999998</v>
      </c>
      <c r="AM1240" t="str">
        <f>VLOOKUP(L1240,'[1]Tuyến cáp H04'!$B:$E,4,0)</f>
        <v>Mạng cấp 3</v>
      </c>
    </row>
    <row r="1241" spans="1:39" x14ac:dyDescent="0.25">
      <c r="A1241" s="1" t="s">
        <v>11983</v>
      </c>
      <c r="B1241" s="1" t="s">
        <v>11940</v>
      </c>
      <c r="C1241" s="1" t="s">
        <v>11941</v>
      </c>
      <c r="D1241" s="1" t="s">
        <v>11984</v>
      </c>
      <c r="E1241" s="1" t="s">
        <v>11985</v>
      </c>
      <c r="F1241" s="1" t="s">
        <v>11986</v>
      </c>
      <c r="G1241" s="1"/>
      <c r="H1241" s="1" t="s">
        <v>14532</v>
      </c>
      <c r="I1241" s="1" t="s">
        <v>15346</v>
      </c>
      <c r="J1241" s="1" t="s">
        <v>23</v>
      </c>
      <c r="K1241" s="1"/>
      <c r="L1241" s="1" t="s">
        <v>11902</v>
      </c>
      <c r="M1241" s="1" t="s">
        <v>11902</v>
      </c>
      <c r="N1241" s="12" t="b">
        <f t="shared" si="95"/>
        <v>1</v>
      </c>
      <c r="O1241" s="1" t="s">
        <v>11987</v>
      </c>
      <c r="P1241" s="1" t="s">
        <v>11946</v>
      </c>
      <c r="Q1241" s="1" t="s">
        <v>11947</v>
      </c>
      <c r="R1241" s="1" t="s">
        <v>11948</v>
      </c>
      <c r="S1241" s="1" t="s">
        <v>11988</v>
      </c>
      <c r="T1241" s="1" t="s">
        <v>11989</v>
      </c>
      <c r="U1241" s="1" t="s">
        <v>11990</v>
      </c>
      <c r="V1241" s="13">
        <f>COUNTIF(L1241:$M$1659,L1241)</f>
        <v>16</v>
      </c>
      <c r="W1241" s="1" t="s">
        <v>11952</v>
      </c>
      <c r="X1241">
        <v>270.02999999999997</v>
      </c>
      <c r="Y1241">
        <v>20.38</v>
      </c>
      <c r="Z1241">
        <v>16.140616000000001</v>
      </c>
      <c r="AA1241">
        <v>108.11979100000001</v>
      </c>
      <c r="AB1241">
        <v>249.65</v>
      </c>
      <c r="AC1241">
        <v>16.107706</v>
      </c>
      <c r="AD1241">
        <v>108.128424</v>
      </c>
      <c r="AE1241" s="5">
        <f t="shared" si="96"/>
        <v>3.057E-2</v>
      </c>
      <c r="AF1241" s="5">
        <f t="shared" si="97"/>
        <v>0.374475</v>
      </c>
      <c r="AG1241" s="1" t="str">
        <f>TRIM(LEFT(L1241,FIND("-",L1241)-1))</f>
        <v>Trạm CSGT Hòa Hiệp</v>
      </c>
      <c r="AH1241" s="1" t="str">
        <f>TRIM(RIGHT(L1241, LEN(L1241) - FIND("-", L1241)))</f>
        <v>Trại giam CATP</v>
      </c>
      <c r="AJ1241">
        <f t="shared" si="98"/>
        <v>2.0379999999999999E-2</v>
      </c>
      <c r="AK1241">
        <f t="shared" si="99"/>
        <v>0.24965000000000001</v>
      </c>
      <c r="AL1241">
        <f>VLOOKUP(L1241,'[1]Tuyến cáp H04'!$B:$E,3,0)/1000</f>
        <v>9.7919999999999998</v>
      </c>
      <c r="AM1241" t="str">
        <f>VLOOKUP(L1241,'[1]Tuyến cáp H04'!$B:$E,4,0)</f>
        <v>Mạng cấp 3</v>
      </c>
    </row>
    <row r="1242" spans="1:39" x14ac:dyDescent="0.25">
      <c r="A1242" s="1" t="s">
        <v>11991</v>
      </c>
      <c r="B1242" s="1" t="s">
        <v>11176</v>
      </c>
      <c r="C1242" s="1" t="s">
        <v>11177</v>
      </c>
      <c r="D1242" s="1" t="s">
        <v>11992</v>
      </c>
      <c r="E1242" s="1" t="s">
        <v>11993</v>
      </c>
      <c r="F1242" s="1" t="s">
        <v>11994</v>
      </c>
      <c r="G1242" s="1" t="s">
        <v>14129</v>
      </c>
      <c r="H1242" s="1" t="s">
        <v>14532</v>
      </c>
      <c r="I1242" s="1" t="s">
        <v>15347</v>
      </c>
      <c r="J1242" s="1" t="s">
        <v>23</v>
      </c>
      <c r="K1242" s="1"/>
      <c r="L1242" s="1" t="s">
        <v>11995</v>
      </c>
      <c r="M1242" s="1" t="s">
        <v>11995</v>
      </c>
      <c r="N1242" s="12" t="b">
        <f t="shared" si="95"/>
        <v>1</v>
      </c>
      <c r="O1242" s="1" t="s">
        <v>11996</v>
      </c>
      <c r="P1242" s="1" t="s">
        <v>11997</v>
      </c>
      <c r="Q1242" s="1" t="s">
        <v>11998</v>
      </c>
      <c r="R1242" s="1" t="s">
        <v>11999</v>
      </c>
      <c r="S1242" s="1" t="s">
        <v>7214</v>
      </c>
      <c r="T1242" s="1" t="s">
        <v>12000</v>
      </c>
      <c r="U1242" s="1" t="s">
        <v>12001</v>
      </c>
      <c r="V1242" s="13">
        <f>COUNTIF(L1242:$M$1659,L1242)</f>
        <v>2</v>
      </c>
      <c r="W1242" s="1" t="s">
        <v>12002</v>
      </c>
      <c r="X1242">
        <v>734.04</v>
      </c>
      <c r="Y1242">
        <v>674.86</v>
      </c>
      <c r="Z1242">
        <v>16.071719999999999</v>
      </c>
      <c r="AA1242">
        <v>108.142016</v>
      </c>
      <c r="AB1242">
        <v>59.18</v>
      </c>
      <c r="AC1242">
        <v>16.074543999999999</v>
      </c>
      <c r="AD1242">
        <v>108.13436400000001</v>
      </c>
      <c r="AE1242" s="5">
        <f t="shared" si="96"/>
        <v>1.0122899999999999</v>
      </c>
      <c r="AF1242" s="5">
        <f t="shared" si="97"/>
        <v>8.8770000000000002E-2</v>
      </c>
      <c r="AG1242" s="1" t="str">
        <f>TRIM(LEFT(L1242,FIND("-",L1242)-1))</f>
        <v>PK02</v>
      </c>
      <c r="AH1242" s="1" t="str">
        <f>TRIM(RIGHT(L1242, LEN(L1242) - FIND("-", L1242)))</f>
        <v>Trại giam CATP</v>
      </c>
      <c r="AJ1242">
        <f t="shared" si="98"/>
        <v>0.67486000000000002</v>
      </c>
      <c r="AK1242">
        <f t="shared" si="99"/>
        <v>5.9179999999999996E-2</v>
      </c>
      <c r="AL1242">
        <f>VLOOKUP(L1242,'[1]Tuyến cáp H04'!$B:$E,3,0)/1000</f>
        <v>7.0069999999999997</v>
      </c>
      <c r="AM1242" t="str">
        <f>VLOOKUP(L1242,'[1]Tuyến cáp H04'!$B:$E,4,0)</f>
        <v>Mạng cấp 3</v>
      </c>
    </row>
    <row r="1243" spans="1:39" x14ac:dyDescent="0.25">
      <c r="A1243" s="1" t="s">
        <v>12003</v>
      </c>
      <c r="B1243" s="1" t="s">
        <v>11176</v>
      </c>
      <c r="C1243" s="1" t="s">
        <v>11177</v>
      </c>
      <c r="D1243" s="1" t="s">
        <v>11141</v>
      </c>
      <c r="E1243" s="1" t="s">
        <v>11142</v>
      </c>
      <c r="F1243" s="1" t="s">
        <v>11178</v>
      </c>
      <c r="G1243" s="1"/>
      <c r="H1243" s="1" t="s">
        <v>14532</v>
      </c>
      <c r="I1243" s="1" t="s">
        <v>15268</v>
      </c>
      <c r="J1243" s="1" t="s">
        <v>23</v>
      </c>
      <c r="K1243" s="1"/>
      <c r="L1243" s="1" t="s">
        <v>11179</v>
      </c>
      <c r="M1243" s="1" t="s">
        <v>11179</v>
      </c>
      <c r="N1243" s="12" t="b">
        <f t="shared" si="95"/>
        <v>1</v>
      </c>
      <c r="O1243" s="1" t="s">
        <v>11180</v>
      </c>
      <c r="P1243" s="1" t="s">
        <v>11184</v>
      </c>
      <c r="Q1243" s="1" t="s">
        <v>11185</v>
      </c>
      <c r="R1243" s="1" t="s">
        <v>11186</v>
      </c>
      <c r="S1243" s="1" t="s">
        <v>11181</v>
      </c>
      <c r="T1243" s="1" t="s">
        <v>11182</v>
      </c>
      <c r="U1243" s="1" t="s">
        <v>11183</v>
      </c>
      <c r="V1243" s="13">
        <f>COUNTIF(L1243:$M$1659,L1243)</f>
        <v>12</v>
      </c>
      <c r="W1243" s="1" t="s">
        <v>11187</v>
      </c>
      <c r="X1243">
        <v>490.42</v>
      </c>
      <c r="Y1243">
        <v>463.11</v>
      </c>
      <c r="Z1243">
        <v>16.074614</v>
      </c>
      <c r="AA1243">
        <v>108.14948099999999</v>
      </c>
      <c r="AB1243">
        <v>27.31</v>
      </c>
      <c r="AC1243">
        <v>16.074273999999999</v>
      </c>
      <c r="AD1243">
        <v>108.158044</v>
      </c>
      <c r="AE1243" s="5">
        <f t="shared" si="96"/>
        <v>0.69466499999999998</v>
      </c>
      <c r="AF1243" s="5">
        <f t="shared" si="97"/>
        <v>4.0964999999999994E-2</v>
      </c>
      <c r="AG1243" s="1" t="str">
        <f>TRIM(LEFT(L1243,FIND("-",L1243)-1))</f>
        <v>TTCMKV Liên Chiểu</v>
      </c>
      <c r="AH1243" s="1" t="str">
        <f>TRIM(RIGHT(L1243, LEN(L1243) - FIND("-", L1243)))</f>
        <v>Trạm CSGT Hòa Hiệp</v>
      </c>
      <c r="AJ1243">
        <f t="shared" si="98"/>
        <v>0.46311000000000002</v>
      </c>
      <c r="AK1243">
        <f t="shared" si="99"/>
        <v>2.7309999999999997E-2</v>
      </c>
      <c r="AL1243">
        <f>VLOOKUP(L1243,'[1]Tuyến cáp H04'!$B:$E,3,0)/1000</f>
        <v>9.5169999999999995</v>
      </c>
      <c r="AM1243" t="str">
        <f>VLOOKUP(L1243,'[1]Tuyến cáp H04'!$B:$E,4,0)</f>
        <v>Mạng cấp 3</v>
      </c>
    </row>
    <row r="1244" spans="1:39" x14ac:dyDescent="0.25">
      <c r="A1244" s="1" t="s">
        <v>12004</v>
      </c>
      <c r="B1244" s="1" t="s">
        <v>11984</v>
      </c>
      <c r="C1244" s="1" t="s">
        <v>11985</v>
      </c>
      <c r="D1244" s="1" t="s">
        <v>12005</v>
      </c>
      <c r="E1244" s="1" t="s">
        <v>12006</v>
      </c>
      <c r="F1244" s="1" t="s">
        <v>12007</v>
      </c>
      <c r="G1244" s="1" t="s">
        <v>14129</v>
      </c>
      <c r="H1244" s="1" t="s">
        <v>14133</v>
      </c>
      <c r="I1244" s="1" t="s">
        <v>15348</v>
      </c>
      <c r="J1244" s="1" t="s">
        <v>23</v>
      </c>
      <c r="K1244" s="1"/>
      <c r="L1244" s="1" t="s">
        <v>11902</v>
      </c>
      <c r="M1244" s="1" t="s">
        <v>11902</v>
      </c>
      <c r="N1244" s="12" t="b">
        <f t="shared" si="95"/>
        <v>1</v>
      </c>
      <c r="O1244" s="1" t="s">
        <v>12008</v>
      </c>
      <c r="P1244" s="1" t="s">
        <v>11988</v>
      </c>
      <c r="Q1244" s="1" t="s">
        <v>11989</v>
      </c>
      <c r="R1244" s="1" t="s">
        <v>11990</v>
      </c>
      <c r="S1244" s="1" t="s">
        <v>12009</v>
      </c>
      <c r="T1244" s="1" t="s">
        <v>12010</v>
      </c>
      <c r="U1244" s="1" t="s">
        <v>12011</v>
      </c>
      <c r="V1244" s="13">
        <f>COUNTIF(L1244:$M$1659,L1244)</f>
        <v>14</v>
      </c>
      <c r="W1244" s="1" t="s">
        <v>11952</v>
      </c>
      <c r="X1244">
        <v>365.21</v>
      </c>
      <c r="Y1244">
        <v>249.65</v>
      </c>
      <c r="Z1244">
        <v>16.107706</v>
      </c>
      <c r="AA1244">
        <v>108.128424</v>
      </c>
      <c r="AB1244">
        <v>115.56</v>
      </c>
      <c r="AC1244">
        <v>16.114077999999999</v>
      </c>
      <c r="AD1244">
        <v>108.12735499999999</v>
      </c>
      <c r="AE1244" s="5">
        <f t="shared" si="96"/>
        <v>0.374475</v>
      </c>
      <c r="AF1244" s="5">
        <f t="shared" si="97"/>
        <v>0.17333999999999999</v>
      </c>
      <c r="AG1244" s="1" t="str">
        <f>TRIM(LEFT(L1244,FIND("-",L1244)-1))</f>
        <v>Trạm CSGT Hòa Hiệp</v>
      </c>
      <c r="AH1244" s="1" t="str">
        <f>TRIM(RIGHT(L1244, LEN(L1244) - FIND("-", L1244)))</f>
        <v>Trại giam CATP</v>
      </c>
      <c r="AJ1244">
        <f t="shared" si="98"/>
        <v>0.24965000000000001</v>
      </c>
      <c r="AK1244">
        <f t="shared" si="99"/>
        <v>0.11556</v>
      </c>
      <c r="AL1244">
        <f>VLOOKUP(L1244,'[1]Tuyến cáp H04'!$B:$E,3,0)/1000</f>
        <v>9.7919999999999998</v>
      </c>
      <c r="AM1244" t="str">
        <f>VLOOKUP(L1244,'[1]Tuyến cáp H04'!$B:$E,4,0)</f>
        <v>Mạng cấp 3</v>
      </c>
    </row>
    <row r="1245" spans="1:39" x14ac:dyDescent="0.25">
      <c r="A1245" s="1" t="s">
        <v>12012</v>
      </c>
      <c r="B1245" s="1" t="s">
        <v>11984</v>
      </c>
      <c r="C1245" s="1" t="s">
        <v>11985</v>
      </c>
      <c r="D1245" s="1" t="s">
        <v>12013</v>
      </c>
      <c r="E1245" s="1" t="s">
        <v>12014</v>
      </c>
      <c r="F1245" s="1" t="s">
        <v>12015</v>
      </c>
      <c r="G1245" s="1" t="s">
        <v>14129</v>
      </c>
      <c r="H1245" s="1" t="s">
        <v>14133</v>
      </c>
      <c r="I1245" s="1" t="s">
        <v>15349</v>
      </c>
      <c r="J1245" s="1" t="s">
        <v>23</v>
      </c>
      <c r="K1245" s="1"/>
      <c r="L1245" s="1" t="s">
        <v>11902</v>
      </c>
      <c r="M1245" s="1" t="s">
        <v>11902</v>
      </c>
      <c r="N1245" s="12" t="b">
        <f t="shared" si="95"/>
        <v>1</v>
      </c>
      <c r="O1245" s="1" t="s">
        <v>12016</v>
      </c>
      <c r="P1245" s="1" t="s">
        <v>11988</v>
      </c>
      <c r="Q1245" s="1" t="s">
        <v>11989</v>
      </c>
      <c r="R1245" s="1" t="s">
        <v>11990</v>
      </c>
      <c r="S1245" s="1" t="s">
        <v>12017</v>
      </c>
      <c r="T1245" s="1" t="s">
        <v>12018</v>
      </c>
      <c r="U1245" s="1" t="s">
        <v>12019</v>
      </c>
      <c r="V1245" s="13">
        <f>COUNTIF(L1245:$M$1659,L1245)</f>
        <v>12</v>
      </c>
      <c r="W1245" s="1" t="s">
        <v>11952</v>
      </c>
      <c r="X1245">
        <v>263.79000000000002</v>
      </c>
      <c r="Y1245">
        <v>249.65</v>
      </c>
      <c r="Z1245">
        <v>16.107706</v>
      </c>
      <c r="AA1245">
        <v>108.128424</v>
      </c>
      <c r="AB1245">
        <v>14.14</v>
      </c>
      <c r="AC1245">
        <v>16.112757999999999</v>
      </c>
      <c r="AD1245">
        <v>108.128508</v>
      </c>
      <c r="AE1245" s="5">
        <f t="shared" si="96"/>
        <v>0.374475</v>
      </c>
      <c r="AF1245" s="5">
        <f t="shared" si="97"/>
        <v>2.121E-2</v>
      </c>
      <c r="AG1245" s="1" t="str">
        <f>TRIM(LEFT(L1245,FIND("-",L1245)-1))</f>
        <v>Trạm CSGT Hòa Hiệp</v>
      </c>
      <c r="AH1245" s="1" t="str">
        <f>TRIM(RIGHT(L1245, LEN(L1245) - FIND("-", L1245)))</f>
        <v>Trại giam CATP</v>
      </c>
      <c r="AJ1245">
        <f t="shared" si="98"/>
        <v>0.24965000000000001</v>
      </c>
      <c r="AK1245">
        <f t="shared" si="99"/>
        <v>1.414E-2</v>
      </c>
      <c r="AL1245">
        <f>VLOOKUP(L1245,'[1]Tuyến cáp H04'!$B:$E,3,0)/1000</f>
        <v>9.7919999999999998</v>
      </c>
      <c r="AM1245" t="str">
        <f>VLOOKUP(L1245,'[1]Tuyến cáp H04'!$B:$E,4,0)</f>
        <v>Mạng cấp 3</v>
      </c>
    </row>
    <row r="1246" spans="1:39" x14ac:dyDescent="0.25">
      <c r="A1246" s="1" t="s">
        <v>12020</v>
      </c>
      <c r="B1246" s="1" t="s">
        <v>11984</v>
      </c>
      <c r="C1246" s="1" t="s">
        <v>11985</v>
      </c>
      <c r="D1246" s="1" t="s">
        <v>12021</v>
      </c>
      <c r="E1246" s="1" t="s">
        <v>12022</v>
      </c>
      <c r="F1246" s="1" t="s">
        <v>12023</v>
      </c>
      <c r="G1246" s="1" t="s">
        <v>14129</v>
      </c>
      <c r="H1246" s="1" t="s">
        <v>14133</v>
      </c>
      <c r="I1246" s="1" t="s">
        <v>15350</v>
      </c>
      <c r="J1246" s="1" t="s">
        <v>23</v>
      </c>
      <c r="K1246" s="1"/>
      <c r="L1246" s="1" t="s">
        <v>11902</v>
      </c>
      <c r="M1246" s="1" t="s">
        <v>11902</v>
      </c>
      <c r="N1246" s="12" t="b">
        <f t="shared" si="95"/>
        <v>1</v>
      </c>
      <c r="O1246" s="1" t="s">
        <v>12024</v>
      </c>
      <c r="P1246" s="1" t="s">
        <v>11988</v>
      </c>
      <c r="Q1246" s="1" t="s">
        <v>11989</v>
      </c>
      <c r="R1246" s="1" t="s">
        <v>11990</v>
      </c>
      <c r="S1246" s="1" t="s">
        <v>12025</v>
      </c>
      <c r="T1246" s="1" t="s">
        <v>12026</v>
      </c>
      <c r="U1246" s="1" t="s">
        <v>12027</v>
      </c>
      <c r="V1246" s="13">
        <f>COUNTIF(L1246:$M$1659,L1246)</f>
        <v>10</v>
      </c>
      <c r="W1246" s="1" t="s">
        <v>11952</v>
      </c>
      <c r="X1246">
        <v>323.51</v>
      </c>
      <c r="Y1246">
        <v>249.65</v>
      </c>
      <c r="Z1246">
        <v>16.107706</v>
      </c>
      <c r="AA1246">
        <v>108.128424</v>
      </c>
      <c r="AB1246">
        <v>73.849999999999994</v>
      </c>
      <c r="AC1246">
        <v>16.128005000000002</v>
      </c>
      <c r="AD1246">
        <v>108.116878</v>
      </c>
      <c r="AE1246" s="5">
        <f t="shared" si="96"/>
        <v>0.374475</v>
      </c>
      <c r="AF1246" s="5">
        <f t="shared" si="97"/>
        <v>0.11077499999999998</v>
      </c>
      <c r="AG1246" s="1" t="str">
        <f>TRIM(LEFT(L1246,FIND("-",L1246)-1))</f>
        <v>Trạm CSGT Hòa Hiệp</v>
      </c>
      <c r="AH1246" s="1" t="str">
        <f>TRIM(RIGHT(L1246, LEN(L1246) - FIND("-", L1246)))</f>
        <v>Trại giam CATP</v>
      </c>
      <c r="AJ1246">
        <f t="shared" si="98"/>
        <v>0.24965000000000001</v>
      </c>
      <c r="AK1246">
        <f t="shared" si="99"/>
        <v>7.3849999999999999E-2</v>
      </c>
      <c r="AL1246">
        <f>VLOOKUP(L1246,'[1]Tuyến cáp H04'!$B:$E,3,0)/1000</f>
        <v>9.7919999999999998</v>
      </c>
      <c r="AM1246" t="str">
        <f>VLOOKUP(L1246,'[1]Tuyến cáp H04'!$B:$E,4,0)</f>
        <v>Mạng cấp 3</v>
      </c>
    </row>
    <row r="1247" spans="1:39" x14ac:dyDescent="0.25">
      <c r="A1247" s="1" t="s">
        <v>12028</v>
      </c>
      <c r="B1247" s="1" t="s">
        <v>11984</v>
      </c>
      <c r="C1247" s="1" t="s">
        <v>11985</v>
      </c>
      <c r="D1247" s="1" t="s">
        <v>12029</v>
      </c>
      <c r="E1247" s="1" t="s">
        <v>12030</v>
      </c>
      <c r="F1247" s="1" t="s">
        <v>12031</v>
      </c>
      <c r="G1247" s="1" t="s">
        <v>14129</v>
      </c>
      <c r="H1247" s="1" t="s">
        <v>14133</v>
      </c>
      <c r="I1247" s="1" t="s">
        <v>15351</v>
      </c>
      <c r="J1247" s="1" t="s">
        <v>23</v>
      </c>
      <c r="K1247" s="1"/>
      <c r="L1247" s="1" t="s">
        <v>12032</v>
      </c>
      <c r="M1247" s="1" t="s">
        <v>12032</v>
      </c>
      <c r="N1247" s="12" t="b">
        <f t="shared" si="95"/>
        <v>1</v>
      </c>
      <c r="O1247" s="1" t="s">
        <v>12033</v>
      </c>
      <c r="P1247" s="1" t="s">
        <v>12034</v>
      </c>
      <c r="Q1247" s="1" t="s">
        <v>12035</v>
      </c>
      <c r="R1247" s="1" t="s">
        <v>12036</v>
      </c>
      <c r="S1247" s="1" t="s">
        <v>12037</v>
      </c>
      <c r="T1247" s="1" t="s">
        <v>12038</v>
      </c>
      <c r="U1247" s="1" t="s">
        <v>12039</v>
      </c>
      <c r="V1247" s="13">
        <f>COUNTIF(L1247:$M$1659,L1247)</f>
        <v>2</v>
      </c>
      <c r="W1247" s="1" t="s">
        <v>12040</v>
      </c>
      <c r="X1247">
        <v>212.85</v>
      </c>
      <c r="Y1247">
        <v>60.02</v>
      </c>
      <c r="Z1247">
        <v>16.107116000000001</v>
      </c>
      <c r="AA1247">
        <v>108.125676</v>
      </c>
      <c r="AB1247">
        <v>152.83000000000001</v>
      </c>
      <c r="AC1247">
        <v>16.106024000000001</v>
      </c>
      <c r="AD1247">
        <v>108.126414</v>
      </c>
      <c r="AE1247" s="5">
        <f t="shared" si="96"/>
        <v>9.0029999999999999E-2</v>
      </c>
      <c r="AF1247" s="5">
        <f t="shared" si="97"/>
        <v>0.229245</v>
      </c>
      <c r="AG1247" s="1" t="str">
        <f>TRIM(LEFT(L1247,FIND("-",L1247)-1))</f>
        <v>Hải Vân</v>
      </c>
      <c r="AH1247" s="1" t="str">
        <f>TRIM(RIGHT(L1247, LEN(L1247) - FIND("-", L1247)))</f>
        <v>Liên Chiểu</v>
      </c>
      <c r="AJ1247">
        <f t="shared" si="98"/>
        <v>6.0020000000000004E-2</v>
      </c>
      <c r="AK1247">
        <f t="shared" si="99"/>
        <v>0.15283000000000002</v>
      </c>
      <c r="AL1247" t="e">
        <f>VLOOKUP(L1247,'[1]Tuyến cáp H04'!$B:$E,3,0)/1000</f>
        <v>#N/A</v>
      </c>
      <c r="AM1247" t="e">
        <f>VLOOKUP(L1247,'[1]Tuyến cáp H04'!$B:$E,4,0)</f>
        <v>#N/A</v>
      </c>
    </row>
    <row r="1248" spans="1:39" x14ac:dyDescent="0.25">
      <c r="A1248" s="1" t="s">
        <v>12041</v>
      </c>
      <c r="B1248" s="1" t="s">
        <v>11984</v>
      </c>
      <c r="C1248" s="1" t="s">
        <v>11985</v>
      </c>
      <c r="D1248" s="1" t="s">
        <v>11940</v>
      </c>
      <c r="E1248" s="1" t="s">
        <v>11941</v>
      </c>
      <c r="F1248" s="1" t="s">
        <v>11986</v>
      </c>
      <c r="G1248" s="1"/>
      <c r="H1248" s="1" t="s">
        <v>14532</v>
      </c>
      <c r="I1248" s="1" t="s">
        <v>15346</v>
      </c>
      <c r="J1248" s="1" t="s">
        <v>23</v>
      </c>
      <c r="K1248" s="1"/>
      <c r="L1248" s="1" t="s">
        <v>11902</v>
      </c>
      <c r="M1248" s="1" t="s">
        <v>11902</v>
      </c>
      <c r="N1248" s="12" t="b">
        <f t="shared" si="95"/>
        <v>1</v>
      </c>
      <c r="O1248" s="1" t="s">
        <v>11987</v>
      </c>
      <c r="P1248" s="1" t="s">
        <v>11988</v>
      </c>
      <c r="Q1248" s="1" t="s">
        <v>11989</v>
      </c>
      <c r="R1248" s="1" t="s">
        <v>11990</v>
      </c>
      <c r="S1248" s="1" t="s">
        <v>11946</v>
      </c>
      <c r="T1248" s="1" t="s">
        <v>11947</v>
      </c>
      <c r="U1248" s="1" t="s">
        <v>11948</v>
      </c>
      <c r="V1248" s="13">
        <f>COUNTIF(L1248:$M$1659,L1248)</f>
        <v>8</v>
      </c>
      <c r="W1248" s="1" t="s">
        <v>11952</v>
      </c>
      <c r="X1248">
        <v>270.02999999999997</v>
      </c>
      <c r="Y1248">
        <v>249.65</v>
      </c>
      <c r="Z1248">
        <v>16.107706</v>
      </c>
      <c r="AA1248">
        <v>108.128424</v>
      </c>
      <c r="AB1248">
        <v>20.38</v>
      </c>
      <c r="AC1248">
        <v>16.140616000000001</v>
      </c>
      <c r="AD1248">
        <v>108.11979100000001</v>
      </c>
      <c r="AE1248" s="5">
        <f t="shared" si="96"/>
        <v>0.374475</v>
      </c>
      <c r="AF1248" s="5">
        <f t="shared" si="97"/>
        <v>3.057E-2</v>
      </c>
      <c r="AG1248" s="1" t="str">
        <f>TRIM(LEFT(L1248,FIND("-",L1248)-1))</f>
        <v>Trạm CSGT Hòa Hiệp</v>
      </c>
      <c r="AH1248" s="1" t="str">
        <f>TRIM(RIGHT(L1248, LEN(L1248) - FIND("-", L1248)))</f>
        <v>Trại giam CATP</v>
      </c>
      <c r="AJ1248">
        <f t="shared" si="98"/>
        <v>0.24965000000000001</v>
      </c>
      <c r="AK1248">
        <f t="shared" si="99"/>
        <v>2.0379999999999999E-2</v>
      </c>
      <c r="AL1248">
        <f>VLOOKUP(L1248,'[1]Tuyến cáp H04'!$B:$E,3,0)/1000</f>
        <v>9.7919999999999998</v>
      </c>
      <c r="AM1248" t="str">
        <f>VLOOKUP(L1248,'[1]Tuyến cáp H04'!$B:$E,4,0)</f>
        <v>Mạng cấp 3</v>
      </c>
    </row>
    <row r="1249" spans="1:39" x14ac:dyDescent="0.25">
      <c r="A1249" s="1" t="s">
        <v>12042</v>
      </c>
      <c r="B1249" s="1" t="s">
        <v>11984</v>
      </c>
      <c r="C1249" s="1" t="s">
        <v>11985</v>
      </c>
      <c r="D1249" s="1" t="s">
        <v>12043</v>
      </c>
      <c r="E1249" s="1" t="s">
        <v>12044</v>
      </c>
      <c r="F1249" s="1" t="s">
        <v>12045</v>
      </c>
      <c r="G1249" s="1" t="s">
        <v>14129</v>
      </c>
      <c r="H1249" s="1" t="s">
        <v>14532</v>
      </c>
      <c r="I1249" s="1" t="s">
        <v>15352</v>
      </c>
      <c r="J1249" s="1" t="s">
        <v>23</v>
      </c>
      <c r="K1249" s="1"/>
      <c r="L1249" s="1" t="s">
        <v>11166</v>
      </c>
      <c r="M1249" s="1" t="s">
        <v>11166</v>
      </c>
      <c r="N1249" s="12" t="b">
        <f t="shared" si="95"/>
        <v>1</v>
      </c>
      <c r="O1249" s="1" t="s">
        <v>12046</v>
      </c>
      <c r="P1249" s="1" t="s">
        <v>12047</v>
      </c>
      <c r="Q1249" s="1" t="s">
        <v>12048</v>
      </c>
      <c r="R1249" s="1" t="s">
        <v>12049</v>
      </c>
      <c r="S1249" s="1" t="s">
        <v>12050</v>
      </c>
      <c r="T1249" s="1" t="s">
        <v>12051</v>
      </c>
      <c r="U1249" s="1" t="s">
        <v>12052</v>
      </c>
      <c r="V1249" s="13">
        <f>COUNTIF(L1249:$M$1659,L1249)</f>
        <v>16</v>
      </c>
      <c r="W1249" s="1" t="s">
        <v>12053</v>
      </c>
      <c r="X1249">
        <v>194.31</v>
      </c>
      <c r="Y1249">
        <v>14.62</v>
      </c>
      <c r="Z1249">
        <v>16.107544000000001</v>
      </c>
      <c r="AA1249">
        <v>108.12598699999999</v>
      </c>
      <c r="AB1249">
        <v>179.69</v>
      </c>
      <c r="AC1249">
        <v>16.100843999999999</v>
      </c>
      <c r="AD1249">
        <v>108.13513399999999</v>
      </c>
      <c r="AE1249" s="5">
        <f t="shared" si="96"/>
        <v>2.1929999999999998E-2</v>
      </c>
      <c r="AF1249" s="5">
        <f t="shared" si="97"/>
        <v>0.26953499999999997</v>
      </c>
      <c r="AG1249" s="1" t="str">
        <f>TRIM(LEFT(L1249,FIND("-",L1249)-1))</f>
        <v>TT1 Đà Nẵng</v>
      </c>
      <c r="AH1249" s="1" t="str">
        <f>TRIM(RIGHT(L1249, LEN(L1249) - FIND("-", L1249)))</f>
        <v>Hải Vân</v>
      </c>
      <c r="AJ1249">
        <f t="shared" si="98"/>
        <v>1.4619999999999999E-2</v>
      </c>
      <c r="AK1249">
        <f t="shared" si="99"/>
        <v>0.17968999999999999</v>
      </c>
      <c r="AL1249">
        <f>VLOOKUP(L1249,'[1]Tuyến cáp H04'!$B:$E,3,0)/1000</f>
        <v>14.76</v>
      </c>
      <c r="AM1249" t="str">
        <f>VLOOKUP(L1249,'[1]Tuyến cáp H04'!$B:$E,4,0)</f>
        <v>Mạng cấp 4</v>
      </c>
    </row>
    <row r="1250" spans="1:39" x14ac:dyDescent="0.25">
      <c r="A1250" s="1" t="s">
        <v>12054</v>
      </c>
      <c r="B1250" s="1" t="s">
        <v>12055</v>
      </c>
      <c r="C1250" s="1" t="s">
        <v>12056</v>
      </c>
      <c r="D1250" s="1" t="s">
        <v>12057</v>
      </c>
      <c r="E1250" s="1" t="s">
        <v>12058</v>
      </c>
      <c r="F1250" s="1" t="s">
        <v>12059</v>
      </c>
      <c r="G1250" s="1" t="s">
        <v>14129</v>
      </c>
      <c r="H1250" s="1" t="s">
        <v>14133</v>
      </c>
      <c r="I1250" s="1" t="s">
        <v>15353</v>
      </c>
      <c r="J1250" s="1" t="s">
        <v>23</v>
      </c>
      <c r="K1250" s="1"/>
      <c r="L1250" s="1" t="s">
        <v>12060</v>
      </c>
      <c r="M1250" s="1" t="s">
        <v>12060</v>
      </c>
      <c r="N1250" s="12" t="b">
        <f t="shared" si="95"/>
        <v>1</v>
      </c>
      <c r="O1250" s="1" t="s">
        <v>12061</v>
      </c>
      <c r="P1250" s="1" t="s">
        <v>9198</v>
      </c>
      <c r="Q1250" s="1" t="s">
        <v>12062</v>
      </c>
      <c r="R1250" s="1" t="s">
        <v>12063</v>
      </c>
      <c r="S1250" s="1" t="s">
        <v>12064</v>
      </c>
      <c r="T1250" s="1" t="s">
        <v>12065</v>
      </c>
      <c r="U1250" s="1" t="s">
        <v>12066</v>
      </c>
      <c r="V1250" s="13">
        <f>COUNTIF(L1250:$M$1659,L1250)</f>
        <v>4</v>
      </c>
      <c r="W1250" s="1" t="s">
        <v>12067</v>
      </c>
      <c r="X1250">
        <v>577.95000000000005</v>
      </c>
      <c r="Y1250">
        <v>142.46</v>
      </c>
      <c r="Z1250">
        <v>16.04016</v>
      </c>
      <c r="AA1250">
        <v>108.24224100000001</v>
      </c>
      <c r="AB1250">
        <v>435.49</v>
      </c>
      <c r="AC1250">
        <v>16.042145000000001</v>
      </c>
      <c r="AD1250">
        <v>108.24629400000001</v>
      </c>
      <c r="AE1250" s="5">
        <f t="shared" si="96"/>
        <v>0.21368999999999999</v>
      </c>
      <c r="AF1250" s="5">
        <f t="shared" si="97"/>
        <v>0.65323500000000001</v>
      </c>
      <c r="AG1250" s="1" t="str">
        <f>TRIM(LEFT(L1250,FIND("-",L1250)-1))</f>
        <v>A01</v>
      </c>
      <c r="AH1250" s="1" t="str">
        <f>TRIM(RIGHT(L1250, LEN(L1250) - FIND("-", L1250)))</f>
        <v>A06 (CS1) -new</v>
      </c>
      <c r="AJ1250">
        <f t="shared" si="98"/>
        <v>0.14246</v>
      </c>
      <c r="AK1250">
        <f t="shared" si="99"/>
        <v>0.43548999999999999</v>
      </c>
      <c r="AL1250" t="e">
        <f>VLOOKUP(L1250,'[1]Tuyến cáp H04'!$B:$E,3,0)/1000</f>
        <v>#N/A</v>
      </c>
      <c r="AM1250" t="e">
        <f>VLOOKUP(L1250,'[1]Tuyến cáp H04'!$B:$E,4,0)</f>
        <v>#N/A</v>
      </c>
    </row>
    <row r="1251" spans="1:39" x14ac:dyDescent="0.25">
      <c r="A1251" s="1" t="s">
        <v>12068</v>
      </c>
      <c r="B1251" s="1" t="s">
        <v>12055</v>
      </c>
      <c r="C1251" s="1" t="s">
        <v>12056</v>
      </c>
      <c r="D1251" s="1" t="s">
        <v>12069</v>
      </c>
      <c r="E1251" s="1" t="s">
        <v>12070</v>
      </c>
      <c r="F1251" s="1" t="s">
        <v>12071</v>
      </c>
      <c r="G1251" s="1" t="s">
        <v>14129</v>
      </c>
      <c r="H1251" s="1" t="s">
        <v>14133</v>
      </c>
      <c r="I1251" s="1" t="s">
        <v>15354</v>
      </c>
      <c r="J1251" s="1" t="s">
        <v>23</v>
      </c>
      <c r="K1251" s="1"/>
      <c r="L1251" s="1" t="s">
        <v>12072</v>
      </c>
      <c r="M1251" s="1" t="s">
        <v>12072</v>
      </c>
      <c r="N1251" s="12" t="b">
        <f t="shared" si="95"/>
        <v>1</v>
      </c>
      <c r="O1251" s="1" t="s">
        <v>12073</v>
      </c>
      <c r="P1251" s="1" t="s">
        <v>12074</v>
      </c>
      <c r="Q1251" s="1" t="s">
        <v>12075</v>
      </c>
      <c r="R1251" s="1" t="s">
        <v>12076</v>
      </c>
      <c r="S1251" s="1" t="s">
        <v>12077</v>
      </c>
      <c r="T1251" s="1" t="s">
        <v>12078</v>
      </c>
      <c r="U1251" s="1" t="s">
        <v>12079</v>
      </c>
      <c r="V1251" s="13">
        <f>COUNTIF(L1251:$M$1659,L1251)</f>
        <v>16</v>
      </c>
      <c r="W1251" s="1" t="s">
        <v>12080</v>
      </c>
      <c r="X1251">
        <v>363.23</v>
      </c>
      <c r="Y1251">
        <v>50.98</v>
      </c>
      <c r="Z1251">
        <v>16.038461999999999</v>
      </c>
      <c r="AA1251">
        <v>108.242496</v>
      </c>
      <c r="AB1251">
        <v>312.25</v>
      </c>
      <c r="AC1251">
        <v>16.042570000000001</v>
      </c>
      <c r="AD1251">
        <v>108.245257</v>
      </c>
      <c r="AE1251" s="5">
        <f t="shared" si="96"/>
        <v>7.6469999999999996E-2</v>
      </c>
      <c r="AF1251" s="5">
        <f t="shared" si="97"/>
        <v>0.46837499999999999</v>
      </c>
      <c r="AG1251" s="1" t="str">
        <f>TRIM(LEFT(L1251,FIND("-",L1251)-1))</f>
        <v>K01</v>
      </c>
      <c r="AH1251" s="1" t="str">
        <f>TRIM(RIGHT(L1251, LEN(L1251) - FIND("-", L1251)))</f>
        <v>A01</v>
      </c>
      <c r="AJ1251">
        <f t="shared" si="98"/>
        <v>5.0979999999999998E-2</v>
      </c>
      <c r="AK1251">
        <f t="shared" si="99"/>
        <v>0.31225000000000003</v>
      </c>
      <c r="AL1251" t="e">
        <f>VLOOKUP(L1251,'[1]Tuyến cáp H04'!$B:$E,3,0)/1000</f>
        <v>#N/A</v>
      </c>
      <c r="AM1251" t="e">
        <f>VLOOKUP(L1251,'[1]Tuyến cáp H04'!$B:$E,4,0)</f>
        <v>#N/A</v>
      </c>
    </row>
    <row r="1252" spans="1:39" x14ac:dyDescent="0.25">
      <c r="A1252" s="1" t="s">
        <v>12081</v>
      </c>
      <c r="B1252" s="1" t="s">
        <v>12055</v>
      </c>
      <c r="C1252" s="1" t="s">
        <v>12056</v>
      </c>
      <c r="D1252" s="1" t="s">
        <v>12082</v>
      </c>
      <c r="E1252" s="1" t="s">
        <v>12083</v>
      </c>
      <c r="F1252" s="1" t="s">
        <v>12084</v>
      </c>
      <c r="G1252" s="1" t="s">
        <v>14129</v>
      </c>
      <c r="H1252" s="1" t="s">
        <v>14133</v>
      </c>
      <c r="I1252" s="1" t="s">
        <v>15355</v>
      </c>
      <c r="J1252" s="1" t="s">
        <v>23</v>
      </c>
      <c r="K1252" s="1"/>
      <c r="L1252" s="1" t="s">
        <v>12085</v>
      </c>
      <c r="M1252" s="1" t="s">
        <v>12085</v>
      </c>
      <c r="N1252" s="12" t="b">
        <f t="shared" si="95"/>
        <v>1</v>
      </c>
      <c r="O1252" s="1" t="s">
        <v>12086</v>
      </c>
      <c r="P1252" s="1" t="s">
        <v>12087</v>
      </c>
      <c r="Q1252" s="1" t="s">
        <v>12088</v>
      </c>
      <c r="R1252" s="1" t="s">
        <v>12089</v>
      </c>
      <c r="S1252" s="1" t="s">
        <v>12090</v>
      </c>
      <c r="T1252" s="1" t="s">
        <v>12091</v>
      </c>
      <c r="U1252" s="1" t="s">
        <v>12092</v>
      </c>
      <c r="V1252" s="13">
        <f>COUNTIF(L1252:$M$1659,L1252)</f>
        <v>6</v>
      </c>
      <c r="W1252" s="1" t="s">
        <v>12093</v>
      </c>
      <c r="X1252">
        <v>676.28</v>
      </c>
      <c r="Y1252">
        <v>560.01</v>
      </c>
      <c r="Z1252">
        <v>16.042152000000002</v>
      </c>
      <c r="AA1252">
        <v>108.246284</v>
      </c>
      <c r="AB1252">
        <v>116.27</v>
      </c>
      <c r="AC1252">
        <v>16.049909</v>
      </c>
      <c r="AD1252">
        <v>108.24767799999999</v>
      </c>
      <c r="AE1252" s="5">
        <f t="shared" si="96"/>
        <v>0.84001499999999996</v>
      </c>
      <c r="AF1252" s="5">
        <f t="shared" si="97"/>
        <v>0.174405</v>
      </c>
      <c r="AG1252" s="1" t="str">
        <f>TRIM(LEFT(L1252,FIND("-",L1252)-1))</f>
        <v>Bệnh viện 199</v>
      </c>
      <c r="AH1252" s="1" t="str">
        <f>TRIM(RIGHT(L1252, LEN(L1252) - FIND("-", L1252)))</f>
        <v>A01 - ok</v>
      </c>
      <c r="AJ1252">
        <f t="shared" si="98"/>
        <v>0.56001000000000001</v>
      </c>
      <c r="AK1252">
        <f t="shared" si="99"/>
        <v>0.11627</v>
      </c>
      <c r="AL1252" t="e">
        <f>VLOOKUP(L1252,'[1]Tuyến cáp H04'!$B:$E,3,0)/1000</f>
        <v>#N/A</v>
      </c>
      <c r="AM1252" t="e">
        <f>VLOOKUP(L1252,'[1]Tuyến cáp H04'!$B:$E,4,0)</f>
        <v>#N/A</v>
      </c>
    </row>
    <row r="1253" spans="1:39" x14ac:dyDescent="0.25">
      <c r="A1253" s="1" t="s">
        <v>12094</v>
      </c>
      <c r="B1253" s="1" t="s">
        <v>12055</v>
      </c>
      <c r="C1253" s="1" t="s">
        <v>12056</v>
      </c>
      <c r="D1253" s="1" t="e">
        <v>#N/A</v>
      </c>
      <c r="E1253" s="1" t="e">
        <v>#N/A</v>
      </c>
      <c r="F1253" s="1" t="s">
        <v>12095</v>
      </c>
      <c r="G1253" s="1" t="s">
        <v>14129</v>
      </c>
      <c r="H1253" s="1" t="s">
        <v>14532</v>
      </c>
      <c r="I1253" s="1" t="s">
        <v>15356</v>
      </c>
      <c r="J1253" s="1" t="s">
        <v>5166</v>
      </c>
      <c r="K1253" s="1" t="s">
        <v>11893</v>
      </c>
      <c r="L1253" s="1"/>
      <c r="M1253" s="1"/>
      <c r="N1253" s="12" t="b">
        <f t="shared" si="95"/>
        <v>1</v>
      </c>
      <c r="O1253" s="1"/>
      <c r="P1253" s="1"/>
      <c r="Q1253" s="1"/>
      <c r="R1253" s="1"/>
      <c r="S1253" s="1"/>
      <c r="T1253" s="1"/>
      <c r="U1253" s="1"/>
      <c r="V1253" s="13">
        <f>COUNTIF(L1253:$M$1659,L1253)</f>
        <v>0</v>
      </c>
      <c r="W1253" s="1"/>
      <c r="AE1253" s="5"/>
      <c r="AF1253" s="5"/>
      <c r="AG1253" s="1"/>
      <c r="AH1253" s="1"/>
      <c r="AL1253" t="e">
        <f>VLOOKUP(L1253,'[1]Tuyến cáp H04'!$B:$E,3,0)/1000</f>
        <v>#N/A</v>
      </c>
      <c r="AM1253" t="e">
        <f>VLOOKUP(L1253,'[1]Tuyến cáp H04'!$B:$E,4,0)</f>
        <v>#N/A</v>
      </c>
    </row>
    <row r="1254" spans="1:39" x14ac:dyDescent="0.25">
      <c r="A1254" s="1" t="s">
        <v>12096</v>
      </c>
      <c r="B1254" s="1" t="s">
        <v>12055</v>
      </c>
      <c r="C1254" s="1" t="s">
        <v>12056</v>
      </c>
      <c r="D1254" s="1" t="s">
        <v>12097</v>
      </c>
      <c r="E1254" s="1" t="s">
        <v>12098</v>
      </c>
      <c r="F1254" s="1" t="s">
        <v>12099</v>
      </c>
      <c r="G1254" s="1" t="s">
        <v>14129</v>
      </c>
      <c r="H1254" s="1" t="s">
        <v>14133</v>
      </c>
      <c r="I1254" s="1" t="s">
        <v>15357</v>
      </c>
      <c r="J1254" s="1" t="s">
        <v>23</v>
      </c>
      <c r="K1254" s="1"/>
      <c r="L1254" s="1" t="s">
        <v>12072</v>
      </c>
      <c r="M1254" s="1" t="s">
        <v>12072</v>
      </c>
      <c r="N1254" s="12" t="b">
        <f t="shared" si="95"/>
        <v>1</v>
      </c>
      <c r="O1254" s="1" t="s">
        <v>12100</v>
      </c>
      <c r="P1254" s="1" t="s">
        <v>12074</v>
      </c>
      <c r="Q1254" s="1" t="s">
        <v>12075</v>
      </c>
      <c r="R1254" s="1" t="s">
        <v>12076</v>
      </c>
      <c r="S1254" s="1" t="s">
        <v>12101</v>
      </c>
      <c r="T1254" s="1" t="s">
        <v>12102</v>
      </c>
      <c r="U1254" s="1" t="s">
        <v>12103</v>
      </c>
      <c r="V1254" s="13">
        <f>COUNTIF(L1254:$M$1659,L1254)</f>
        <v>14</v>
      </c>
      <c r="W1254" s="1" t="s">
        <v>12080</v>
      </c>
      <c r="X1254">
        <v>142.65</v>
      </c>
      <c r="Y1254">
        <v>50.98</v>
      </c>
      <c r="Z1254">
        <v>16.038461999999999</v>
      </c>
      <c r="AA1254">
        <v>108.242496</v>
      </c>
      <c r="AB1254">
        <v>91.67</v>
      </c>
      <c r="AC1254">
        <v>16.043057999999998</v>
      </c>
      <c r="AD1254">
        <v>108.243117</v>
      </c>
      <c r="AE1254" s="5">
        <f t="shared" si="96"/>
        <v>7.6469999999999996E-2</v>
      </c>
      <c r="AF1254" s="5">
        <f t="shared" si="97"/>
        <v>0.13750499999999999</v>
      </c>
      <c r="AG1254" s="1" t="str">
        <f>TRIM(LEFT(L1254,FIND("-",L1254)-1))</f>
        <v>K01</v>
      </c>
      <c r="AH1254" s="1" t="str">
        <f>TRIM(RIGHT(L1254, LEN(L1254) - FIND("-", L1254)))</f>
        <v>A01</v>
      </c>
      <c r="AJ1254">
        <f t="shared" si="98"/>
        <v>5.0979999999999998E-2</v>
      </c>
      <c r="AK1254">
        <f t="shared" si="99"/>
        <v>9.1670000000000001E-2</v>
      </c>
      <c r="AL1254" t="e">
        <f>VLOOKUP(L1254,'[1]Tuyến cáp H04'!$B:$E,3,0)/1000</f>
        <v>#N/A</v>
      </c>
      <c r="AM1254" t="e">
        <f>VLOOKUP(L1254,'[1]Tuyến cáp H04'!$B:$E,4,0)</f>
        <v>#N/A</v>
      </c>
    </row>
    <row r="1255" spans="1:39" x14ac:dyDescent="0.25">
      <c r="A1255" s="1" t="s">
        <v>12104</v>
      </c>
      <c r="B1255" s="1" t="s">
        <v>12055</v>
      </c>
      <c r="C1255" s="1" t="s">
        <v>12056</v>
      </c>
      <c r="D1255" s="1" t="s">
        <v>12105</v>
      </c>
      <c r="E1255" s="1" t="s">
        <v>12106</v>
      </c>
      <c r="F1255" s="1" t="s">
        <v>12107</v>
      </c>
      <c r="G1255" s="1" t="s">
        <v>14129</v>
      </c>
      <c r="H1255" s="1" t="s">
        <v>14133</v>
      </c>
      <c r="I1255" s="1" t="s">
        <v>15358</v>
      </c>
      <c r="J1255" s="1" t="s">
        <v>23</v>
      </c>
      <c r="K1255" s="1"/>
      <c r="L1255" s="1" t="s">
        <v>12085</v>
      </c>
      <c r="M1255" s="1" t="s">
        <v>12085</v>
      </c>
      <c r="N1255" s="12" t="b">
        <f t="shared" si="95"/>
        <v>1</v>
      </c>
      <c r="O1255" s="1" t="s">
        <v>12108</v>
      </c>
      <c r="P1255" s="1" t="s">
        <v>12087</v>
      </c>
      <c r="Q1255" s="1" t="s">
        <v>12088</v>
      </c>
      <c r="R1255" s="1" t="s">
        <v>12089</v>
      </c>
      <c r="S1255" s="1" t="s">
        <v>12109</v>
      </c>
      <c r="T1255" s="1" t="s">
        <v>12110</v>
      </c>
      <c r="U1255" s="1" t="s">
        <v>12111</v>
      </c>
      <c r="V1255" s="13">
        <f>COUNTIF(L1255:$M$1659,L1255)</f>
        <v>4</v>
      </c>
      <c r="W1255" s="1" t="s">
        <v>12093</v>
      </c>
      <c r="X1255">
        <v>631.4</v>
      </c>
      <c r="Y1255">
        <v>560.01</v>
      </c>
      <c r="Z1255">
        <v>16.042152000000002</v>
      </c>
      <c r="AA1255">
        <v>108.246284</v>
      </c>
      <c r="AB1255">
        <v>71.39</v>
      </c>
      <c r="AC1255">
        <v>16.048372000000001</v>
      </c>
      <c r="AD1255">
        <v>108.248048</v>
      </c>
      <c r="AE1255" s="5">
        <f t="shared" si="96"/>
        <v>0.84001499999999996</v>
      </c>
      <c r="AF1255" s="5">
        <f t="shared" si="97"/>
        <v>0.10708500000000001</v>
      </c>
      <c r="AG1255" s="1" t="str">
        <f>TRIM(LEFT(L1255,FIND("-",L1255)-1))</f>
        <v>Bệnh viện 199</v>
      </c>
      <c r="AH1255" s="1" t="str">
        <f>TRIM(RIGHT(L1255, LEN(L1255) - FIND("-", L1255)))</f>
        <v>A01 - ok</v>
      </c>
      <c r="AJ1255">
        <f t="shared" si="98"/>
        <v>0.56001000000000001</v>
      </c>
      <c r="AK1255">
        <f t="shared" si="99"/>
        <v>7.1389999999999995E-2</v>
      </c>
      <c r="AL1255" t="e">
        <f>VLOOKUP(L1255,'[1]Tuyến cáp H04'!$B:$E,3,0)/1000</f>
        <v>#N/A</v>
      </c>
      <c r="AM1255" t="e">
        <f>VLOOKUP(L1255,'[1]Tuyến cáp H04'!$B:$E,4,0)</f>
        <v>#N/A</v>
      </c>
    </row>
    <row r="1256" spans="1:39" x14ac:dyDescent="0.25">
      <c r="A1256" s="1" t="s">
        <v>12112</v>
      </c>
      <c r="B1256" s="1" t="s">
        <v>12055</v>
      </c>
      <c r="C1256" s="1" t="s">
        <v>12056</v>
      </c>
      <c r="D1256" s="1" t="s">
        <v>12113</v>
      </c>
      <c r="E1256" s="1" t="s">
        <v>12114</v>
      </c>
      <c r="F1256" s="1" t="s">
        <v>12115</v>
      </c>
      <c r="G1256" s="1" t="s">
        <v>14129</v>
      </c>
      <c r="H1256" s="1" t="s">
        <v>14133</v>
      </c>
      <c r="I1256" s="1" t="s">
        <v>15359</v>
      </c>
      <c r="J1256" s="1" t="s">
        <v>23</v>
      </c>
      <c r="K1256" s="1"/>
      <c r="L1256" s="1" t="s">
        <v>12060</v>
      </c>
      <c r="M1256" s="1" t="s">
        <v>12060</v>
      </c>
      <c r="N1256" s="12" t="b">
        <f t="shared" si="95"/>
        <v>1</v>
      </c>
      <c r="O1256" s="1" t="s">
        <v>12116</v>
      </c>
      <c r="P1256" s="1" t="s">
        <v>9198</v>
      </c>
      <c r="Q1256" s="1" t="s">
        <v>12062</v>
      </c>
      <c r="R1256" s="1" t="s">
        <v>12063</v>
      </c>
      <c r="S1256" s="1" t="s">
        <v>12117</v>
      </c>
      <c r="T1256" s="1" t="s">
        <v>12065</v>
      </c>
      <c r="U1256" s="1" t="s">
        <v>12066</v>
      </c>
      <c r="V1256" s="13">
        <f>COUNTIF(L1256:$M$1659,L1256)</f>
        <v>2</v>
      </c>
      <c r="W1256" s="1" t="s">
        <v>12067</v>
      </c>
      <c r="X1256">
        <v>367.76</v>
      </c>
      <c r="Y1256">
        <v>142.46</v>
      </c>
      <c r="Z1256">
        <v>16.04016</v>
      </c>
      <c r="AA1256">
        <v>108.24224100000001</v>
      </c>
      <c r="AB1256">
        <v>225.31</v>
      </c>
      <c r="AC1256">
        <v>16.042145000000001</v>
      </c>
      <c r="AD1256">
        <v>108.24629400000001</v>
      </c>
      <c r="AE1256" s="5">
        <f t="shared" si="96"/>
        <v>0.21368999999999999</v>
      </c>
      <c r="AF1256" s="5">
        <f t="shared" si="97"/>
        <v>0.33796500000000002</v>
      </c>
      <c r="AG1256" s="1" t="str">
        <f>TRIM(LEFT(L1256,FIND("-",L1256)-1))</f>
        <v>A01</v>
      </c>
      <c r="AH1256" s="1" t="str">
        <f>TRIM(RIGHT(L1256, LEN(L1256) - FIND("-", L1256)))</f>
        <v>A06 (CS1) -new</v>
      </c>
      <c r="AJ1256">
        <f t="shared" si="98"/>
        <v>0.14246</v>
      </c>
      <c r="AK1256">
        <f t="shared" si="99"/>
        <v>0.22531000000000001</v>
      </c>
      <c r="AL1256" t="e">
        <f>VLOOKUP(L1256,'[1]Tuyến cáp H04'!$B:$E,3,0)/1000</f>
        <v>#N/A</v>
      </c>
      <c r="AM1256" t="e">
        <f>VLOOKUP(L1256,'[1]Tuyến cáp H04'!$B:$E,4,0)</f>
        <v>#N/A</v>
      </c>
    </row>
    <row r="1257" spans="1:39" x14ac:dyDescent="0.25">
      <c r="A1257" s="1" t="s">
        <v>12118</v>
      </c>
      <c r="B1257" s="1" t="s">
        <v>12119</v>
      </c>
      <c r="C1257" s="1" t="s">
        <v>12120</v>
      </c>
      <c r="D1257" s="1" t="s">
        <v>12121</v>
      </c>
      <c r="E1257" s="1" t="s">
        <v>12122</v>
      </c>
      <c r="F1257" s="1" t="s">
        <v>12123</v>
      </c>
      <c r="G1257" s="1" t="s">
        <v>14129</v>
      </c>
      <c r="H1257" s="1" t="s">
        <v>14133</v>
      </c>
      <c r="I1257" s="1" t="s">
        <v>15360</v>
      </c>
      <c r="J1257" s="1" t="s">
        <v>23</v>
      </c>
      <c r="K1257" s="1"/>
      <c r="L1257" s="1" t="s">
        <v>12124</v>
      </c>
      <c r="M1257" s="1" t="s">
        <v>12124</v>
      </c>
      <c r="N1257" s="12" t="b">
        <f t="shared" si="95"/>
        <v>1</v>
      </c>
      <c r="O1257" s="1" t="s">
        <v>12125</v>
      </c>
      <c r="P1257" s="1" t="s">
        <v>12126</v>
      </c>
      <c r="Q1257" s="1" t="s">
        <v>12127</v>
      </c>
      <c r="R1257" s="1" t="s">
        <v>12128</v>
      </c>
      <c r="S1257" s="1" t="s">
        <v>12129</v>
      </c>
      <c r="T1257" s="1" t="s">
        <v>12130</v>
      </c>
      <c r="U1257" s="1" t="s">
        <v>12131</v>
      </c>
      <c r="V1257" s="13">
        <f>COUNTIF(L1257:$M$1659,L1257)</f>
        <v>6</v>
      </c>
      <c r="W1257" s="1" t="s">
        <v>12132</v>
      </c>
      <c r="X1257">
        <v>56.62</v>
      </c>
      <c r="Y1257">
        <v>6.41</v>
      </c>
      <c r="Z1257">
        <v>16.057247</v>
      </c>
      <c r="AA1257">
        <v>108.181504</v>
      </c>
      <c r="AB1257">
        <v>50.21</v>
      </c>
      <c r="AC1257">
        <v>16.056948999999999</v>
      </c>
      <c r="AD1257">
        <v>108.180661</v>
      </c>
      <c r="AE1257" s="5">
        <f t="shared" si="96"/>
        <v>9.6150000000000003E-3</v>
      </c>
      <c r="AF1257" s="5">
        <f t="shared" si="97"/>
        <v>7.5314999999999993E-2</v>
      </c>
      <c r="AG1257" s="1" t="str">
        <f>TRIM(LEFT(L1257,FIND("-",L1257)-1))</f>
        <v>Hòa Khánh</v>
      </c>
      <c r="AH1257" s="1" t="str">
        <f>TRIM(RIGHT(L1257, LEN(L1257) - FIND("-", L1257)))</f>
        <v>An Khê</v>
      </c>
      <c r="AJ1257">
        <f t="shared" si="98"/>
        <v>6.4099999999999999E-3</v>
      </c>
      <c r="AK1257">
        <f t="shared" si="99"/>
        <v>5.0209999999999998E-2</v>
      </c>
      <c r="AL1257" t="e">
        <f>VLOOKUP(L1257,'[1]Tuyến cáp H04'!$B:$E,3,0)/1000</f>
        <v>#N/A</v>
      </c>
      <c r="AM1257" t="e">
        <f>VLOOKUP(L1257,'[1]Tuyến cáp H04'!$B:$E,4,0)</f>
        <v>#N/A</v>
      </c>
    </row>
    <row r="1258" spans="1:39" x14ac:dyDescent="0.25">
      <c r="A1258" s="1" t="s">
        <v>12133</v>
      </c>
      <c r="B1258" s="1" t="s">
        <v>12134</v>
      </c>
      <c r="C1258" s="1" t="s">
        <v>12135</v>
      </c>
      <c r="D1258" s="1" t="s">
        <v>12136</v>
      </c>
      <c r="E1258" s="1" t="s">
        <v>12137</v>
      </c>
      <c r="F1258" s="1" t="s">
        <v>12138</v>
      </c>
      <c r="G1258" s="1" t="s">
        <v>14129</v>
      </c>
      <c r="H1258" s="1" t="s">
        <v>14133</v>
      </c>
      <c r="I1258" s="1" t="s">
        <v>15361</v>
      </c>
      <c r="J1258" s="1" t="s">
        <v>23</v>
      </c>
      <c r="K1258" s="1"/>
      <c r="L1258" s="1" t="s">
        <v>11166</v>
      </c>
      <c r="M1258" s="1" t="s">
        <v>11166</v>
      </c>
      <c r="N1258" s="12" t="b">
        <f t="shared" si="95"/>
        <v>1</v>
      </c>
      <c r="O1258" s="1" t="s">
        <v>12139</v>
      </c>
      <c r="P1258" s="1" t="s">
        <v>12140</v>
      </c>
      <c r="Q1258" s="1" t="s">
        <v>12141</v>
      </c>
      <c r="R1258" s="1" t="s">
        <v>12142</v>
      </c>
      <c r="S1258" s="1" t="s">
        <v>7024</v>
      </c>
      <c r="T1258" s="1" t="s">
        <v>12143</v>
      </c>
      <c r="U1258" s="1" t="s">
        <v>12144</v>
      </c>
      <c r="V1258" s="13">
        <f>COUNTIF(L1258:$M$1659,L1258)</f>
        <v>14</v>
      </c>
      <c r="W1258" s="1" t="s">
        <v>11174</v>
      </c>
      <c r="X1258">
        <v>75.760000000000005</v>
      </c>
      <c r="Y1258">
        <v>52.73</v>
      </c>
      <c r="Z1258">
        <v>16.071179000000001</v>
      </c>
      <c r="AA1258">
        <v>108.19215</v>
      </c>
      <c r="AB1258">
        <v>23.03</v>
      </c>
      <c r="AC1258">
        <v>16.069703000000001</v>
      </c>
      <c r="AD1258">
        <v>108.184551</v>
      </c>
      <c r="AE1258" s="5">
        <f t="shared" si="96"/>
        <v>7.9094999999999999E-2</v>
      </c>
      <c r="AF1258" s="5">
        <f t="shared" si="97"/>
        <v>3.4544999999999999E-2</v>
      </c>
      <c r="AG1258" s="1" t="str">
        <f>TRIM(LEFT(L1258,FIND("-",L1258)-1))</f>
        <v>TT1 Đà Nẵng</v>
      </c>
      <c r="AH1258" s="1" t="str">
        <f>TRIM(RIGHT(L1258, LEN(L1258) - FIND("-", L1258)))</f>
        <v>Hải Vân</v>
      </c>
      <c r="AJ1258">
        <f t="shared" si="98"/>
        <v>5.2729999999999999E-2</v>
      </c>
      <c r="AK1258">
        <f t="shared" si="99"/>
        <v>2.3030000000000002E-2</v>
      </c>
      <c r="AL1258">
        <f>VLOOKUP(L1258,'[1]Tuyến cáp H04'!$B:$E,3,0)/1000</f>
        <v>14.76</v>
      </c>
      <c r="AM1258" t="str">
        <f>VLOOKUP(L1258,'[1]Tuyến cáp H04'!$B:$E,4,0)</f>
        <v>Mạng cấp 4</v>
      </c>
    </row>
    <row r="1259" spans="1:39" x14ac:dyDescent="0.25">
      <c r="A1259" s="1" t="s">
        <v>12145</v>
      </c>
      <c r="B1259" s="1" t="s">
        <v>12134</v>
      </c>
      <c r="C1259" s="1" t="s">
        <v>12135</v>
      </c>
      <c r="D1259" s="1" t="s">
        <v>7312</v>
      </c>
      <c r="E1259" s="1" t="s">
        <v>12146</v>
      </c>
      <c r="F1259" s="1" t="s">
        <v>12147</v>
      </c>
      <c r="G1259" s="1" t="s">
        <v>14129</v>
      </c>
      <c r="H1259" s="1" t="s">
        <v>14133</v>
      </c>
      <c r="I1259" s="1" t="s">
        <v>15362</v>
      </c>
      <c r="J1259" s="1" t="s">
        <v>23</v>
      </c>
      <c r="K1259" s="1"/>
      <c r="L1259" s="1" t="s">
        <v>12148</v>
      </c>
      <c r="M1259" s="1" t="s">
        <v>12148</v>
      </c>
      <c r="N1259" s="12" t="b">
        <f t="shared" si="95"/>
        <v>1</v>
      </c>
      <c r="O1259" s="1" t="s">
        <v>12149</v>
      </c>
      <c r="P1259" s="1" t="s">
        <v>12150</v>
      </c>
      <c r="Q1259" s="1" t="s">
        <v>12151</v>
      </c>
      <c r="R1259" s="1" t="s">
        <v>12152</v>
      </c>
      <c r="S1259" s="1" t="s">
        <v>12153</v>
      </c>
      <c r="T1259" s="1" t="s">
        <v>12154</v>
      </c>
      <c r="U1259" s="1" t="s">
        <v>12155</v>
      </c>
      <c r="V1259" s="13">
        <f>COUNTIF(L1259:$M$1659,L1259)</f>
        <v>6</v>
      </c>
      <c r="W1259" s="1" t="s">
        <v>12156</v>
      </c>
      <c r="X1259">
        <v>32.79</v>
      </c>
      <c r="Y1259">
        <v>10.87</v>
      </c>
      <c r="Z1259">
        <v>16.070730000000001</v>
      </c>
      <c r="AA1259">
        <v>108.192493</v>
      </c>
      <c r="AB1259">
        <v>21.92</v>
      </c>
      <c r="AC1259">
        <v>16.070101000000001</v>
      </c>
      <c r="AD1259">
        <v>108.191766</v>
      </c>
      <c r="AE1259" s="5">
        <f t="shared" si="96"/>
        <v>1.6305E-2</v>
      </c>
      <c r="AF1259" s="5">
        <f t="shared" si="97"/>
        <v>3.288E-2</v>
      </c>
      <c r="AG1259" s="1" t="str">
        <f>TRIM(LEFT(L1259,FIND("-",L1259)-1))</f>
        <v>An Khê</v>
      </c>
      <c r="AH1259" s="1" t="str">
        <f>TRIM(RIGHT(L1259, LEN(L1259) - FIND("-", L1259)))</f>
        <v>Thanh Khê</v>
      </c>
      <c r="AJ1259">
        <f t="shared" si="98"/>
        <v>1.0869999999999999E-2</v>
      </c>
      <c r="AK1259">
        <f t="shared" si="99"/>
        <v>2.1920000000000002E-2</v>
      </c>
      <c r="AL1259" t="e">
        <f>VLOOKUP(L1259,'[1]Tuyến cáp H04'!$B:$E,3,0)/1000</f>
        <v>#N/A</v>
      </c>
      <c r="AM1259" t="e">
        <f>VLOOKUP(L1259,'[1]Tuyến cáp H04'!$B:$E,4,0)</f>
        <v>#N/A</v>
      </c>
    </row>
    <row r="1260" spans="1:39" x14ac:dyDescent="0.25">
      <c r="A1260" s="1" t="s">
        <v>12157</v>
      </c>
      <c r="B1260" s="1" t="s">
        <v>12134</v>
      </c>
      <c r="C1260" s="1" t="s">
        <v>12135</v>
      </c>
      <c r="D1260" s="1" t="s">
        <v>12158</v>
      </c>
      <c r="E1260" s="1" t="s">
        <v>12159</v>
      </c>
      <c r="F1260" s="1" t="s">
        <v>12160</v>
      </c>
      <c r="G1260" s="1" t="s">
        <v>14129</v>
      </c>
      <c r="H1260" s="1" t="s">
        <v>14133</v>
      </c>
      <c r="I1260" s="1" t="s">
        <v>15363</v>
      </c>
      <c r="J1260" s="1" t="s">
        <v>23</v>
      </c>
      <c r="K1260" s="1"/>
      <c r="L1260" s="1" t="s">
        <v>11146</v>
      </c>
      <c r="M1260" s="1" t="s">
        <v>11146</v>
      </c>
      <c r="N1260" s="12" t="b">
        <f t="shared" si="95"/>
        <v>1</v>
      </c>
      <c r="O1260" s="1" t="s">
        <v>12161</v>
      </c>
      <c r="P1260" s="1" t="s">
        <v>12162</v>
      </c>
      <c r="Q1260" s="1" t="s">
        <v>12163</v>
      </c>
      <c r="R1260" s="1" t="s">
        <v>12164</v>
      </c>
      <c r="S1260" s="1" t="s">
        <v>12165</v>
      </c>
      <c r="T1260" s="1" t="s">
        <v>12166</v>
      </c>
      <c r="U1260" s="1" t="s">
        <v>12167</v>
      </c>
      <c r="V1260" s="13">
        <f>COUNTIF(L1260:$M$1659,L1260)</f>
        <v>10</v>
      </c>
      <c r="W1260" s="1" t="s">
        <v>12168</v>
      </c>
      <c r="X1260">
        <v>284.45</v>
      </c>
      <c r="Y1260">
        <v>195.19</v>
      </c>
      <c r="Z1260">
        <v>16.072437000000001</v>
      </c>
      <c r="AA1260">
        <v>108.19182600000001</v>
      </c>
      <c r="AB1260">
        <v>89.26</v>
      </c>
      <c r="AC1260">
        <v>16.07319</v>
      </c>
      <c r="AD1260">
        <v>108.18029300000001</v>
      </c>
      <c r="AE1260" s="5">
        <f t="shared" si="96"/>
        <v>0.29278499999999996</v>
      </c>
      <c r="AF1260" s="5">
        <f t="shared" si="97"/>
        <v>0.13389000000000001</v>
      </c>
      <c r="AG1260" s="1" t="str">
        <f>TRIM(LEFT(L1260,FIND("-",L1260)-1))</f>
        <v>TT1 Đà Nẵng</v>
      </c>
      <c r="AH1260" s="1" t="str">
        <f>TRIM(RIGHT(L1260, LEN(L1260) - FIND("-", L1260)))</f>
        <v>Liên Chiểu</v>
      </c>
      <c r="AJ1260">
        <f t="shared" si="98"/>
        <v>0.19519</v>
      </c>
      <c r="AK1260">
        <f t="shared" si="99"/>
        <v>8.9260000000000006E-2</v>
      </c>
      <c r="AL1260">
        <f>VLOOKUP(L1260,'[1]Tuyến cáp H04'!$B:$E,3,0)/1000</f>
        <v>9.8698999999999995</v>
      </c>
      <c r="AM1260" t="str">
        <f>VLOOKUP(L1260,'[1]Tuyến cáp H04'!$B:$E,4,0)</f>
        <v>Mạng cấp 3</v>
      </c>
    </row>
    <row r="1261" spans="1:39" x14ac:dyDescent="0.25">
      <c r="A1261" s="1" t="s">
        <v>12169</v>
      </c>
      <c r="B1261" s="1" t="s">
        <v>12134</v>
      </c>
      <c r="C1261" s="1" t="s">
        <v>12135</v>
      </c>
      <c r="D1261" s="1" t="s">
        <v>12170</v>
      </c>
      <c r="E1261" s="1" t="s">
        <v>12171</v>
      </c>
      <c r="F1261" s="1" t="s">
        <v>12172</v>
      </c>
      <c r="G1261" s="1" t="s">
        <v>14129</v>
      </c>
      <c r="H1261" s="1" t="s">
        <v>14532</v>
      </c>
      <c r="I1261" s="1" t="s">
        <v>15364</v>
      </c>
      <c r="J1261" s="1" t="s">
        <v>23</v>
      </c>
      <c r="K1261" s="1"/>
      <c r="L1261" s="1" t="s">
        <v>12173</v>
      </c>
      <c r="M1261" s="1" t="s">
        <v>12173</v>
      </c>
      <c r="N1261" s="12" t="b">
        <f t="shared" si="95"/>
        <v>1</v>
      </c>
      <c r="O1261" s="1" t="s">
        <v>12174</v>
      </c>
      <c r="P1261" s="1" t="s">
        <v>12175</v>
      </c>
      <c r="Q1261" s="1" t="s">
        <v>12176</v>
      </c>
      <c r="R1261" s="1" t="s">
        <v>12177</v>
      </c>
      <c r="S1261" s="1" t="s">
        <v>12178</v>
      </c>
      <c r="T1261" s="1" t="s">
        <v>12179</v>
      </c>
      <c r="U1261" s="1" t="s">
        <v>12180</v>
      </c>
      <c r="V1261" s="13">
        <f>COUNTIF(L1261:$M$1659,L1261)</f>
        <v>12</v>
      </c>
      <c r="W1261" s="1" t="s">
        <v>12181</v>
      </c>
      <c r="X1261">
        <v>69.67</v>
      </c>
      <c r="Y1261">
        <v>11.25</v>
      </c>
      <c r="Z1261">
        <v>16.070743</v>
      </c>
      <c r="AA1261">
        <v>108.192502</v>
      </c>
      <c r="AB1261">
        <v>58.42</v>
      </c>
      <c r="AC1261">
        <v>16.071003999999999</v>
      </c>
      <c r="AD1261">
        <v>108.200844</v>
      </c>
      <c r="AE1261" s="5">
        <f t="shared" si="96"/>
        <v>1.6875000000000001E-2</v>
      </c>
      <c r="AF1261" s="5">
        <f t="shared" si="97"/>
        <v>8.763E-2</v>
      </c>
      <c r="AG1261" s="1" t="str">
        <f>TRIM(LEFT(L1261,FIND("-",L1261)-1))</f>
        <v>Thanh Khê</v>
      </c>
      <c r="AH1261" s="1" t="str">
        <f>TRIM(RIGHT(L1261, LEN(L1261) - FIND("-", L1261)))</f>
        <v>TT1 Đà Nẵng</v>
      </c>
      <c r="AJ1261">
        <f t="shared" si="98"/>
        <v>1.125E-2</v>
      </c>
      <c r="AK1261">
        <f t="shared" si="99"/>
        <v>5.842E-2</v>
      </c>
      <c r="AL1261" t="e">
        <f>VLOOKUP(L1261,'[1]Tuyến cáp H04'!$B:$E,3,0)/1000</f>
        <v>#N/A</v>
      </c>
      <c r="AM1261" t="e">
        <f>VLOOKUP(L1261,'[1]Tuyến cáp H04'!$B:$E,4,0)</f>
        <v>#N/A</v>
      </c>
    </row>
    <row r="1262" spans="1:39" x14ac:dyDescent="0.25">
      <c r="A1262" s="1" t="s">
        <v>12182</v>
      </c>
      <c r="B1262" s="1" t="s">
        <v>12134</v>
      </c>
      <c r="C1262" s="1" t="s">
        <v>12135</v>
      </c>
      <c r="D1262" s="1" t="s">
        <v>12183</v>
      </c>
      <c r="E1262" s="1" t="s">
        <v>12184</v>
      </c>
      <c r="F1262" s="1" t="s">
        <v>12185</v>
      </c>
      <c r="G1262" s="1" t="s">
        <v>14129</v>
      </c>
      <c r="H1262" s="1" t="s">
        <v>14532</v>
      </c>
      <c r="I1262" s="1" t="s">
        <v>15365</v>
      </c>
      <c r="J1262" s="1" t="s">
        <v>23</v>
      </c>
      <c r="K1262" s="1"/>
      <c r="L1262" s="1" t="s">
        <v>12173</v>
      </c>
      <c r="M1262" s="1" t="s">
        <v>12173</v>
      </c>
      <c r="N1262" s="12" t="b">
        <f t="shared" si="95"/>
        <v>1</v>
      </c>
      <c r="O1262" s="1" t="s">
        <v>12186</v>
      </c>
      <c r="P1262" s="1" t="s">
        <v>12175</v>
      </c>
      <c r="Q1262" s="1" t="s">
        <v>12176</v>
      </c>
      <c r="R1262" s="1" t="s">
        <v>12177</v>
      </c>
      <c r="S1262" s="1" t="s">
        <v>12187</v>
      </c>
      <c r="T1262" s="1" t="s">
        <v>12179</v>
      </c>
      <c r="U1262" s="1" t="s">
        <v>12180</v>
      </c>
      <c r="V1262" s="13">
        <f>COUNTIF(L1262:$M$1659,L1262)</f>
        <v>10</v>
      </c>
      <c r="W1262" s="1" t="s">
        <v>12181</v>
      </c>
      <c r="X1262">
        <v>644.79999999999995</v>
      </c>
      <c r="Y1262">
        <v>11.25</v>
      </c>
      <c r="Z1262">
        <v>16.070743</v>
      </c>
      <c r="AA1262">
        <v>108.192502</v>
      </c>
      <c r="AB1262">
        <v>633.54</v>
      </c>
      <c r="AC1262">
        <v>16.071003999999999</v>
      </c>
      <c r="AD1262">
        <v>108.200844</v>
      </c>
      <c r="AE1262" s="5">
        <f t="shared" si="96"/>
        <v>1.6875000000000001E-2</v>
      </c>
      <c r="AF1262" s="5">
        <f t="shared" si="97"/>
        <v>0.95030999999999999</v>
      </c>
      <c r="AG1262" s="1" t="str">
        <f>TRIM(LEFT(L1262,FIND("-",L1262)-1))</f>
        <v>Thanh Khê</v>
      </c>
      <c r="AH1262" s="1" t="str">
        <f>TRIM(RIGHT(L1262, LEN(L1262) - FIND("-", L1262)))</f>
        <v>TT1 Đà Nẵng</v>
      </c>
      <c r="AJ1262">
        <f t="shared" si="98"/>
        <v>1.125E-2</v>
      </c>
      <c r="AK1262">
        <f t="shared" si="99"/>
        <v>0.63353999999999999</v>
      </c>
      <c r="AL1262" t="e">
        <f>VLOOKUP(L1262,'[1]Tuyến cáp H04'!$B:$E,3,0)/1000</f>
        <v>#N/A</v>
      </c>
      <c r="AM1262" t="e">
        <f>VLOOKUP(L1262,'[1]Tuyến cáp H04'!$B:$E,4,0)</f>
        <v>#N/A</v>
      </c>
    </row>
    <row r="1263" spans="1:39" x14ac:dyDescent="0.25">
      <c r="A1263" s="1" t="s">
        <v>12188</v>
      </c>
      <c r="B1263" s="1" t="s">
        <v>12189</v>
      </c>
      <c r="C1263" s="1" t="s">
        <v>12190</v>
      </c>
      <c r="D1263" s="1" t="s">
        <v>12191</v>
      </c>
      <c r="E1263" s="1" t="s">
        <v>12192</v>
      </c>
      <c r="F1263" s="1" t="s">
        <v>12193</v>
      </c>
      <c r="G1263" s="1" t="s">
        <v>14129</v>
      </c>
      <c r="H1263" s="1" t="s">
        <v>14532</v>
      </c>
      <c r="I1263" s="1" t="s">
        <v>15366</v>
      </c>
      <c r="J1263" s="1" t="s">
        <v>23</v>
      </c>
      <c r="K1263" s="1"/>
      <c r="L1263" s="1" t="s">
        <v>12194</v>
      </c>
      <c r="M1263" s="1" t="s">
        <v>12194</v>
      </c>
      <c r="N1263" s="12" t="b">
        <f t="shared" si="95"/>
        <v>1</v>
      </c>
      <c r="O1263" s="1" t="s">
        <v>12195</v>
      </c>
      <c r="P1263" s="1" t="s">
        <v>9866</v>
      </c>
      <c r="Q1263" s="1" t="s">
        <v>12196</v>
      </c>
      <c r="R1263" s="1" t="s">
        <v>12197</v>
      </c>
      <c r="S1263" s="1" t="s">
        <v>12198</v>
      </c>
      <c r="T1263" s="1" t="s">
        <v>12199</v>
      </c>
      <c r="U1263" s="1" t="s">
        <v>12200</v>
      </c>
      <c r="V1263" s="13">
        <f>COUNTIF(L1263:$M$1659,L1263)</f>
        <v>6</v>
      </c>
      <c r="W1263" s="1" t="s">
        <v>12201</v>
      </c>
      <c r="X1263">
        <v>50.99</v>
      </c>
      <c r="Y1263">
        <v>18.809999999999999</v>
      </c>
      <c r="Z1263">
        <v>15.948992000000001</v>
      </c>
      <c r="AA1263">
        <v>108.254724</v>
      </c>
      <c r="AB1263">
        <v>32.19</v>
      </c>
      <c r="AC1263">
        <v>15.935428999999999</v>
      </c>
      <c r="AD1263">
        <v>108.255054</v>
      </c>
      <c r="AE1263" s="5">
        <f t="shared" si="96"/>
        <v>2.8214999999999997E-2</v>
      </c>
      <c r="AF1263" s="5">
        <f t="shared" si="97"/>
        <v>4.8284999999999995E-2</v>
      </c>
      <c r="AG1263" s="1" t="str">
        <f>TRIM(LEFT(L1263,FIND("-",L1263)-1))</f>
        <v>An Thắng</v>
      </c>
      <c r="AH1263" s="1" t="str">
        <f>TRIM(RIGHT(L1263, LEN(L1263) - FIND("-", L1263)))</f>
        <v>Điện Bàn Đông</v>
      </c>
      <c r="AJ1263">
        <f t="shared" si="98"/>
        <v>1.881E-2</v>
      </c>
      <c r="AK1263">
        <f t="shared" si="99"/>
        <v>3.2189999999999996E-2</v>
      </c>
      <c r="AL1263">
        <f>VLOOKUP(L1263,'[1]Tuyến cáp H04'!$B:$E,3,0)/1000</f>
        <v>7.8179999999999996</v>
      </c>
      <c r="AM1263" t="str">
        <f>VLOOKUP(L1263,'[1]Tuyến cáp H04'!$B:$E,4,0)</f>
        <v>Mạng cấp 4</v>
      </c>
    </row>
    <row r="1264" spans="1:39" x14ac:dyDescent="0.25">
      <c r="A1264" s="1" t="s">
        <v>12202</v>
      </c>
      <c r="B1264" s="1" t="s">
        <v>12189</v>
      </c>
      <c r="C1264" s="1" t="s">
        <v>12190</v>
      </c>
      <c r="D1264" s="1" t="s">
        <v>12203</v>
      </c>
      <c r="E1264" s="1" t="s">
        <v>12204</v>
      </c>
      <c r="F1264" s="1" t="s">
        <v>12205</v>
      </c>
      <c r="G1264" s="1" t="s">
        <v>14129</v>
      </c>
      <c r="H1264" s="1" t="s">
        <v>14532</v>
      </c>
      <c r="I1264" s="1" t="s">
        <v>15367</v>
      </c>
      <c r="J1264" s="1" t="s">
        <v>23</v>
      </c>
      <c r="K1264" s="1"/>
      <c r="L1264" s="1" t="s">
        <v>12206</v>
      </c>
      <c r="M1264" s="1" t="s">
        <v>12206</v>
      </c>
      <c r="N1264" s="12" t="b">
        <f t="shared" si="95"/>
        <v>1</v>
      </c>
      <c r="O1264" s="1" t="s">
        <v>12207</v>
      </c>
      <c r="P1264" s="1" t="s">
        <v>12208</v>
      </c>
      <c r="Q1264" s="1" t="s">
        <v>12209</v>
      </c>
      <c r="R1264" s="1" t="s">
        <v>12197</v>
      </c>
      <c r="S1264" s="1" t="s">
        <v>12210</v>
      </c>
      <c r="T1264" s="1" t="s">
        <v>12211</v>
      </c>
      <c r="U1264" s="1" t="s">
        <v>12212</v>
      </c>
      <c r="V1264" s="13">
        <f>COUNTIF(L1264:$M$1659,L1264)</f>
        <v>8</v>
      </c>
      <c r="W1264" s="1" t="s">
        <v>12213</v>
      </c>
      <c r="X1264">
        <v>2934.09</v>
      </c>
      <c r="Y1264">
        <v>18.850000000000001</v>
      </c>
      <c r="Z1264">
        <v>15.948995</v>
      </c>
      <c r="AA1264">
        <v>108.254724</v>
      </c>
      <c r="AB1264">
        <v>2915.24</v>
      </c>
      <c r="AC1264">
        <v>15.929613</v>
      </c>
      <c r="AD1264">
        <v>108.255984</v>
      </c>
      <c r="AE1264" s="5">
        <f t="shared" si="96"/>
        <v>2.8275000000000002E-2</v>
      </c>
      <c r="AF1264" s="5">
        <f t="shared" si="97"/>
        <v>4.3728599999999993</v>
      </c>
      <c r="AG1264" s="1" t="str">
        <f>TRIM(LEFT(L1264,FIND("-",L1264)-1))</f>
        <v>Điện Bàn Đông</v>
      </c>
      <c r="AH1264" s="1" t="str">
        <f>TRIM(RIGHT(L1264, LEN(L1264) - FIND("-", L1264)))</f>
        <v>Hội An Tây</v>
      </c>
      <c r="AJ1264">
        <f t="shared" si="98"/>
        <v>1.8850000000000002E-2</v>
      </c>
      <c r="AK1264">
        <f t="shared" si="99"/>
        <v>2.9152399999999998</v>
      </c>
      <c r="AL1264">
        <f>VLOOKUP(L1264,'[1]Tuyến cáp H04'!$B:$E,3,0)/1000</f>
        <v>11.548</v>
      </c>
      <c r="AM1264" t="str">
        <f>VLOOKUP(L1264,'[1]Tuyến cáp H04'!$B:$E,4,0)</f>
        <v>Mạng cấp 4</v>
      </c>
    </row>
    <row r="1265" spans="1:39" x14ac:dyDescent="0.25">
      <c r="A1265" s="1" t="s">
        <v>12214</v>
      </c>
      <c r="B1265" s="1" t="s">
        <v>12189</v>
      </c>
      <c r="C1265" s="1" t="s">
        <v>12190</v>
      </c>
      <c r="D1265" s="1" t="s">
        <v>12215</v>
      </c>
      <c r="E1265" s="1" t="s">
        <v>12216</v>
      </c>
      <c r="F1265" s="1" t="s">
        <v>12217</v>
      </c>
      <c r="G1265" s="1" t="s">
        <v>14129</v>
      </c>
      <c r="H1265" s="1" t="s">
        <v>14532</v>
      </c>
      <c r="I1265" s="1" t="s">
        <v>15368</v>
      </c>
      <c r="J1265" s="1" t="s">
        <v>23</v>
      </c>
      <c r="K1265" s="1"/>
      <c r="L1265" s="1" t="s">
        <v>12194</v>
      </c>
      <c r="M1265" s="1" t="s">
        <v>12194</v>
      </c>
      <c r="N1265" s="12" t="b">
        <f t="shared" si="95"/>
        <v>1</v>
      </c>
      <c r="O1265" s="1" t="s">
        <v>12218</v>
      </c>
      <c r="P1265" s="1" t="s">
        <v>9866</v>
      </c>
      <c r="Q1265" s="1" t="s">
        <v>12196</v>
      </c>
      <c r="R1265" s="1" t="s">
        <v>12197</v>
      </c>
      <c r="S1265" s="1" t="s">
        <v>12219</v>
      </c>
      <c r="T1265" s="1" t="s">
        <v>12220</v>
      </c>
      <c r="U1265" s="1" t="s">
        <v>12221</v>
      </c>
      <c r="V1265" s="13">
        <f>COUNTIF(L1265:$M$1659,L1265)</f>
        <v>4</v>
      </c>
      <c r="W1265" s="1" t="s">
        <v>12201</v>
      </c>
      <c r="X1265">
        <v>1353.26</v>
      </c>
      <c r="Y1265">
        <v>18.809999999999999</v>
      </c>
      <c r="Z1265">
        <v>15.948992000000001</v>
      </c>
      <c r="AA1265">
        <v>108.254724</v>
      </c>
      <c r="AB1265">
        <v>1334.46</v>
      </c>
      <c r="AC1265">
        <v>15.942147</v>
      </c>
      <c r="AD1265">
        <v>108.254727</v>
      </c>
      <c r="AE1265" s="5">
        <f t="shared" si="96"/>
        <v>2.8214999999999997E-2</v>
      </c>
      <c r="AF1265" s="5">
        <f t="shared" si="97"/>
        <v>2.00169</v>
      </c>
      <c r="AG1265" s="1" t="str">
        <f>TRIM(LEFT(L1265,FIND("-",L1265)-1))</f>
        <v>An Thắng</v>
      </c>
      <c r="AH1265" s="1" t="str">
        <f>TRIM(RIGHT(L1265, LEN(L1265) - FIND("-", L1265)))</f>
        <v>Điện Bàn Đông</v>
      </c>
      <c r="AJ1265">
        <f t="shared" si="98"/>
        <v>1.881E-2</v>
      </c>
      <c r="AK1265">
        <f t="shared" si="99"/>
        <v>1.33446</v>
      </c>
      <c r="AL1265">
        <f>VLOOKUP(L1265,'[1]Tuyến cáp H04'!$B:$E,3,0)/1000</f>
        <v>7.8179999999999996</v>
      </c>
      <c r="AM1265" t="str">
        <f>VLOOKUP(L1265,'[1]Tuyến cáp H04'!$B:$E,4,0)</f>
        <v>Mạng cấp 4</v>
      </c>
    </row>
    <row r="1266" spans="1:39" x14ac:dyDescent="0.25">
      <c r="A1266" s="1" t="s">
        <v>12222</v>
      </c>
      <c r="B1266" s="1" t="s">
        <v>12189</v>
      </c>
      <c r="C1266" s="1" t="s">
        <v>12190</v>
      </c>
      <c r="D1266" s="1" t="s">
        <v>12223</v>
      </c>
      <c r="E1266" s="1" t="s">
        <v>12224</v>
      </c>
      <c r="F1266" s="1" t="s">
        <v>12225</v>
      </c>
      <c r="G1266" s="1" t="s">
        <v>14129</v>
      </c>
      <c r="H1266" s="1" t="s">
        <v>14532</v>
      </c>
      <c r="I1266" s="1" t="s">
        <v>15369</v>
      </c>
      <c r="J1266" s="1" t="s">
        <v>23</v>
      </c>
      <c r="K1266" s="1"/>
      <c r="L1266" s="1" t="s">
        <v>12206</v>
      </c>
      <c r="M1266" s="1" t="s">
        <v>12206</v>
      </c>
      <c r="N1266" s="12" t="b">
        <f t="shared" si="95"/>
        <v>1</v>
      </c>
      <c r="O1266" s="1" t="s">
        <v>12226</v>
      </c>
      <c r="P1266" s="1" t="s">
        <v>12227</v>
      </c>
      <c r="Q1266" s="1" t="s">
        <v>12228</v>
      </c>
      <c r="R1266" s="1" t="s">
        <v>12229</v>
      </c>
      <c r="S1266" s="1" t="s">
        <v>12230</v>
      </c>
      <c r="T1266" s="1" t="s">
        <v>12228</v>
      </c>
      <c r="U1266" s="1" t="s">
        <v>12229</v>
      </c>
      <c r="V1266" s="13">
        <f>COUNTIF(L1266:$M$1659,L1266)</f>
        <v>6</v>
      </c>
      <c r="W1266" s="1" t="s">
        <v>12231</v>
      </c>
      <c r="X1266">
        <v>1475.32</v>
      </c>
      <c r="Y1266">
        <v>1.42</v>
      </c>
      <c r="Z1266">
        <v>15.949006000000001</v>
      </c>
      <c r="AA1266">
        <v>108.254912</v>
      </c>
      <c r="AB1266">
        <v>1473.9</v>
      </c>
      <c r="AC1266">
        <v>15.949006000000001</v>
      </c>
      <c r="AD1266">
        <v>108.254912</v>
      </c>
      <c r="AE1266" s="5">
        <f t="shared" si="96"/>
        <v>2.1299999999999999E-3</v>
      </c>
      <c r="AF1266" s="5">
        <f t="shared" si="97"/>
        <v>2.2108500000000002</v>
      </c>
      <c r="AG1266" s="1" t="str">
        <f>TRIM(LEFT(L1266,FIND("-",L1266)-1))</f>
        <v>Điện Bàn Đông</v>
      </c>
      <c r="AH1266" s="1" t="str">
        <f>TRIM(RIGHT(L1266, LEN(L1266) - FIND("-", L1266)))</f>
        <v>Hội An Tây</v>
      </c>
      <c r="AJ1266">
        <f t="shared" si="98"/>
        <v>1.4199999999999998E-3</v>
      </c>
      <c r="AK1266">
        <f t="shared" si="99"/>
        <v>1.4739</v>
      </c>
      <c r="AL1266">
        <f>VLOOKUP(L1266,'[1]Tuyến cáp H04'!$B:$E,3,0)/1000</f>
        <v>11.548</v>
      </c>
      <c r="AM1266" t="str">
        <f>VLOOKUP(L1266,'[1]Tuyến cáp H04'!$B:$E,4,0)</f>
        <v>Mạng cấp 4</v>
      </c>
    </row>
    <row r="1267" spans="1:39" x14ac:dyDescent="0.25">
      <c r="A1267" s="1" t="s">
        <v>12232</v>
      </c>
      <c r="B1267" s="1" t="s">
        <v>12189</v>
      </c>
      <c r="C1267" s="1" t="s">
        <v>12190</v>
      </c>
      <c r="D1267" s="1" t="s">
        <v>12233</v>
      </c>
      <c r="E1267" s="1" t="s">
        <v>12234</v>
      </c>
      <c r="F1267" s="1" t="s">
        <v>12235</v>
      </c>
      <c r="G1267" s="1" t="s">
        <v>14129</v>
      </c>
      <c r="H1267" s="1" t="s">
        <v>14133</v>
      </c>
      <c r="I1267" s="1" t="s">
        <v>15370</v>
      </c>
      <c r="J1267" s="1" t="s">
        <v>23</v>
      </c>
      <c r="K1267" s="1"/>
      <c r="L1267" s="1" t="s">
        <v>12206</v>
      </c>
      <c r="M1267" s="1" t="s">
        <v>12206</v>
      </c>
      <c r="N1267" s="12" t="b">
        <f t="shared" si="95"/>
        <v>1</v>
      </c>
      <c r="O1267" s="1" t="s">
        <v>12236</v>
      </c>
      <c r="P1267" s="1" t="s">
        <v>12208</v>
      </c>
      <c r="Q1267" s="1" t="s">
        <v>12209</v>
      </c>
      <c r="R1267" s="1" t="s">
        <v>12197</v>
      </c>
      <c r="S1267" s="1" t="s">
        <v>12237</v>
      </c>
      <c r="T1267" s="1" t="s">
        <v>12211</v>
      </c>
      <c r="U1267" s="1" t="s">
        <v>12212</v>
      </c>
      <c r="V1267" s="13">
        <f>COUNTIF(L1267:$M$1659,L1267)</f>
        <v>4</v>
      </c>
      <c r="W1267" s="1" t="s">
        <v>12213</v>
      </c>
      <c r="X1267">
        <v>524.30999999999995</v>
      </c>
      <c r="Y1267">
        <v>18.850000000000001</v>
      </c>
      <c r="Z1267">
        <v>15.948995</v>
      </c>
      <c r="AA1267">
        <v>108.254724</v>
      </c>
      <c r="AB1267">
        <v>505.47</v>
      </c>
      <c r="AC1267">
        <v>15.929613</v>
      </c>
      <c r="AD1267">
        <v>108.255984</v>
      </c>
      <c r="AE1267" s="5">
        <f t="shared" si="96"/>
        <v>2.8275000000000002E-2</v>
      </c>
      <c r="AF1267" s="5">
        <f t="shared" si="97"/>
        <v>0.75820500000000002</v>
      </c>
      <c r="AG1267" s="1" t="str">
        <f>TRIM(LEFT(L1267,FIND("-",L1267)-1))</f>
        <v>Điện Bàn Đông</v>
      </c>
      <c r="AH1267" s="1" t="str">
        <f>TRIM(RIGHT(L1267, LEN(L1267) - FIND("-", L1267)))</f>
        <v>Hội An Tây</v>
      </c>
      <c r="AJ1267">
        <f t="shared" si="98"/>
        <v>1.8850000000000002E-2</v>
      </c>
      <c r="AK1267">
        <f t="shared" si="99"/>
        <v>0.50546999999999997</v>
      </c>
      <c r="AL1267">
        <f>VLOOKUP(L1267,'[1]Tuyến cáp H04'!$B:$E,3,0)/1000</f>
        <v>11.548</v>
      </c>
      <c r="AM1267" t="str">
        <f>VLOOKUP(L1267,'[1]Tuyến cáp H04'!$B:$E,4,0)</f>
        <v>Mạng cấp 4</v>
      </c>
    </row>
    <row r="1268" spans="1:39" x14ac:dyDescent="0.25">
      <c r="A1268" s="1" t="s">
        <v>12238</v>
      </c>
      <c r="B1268" s="1" t="s">
        <v>12189</v>
      </c>
      <c r="C1268" s="1" t="s">
        <v>12190</v>
      </c>
      <c r="D1268" s="1" t="s">
        <v>12239</v>
      </c>
      <c r="E1268" s="1" t="s">
        <v>12240</v>
      </c>
      <c r="F1268" s="1" t="s">
        <v>12241</v>
      </c>
      <c r="G1268" s="1" t="s">
        <v>14129</v>
      </c>
      <c r="H1268" s="1" t="s">
        <v>14133</v>
      </c>
      <c r="I1268" s="1" t="s">
        <v>15371</v>
      </c>
      <c r="J1268" s="1" t="s">
        <v>23</v>
      </c>
      <c r="K1268" s="1"/>
      <c r="L1268" s="1" t="s">
        <v>12194</v>
      </c>
      <c r="M1268" s="1" t="s">
        <v>12194</v>
      </c>
      <c r="N1268" s="12" t="b">
        <f t="shared" si="95"/>
        <v>1</v>
      </c>
      <c r="O1268" s="1" t="s">
        <v>12242</v>
      </c>
      <c r="P1268" s="1" t="s">
        <v>9866</v>
      </c>
      <c r="Q1268" s="1" t="s">
        <v>12196</v>
      </c>
      <c r="R1268" s="1" t="s">
        <v>12197</v>
      </c>
      <c r="S1268" s="1" t="s">
        <v>12243</v>
      </c>
      <c r="T1268" s="1" t="s">
        <v>12244</v>
      </c>
      <c r="U1268" s="1" t="s">
        <v>12245</v>
      </c>
      <c r="V1268" s="13">
        <f>COUNTIF(L1268:$M$1659,L1268)</f>
        <v>2</v>
      </c>
      <c r="W1268" s="1" t="s">
        <v>12201</v>
      </c>
      <c r="X1268">
        <v>345.33</v>
      </c>
      <c r="Y1268">
        <v>18.809999999999999</v>
      </c>
      <c r="Z1268">
        <v>15.948992000000001</v>
      </c>
      <c r="AA1268">
        <v>108.254724</v>
      </c>
      <c r="AB1268">
        <v>326.52999999999997</v>
      </c>
      <c r="AC1268">
        <v>15.935865</v>
      </c>
      <c r="AD1268">
        <v>108.229145</v>
      </c>
      <c r="AE1268" s="5">
        <f t="shared" si="96"/>
        <v>2.8214999999999997E-2</v>
      </c>
      <c r="AF1268" s="5">
        <f t="shared" si="97"/>
        <v>0.48979499999999998</v>
      </c>
      <c r="AG1268" s="1" t="str">
        <f>TRIM(LEFT(L1268,FIND("-",L1268)-1))</f>
        <v>An Thắng</v>
      </c>
      <c r="AH1268" s="1" t="str">
        <f>TRIM(RIGHT(L1268, LEN(L1268) - FIND("-", L1268)))</f>
        <v>Điện Bàn Đông</v>
      </c>
      <c r="AJ1268">
        <f t="shared" si="98"/>
        <v>1.881E-2</v>
      </c>
      <c r="AK1268">
        <f t="shared" si="99"/>
        <v>0.32652999999999999</v>
      </c>
      <c r="AL1268">
        <f>VLOOKUP(L1268,'[1]Tuyến cáp H04'!$B:$E,3,0)/1000</f>
        <v>7.8179999999999996</v>
      </c>
      <c r="AM1268" t="str">
        <f>VLOOKUP(L1268,'[1]Tuyến cáp H04'!$B:$E,4,0)</f>
        <v>Mạng cấp 4</v>
      </c>
    </row>
    <row r="1269" spans="1:39" x14ac:dyDescent="0.25">
      <c r="A1269" s="1" t="s">
        <v>12246</v>
      </c>
      <c r="B1269" s="1" t="s">
        <v>12189</v>
      </c>
      <c r="C1269" s="1" t="s">
        <v>12190</v>
      </c>
      <c r="D1269" s="1" t="s">
        <v>12247</v>
      </c>
      <c r="E1269" s="1" t="s">
        <v>12248</v>
      </c>
      <c r="F1269" s="1" t="s">
        <v>12249</v>
      </c>
      <c r="G1269" s="1" t="s">
        <v>14129</v>
      </c>
      <c r="H1269" s="1" t="s">
        <v>14133</v>
      </c>
      <c r="I1269" s="1" t="s">
        <v>15372</v>
      </c>
      <c r="J1269" s="1" t="s">
        <v>23</v>
      </c>
      <c r="K1269" s="1"/>
      <c r="L1269" s="1" t="s">
        <v>12250</v>
      </c>
      <c r="M1269" s="1" t="s">
        <v>12250</v>
      </c>
      <c r="N1269" s="12" t="b">
        <f t="shared" si="95"/>
        <v>1</v>
      </c>
      <c r="O1269" s="1" t="s">
        <v>12251</v>
      </c>
      <c r="P1269" s="1" t="s">
        <v>12252</v>
      </c>
      <c r="Q1269" s="1" t="s">
        <v>12253</v>
      </c>
      <c r="R1269" s="1" t="s">
        <v>12254</v>
      </c>
      <c r="S1269" s="1" t="s">
        <v>12255</v>
      </c>
      <c r="T1269" s="1" t="s">
        <v>12256</v>
      </c>
      <c r="U1269" s="1" t="s">
        <v>12257</v>
      </c>
      <c r="V1269" s="13">
        <f>COUNTIF(L1269:$M$1659,L1269)</f>
        <v>6</v>
      </c>
      <c r="W1269" s="1" t="s">
        <v>12258</v>
      </c>
      <c r="X1269">
        <v>1756.61</v>
      </c>
      <c r="Y1269">
        <v>707.06</v>
      </c>
      <c r="Z1269">
        <v>15.955358</v>
      </c>
      <c r="AA1269">
        <v>108.254784</v>
      </c>
      <c r="AB1269">
        <v>1049.55</v>
      </c>
      <c r="AC1269">
        <v>15.956379999999999</v>
      </c>
      <c r="AD1269">
        <v>108.25491700000001</v>
      </c>
      <c r="AE1269" s="5">
        <f t="shared" si="96"/>
        <v>1.0605899999999999</v>
      </c>
      <c r="AF1269" s="5">
        <f t="shared" si="97"/>
        <v>1.5743249999999998</v>
      </c>
      <c r="AG1269" s="1" t="str">
        <f>TRIM(LEFT(L1269,FIND("-",L1269)-1))</f>
        <v>Điện Bàn Bắc</v>
      </c>
      <c r="AH1269" s="1" t="str">
        <f>TRIM(RIGHT(L1269, LEN(L1269) - FIND("-", L1269)))</f>
        <v>TTCMKV Hội An</v>
      </c>
      <c r="AJ1269">
        <f t="shared" si="98"/>
        <v>0.70705999999999991</v>
      </c>
      <c r="AK1269">
        <f t="shared" si="99"/>
        <v>1.04955</v>
      </c>
      <c r="AL1269">
        <f>VLOOKUP(L1269,'[1]Tuyến cáp H04'!$B:$E,3,0)/1000</f>
        <v>31.427</v>
      </c>
      <c r="AM1269" t="str">
        <f>VLOOKUP(L1269,'[1]Tuyến cáp H04'!$B:$E,4,0)</f>
        <v>Mạng cấp 4</v>
      </c>
    </row>
    <row r="1270" spans="1:39" x14ac:dyDescent="0.25">
      <c r="A1270" s="1" t="s">
        <v>12259</v>
      </c>
      <c r="B1270" s="1" t="s">
        <v>12189</v>
      </c>
      <c r="C1270" s="1" t="s">
        <v>12190</v>
      </c>
      <c r="D1270" s="1" t="s">
        <v>12260</v>
      </c>
      <c r="E1270" s="1" t="s">
        <v>12261</v>
      </c>
      <c r="F1270" s="1" t="s">
        <v>12262</v>
      </c>
      <c r="G1270" s="1" t="s">
        <v>14129</v>
      </c>
      <c r="H1270" s="1" t="s">
        <v>14133</v>
      </c>
      <c r="I1270" s="1" t="s">
        <v>15373</v>
      </c>
      <c r="J1270" s="1" t="s">
        <v>23</v>
      </c>
      <c r="K1270" s="1"/>
      <c r="L1270" s="1" t="s">
        <v>12250</v>
      </c>
      <c r="M1270" s="1" t="s">
        <v>12250</v>
      </c>
      <c r="N1270" s="12" t="b">
        <f t="shared" si="95"/>
        <v>1</v>
      </c>
      <c r="O1270" s="1" t="s">
        <v>12263</v>
      </c>
      <c r="P1270" s="1" t="s">
        <v>12252</v>
      </c>
      <c r="Q1270" s="1" t="s">
        <v>12253</v>
      </c>
      <c r="R1270" s="1" t="s">
        <v>12254</v>
      </c>
      <c r="S1270" s="1" t="s">
        <v>12264</v>
      </c>
      <c r="T1270" s="1" t="s">
        <v>12265</v>
      </c>
      <c r="U1270" s="1" t="s">
        <v>12266</v>
      </c>
      <c r="V1270" s="13">
        <f>COUNTIF(L1270:$M$1659,L1270)</f>
        <v>4</v>
      </c>
      <c r="W1270" s="1" t="s">
        <v>12258</v>
      </c>
      <c r="X1270">
        <v>1258.81</v>
      </c>
      <c r="Y1270">
        <v>707.06</v>
      </c>
      <c r="Z1270">
        <v>15.955358</v>
      </c>
      <c r="AA1270">
        <v>108.254784</v>
      </c>
      <c r="AB1270">
        <v>551.75</v>
      </c>
      <c r="AC1270">
        <v>15.954058</v>
      </c>
      <c r="AD1270">
        <v>108.239617</v>
      </c>
      <c r="AE1270" s="5">
        <f t="shared" si="96"/>
        <v>1.0605899999999999</v>
      </c>
      <c r="AF1270" s="5">
        <f t="shared" si="97"/>
        <v>0.82762500000000006</v>
      </c>
      <c r="AG1270" s="1" t="str">
        <f>TRIM(LEFT(L1270,FIND("-",L1270)-1))</f>
        <v>Điện Bàn Bắc</v>
      </c>
      <c r="AH1270" s="1" t="str">
        <f>TRIM(RIGHT(L1270, LEN(L1270) - FIND("-", L1270)))</f>
        <v>TTCMKV Hội An</v>
      </c>
      <c r="AJ1270">
        <f t="shared" si="98"/>
        <v>0.70705999999999991</v>
      </c>
      <c r="AK1270">
        <f t="shared" si="99"/>
        <v>0.55174999999999996</v>
      </c>
      <c r="AL1270">
        <f>VLOOKUP(L1270,'[1]Tuyến cáp H04'!$B:$E,3,0)/1000</f>
        <v>31.427</v>
      </c>
      <c r="AM1270" t="str">
        <f>VLOOKUP(L1270,'[1]Tuyến cáp H04'!$B:$E,4,0)</f>
        <v>Mạng cấp 4</v>
      </c>
    </row>
    <row r="1271" spans="1:39" x14ac:dyDescent="0.25">
      <c r="A1271" s="1" t="s">
        <v>12267</v>
      </c>
      <c r="B1271" s="1" t="s">
        <v>12189</v>
      </c>
      <c r="C1271" s="1" t="s">
        <v>12190</v>
      </c>
      <c r="D1271" s="1" t="e">
        <v>#N/A</v>
      </c>
      <c r="E1271" s="1" t="e">
        <v>#N/A</v>
      </c>
      <c r="F1271" s="1" t="s">
        <v>12268</v>
      </c>
      <c r="G1271" s="1" t="s">
        <v>14129</v>
      </c>
      <c r="H1271" s="1" t="s">
        <v>14532</v>
      </c>
      <c r="I1271" s="1" t="s">
        <v>15374</v>
      </c>
      <c r="J1271" s="1" t="s">
        <v>5166</v>
      </c>
      <c r="K1271" s="1" t="s">
        <v>11893</v>
      </c>
      <c r="L1271" s="1"/>
      <c r="M1271" s="1"/>
      <c r="N1271" s="12" t="b">
        <f t="shared" si="95"/>
        <v>1</v>
      </c>
      <c r="O1271" s="1"/>
      <c r="P1271" s="1"/>
      <c r="Q1271" s="1"/>
      <c r="R1271" s="1"/>
      <c r="S1271" s="1"/>
      <c r="T1271" s="1"/>
      <c r="U1271" s="1"/>
      <c r="V1271" s="13">
        <f>COUNTIF(L1271:$M$1659,L1271)</f>
        <v>0</v>
      </c>
      <c r="W1271" s="1"/>
      <c r="AE1271" s="5"/>
      <c r="AF1271" s="5"/>
      <c r="AG1271" s="1"/>
      <c r="AH1271" s="1"/>
      <c r="AL1271" t="e">
        <f>VLOOKUP(L1271,'[1]Tuyến cáp H04'!$B:$E,3,0)/1000</f>
        <v>#N/A</v>
      </c>
      <c r="AM1271" t="e">
        <f>VLOOKUP(L1271,'[1]Tuyến cáp H04'!$B:$E,4,0)</f>
        <v>#N/A</v>
      </c>
    </row>
    <row r="1272" spans="1:39" x14ac:dyDescent="0.25">
      <c r="A1272" s="1" t="s">
        <v>12269</v>
      </c>
      <c r="B1272" s="1" t="s">
        <v>12270</v>
      </c>
      <c r="C1272" s="1" t="s">
        <v>12271</v>
      </c>
      <c r="D1272" s="1" t="s">
        <v>12272</v>
      </c>
      <c r="E1272" s="1" t="s">
        <v>12273</v>
      </c>
      <c r="F1272" s="1" t="s">
        <v>12274</v>
      </c>
      <c r="G1272" s="1" t="s">
        <v>14129</v>
      </c>
      <c r="H1272" s="1" t="s">
        <v>14532</v>
      </c>
      <c r="I1272" s="1" t="s">
        <v>15375</v>
      </c>
      <c r="J1272" s="1" t="s">
        <v>23</v>
      </c>
      <c r="K1272" s="1"/>
      <c r="L1272" s="1" t="s">
        <v>12275</v>
      </c>
      <c r="M1272" s="1" t="s">
        <v>12275</v>
      </c>
      <c r="N1272" s="12" t="b">
        <f t="shared" si="95"/>
        <v>1</v>
      </c>
      <c r="O1272" s="1" t="s">
        <v>12276</v>
      </c>
      <c r="P1272" s="1" t="s">
        <v>12277</v>
      </c>
      <c r="Q1272" s="1" t="s">
        <v>12278</v>
      </c>
      <c r="R1272" s="1" t="s">
        <v>12279</v>
      </c>
      <c r="S1272" s="1" t="s">
        <v>12280</v>
      </c>
      <c r="T1272" s="1" t="s">
        <v>12281</v>
      </c>
      <c r="U1272" s="1" t="s">
        <v>12282</v>
      </c>
      <c r="V1272" s="13">
        <f>COUNTIF(L1272:$M$1659,L1272)</f>
        <v>2</v>
      </c>
      <c r="W1272" s="1" t="s">
        <v>12283</v>
      </c>
      <c r="X1272">
        <v>1816.05</v>
      </c>
      <c r="Y1272">
        <v>47.71</v>
      </c>
      <c r="Z1272">
        <v>15.829673</v>
      </c>
      <c r="AA1272">
        <v>108.124711</v>
      </c>
      <c r="AB1272">
        <v>1768.33</v>
      </c>
      <c r="AC1272">
        <v>15.828954</v>
      </c>
      <c r="AD1272">
        <v>108.123936</v>
      </c>
      <c r="AE1272" s="5">
        <f t="shared" si="96"/>
        <v>7.1565000000000004E-2</v>
      </c>
      <c r="AF1272" s="5">
        <f t="shared" si="97"/>
        <v>2.652495</v>
      </c>
      <c r="AG1272" s="1" t="str">
        <f>TRIM(LEFT(L1272,FIND("-",L1272)-1))</f>
        <v>Thu Bồn</v>
      </c>
      <c r="AH1272" s="1" t="str">
        <f>TRIM(RIGHT(L1272, LEN(L1272) - FIND("-", L1272)))</f>
        <v>Gò Nổi</v>
      </c>
      <c r="AJ1272">
        <f t="shared" si="98"/>
        <v>4.7710000000000002E-2</v>
      </c>
      <c r="AK1272">
        <f t="shared" si="99"/>
        <v>1.76833</v>
      </c>
      <c r="AL1272">
        <f>VLOOKUP(L1272,'[1]Tuyến cáp H04'!$B:$E,3,0)/1000</f>
        <v>10.567</v>
      </c>
      <c r="AM1272" t="str">
        <f>VLOOKUP(L1272,'[1]Tuyến cáp H04'!$B:$E,4,0)</f>
        <v>Mạng cấp 4</v>
      </c>
    </row>
    <row r="1273" spans="1:39" x14ac:dyDescent="0.25">
      <c r="A1273" s="1" t="s">
        <v>12284</v>
      </c>
      <c r="B1273" s="1" t="s">
        <v>12285</v>
      </c>
      <c r="C1273" s="1" t="s">
        <v>12286</v>
      </c>
      <c r="D1273" s="1" t="s">
        <v>12287</v>
      </c>
      <c r="E1273" s="1" t="s">
        <v>12288</v>
      </c>
      <c r="F1273" s="1" t="s">
        <v>12289</v>
      </c>
      <c r="G1273" s="1" t="s">
        <v>14129</v>
      </c>
      <c r="H1273" s="1" t="s">
        <v>14133</v>
      </c>
      <c r="I1273" s="1" t="s">
        <v>15376</v>
      </c>
      <c r="J1273" s="1" t="s">
        <v>23</v>
      </c>
      <c r="K1273" s="1"/>
      <c r="L1273" s="1" t="s">
        <v>12290</v>
      </c>
      <c r="M1273" s="1" t="s">
        <v>12290</v>
      </c>
      <c r="N1273" s="12" t="b">
        <f t="shared" si="95"/>
        <v>1</v>
      </c>
      <c r="O1273" s="1" t="s">
        <v>4080</v>
      </c>
      <c r="P1273" s="1" t="s">
        <v>3892</v>
      </c>
      <c r="Q1273" s="1" t="s">
        <v>12291</v>
      </c>
      <c r="R1273" s="1" t="s">
        <v>12292</v>
      </c>
      <c r="S1273" s="1" t="s">
        <v>12293</v>
      </c>
      <c r="T1273" s="1" t="s">
        <v>12294</v>
      </c>
      <c r="U1273" s="1" t="s">
        <v>12295</v>
      </c>
      <c r="V1273" s="13">
        <f>COUNTIF(L1273:$M$1659,L1273)</f>
        <v>6</v>
      </c>
      <c r="W1273" s="1" t="s">
        <v>12296</v>
      </c>
      <c r="X1273">
        <v>1381.74</v>
      </c>
      <c r="Y1273">
        <v>2.48</v>
      </c>
      <c r="Z1273">
        <v>15.886374</v>
      </c>
      <c r="AA1273">
        <v>108.36251799999999</v>
      </c>
      <c r="AB1273">
        <v>1379.26</v>
      </c>
      <c r="AC1273">
        <v>15.890886</v>
      </c>
      <c r="AD1273">
        <v>108.359292</v>
      </c>
      <c r="AE1273" s="5">
        <f t="shared" si="96"/>
        <v>3.7199999999999998E-3</v>
      </c>
      <c r="AF1273" s="5">
        <f t="shared" si="97"/>
        <v>2.0688899999999997</v>
      </c>
      <c r="AG1273" s="1" t="str">
        <f>TRIM(LEFT(L1273,FIND("-",L1273)-1))</f>
        <v>Hội An Đông</v>
      </c>
      <c r="AH1273" s="1" t="str">
        <f>TRIM(RIGHT(L1273, LEN(L1273) - FIND("-", L1273)))</f>
        <v>TTCMKV Hội An</v>
      </c>
      <c r="AJ1273">
        <f t="shared" si="98"/>
        <v>2.48E-3</v>
      </c>
      <c r="AK1273">
        <f t="shared" si="99"/>
        <v>1.3792599999999999</v>
      </c>
      <c r="AL1273">
        <f>VLOOKUP(L1273,'[1]Tuyến cáp H04'!$B:$E,3,0)/1000</f>
        <v>5.12</v>
      </c>
      <c r="AM1273" t="str">
        <f>VLOOKUP(L1273,'[1]Tuyến cáp H04'!$B:$E,4,0)</f>
        <v>Mạng cấp 4</v>
      </c>
    </row>
    <row r="1274" spans="1:39" x14ac:dyDescent="0.25">
      <c r="A1274" s="1" t="s">
        <v>12297</v>
      </c>
      <c r="B1274" s="1" t="s">
        <v>12285</v>
      </c>
      <c r="C1274" s="1" t="s">
        <v>12286</v>
      </c>
      <c r="D1274" s="1" t="s">
        <v>12298</v>
      </c>
      <c r="E1274" s="1" t="s">
        <v>12299</v>
      </c>
      <c r="F1274" s="1" t="s">
        <v>12300</v>
      </c>
      <c r="G1274" s="1" t="s">
        <v>14129</v>
      </c>
      <c r="H1274" s="1" t="s">
        <v>14133</v>
      </c>
      <c r="I1274" s="1" t="s">
        <v>15377</v>
      </c>
      <c r="J1274" s="1" t="s">
        <v>23</v>
      </c>
      <c r="K1274" s="1"/>
      <c r="L1274" s="1" t="s">
        <v>12290</v>
      </c>
      <c r="M1274" s="1" t="s">
        <v>12290</v>
      </c>
      <c r="N1274" s="12" t="b">
        <f t="shared" si="95"/>
        <v>1</v>
      </c>
      <c r="O1274" s="1" t="s">
        <v>12301</v>
      </c>
      <c r="P1274" s="1" t="s">
        <v>3892</v>
      </c>
      <c r="Q1274" s="1" t="s">
        <v>12291</v>
      </c>
      <c r="R1274" s="1" t="s">
        <v>12292</v>
      </c>
      <c r="S1274" s="1" t="s">
        <v>12302</v>
      </c>
      <c r="T1274" s="1" t="s">
        <v>12303</v>
      </c>
      <c r="U1274" s="1" t="s">
        <v>12304</v>
      </c>
      <c r="V1274" s="13">
        <f>COUNTIF(L1274:$M$1659,L1274)</f>
        <v>4</v>
      </c>
      <c r="W1274" s="1" t="s">
        <v>12296</v>
      </c>
      <c r="X1274">
        <v>40.75</v>
      </c>
      <c r="Y1274">
        <v>2.48</v>
      </c>
      <c r="Z1274">
        <v>15.886374</v>
      </c>
      <c r="AA1274">
        <v>108.36251799999999</v>
      </c>
      <c r="AB1274">
        <v>38.270000000000003</v>
      </c>
      <c r="AC1274">
        <v>15.881281</v>
      </c>
      <c r="AD1274">
        <v>108.343457</v>
      </c>
      <c r="AE1274" s="5">
        <f t="shared" si="96"/>
        <v>3.7199999999999998E-3</v>
      </c>
      <c r="AF1274" s="5">
        <f t="shared" si="97"/>
        <v>5.7404999999999998E-2</v>
      </c>
      <c r="AG1274" s="1" t="str">
        <f>TRIM(LEFT(L1274,FIND("-",L1274)-1))</f>
        <v>Hội An Đông</v>
      </c>
      <c r="AH1274" s="1" t="str">
        <f>TRIM(RIGHT(L1274, LEN(L1274) - FIND("-", L1274)))</f>
        <v>TTCMKV Hội An</v>
      </c>
      <c r="AJ1274">
        <f t="shared" si="98"/>
        <v>2.48E-3</v>
      </c>
      <c r="AK1274">
        <f t="shared" si="99"/>
        <v>3.8270000000000005E-2</v>
      </c>
      <c r="AL1274">
        <f>VLOOKUP(L1274,'[1]Tuyến cáp H04'!$B:$E,3,0)/1000</f>
        <v>5.12</v>
      </c>
      <c r="AM1274" t="str">
        <f>VLOOKUP(L1274,'[1]Tuyến cáp H04'!$B:$E,4,0)</f>
        <v>Mạng cấp 4</v>
      </c>
    </row>
    <row r="1275" spans="1:39" x14ac:dyDescent="0.25">
      <c r="A1275" s="1" t="s">
        <v>12305</v>
      </c>
      <c r="B1275" s="1" t="s">
        <v>12306</v>
      </c>
      <c r="C1275" s="1" t="s">
        <v>12307</v>
      </c>
      <c r="D1275" s="1" t="s">
        <v>12308</v>
      </c>
      <c r="E1275" s="1" t="s">
        <v>12309</v>
      </c>
      <c r="F1275" s="1" t="s">
        <v>12310</v>
      </c>
      <c r="G1275" s="1" t="s">
        <v>14129</v>
      </c>
      <c r="H1275" s="1" t="s">
        <v>14130</v>
      </c>
      <c r="I1275" s="1" t="s">
        <v>15378</v>
      </c>
      <c r="J1275" s="1" t="s">
        <v>23</v>
      </c>
      <c r="K1275" s="1"/>
      <c r="L1275" s="1" t="s">
        <v>4613</v>
      </c>
      <c r="M1275" s="1" t="s">
        <v>4613</v>
      </c>
      <c r="N1275" s="12" t="b">
        <f t="shared" si="95"/>
        <v>1</v>
      </c>
      <c r="O1275" s="1" t="s">
        <v>12311</v>
      </c>
      <c r="P1275" s="1" t="s">
        <v>12312</v>
      </c>
      <c r="Q1275" s="1" t="s">
        <v>12313</v>
      </c>
      <c r="R1275" s="1" t="s">
        <v>12314</v>
      </c>
      <c r="S1275" s="1" t="s">
        <v>12315</v>
      </c>
      <c r="T1275" s="1" t="s">
        <v>12316</v>
      </c>
      <c r="U1275" s="1" t="s">
        <v>12317</v>
      </c>
      <c r="V1275" s="13">
        <f>COUNTIF(L1275:$M$1659,L1275)</f>
        <v>4</v>
      </c>
      <c r="W1275" s="1" t="s">
        <v>4621</v>
      </c>
      <c r="X1275">
        <v>239.53</v>
      </c>
      <c r="Y1275">
        <v>141.94</v>
      </c>
      <c r="Z1275">
        <v>15.524393</v>
      </c>
      <c r="AA1275">
        <v>108.418333</v>
      </c>
      <c r="AB1275">
        <v>97.6</v>
      </c>
      <c r="AC1275">
        <v>15.518005</v>
      </c>
      <c r="AD1275">
        <v>108.40134</v>
      </c>
      <c r="AE1275" s="5">
        <f t="shared" si="96"/>
        <v>0.21290999999999999</v>
      </c>
      <c r="AF1275" s="5">
        <f t="shared" si="97"/>
        <v>0.14639999999999997</v>
      </c>
      <c r="AG1275" s="1" t="str">
        <f>TRIM(LEFT(L1275,FIND("-",L1275)-1))</f>
        <v>Bắc Trà My</v>
      </c>
      <c r="AH1275" s="1" t="str">
        <f>TRIM(RIGHT(L1275, LEN(L1275) - FIND("-", L1275)))</f>
        <v>Phú Ninh</v>
      </c>
      <c r="AJ1275">
        <f t="shared" si="98"/>
        <v>0.14194000000000001</v>
      </c>
      <c r="AK1275">
        <f t="shared" si="99"/>
        <v>9.7599999999999992E-2</v>
      </c>
      <c r="AL1275">
        <f>VLOOKUP(L1275,'[1]Tuyến cáp H04'!$B:$E,3,0)/1000</f>
        <v>44.34</v>
      </c>
      <c r="AM1275" t="str">
        <f>VLOOKUP(L1275,'[1]Tuyến cáp H04'!$B:$E,4,0)</f>
        <v>Mạng cấp 3</v>
      </c>
    </row>
    <row r="1276" spans="1:39" x14ac:dyDescent="0.25">
      <c r="A1276" s="1" t="s">
        <v>12318</v>
      </c>
      <c r="B1276" s="1" t="s">
        <v>12306</v>
      </c>
      <c r="C1276" s="1" t="s">
        <v>12307</v>
      </c>
      <c r="D1276" s="1" t="s">
        <v>12319</v>
      </c>
      <c r="E1276" s="1" t="s">
        <v>12320</v>
      </c>
      <c r="F1276" s="1" t="s">
        <v>12321</v>
      </c>
      <c r="G1276" s="1" t="s">
        <v>14129</v>
      </c>
      <c r="H1276" s="1" t="s">
        <v>14532</v>
      </c>
      <c r="I1276" s="1" t="s">
        <v>15379</v>
      </c>
      <c r="J1276" s="1" t="s">
        <v>23</v>
      </c>
      <c r="K1276" s="1"/>
      <c r="L1276" s="1" t="s">
        <v>12322</v>
      </c>
      <c r="M1276" s="1" t="s">
        <v>12322</v>
      </c>
      <c r="N1276" s="12" t="b">
        <f t="shared" si="95"/>
        <v>1</v>
      </c>
      <c r="O1276" s="1" t="s">
        <v>12323</v>
      </c>
      <c r="P1276" s="1" t="s">
        <v>12324</v>
      </c>
      <c r="Q1276" s="1" t="s">
        <v>12325</v>
      </c>
      <c r="R1276" s="1" t="s">
        <v>12326</v>
      </c>
      <c r="S1276" s="1" t="s">
        <v>12327</v>
      </c>
      <c r="T1276" s="1" t="s">
        <v>12328</v>
      </c>
      <c r="U1276" s="1" t="s">
        <v>12329</v>
      </c>
      <c r="V1276" s="13">
        <f>COUNTIF(L1276:$M$1659,L1276)</f>
        <v>4</v>
      </c>
      <c r="W1276" s="1" t="s">
        <v>12330</v>
      </c>
      <c r="X1276">
        <v>512.29</v>
      </c>
      <c r="Y1276">
        <v>293.67</v>
      </c>
      <c r="Z1276">
        <v>15.525581000000001</v>
      </c>
      <c r="AA1276">
        <v>108.421014</v>
      </c>
      <c r="AB1276">
        <v>218.61</v>
      </c>
      <c r="AC1276">
        <v>15.538947</v>
      </c>
      <c r="AD1276">
        <v>108.425337</v>
      </c>
      <c r="AE1276" s="5">
        <f t="shared" si="96"/>
        <v>0.44050499999999998</v>
      </c>
      <c r="AF1276" s="5">
        <f t="shared" si="97"/>
        <v>0.32791500000000001</v>
      </c>
      <c r="AG1276" s="1" t="str">
        <f>TRIM(LEFT(L1276,FIND("-",L1276)-1))</f>
        <v>Chiên Đàn</v>
      </c>
      <c r="AH1276" s="1" t="str">
        <f>TRIM(RIGHT(L1276, LEN(L1276) - FIND("-", L1276)))</f>
        <v>Phú Ninh</v>
      </c>
      <c r="AJ1276">
        <f t="shared" si="98"/>
        <v>0.29367000000000004</v>
      </c>
      <c r="AK1276">
        <f t="shared" si="99"/>
        <v>0.21861000000000003</v>
      </c>
      <c r="AL1276">
        <f>VLOOKUP(L1276,'[1]Tuyến cáp H04'!$B:$E,3,0)/1000</f>
        <v>4.9809999999999999</v>
      </c>
      <c r="AM1276" t="str">
        <f>VLOOKUP(L1276,'[1]Tuyến cáp H04'!$B:$E,4,0)</f>
        <v>Mạng cấp 4</v>
      </c>
    </row>
    <row r="1277" spans="1:39" x14ac:dyDescent="0.25">
      <c r="A1277" s="1" t="s">
        <v>12331</v>
      </c>
      <c r="B1277" s="1" t="s">
        <v>12306</v>
      </c>
      <c r="C1277" s="1" t="s">
        <v>12307</v>
      </c>
      <c r="D1277" s="1" t="s">
        <v>12332</v>
      </c>
      <c r="E1277" s="1" t="s">
        <v>12333</v>
      </c>
      <c r="F1277" s="1" t="s">
        <v>12334</v>
      </c>
      <c r="G1277" s="1" t="s">
        <v>14129</v>
      </c>
      <c r="H1277" s="1" t="s">
        <v>14532</v>
      </c>
      <c r="I1277" s="1" t="s">
        <v>15380</v>
      </c>
      <c r="J1277" s="1" t="s">
        <v>23</v>
      </c>
      <c r="K1277" s="1"/>
      <c r="L1277" s="1" t="s">
        <v>12335</v>
      </c>
      <c r="M1277" s="1" t="s">
        <v>12335</v>
      </c>
      <c r="N1277" s="12" t="b">
        <f t="shared" si="95"/>
        <v>1</v>
      </c>
      <c r="O1277" s="1" t="s">
        <v>12336</v>
      </c>
      <c r="P1277" s="1" t="s">
        <v>12337</v>
      </c>
      <c r="Q1277" s="1" t="s">
        <v>12338</v>
      </c>
      <c r="R1277" s="1" t="s">
        <v>12339</v>
      </c>
      <c r="S1277" s="1" t="s">
        <v>12340</v>
      </c>
      <c r="T1277" s="1" t="s">
        <v>12341</v>
      </c>
      <c r="U1277" s="1" t="s">
        <v>12342</v>
      </c>
      <c r="V1277" s="13">
        <f>COUNTIF(L1277:$M$1659,L1277)</f>
        <v>4</v>
      </c>
      <c r="W1277" s="1" t="s">
        <v>12343</v>
      </c>
      <c r="X1277">
        <v>1997.04</v>
      </c>
      <c r="Y1277">
        <v>44.75</v>
      </c>
      <c r="Z1277">
        <v>15.523185</v>
      </c>
      <c r="AA1277">
        <v>108.419532</v>
      </c>
      <c r="AB1277">
        <v>1952.29</v>
      </c>
      <c r="AC1277">
        <v>15.54416</v>
      </c>
      <c r="AD1277">
        <v>108.459559</v>
      </c>
      <c r="AE1277" s="5">
        <f t="shared" si="96"/>
        <v>6.7125000000000004E-2</v>
      </c>
      <c r="AF1277" s="5">
        <f t="shared" si="97"/>
        <v>2.9284349999999999</v>
      </c>
      <c r="AG1277" s="1" t="str">
        <f>TRIM(LEFT(L1277,FIND("-",L1277)-1))</f>
        <v>Phú Ninh</v>
      </c>
      <c r="AH1277" s="1" t="str">
        <f>TRIM(RIGHT(L1277, LEN(L1277) - FIND("-", L1277)))</f>
        <v>Hương Trà</v>
      </c>
      <c r="AJ1277">
        <f t="shared" si="98"/>
        <v>4.4749999999999998E-2</v>
      </c>
      <c r="AK1277">
        <f t="shared" si="99"/>
        <v>1.9522899999999999</v>
      </c>
      <c r="AL1277">
        <f>VLOOKUP(L1277,'[1]Tuyến cáp H04'!$B:$E,3,0)/1000</f>
        <v>9.7129999999999992</v>
      </c>
      <c r="AM1277" t="str">
        <f>VLOOKUP(L1277,'[1]Tuyến cáp H04'!$B:$E,4,0)</f>
        <v>Mạng cấp 4</v>
      </c>
    </row>
    <row r="1278" spans="1:39" x14ac:dyDescent="0.25">
      <c r="A1278" s="1" t="s">
        <v>12344</v>
      </c>
      <c r="B1278" s="1" t="s">
        <v>12306</v>
      </c>
      <c r="C1278" s="1" t="s">
        <v>12307</v>
      </c>
      <c r="D1278" s="1" t="s">
        <v>12345</v>
      </c>
      <c r="E1278" s="1" t="s">
        <v>12346</v>
      </c>
      <c r="F1278" s="1" t="s">
        <v>12347</v>
      </c>
      <c r="G1278" s="1" t="s">
        <v>14129</v>
      </c>
      <c r="H1278" s="1" t="s">
        <v>14532</v>
      </c>
      <c r="I1278" s="1" t="s">
        <v>15381</v>
      </c>
      <c r="J1278" s="1" t="s">
        <v>23</v>
      </c>
      <c r="K1278" s="1"/>
      <c r="L1278" s="1" t="s">
        <v>12335</v>
      </c>
      <c r="M1278" s="1" t="s">
        <v>12335</v>
      </c>
      <c r="N1278" s="12" t="b">
        <f t="shared" si="95"/>
        <v>1</v>
      </c>
      <c r="O1278" s="1" t="s">
        <v>12348</v>
      </c>
      <c r="P1278" s="1" t="s">
        <v>12337</v>
      </c>
      <c r="Q1278" s="1" t="s">
        <v>12338</v>
      </c>
      <c r="R1278" s="1" t="s">
        <v>12339</v>
      </c>
      <c r="S1278" s="1" t="s">
        <v>12349</v>
      </c>
      <c r="T1278" s="1" t="s">
        <v>12350</v>
      </c>
      <c r="U1278" s="1" t="s">
        <v>12351</v>
      </c>
      <c r="V1278" s="13">
        <f>COUNTIF(L1278:$M$1659,L1278)</f>
        <v>2</v>
      </c>
      <c r="W1278" s="1" t="s">
        <v>12343</v>
      </c>
      <c r="X1278">
        <v>904.06</v>
      </c>
      <c r="Y1278">
        <v>44.75</v>
      </c>
      <c r="Z1278">
        <v>15.523185</v>
      </c>
      <c r="AA1278">
        <v>108.419532</v>
      </c>
      <c r="AB1278">
        <v>859.31</v>
      </c>
      <c r="AC1278">
        <v>15.521298</v>
      </c>
      <c r="AD1278">
        <v>108.421182</v>
      </c>
      <c r="AE1278" s="5">
        <f t="shared" si="96"/>
        <v>6.7125000000000004E-2</v>
      </c>
      <c r="AF1278" s="5">
        <f t="shared" si="97"/>
        <v>1.2889649999999999</v>
      </c>
      <c r="AG1278" s="1" t="str">
        <f>TRIM(LEFT(L1278,FIND("-",L1278)-1))</f>
        <v>Phú Ninh</v>
      </c>
      <c r="AH1278" s="1" t="str">
        <f>TRIM(RIGHT(L1278, LEN(L1278) - FIND("-", L1278)))</f>
        <v>Hương Trà</v>
      </c>
      <c r="AJ1278">
        <f t="shared" si="98"/>
        <v>4.4749999999999998E-2</v>
      </c>
      <c r="AK1278">
        <f t="shared" si="99"/>
        <v>0.85930999999999991</v>
      </c>
      <c r="AL1278">
        <f>VLOOKUP(L1278,'[1]Tuyến cáp H04'!$B:$E,3,0)/1000</f>
        <v>9.7129999999999992</v>
      </c>
      <c r="AM1278" t="str">
        <f>VLOOKUP(L1278,'[1]Tuyến cáp H04'!$B:$E,4,0)</f>
        <v>Mạng cấp 4</v>
      </c>
    </row>
    <row r="1279" spans="1:39" x14ac:dyDescent="0.25">
      <c r="A1279" s="1" t="s">
        <v>12352</v>
      </c>
      <c r="B1279" s="1" t="s">
        <v>12306</v>
      </c>
      <c r="C1279" s="1" t="s">
        <v>12307</v>
      </c>
      <c r="D1279" s="1" t="s">
        <v>11630</v>
      </c>
      <c r="E1279" s="1" t="s">
        <v>11631</v>
      </c>
      <c r="F1279" s="1" t="s">
        <v>12353</v>
      </c>
      <c r="G1279" s="1" t="s">
        <v>14129</v>
      </c>
      <c r="H1279" s="1" t="s">
        <v>14532</v>
      </c>
      <c r="I1279" s="1" t="s">
        <v>15382</v>
      </c>
      <c r="J1279" s="1" t="s">
        <v>23</v>
      </c>
      <c r="K1279" s="1"/>
      <c r="L1279" s="1" t="s">
        <v>12354</v>
      </c>
      <c r="M1279" s="1" t="s">
        <v>12354</v>
      </c>
      <c r="N1279" s="12" t="b">
        <f t="shared" si="95"/>
        <v>1</v>
      </c>
      <c r="O1279" s="1" t="s">
        <v>12355</v>
      </c>
      <c r="P1279" s="1" t="s">
        <v>12356</v>
      </c>
      <c r="Q1279" s="1" t="s">
        <v>12357</v>
      </c>
      <c r="R1279" s="1" t="s">
        <v>12358</v>
      </c>
      <c r="S1279" s="1" t="s">
        <v>12359</v>
      </c>
      <c r="T1279" s="1" t="s">
        <v>12360</v>
      </c>
      <c r="U1279" s="1" t="s">
        <v>12361</v>
      </c>
      <c r="V1279" s="13">
        <f>COUNTIF(L1279:$M$1659,L1279)</f>
        <v>4</v>
      </c>
      <c r="W1279" s="1" t="s">
        <v>12362</v>
      </c>
      <c r="X1279">
        <v>628.91999999999996</v>
      </c>
      <c r="Y1279">
        <v>558.49</v>
      </c>
      <c r="Z1279">
        <v>15.528066000000001</v>
      </c>
      <c r="AA1279">
        <v>108.421516</v>
      </c>
      <c r="AB1279">
        <v>70.430000000000007</v>
      </c>
      <c r="AC1279">
        <v>15.548544</v>
      </c>
      <c r="AD1279">
        <v>108.494412</v>
      </c>
      <c r="AE1279" s="5">
        <f t="shared" si="96"/>
        <v>0.83773500000000001</v>
      </c>
      <c r="AF1279" s="5">
        <f t="shared" si="97"/>
        <v>0.10564500000000002</v>
      </c>
      <c r="AG1279" s="1" t="str">
        <f>TRIM(LEFT(L1279,FIND("-",L1279)-1))</f>
        <v>Đức phú</v>
      </c>
      <c r="AH1279" s="1" t="str">
        <f>TRIM(RIGHT(L1279, LEN(L1279) - FIND("-", L1279)))</f>
        <v>Phú Ninh</v>
      </c>
      <c r="AJ1279">
        <f t="shared" si="98"/>
        <v>0.55849000000000004</v>
      </c>
      <c r="AK1279">
        <f t="shared" si="99"/>
        <v>7.0430000000000006E-2</v>
      </c>
      <c r="AL1279" t="e">
        <f>VLOOKUP(L1279,'[1]Tuyến cáp H04'!$B:$E,3,0)/1000</f>
        <v>#N/A</v>
      </c>
      <c r="AM1279" t="e">
        <f>VLOOKUP(L1279,'[1]Tuyến cáp H04'!$B:$E,4,0)</f>
        <v>#N/A</v>
      </c>
    </row>
    <row r="1280" spans="1:39" x14ac:dyDescent="0.25">
      <c r="A1280" s="1" t="s">
        <v>12363</v>
      </c>
      <c r="B1280" s="1" t="s">
        <v>12306</v>
      </c>
      <c r="C1280" s="1" t="s">
        <v>12307</v>
      </c>
      <c r="D1280" s="1" t="s">
        <v>12364</v>
      </c>
      <c r="E1280" s="1" t="s">
        <v>12365</v>
      </c>
      <c r="F1280" s="1" t="s">
        <v>12366</v>
      </c>
      <c r="G1280" s="1" t="s">
        <v>14129</v>
      </c>
      <c r="H1280" s="1" t="s">
        <v>14532</v>
      </c>
      <c r="I1280" s="1" t="s">
        <v>15383</v>
      </c>
      <c r="J1280" s="1" t="s">
        <v>23</v>
      </c>
      <c r="K1280" s="1"/>
      <c r="L1280" s="1" t="s">
        <v>4613</v>
      </c>
      <c r="M1280" s="1" t="s">
        <v>4613</v>
      </c>
      <c r="N1280" s="12" t="b">
        <f t="shared" si="95"/>
        <v>1</v>
      </c>
      <c r="O1280" s="1" t="s">
        <v>12367</v>
      </c>
      <c r="P1280" s="1" t="s">
        <v>12312</v>
      </c>
      <c r="Q1280" s="1" t="s">
        <v>12313</v>
      </c>
      <c r="R1280" s="1" t="s">
        <v>12314</v>
      </c>
      <c r="S1280" s="1" t="s">
        <v>12368</v>
      </c>
      <c r="T1280" s="1" t="s">
        <v>12369</v>
      </c>
      <c r="U1280" s="1" t="s">
        <v>12370</v>
      </c>
      <c r="V1280" s="13">
        <f>COUNTIF(L1280:$M$1659,L1280)</f>
        <v>2</v>
      </c>
      <c r="W1280" s="1" t="s">
        <v>4621</v>
      </c>
      <c r="X1280">
        <v>1915.07</v>
      </c>
      <c r="Y1280">
        <v>141.94</v>
      </c>
      <c r="Z1280">
        <v>15.524393</v>
      </c>
      <c r="AA1280">
        <v>108.418333</v>
      </c>
      <c r="AB1280">
        <v>1773.13</v>
      </c>
      <c r="AC1280">
        <v>15.550876000000001</v>
      </c>
      <c r="AD1280">
        <v>108.41363200000001</v>
      </c>
      <c r="AE1280" s="5">
        <f t="shared" si="96"/>
        <v>0.21290999999999999</v>
      </c>
      <c r="AF1280" s="5">
        <f t="shared" si="97"/>
        <v>2.6596950000000001</v>
      </c>
      <c r="AG1280" s="1" t="str">
        <f>TRIM(LEFT(L1280,FIND("-",L1280)-1))</f>
        <v>Bắc Trà My</v>
      </c>
      <c r="AH1280" s="1" t="str">
        <f>TRIM(RIGHT(L1280, LEN(L1280) - FIND("-", L1280)))</f>
        <v>Phú Ninh</v>
      </c>
      <c r="AJ1280">
        <f t="shared" si="98"/>
        <v>0.14194000000000001</v>
      </c>
      <c r="AK1280">
        <f t="shared" si="99"/>
        <v>1.7731300000000001</v>
      </c>
      <c r="AL1280">
        <f>VLOOKUP(L1280,'[1]Tuyến cáp H04'!$B:$E,3,0)/1000</f>
        <v>44.34</v>
      </c>
      <c r="AM1280" t="str">
        <f>VLOOKUP(L1280,'[1]Tuyến cáp H04'!$B:$E,4,0)</f>
        <v>Mạng cấp 3</v>
      </c>
    </row>
    <row r="1281" spans="1:39" x14ac:dyDescent="0.25">
      <c r="A1281" s="1" t="s">
        <v>12371</v>
      </c>
      <c r="B1281" s="1" t="s">
        <v>11396</v>
      </c>
      <c r="C1281" s="1" t="s">
        <v>11397</v>
      </c>
      <c r="D1281" s="1" t="s">
        <v>12372</v>
      </c>
      <c r="E1281" s="1" t="s">
        <v>12373</v>
      </c>
      <c r="F1281" s="1" t="s">
        <v>12374</v>
      </c>
      <c r="G1281" s="1" t="s">
        <v>14129</v>
      </c>
      <c r="H1281" s="1" t="s">
        <v>14130</v>
      </c>
      <c r="I1281" s="1" t="s">
        <v>15384</v>
      </c>
      <c r="J1281" s="1" t="s">
        <v>23</v>
      </c>
      <c r="K1281" s="1"/>
      <c r="L1281" s="1" t="s">
        <v>12375</v>
      </c>
      <c r="M1281" s="1" t="s">
        <v>12375</v>
      </c>
      <c r="N1281" s="12" t="b">
        <f t="shared" si="95"/>
        <v>1</v>
      </c>
      <c r="O1281" s="1" t="s">
        <v>12376</v>
      </c>
      <c r="P1281" s="1" t="s">
        <v>12377</v>
      </c>
      <c r="Q1281" s="1" t="s">
        <v>12378</v>
      </c>
      <c r="R1281" s="1" t="s">
        <v>12379</v>
      </c>
      <c r="S1281" s="1" t="s">
        <v>12380</v>
      </c>
      <c r="T1281" s="1" t="s">
        <v>12381</v>
      </c>
      <c r="U1281" s="1" t="s">
        <v>12382</v>
      </c>
      <c r="V1281" s="13">
        <f>COUNTIF(L1281:$M$1659,L1281)</f>
        <v>4</v>
      </c>
      <c r="W1281" s="1" t="s">
        <v>12383</v>
      </c>
      <c r="X1281">
        <v>460.28</v>
      </c>
      <c r="Y1281">
        <v>72.98</v>
      </c>
      <c r="Z1281">
        <v>15.736276</v>
      </c>
      <c r="AA1281">
        <v>108.28871100000001</v>
      </c>
      <c r="AB1281">
        <v>387.3</v>
      </c>
      <c r="AC1281">
        <v>15.729505</v>
      </c>
      <c r="AD1281">
        <v>108.278774</v>
      </c>
      <c r="AE1281" s="5">
        <f t="shared" si="96"/>
        <v>0.10947</v>
      </c>
      <c r="AF1281" s="5">
        <f t="shared" si="97"/>
        <v>0.58095000000000008</v>
      </c>
      <c r="AG1281" s="1" t="str">
        <f>TRIM(LEFT(L1281,FIND("-",L1281)-1))</f>
        <v>Quế Sơn</v>
      </c>
      <c r="AH1281" s="1" t="str">
        <f>TRIM(RIGHT(L1281, LEN(L1281) - FIND("-", L1281)))</f>
        <v>Quế Sơn Trung</v>
      </c>
      <c r="AJ1281">
        <f t="shared" si="98"/>
        <v>7.2980000000000003E-2</v>
      </c>
      <c r="AK1281">
        <f t="shared" si="99"/>
        <v>0.38730000000000003</v>
      </c>
      <c r="AL1281">
        <f>VLOOKUP(L1281,'[1]Tuyến cáp H04'!$B:$E,3,0)/1000</f>
        <v>12.003</v>
      </c>
      <c r="AM1281" t="str">
        <f>VLOOKUP(L1281,'[1]Tuyến cáp H04'!$B:$E,4,0)</f>
        <v>Mạng cấp 4</v>
      </c>
    </row>
    <row r="1282" spans="1:39" x14ac:dyDescent="0.25">
      <c r="A1282" s="1" t="s">
        <v>12384</v>
      </c>
      <c r="B1282" s="1" t="s">
        <v>11396</v>
      </c>
      <c r="C1282" s="1" t="s">
        <v>11397</v>
      </c>
      <c r="D1282" s="1" t="s">
        <v>12385</v>
      </c>
      <c r="E1282" s="1" t="s">
        <v>12386</v>
      </c>
      <c r="F1282" s="1" t="s">
        <v>12387</v>
      </c>
      <c r="G1282" s="1" t="s">
        <v>14129</v>
      </c>
      <c r="H1282" s="1" t="s">
        <v>14532</v>
      </c>
      <c r="I1282" s="1" t="s">
        <v>15385</v>
      </c>
      <c r="J1282" s="1" t="s">
        <v>23</v>
      </c>
      <c r="K1282" s="1"/>
      <c r="L1282" s="1" t="s">
        <v>12375</v>
      </c>
      <c r="M1282" s="1" t="s">
        <v>12375</v>
      </c>
      <c r="N1282" s="12" t="b">
        <f t="shared" si="95"/>
        <v>1</v>
      </c>
      <c r="O1282" s="1" t="s">
        <v>12388</v>
      </c>
      <c r="P1282" s="1" t="s">
        <v>12377</v>
      </c>
      <c r="Q1282" s="1" t="s">
        <v>12378</v>
      </c>
      <c r="R1282" s="1" t="s">
        <v>12379</v>
      </c>
      <c r="S1282" s="1" t="s">
        <v>12389</v>
      </c>
      <c r="T1282" s="1" t="s">
        <v>12390</v>
      </c>
      <c r="U1282" s="1" t="s">
        <v>12391</v>
      </c>
      <c r="V1282" s="13">
        <f>COUNTIF(L1282:$M$1659,L1282)</f>
        <v>2</v>
      </c>
      <c r="W1282" s="1" t="s">
        <v>12383</v>
      </c>
      <c r="X1282">
        <v>4995.92</v>
      </c>
      <c r="Y1282">
        <v>72.98</v>
      </c>
      <c r="Z1282">
        <v>15.736276</v>
      </c>
      <c r="AA1282">
        <v>108.28871100000001</v>
      </c>
      <c r="AB1282">
        <v>4922.9399999999996</v>
      </c>
      <c r="AC1282">
        <v>15.670724</v>
      </c>
      <c r="AD1282">
        <v>108.213151</v>
      </c>
      <c r="AE1282" s="5">
        <f t="shared" si="96"/>
        <v>0.10947</v>
      </c>
      <c r="AF1282" s="5">
        <f t="shared" si="97"/>
        <v>7.3844099999999999</v>
      </c>
      <c r="AG1282" s="1" t="str">
        <f>TRIM(LEFT(L1282,FIND("-",L1282)-1))</f>
        <v>Quế Sơn</v>
      </c>
      <c r="AH1282" s="1" t="str">
        <f>TRIM(RIGHT(L1282, LEN(L1282) - FIND("-", L1282)))</f>
        <v>Quế Sơn Trung</v>
      </c>
      <c r="AJ1282">
        <f t="shared" si="98"/>
        <v>7.2980000000000003E-2</v>
      </c>
      <c r="AK1282">
        <f t="shared" si="99"/>
        <v>4.9229399999999996</v>
      </c>
      <c r="AL1282">
        <f>VLOOKUP(L1282,'[1]Tuyến cáp H04'!$B:$E,3,0)/1000</f>
        <v>12.003</v>
      </c>
      <c r="AM1282" t="str">
        <f>VLOOKUP(L1282,'[1]Tuyến cáp H04'!$B:$E,4,0)</f>
        <v>Mạng cấp 4</v>
      </c>
    </row>
    <row r="1283" spans="1:39" x14ac:dyDescent="0.25">
      <c r="A1283" s="1" t="s">
        <v>12392</v>
      </c>
      <c r="B1283" s="1" t="s">
        <v>11396</v>
      </c>
      <c r="C1283" s="1" t="s">
        <v>11397</v>
      </c>
      <c r="D1283" s="1" t="s">
        <v>12393</v>
      </c>
      <c r="E1283" s="1" t="s">
        <v>12394</v>
      </c>
      <c r="F1283" s="1" t="s">
        <v>12395</v>
      </c>
      <c r="G1283" s="1" t="s">
        <v>14129</v>
      </c>
      <c r="H1283" s="1" t="s">
        <v>14532</v>
      </c>
      <c r="I1283" s="1" t="s">
        <v>15386</v>
      </c>
      <c r="J1283" s="1" t="s">
        <v>23</v>
      </c>
      <c r="K1283" s="1"/>
      <c r="L1283" s="1" t="s">
        <v>12396</v>
      </c>
      <c r="M1283" s="1" t="s">
        <v>12396</v>
      </c>
      <c r="N1283" s="12" t="b">
        <f t="shared" ref="N1283:N1346" si="100">L1283=M1283</f>
        <v>1</v>
      </c>
      <c r="O1283" s="1" t="s">
        <v>12397</v>
      </c>
      <c r="P1283" s="1" t="s">
        <v>12398</v>
      </c>
      <c r="Q1283" s="1" t="s">
        <v>12399</v>
      </c>
      <c r="R1283" s="1" t="s">
        <v>12400</v>
      </c>
      <c r="S1283" s="1" t="s">
        <v>12401</v>
      </c>
      <c r="T1283" s="1" t="s">
        <v>12402</v>
      </c>
      <c r="U1283" s="1" t="s">
        <v>12403</v>
      </c>
      <c r="V1283" s="13">
        <f>COUNTIF(L1283:$M$1659,L1283)</f>
        <v>4</v>
      </c>
      <c r="W1283" s="1" t="s">
        <v>12404</v>
      </c>
      <c r="X1283">
        <v>789.81</v>
      </c>
      <c r="Y1283">
        <v>737.28</v>
      </c>
      <c r="Z1283">
        <v>15.740909</v>
      </c>
      <c r="AA1283">
        <v>108.29385499999999</v>
      </c>
      <c r="AB1283">
        <v>52.52</v>
      </c>
      <c r="AC1283">
        <v>15.732188000000001</v>
      </c>
      <c r="AD1283">
        <v>108.306318</v>
      </c>
      <c r="AE1283" s="5">
        <f t="shared" ref="AE1283:AE1346" si="101">Y1283*1.5/1000</f>
        <v>1.10592</v>
      </c>
      <c r="AF1283" s="5">
        <f t="shared" ref="AF1283:AF1346" si="102">AB1283*1.5/1000</f>
        <v>7.8780000000000003E-2</v>
      </c>
      <c r="AG1283" s="1" t="str">
        <f>TRIM(LEFT(L1283,FIND("-",L1283)-1))</f>
        <v>Quế Sơn Trung</v>
      </c>
      <c r="AH1283" s="1" t="str">
        <f>TRIM(RIGHT(L1283, LEN(L1283) - FIND("-", L1283)))</f>
        <v>TTCMKV Thăng
 Bình</v>
      </c>
      <c r="AJ1283">
        <f t="shared" ref="AJ1283:AJ1346" si="103">Y1283/1000</f>
        <v>0.73727999999999994</v>
      </c>
      <c r="AK1283">
        <f t="shared" ref="AK1283:AK1346" si="104">AB1283/1000</f>
        <v>5.2520000000000004E-2</v>
      </c>
      <c r="AL1283" t="e">
        <f>VLOOKUP(L1283,'[1]Tuyến cáp H04'!$B:$E,3,0)/1000</f>
        <v>#N/A</v>
      </c>
      <c r="AM1283" t="e">
        <f>VLOOKUP(L1283,'[1]Tuyến cáp H04'!$B:$E,4,0)</f>
        <v>#N/A</v>
      </c>
    </row>
    <row r="1284" spans="1:39" x14ac:dyDescent="0.25">
      <c r="A1284" s="1" t="s">
        <v>12405</v>
      </c>
      <c r="B1284" s="1" t="s">
        <v>11396</v>
      </c>
      <c r="C1284" s="1" t="s">
        <v>11397</v>
      </c>
      <c r="D1284" s="1" t="s">
        <v>11355</v>
      </c>
      <c r="E1284" s="1" t="s">
        <v>11356</v>
      </c>
      <c r="F1284" s="1" t="s">
        <v>11398</v>
      </c>
      <c r="G1284" s="1"/>
      <c r="H1284" s="1" t="s">
        <v>14133</v>
      </c>
      <c r="I1284" s="1" t="s">
        <v>15288</v>
      </c>
      <c r="J1284" s="1" t="s">
        <v>23</v>
      </c>
      <c r="K1284" s="1"/>
      <c r="L1284" s="1" t="s">
        <v>11360</v>
      </c>
      <c r="M1284" s="1" t="s">
        <v>11360</v>
      </c>
      <c r="N1284" s="12" t="b">
        <f t="shared" si="100"/>
        <v>1</v>
      </c>
      <c r="O1284" s="1" t="s">
        <v>11399</v>
      </c>
      <c r="P1284" s="1" t="s">
        <v>11400</v>
      </c>
      <c r="Q1284" s="1" t="s">
        <v>11401</v>
      </c>
      <c r="R1284" s="1" t="s">
        <v>11402</v>
      </c>
      <c r="S1284" s="1" t="s">
        <v>11362</v>
      </c>
      <c r="T1284" s="1" t="s">
        <v>11363</v>
      </c>
      <c r="U1284" s="1" t="s">
        <v>11364</v>
      </c>
      <c r="V1284" s="13">
        <f>COUNTIF(L1284:$M$1659,L1284)</f>
        <v>4</v>
      </c>
      <c r="W1284" s="1" t="s">
        <v>11368</v>
      </c>
      <c r="X1284">
        <v>3862.47</v>
      </c>
      <c r="Y1284">
        <v>3791.78</v>
      </c>
      <c r="Z1284">
        <v>15.702866</v>
      </c>
      <c r="AA1284">
        <v>108.28560899999999</v>
      </c>
      <c r="AB1284">
        <v>70.69</v>
      </c>
      <c r="AC1284">
        <v>15.736033000000001</v>
      </c>
      <c r="AD1284">
        <v>108.352322</v>
      </c>
      <c r="AE1284" s="5">
        <f t="shared" si="101"/>
        <v>5.6876699999999998</v>
      </c>
      <c r="AF1284" s="5">
        <f t="shared" si="102"/>
        <v>0.10603499999999999</v>
      </c>
      <c r="AG1284" s="1" t="str">
        <f>TRIM(LEFT(L1284,FIND("-",L1284)-1))</f>
        <v>Thăng Bình</v>
      </c>
      <c r="AH1284" s="1" t="str">
        <f>TRIM(RIGHT(L1284, LEN(L1284) - FIND("-", L1284)))</f>
        <v>Quế Sơn</v>
      </c>
      <c r="AJ1284">
        <f t="shared" si="103"/>
        <v>3.7917800000000002</v>
      </c>
      <c r="AK1284">
        <f t="shared" si="104"/>
        <v>7.0690000000000003E-2</v>
      </c>
      <c r="AL1284">
        <f>VLOOKUP(L1284,'[1]Tuyến cáp H04'!$B:$E,3,0)/1000</f>
        <v>20.538</v>
      </c>
      <c r="AM1284" t="str">
        <f>VLOOKUP(L1284,'[1]Tuyến cáp H04'!$B:$E,4,0)</f>
        <v>Mạng cấp 3</v>
      </c>
    </row>
    <row r="1285" spans="1:39" x14ac:dyDescent="0.25">
      <c r="A1285" s="1" t="s">
        <v>12406</v>
      </c>
      <c r="B1285" s="1" t="s">
        <v>11396</v>
      </c>
      <c r="C1285" s="1" t="s">
        <v>11397</v>
      </c>
      <c r="D1285" s="1" t="s">
        <v>12407</v>
      </c>
      <c r="E1285" s="1" t="s">
        <v>12408</v>
      </c>
      <c r="F1285" s="1" t="s">
        <v>12409</v>
      </c>
      <c r="G1285" s="1" t="s">
        <v>14129</v>
      </c>
      <c r="H1285" s="1" t="s">
        <v>14133</v>
      </c>
      <c r="I1285" s="1" t="s">
        <v>15387</v>
      </c>
      <c r="J1285" s="1" t="s">
        <v>23</v>
      </c>
      <c r="K1285" s="1"/>
      <c r="L1285" s="1" t="s">
        <v>12410</v>
      </c>
      <c r="M1285" s="1" t="s">
        <v>12410</v>
      </c>
      <c r="N1285" s="12" t="b">
        <f t="shared" si="100"/>
        <v>1</v>
      </c>
      <c r="O1285" s="1" t="s">
        <v>12411</v>
      </c>
      <c r="P1285" s="1" t="s">
        <v>12412</v>
      </c>
      <c r="Q1285" s="1" t="s">
        <v>11389</v>
      </c>
      <c r="R1285" s="1" t="s">
        <v>12413</v>
      </c>
      <c r="S1285" s="1" t="s">
        <v>12414</v>
      </c>
      <c r="T1285" s="1" t="s">
        <v>12415</v>
      </c>
      <c r="U1285" s="1" t="s">
        <v>12416</v>
      </c>
      <c r="V1285" s="13">
        <f>COUNTIF(L1285:$M$1659,L1285)</f>
        <v>4</v>
      </c>
      <c r="W1285" s="1" t="s">
        <v>12417</v>
      </c>
      <c r="X1285">
        <v>634.34</v>
      </c>
      <c r="Y1285">
        <v>150.32</v>
      </c>
      <c r="Z1285">
        <v>15.736057000000001</v>
      </c>
      <c r="AA1285">
        <v>108.28953</v>
      </c>
      <c r="AB1285">
        <v>484.02</v>
      </c>
      <c r="AC1285">
        <v>15.750251</v>
      </c>
      <c r="AD1285">
        <v>108.299021</v>
      </c>
      <c r="AE1285" s="5">
        <f t="shared" si="101"/>
        <v>0.22547999999999999</v>
      </c>
      <c r="AF1285" s="5">
        <f t="shared" si="102"/>
        <v>0.72602999999999995</v>
      </c>
      <c r="AG1285" s="1" t="str">
        <f>TRIM(LEFT(L1285,FIND("-",L1285)-1))</f>
        <v>Quế Sơn</v>
      </c>
      <c r="AH1285" s="1" t="str">
        <f>TRIM(RIGHT(L1285, LEN(L1285) - FIND("-", L1285)))</f>
        <v>Đại Lộc</v>
      </c>
      <c r="AJ1285">
        <f t="shared" si="103"/>
        <v>0.15031999999999998</v>
      </c>
      <c r="AK1285">
        <f t="shared" si="104"/>
        <v>0.48402000000000001</v>
      </c>
      <c r="AL1285">
        <f>VLOOKUP(L1285,'[1]Tuyến cáp H04'!$B:$E,3,0)/1000</f>
        <v>47.832000000000001</v>
      </c>
      <c r="AM1285" t="str">
        <f>VLOOKUP(L1285,'[1]Tuyến cáp H04'!$B:$E,4,0)</f>
        <v>Mạng cấp 3</v>
      </c>
    </row>
    <row r="1286" spans="1:39" x14ac:dyDescent="0.25">
      <c r="A1286" s="1" t="s">
        <v>12418</v>
      </c>
      <c r="B1286" s="1" t="s">
        <v>11396</v>
      </c>
      <c r="C1286" s="1" t="s">
        <v>11397</v>
      </c>
      <c r="D1286" s="1" t="s">
        <v>12419</v>
      </c>
      <c r="E1286" s="1" t="s">
        <v>12420</v>
      </c>
      <c r="F1286" s="1" t="s">
        <v>12421</v>
      </c>
      <c r="G1286" s="1" t="s">
        <v>14129</v>
      </c>
      <c r="H1286" s="1" t="s">
        <v>14133</v>
      </c>
      <c r="I1286" s="1" t="s">
        <v>15388</v>
      </c>
      <c r="J1286" s="1" t="s">
        <v>23</v>
      </c>
      <c r="K1286" s="1"/>
      <c r="L1286" s="1" t="s">
        <v>12396</v>
      </c>
      <c r="M1286" s="1" t="s">
        <v>12396</v>
      </c>
      <c r="N1286" s="12" t="b">
        <f t="shared" si="100"/>
        <v>1</v>
      </c>
      <c r="O1286" s="1" t="s">
        <v>12422</v>
      </c>
      <c r="P1286" s="1" t="s">
        <v>12398</v>
      </c>
      <c r="Q1286" s="1" t="s">
        <v>12399</v>
      </c>
      <c r="R1286" s="1" t="s">
        <v>12400</v>
      </c>
      <c r="S1286" s="1" t="s">
        <v>12423</v>
      </c>
      <c r="T1286" s="1" t="s">
        <v>12424</v>
      </c>
      <c r="U1286" s="1" t="s">
        <v>12425</v>
      </c>
      <c r="V1286" s="13">
        <f>COUNTIF(L1286:$M$1659,L1286)</f>
        <v>2</v>
      </c>
      <c r="W1286" s="1" t="s">
        <v>12404</v>
      </c>
      <c r="X1286">
        <v>2252.62</v>
      </c>
      <c r="Y1286">
        <v>737.28</v>
      </c>
      <c r="Z1286">
        <v>15.740909</v>
      </c>
      <c r="AA1286">
        <v>108.29385499999999</v>
      </c>
      <c r="AB1286">
        <v>1515.33</v>
      </c>
      <c r="AC1286">
        <v>15.730776000000001</v>
      </c>
      <c r="AD1286">
        <v>108.302993</v>
      </c>
      <c r="AE1286" s="5">
        <f t="shared" si="101"/>
        <v>1.10592</v>
      </c>
      <c r="AF1286" s="5">
        <f t="shared" si="102"/>
        <v>2.2729949999999999</v>
      </c>
      <c r="AG1286" s="1" t="str">
        <f>TRIM(LEFT(L1286,FIND("-",L1286)-1))</f>
        <v>Quế Sơn Trung</v>
      </c>
      <c r="AH1286" s="1" t="str">
        <f>TRIM(RIGHT(L1286, LEN(L1286) - FIND("-", L1286)))</f>
        <v>TTCMKV Thăng
 Bình</v>
      </c>
      <c r="AJ1286">
        <f t="shared" si="103"/>
        <v>0.73727999999999994</v>
      </c>
      <c r="AK1286">
        <f t="shared" si="104"/>
        <v>1.5153299999999998</v>
      </c>
      <c r="AL1286" t="e">
        <f>VLOOKUP(L1286,'[1]Tuyến cáp H04'!$B:$E,3,0)/1000</f>
        <v>#N/A</v>
      </c>
      <c r="AM1286" t="e">
        <f>VLOOKUP(L1286,'[1]Tuyến cáp H04'!$B:$E,4,0)</f>
        <v>#N/A</v>
      </c>
    </row>
    <row r="1287" spans="1:39" x14ac:dyDescent="0.25">
      <c r="A1287" s="1" t="s">
        <v>12426</v>
      </c>
      <c r="B1287" s="1" t="s">
        <v>12427</v>
      </c>
      <c r="C1287" s="1" t="s">
        <v>12428</v>
      </c>
      <c r="D1287" s="1" t="s">
        <v>11410</v>
      </c>
      <c r="E1287" s="1" t="s">
        <v>11411</v>
      </c>
      <c r="F1287" s="1" t="s">
        <v>12429</v>
      </c>
      <c r="G1287" s="1" t="s">
        <v>14129</v>
      </c>
      <c r="H1287" s="1" t="s">
        <v>14532</v>
      </c>
      <c r="I1287" s="1" t="s">
        <v>15389</v>
      </c>
      <c r="J1287" s="1" t="s">
        <v>23</v>
      </c>
      <c r="K1287" s="1"/>
      <c r="L1287" s="1" t="s">
        <v>12430</v>
      </c>
      <c r="M1287" s="1" t="s">
        <v>12430</v>
      </c>
      <c r="N1287" s="12" t="b">
        <f t="shared" si="100"/>
        <v>1</v>
      </c>
      <c r="O1287" s="1" t="s">
        <v>12431</v>
      </c>
      <c r="P1287" s="1" t="s">
        <v>1813</v>
      </c>
      <c r="Q1287" s="1" t="s">
        <v>12432</v>
      </c>
      <c r="R1287" s="1" t="s">
        <v>12433</v>
      </c>
      <c r="S1287" s="1" t="s">
        <v>12434</v>
      </c>
      <c r="T1287" s="1" t="s">
        <v>12435</v>
      </c>
      <c r="U1287" s="1" t="s">
        <v>12436</v>
      </c>
      <c r="V1287" s="13">
        <f>COUNTIF(L1287:$M$1659,L1287)</f>
        <v>4</v>
      </c>
      <c r="W1287" s="1" t="s">
        <v>12437</v>
      </c>
      <c r="X1287">
        <v>827.4</v>
      </c>
      <c r="Y1287">
        <v>12.27</v>
      </c>
      <c r="Z1287">
        <v>15.777139</v>
      </c>
      <c r="AA1287">
        <v>108.335114</v>
      </c>
      <c r="AB1287">
        <v>815.13</v>
      </c>
      <c r="AC1287">
        <v>15.776539</v>
      </c>
      <c r="AD1287">
        <v>108.33024899999999</v>
      </c>
      <c r="AE1287" s="5">
        <f t="shared" si="101"/>
        <v>1.8405000000000001E-2</v>
      </c>
      <c r="AF1287" s="5">
        <f t="shared" si="102"/>
        <v>1.2226949999999999</v>
      </c>
      <c r="AG1287" s="1" t="str">
        <f>TRIM(LEFT(L1287,FIND("-",L1287)-1))</f>
        <v>Nam Phước</v>
      </c>
      <c r="AH1287" s="1" t="str">
        <f>TRIM(RIGHT(L1287, LEN(L1287) - FIND("-", L1287)))</f>
        <v>Xuân Phú</v>
      </c>
      <c r="AJ1287">
        <f t="shared" si="103"/>
        <v>1.227E-2</v>
      </c>
      <c r="AK1287">
        <f t="shared" si="104"/>
        <v>0.81513000000000002</v>
      </c>
      <c r="AL1287">
        <f>VLOOKUP(L1287,'[1]Tuyến cáp H04'!$B:$E,3,0)/1000</f>
        <v>11.41</v>
      </c>
      <c r="AM1287" t="str">
        <f>VLOOKUP(L1287,'[1]Tuyến cáp H04'!$B:$E,4,0)</f>
        <v>Mạng cấp 4</v>
      </c>
    </row>
    <row r="1288" spans="1:39" x14ac:dyDescent="0.25">
      <c r="A1288" s="1" t="s">
        <v>12438</v>
      </c>
      <c r="B1288" s="1" t="s">
        <v>11524</v>
      </c>
      <c r="C1288" s="1" t="s">
        <v>11525</v>
      </c>
      <c r="D1288" s="1" t="s">
        <v>12439</v>
      </c>
      <c r="E1288" s="1" t="s">
        <v>12440</v>
      </c>
      <c r="F1288" s="1" t="s">
        <v>12441</v>
      </c>
      <c r="G1288" s="1" t="s">
        <v>14129</v>
      </c>
      <c r="H1288" s="1" t="s">
        <v>14532</v>
      </c>
      <c r="I1288" s="1" t="s">
        <v>15390</v>
      </c>
      <c r="J1288" s="1" t="s">
        <v>23</v>
      </c>
      <c r="K1288" s="1"/>
      <c r="L1288" s="1" t="s">
        <v>11386</v>
      </c>
      <c r="M1288" s="1" t="s">
        <v>11386</v>
      </c>
      <c r="N1288" s="12" t="b">
        <f t="shared" si="100"/>
        <v>1</v>
      </c>
      <c r="O1288" s="1" t="s">
        <v>12442</v>
      </c>
      <c r="P1288" s="1" t="s">
        <v>2776</v>
      </c>
      <c r="Q1288" s="1" t="s">
        <v>12443</v>
      </c>
      <c r="R1288" s="1" t="s">
        <v>12444</v>
      </c>
      <c r="S1288" s="1" t="s">
        <v>12445</v>
      </c>
      <c r="T1288" s="1" t="s">
        <v>12446</v>
      </c>
      <c r="U1288" s="1" t="s">
        <v>12447</v>
      </c>
      <c r="V1288" s="13">
        <f>COUNTIF(L1288:$M$1659,L1288)</f>
        <v>6</v>
      </c>
      <c r="W1288" s="1" t="s">
        <v>11394</v>
      </c>
      <c r="X1288">
        <v>246.01</v>
      </c>
      <c r="Y1288">
        <v>22.9</v>
      </c>
      <c r="Z1288">
        <v>15.720181999999999</v>
      </c>
      <c r="AA1288">
        <v>108.375708</v>
      </c>
      <c r="AB1288">
        <v>223.11</v>
      </c>
      <c r="AC1288">
        <v>15.720674000000001</v>
      </c>
      <c r="AD1288">
        <v>108.36945900000001</v>
      </c>
      <c r="AE1288" s="5">
        <f t="shared" si="101"/>
        <v>3.4349999999999992E-2</v>
      </c>
      <c r="AF1288" s="5">
        <f t="shared" si="102"/>
        <v>0.33466500000000005</v>
      </c>
      <c r="AG1288" s="1" t="str">
        <f>TRIM(LEFT(L1288,FIND("-",L1288)-1))</f>
        <v>Trạm CSGT Thăng Bình (X. Bình Phục, Thăng
Bình)</v>
      </c>
      <c r="AH1288" s="1" t="str">
        <f>TRIM(RIGHT(L1288, LEN(L1288) - FIND("-", L1288)))</f>
        <v>TTCMKV Thăng Bình</v>
      </c>
      <c r="AJ1288">
        <f t="shared" si="103"/>
        <v>2.29E-2</v>
      </c>
      <c r="AK1288">
        <f t="shared" si="104"/>
        <v>0.22311</v>
      </c>
      <c r="AL1288">
        <f>VLOOKUP(L1288,'[1]Tuyến cáp H04'!$B:$E,3,0)/1000</f>
        <v>4.1900000000000004</v>
      </c>
      <c r="AM1288" t="str">
        <f>VLOOKUP(L1288,'[1]Tuyến cáp H04'!$B:$E,4,0)</f>
        <v>Mạng cấp 3</v>
      </c>
    </row>
    <row r="1289" spans="1:39" x14ac:dyDescent="0.25">
      <c r="A1289" s="1" t="s">
        <v>12448</v>
      </c>
      <c r="B1289" s="1" t="s">
        <v>11524</v>
      </c>
      <c r="C1289" s="1" t="s">
        <v>11525</v>
      </c>
      <c r="D1289" s="1" t="s">
        <v>12449</v>
      </c>
      <c r="E1289" s="1" t="s">
        <v>12450</v>
      </c>
      <c r="F1289" s="1" t="s">
        <v>12451</v>
      </c>
      <c r="G1289" s="1" t="s">
        <v>14129</v>
      </c>
      <c r="H1289" s="1" t="s">
        <v>14532</v>
      </c>
      <c r="I1289" s="1" t="s">
        <v>15391</v>
      </c>
      <c r="J1289" s="1" t="s">
        <v>23</v>
      </c>
      <c r="K1289" s="1"/>
      <c r="L1289" s="1" t="s">
        <v>11386</v>
      </c>
      <c r="M1289" s="1" t="s">
        <v>11386</v>
      </c>
      <c r="N1289" s="12" t="b">
        <f t="shared" si="100"/>
        <v>1</v>
      </c>
      <c r="O1289" s="1" t="s">
        <v>12452</v>
      </c>
      <c r="P1289" s="1" t="s">
        <v>2776</v>
      </c>
      <c r="Q1289" s="1" t="s">
        <v>12443</v>
      </c>
      <c r="R1289" s="1" t="s">
        <v>12444</v>
      </c>
      <c r="S1289" s="1" t="s">
        <v>12453</v>
      </c>
      <c r="T1289" s="1" t="s">
        <v>11389</v>
      </c>
      <c r="U1289" s="1" t="s">
        <v>11390</v>
      </c>
      <c r="V1289" s="13">
        <f>COUNTIF(L1289:$M$1659,L1289)</f>
        <v>4</v>
      </c>
      <c r="W1289" s="1" t="s">
        <v>11394</v>
      </c>
      <c r="X1289">
        <v>1297.81</v>
      </c>
      <c r="Y1289">
        <v>22.9</v>
      </c>
      <c r="Z1289">
        <v>15.720181999999999</v>
      </c>
      <c r="AA1289">
        <v>108.375708</v>
      </c>
      <c r="AB1289">
        <v>1274.9100000000001</v>
      </c>
      <c r="AC1289">
        <v>15.736057000000001</v>
      </c>
      <c r="AD1289">
        <v>108.3523</v>
      </c>
      <c r="AE1289" s="5">
        <f t="shared" si="101"/>
        <v>3.4349999999999992E-2</v>
      </c>
      <c r="AF1289" s="5">
        <f t="shared" si="102"/>
        <v>1.9123650000000003</v>
      </c>
      <c r="AG1289" s="1" t="str">
        <f>TRIM(LEFT(L1289,FIND("-",L1289)-1))</f>
        <v>Trạm CSGT Thăng Bình (X. Bình Phục, Thăng
Bình)</v>
      </c>
      <c r="AH1289" s="1" t="str">
        <f>TRIM(RIGHT(L1289, LEN(L1289) - FIND("-", L1289)))</f>
        <v>TTCMKV Thăng Bình</v>
      </c>
      <c r="AJ1289">
        <f t="shared" si="103"/>
        <v>2.29E-2</v>
      </c>
      <c r="AK1289">
        <f t="shared" si="104"/>
        <v>1.27491</v>
      </c>
      <c r="AL1289">
        <f>VLOOKUP(L1289,'[1]Tuyến cáp H04'!$B:$E,3,0)/1000</f>
        <v>4.1900000000000004</v>
      </c>
      <c r="AM1289" t="str">
        <f>VLOOKUP(L1289,'[1]Tuyến cáp H04'!$B:$E,4,0)</f>
        <v>Mạng cấp 3</v>
      </c>
    </row>
    <row r="1290" spans="1:39" x14ac:dyDescent="0.25">
      <c r="A1290" s="1" t="s">
        <v>12454</v>
      </c>
      <c r="B1290" s="1" t="s">
        <v>11524</v>
      </c>
      <c r="C1290" s="1" t="s">
        <v>11525</v>
      </c>
      <c r="D1290" s="1" t="s">
        <v>11500</v>
      </c>
      <c r="E1290" s="1" t="s">
        <v>11501</v>
      </c>
      <c r="F1290" s="1" t="s">
        <v>11526</v>
      </c>
      <c r="G1290" s="1"/>
      <c r="H1290" s="1" t="s">
        <v>14532</v>
      </c>
      <c r="I1290" s="1" t="s">
        <v>15300</v>
      </c>
      <c r="J1290" s="1" t="s">
        <v>23</v>
      </c>
      <c r="K1290" s="1"/>
      <c r="L1290" s="1" t="s">
        <v>11373</v>
      </c>
      <c r="M1290" s="1" t="s">
        <v>11373</v>
      </c>
      <c r="N1290" s="12" t="b">
        <f t="shared" si="100"/>
        <v>1</v>
      </c>
      <c r="O1290" s="1" t="s">
        <v>11527</v>
      </c>
      <c r="P1290" s="1" t="s">
        <v>11531</v>
      </c>
      <c r="Q1290" s="1" t="s">
        <v>11532</v>
      </c>
      <c r="R1290" s="1" t="s">
        <v>11533</v>
      </c>
      <c r="S1290" s="1" t="s">
        <v>11528</v>
      </c>
      <c r="T1290" s="1" t="s">
        <v>11529</v>
      </c>
      <c r="U1290" s="1" t="s">
        <v>11530</v>
      </c>
      <c r="V1290" s="13">
        <f>COUNTIF(L1290:$M$1659,L1290)</f>
        <v>10</v>
      </c>
      <c r="W1290" s="1" t="s">
        <v>11534</v>
      </c>
      <c r="X1290">
        <v>875.94</v>
      </c>
      <c r="Y1290">
        <v>301.35000000000002</v>
      </c>
      <c r="Z1290">
        <v>15.717449999999999</v>
      </c>
      <c r="AA1290">
        <v>108.375263</v>
      </c>
      <c r="AB1290">
        <v>574.59</v>
      </c>
      <c r="AC1290">
        <v>15.646917999999999</v>
      </c>
      <c r="AD1290">
        <v>108.430209</v>
      </c>
      <c r="AE1290" s="5">
        <f t="shared" si="101"/>
        <v>0.45202500000000001</v>
      </c>
      <c r="AF1290" s="5">
        <f t="shared" si="102"/>
        <v>0.86188500000000001</v>
      </c>
      <c r="AG1290" s="1" t="str">
        <f>TRIM(LEFT(L1290,FIND("-",L1290)-1))</f>
        <v>Duy Xuyên</v>
      </c>
      <c r="AH1290" s="1" t="str">
        <f>TRIM(RIGHT(L1290, LEN(L1290) - FIND("-", L1290)))</f>
        <v>TT2 Tam Kỳ</v>
      </c>
      <c r="AJ1290">
        <f t="shared" si="103"/>
        <v>0.30135000000000001</v>
      </c>
      <c r="AK1290">
        <f t="shared" si="104"/>
        <v>0.57459000000000005</v>
      </c>
      <c r="AL1290">
        <f>VLOOKUP(L1290,'[1]Tuyến cáp H04'!$B:$E,3,0)/1000</f>
        <v>44.616</v>
      </c>
      <c r="AM1290" t="str">
        <f>VLOOKUP(L1290,'[1]Tuyến cáp H04'!$B:$E,4,0)</f>
        <v>Mạng cấp 3</v>
      </c>
    </row>
    <row r="1291" spans="1:39" x14ac:dyDescent="0.25">
      <c r="A1291" s="1" t="s">
        <v>12455</v>
      </c>
      <c r="B1291" s="1" t="s">
        <v>11524</v>
      </c>
      <c r="C1291" s="1" t="s">
        <v>11525</v>
      </c>
      <c r="D1291" s="1" t="s">
        <v>12456</v>
      </c>
      <c r="E1291" s="1" t="s">
        <v>12457</v>
      </c>
      <c r="F1291" s="1" t="s">
        <v>12458</v>
      </c>
      <c r="G1291" s="1" t="s">
        <v>14129</v>
      </c>
      <c r="H1291" s="1" t="s">
        <v>14532</v>
      </c>
      <c r="I1291" s="1" t="s">
        <v>15392</v>
      </c>
      <c r="J1291" s="1" t="s">
        <v>23</v>
      </c>
      <c r="K1291" s="1"/>
      <c r="L1291" s="1" t="s">
        <v>11373</v>
      </c>
      <c r="M1291" s="1" t="s">
        <v>11373</v>
      </c>
      <c r="N1291" s="12" t="b">
        <f t="shared" si="100"/>
        <v>1</v>
      </c>
      <c r="O1291" s="1" t="s">
        <v>12459</v>
      </c>
      <c r="P1291" s="1" t="s">
        <v>11531</v>
      </c>
      <c r="Q1291" s="1" t="s">
        <v>11532</v>
      </c>
      <c r="R1291" s="1" t="s">
        <v>11533</v>
      </c>
      <c r="S1291" s="1" t="s">
        <v>12460</v>
      </c>
      <c r="T1291" s="1" t="s">
        <v>12461</v>
      </c>
      <c r="U1291" s="1" t="s">
        <v>12462</v>
      </c>
      <c r="V1291" s="13">
        <f>COUNTIF(L1291:$M$1659,L1291)</f>
        <v>8</v>
      </c>
      <c r="W1291" s="1" t="s">
        <v>11534</v>
      </c>
      <c r="X1291">
        <v>772.35</v>
      </c>
      <c r="Y1291">
        <v>301.35000000000002</v>
      </c>
      <c r="Z1291">
        <v>15.717449999999999</v>
      </c>
      <c r="AA1291">
        <v>108.375263</v>
      </c>
      <c r="AB1291">
        <v>471</v>
      </c>
      <c r="AC1291">
        <v>15.707373</v>
      </c>
      <c r="AD1291">
        <v>108.38588</v>
      </c>
      <c r="AE1291" s="5">
        <f t="shared" si="101"/>
        <v>0.45202500000000001</v>
      </c>
      <c r="AF1291" s="5">
        <f t="shared" si="102"/>
        <v>0.70650000000000002</v>
      </c>
      <c r="AG1291" s="1" t="str">
        <f>TRIM(LEFT(L1291,FIND("-",L1291)-1))</f>
        <v>Duy Xuyên</v>
      </c>
      <c r="AH1291" s="1" t="str">
        <f>TRIM(RIGHT(L1291, LEN(L1291) - FIND("-", L1291)))</f>
        <v>TT2 Tam Kỳ</v>
      </c>
      <c r="AJ1291">
        <f t="shared" si="103"/>
        <v>0.30135000000000001</v>
      </c>
      <c r="AK1291">
        <f t="shared" si="104"/>
        <v>0.47099999999999997</v>
      </c>
      <c r="AL1291">
        <f>VLOOKUP(L1291,'[1]Tuyến cáp H04'!$B:$E,3,0)/1000</f>
        <v>44.616</v>
      </c>
      <c r="AM1291" t="str">
        <f>VLOOKUP(L1291,'[1]Tuyến cáp H04'!$B:$E,4,0)</f>
        <v>Mạng cấp 3</v>
      </c>
    </row>
    <row r="1292" spans="1:39" x14ac:dyDescent="0.25">
      <c r="A1292" s="1" t="s">
        <v>12463</v>
      </c>
      <c r="B1292" s="1" t="s">
        <v>11524</v>
      </c>
      <c r="C1292" s="1" t="s">
        <v>11525</v>
      </c>
      <c r="D1292" s="1" t="s">
        <v>12464</v>
      </c>
      <c r="E1292" s="1" t="s">
        <v>12465</v>
      </c>
      <c r="F1292" s="1" t="s">
        <v>12466</v>
      </c>
      <c r="G1292" s="1" t="s">
        <v>14129</v>
      </c>
      <c r="H1292" s="1" t="s">
        <v>14532</v>
      </c>
      <c r="I1292" s="1" t="s">
        <v>15393</v>
      </c>
      <c r="J1292" s="1" t="s">
        <v>23</v>
      </c>
      <c r="K1292" s="1"/>
      <c r="L1292" s="1" t="s">
        <v>11373</v>
      </c>
      <c r="M1292" s="1" t="s">
        <v>11373</v>
      </c>
      <c r="N1292" s="12" t="b">
        <f t="shared" si="100"/>
        <v>1</v>
      </c>
      <c r="O1292" s="1" t="s">
        <v>12467</v>
      </c>
      <c r="P1292" s="1" t="s">
        <v>11531</v>
      </c>
      <c r="Q1292" s="1" t="s">
        <v>11532</v>
      </c>
      <c r="R1292" s="1" t="s">
        <v>11533</v>
      </c>
      <c r="S1292" s="1" t="s">
        <v>12468</v>
      </c>
      <c r="T1292" s="1" t="s">
        <v>12469</v>
      </c>
      <c r="U1292" s="1" t="s">
        <v>12470</v>
      </c>
      <c r="V1292" s="13">
        <f>COUNTIF(L1292:$M$1659,L1292)</f>
        <v>6</v>
      </c>
      <c r="W1292" s="1" t="s">
        <v>11534</v>
      </c>
      <c r="X1292">
        <v>719.69</v>
      </c>
      <c r="Y1292">
        <v>301.35000000000002</v>
      </c>
      <c r="Z1292">
        <v>15.717449999999999</v>
      </c>
      <c r="AA1292">
        <v>108.375263</v>
      </c>
      <c r="AB1292">
        <v>418.34</v>
      </c>
      <c r="AC1292">
        <v>15.696897999999999</v>
      </c>
      <c r="AD1292">
        <v>108.393225</v>
      </c>
      <c r="AE1292" s="5">
        <f t="shared" si="101"/>
        <v>0.45202500000000001</v>
      </c>
      <c r="AF1292" s="5">
        <f t="shared" si="102"/>
        <v>0.62751000000000001</v>
      </c>
      <c r="AG1292" s="1" t="str">
        <f>TRIM(LEFT(L1292,FIND("-",L1292)-1))</f>
        <v>Duy Xuyên</v>
      </c>
      <c r="AH1292" s="1" t="str">
        <f>TRIM(RIGHT(L1292, LEN(L1292) - FIND("-", L1292)))</f>
        <v>TT2 Tam Kỳ</v>
      </c>
      <c r="AJ1292">
        <f t="shared" si="103"/>
        <v>0.30135000000000001</v>
      </c>
      <c r="AK1292">
        <f t="shared" si="104"/>
        <v>0.41833999999999999</v>
      </c>
      <c r="AL1292">
        <f>VLOOKUP(L1292,'[1]Tuyến cáp H04'!$B:$E,3,0)/1000</f>
        <v>44.616</v>
      </c>
      <c r="AM1292" t="str">
        <f>VLOOKUP(L1292,'[1]Tuyến cáp H04'!$B:$E,4,0)</f>
        <v>Mạng cấp 3</v>
      </c>
    </row>
    <row r="1293" spans="1:39" x14ac:dyDescent="0.25">
      <c r="A1293" s="1" t="s">
        <v>12471</v>
      </c>
      <c r="B1293" s="1" t="s">
        <v>11524</v>
      </c>
      <c r="C1293" s="1" t="s">
        <v>11525</v>
      </c>
      <c r="D1293" s="1" t="s">
        <v>11383</v>
      </c>
      <c r="E1293" s="1" t="s">
        <v>11384</v>
      </c>
      <c r="F1293" s="1" t="s">
        <v>12472</v>
      </c>
      <c r="G1293" s="1" t="s">
        <v>14129</v>
      </c>
      <c r="H1293" s="1" t="s">
        <v>14532</v>
      </c>
      <c r="I1293" s="1" t="s">
        <v>15394</v>
      </c>
      <c r="J1293" s="1" t="s">
        <v>23</v>
      </c>
      <c r="K1293" s="1"/>
      <c r="L1293" s="1" t="s">
        <v>11386</v>
      </c>
      <c r="M1293" s="1" t="s">
        <v>11386</v>
      </c>
      <c r="N1293" s="12" t="b">
        <f t="shared" si="100"/>
        <v>1</v>
      </c>
      <c r="O1293" s="1" t="s">
        <v>12473</v>
      </c>
      <c r="P1293" s="1" t="s">
        <v>2776</v>
      </c>
      <c r="Q1293" s="1" t="s">
        <v>12443</v>
      </c>
      <c r="R1293" s="1" t="s">
        <v>12444</v>
      </c>
      <c r="S1293" s="1" t="s">
        <v>11391</v>
      </c>
      <c r="T1293" s="1" t="s">
        <v>11392</v>
      </c>
      <c r="U1293" s="1" t="s">
        <v>11393</v>
      </c>
      <c r="V1293" s="13">
        <f>COUNTIF(L1293:$M$1659,L1293)</f>
        <v>2</v>
      </c>
      <c r="W1293" s="1" t="s">
        <v>11394</v>
      </c>
      <c r="X1293">
        <v>2144.64</v>
      </c>
      <c r="Y1293">
        <v>22.9</v>
      </c>
      <c r="Z1293">
        <v>15.720181999999999</v>
      </c>
      <c r="AA1293">
        <v>108.375708</v>
      </c>
      <c r="AB1293">
        <v>2121.7399999999998</v>
      </c>
      <c r="AC1293">
        <v>15.720257</v>
      </c>
      <c r="AD1293">
        <v>108.375578</v>
      </c>
      <c r="AE1293" s="5">
        <f t="shared" si="101"/>
        <v>3.4349999999999992E-2</v>
      </c>
      <c r="AF1293" s="5">
        <f t="shared" si="102"/>
        <v>3.1826099999999995</v>
      </c>
      <c r="AG1293" s="1" t="str">
        <f>TRIM(LEFT(L1293,FIND("-",L1293)-1))</f>
        <v>Trạm CSGT Thăng Bình (X. Bình Phục, Thăng
Bình)</v>
      </c>
      <c r="AH1293" s="1" t="str">
        <f>TRIM(RIGHT(L1293, LEN(L1293) - FIND("-", L1293)))</f>
        <v>TTCMKV Thăng Bình</v>
      </c>
      <c r="AJ1293">
        <f t="shared" si="103"/>
        <v>2.29E-2</v>
      </c>
      <c r="AK1293">
        <f t="shared" si="104"/>
        <v>2.12174</v>
      </c>
      <c r="AL1293">
        <f>VLOOKUP(L1293,'[1]Tuyến cáp H04'!$B:$E,3,0)/1000</f>
        <v>4.1900000000000004</v>
      </c>
      <c r="AM1293" t="str">
        <f>VLOOKUP(L1293,'[1]Tuyến cáp H04'!$B:$E,4,0)</f>
        <v>Mạng cấp 3</v>
      </c>
    </row>
    <row r="1294" spans="1:39" x14ac:dyDescent="0.25">
      <c r="A1294" s="1" t="s">
        <v>12474</v>
      </c>
      <c r="B1294" s="1" t="s">
        <v>12475</v>
      </c>
      <c r="C1294" s="1" t="s">
        <v>12476</v>
      </c>
      <c r="D1294" s="1" t="s">
        <v>12477</v>
      </c>
      <c r="E1294" s="1" t="s">
        <v>12478</v>
      </c>
      <c r="F1294" s="1" t="s">
        <v>12479</v>
      </c>
      <c r="G1294" s="1" t="s">
        <v>14129</v>
      </c>
      <c r="H1294" s="1" t="s">
        <v>14532</v>
      </c>
      <c r="I1294" s="1" t="s">
        <v>15395</v>
      </c>
      <c r="J1294" s="1" t="s">
        <v>23</v>
      </c>
      <c r="K1294" s="1"/>
      <c r="L1294" s="1" t="s">
        <v>12480</v>
      </c>
      <c r="M1294" s="1" t="s">
        <v>12480</v>
      </c>
      <c r="N1294" s="12" t="b">
        <f t="shared" si="100"/>
        <v>1</v>
      </c>
      <c r="O1294" s="1" t="s">
        <v>12481</v>
      </c>
      <c r="P1294" s="1" t="s">
        <v>12482</v>
      </c>
      <c r="Q1294" s="1" t="s">
        <v>12483</v>
      </c>
      <c r="R1294" s="1" t="s">
        <v>12484</v>
      </c>
      <c r="S1294" s="1" t="s">
        <v>12485</v>
      </c>
      <c r="T1294" s="1" t="s">
        <v>12486</v>
      </c>
      <c r="U1294" s="1" t="s">
        <v>12487</v>
      </c>
      <c r="V1294" s="13">
        <f>COUNTIF(L1294:$M$1659,L1294)</f>
        <v>10</v>
      </c>
      <c r="W1294" s="1" t="s">
        <v>12488</v>
      </c>
      <c r="X1294">
        <v>724.1</v>
      </c>
      <c r="Y1294">
        <v>58.91</v>
      </c>
      <c r="Z1294">
        <v>15.632675000000001</v>
      </c>
      <c r="AA1294">
        <v>108.374645</v>
      </c>
      <c r="AB1294">
        <v>665.19</v>
      </c>
      <c r="AC1294">
        <v>15.624164</v>
      </c>
      <c r="AD1294">
        <v>108.382743</v>
      </c>
      <c r="AE1294" s="5">
        <f t="shared" si="101"/>
        <v>8.8364999999999999E-2</v>
      </c>
      <c r="AF1294" s="5">
        <f t="shared" si="102"/>
        <v>0.99778500000000003</v>
      </c>
      <c r="AG1294" s="1" t="str">
        <f>TRIM(LEFT(L1294,FIND("-",L1294)-1))</f>
        <v>Thăng Phú</v>
      </c>
      <c r="AH1294" s="1" t="str">
        <f>TRIM(RIGHT(L1294, LEN(L1294) - FIND("-", L1294)))</f>
        <v>Tây Hồ</v>
      </c>
      <c r="AJ1294">
        <f t="shared" si="103"/>
        <v>5.8909999999999997E-2</v>
      </c>
      <c r="AK1294">
        <f t="shared" si="104"/>
        <v>0.66519000000000006</v>
      </c>
      <c r="AL1294">
        <f>VLOOKUP(L1294,'[1]Tuyến cáp H04'!$B:$E,3,0)/1000</f>
        <v>5.5410000000000004</v>
      </c>
      <c r="AM1294" t="str">
        <f>VLOOKUP(L1294,'[1]Tuyến cáp H04'!$B:$E,4,0)</f>
        <v>Mạng cấp 4</v>
      </c>
    </row>
    <row r="1295" spans="1:39" x14ac:dyDescent="0.25">
      <c r="A1295" s="1" t="s">
        <v>12489</v>
      </c>
      <c r="B1295" s="1" t="s">
        <v>12475</v>
      </c>
      <c r="C1295" s="1" t="s">
        <v>12476</v>
      </c>
      <c r="D1295" s="1" t="s">
        <v>12490</v>
      </c>
      <c r="E1295" s="1" t="s">
        <v>12491</v>
      </c>
      <c r="F1295" s="1" t="s">
        <v>12492</v>
      </c>
      <c r="G1295" s="1" t="s">
        <v>14129</v>
      </c>
      <c r="H1295" s="1" t="s">
        <v>14532</v>
      </c>
      <c r="I1295" s="1" t="s">
        <v>15396</v>
      </c>
      <c r="J1295" s="1" t="s">
        <v>23</v>
      </c>
      <c r="K1295" s="1"/>
      <c r="L1295" s="1" t="s">
        <v>12480</v>
      </c>
      <c r="M1295" s="1" t="s">
        <v>12480</v>
      </c>
      <c r="N1295" s="12" t="b">
        <f t="shared" si="100"/>
        <v>1</v>
      </c>
      <c r="O1295" s="1" t="s">
        <v>12493</v>
      </c>
      <c r="P1295" s="1" t="s">
        <v>12482</v>
      </c>
      <c r="Q1295" s="1" t="s">
        <v>12483</v>
      </c>
      <c r="R1295" s="1" t="s">
        <v>12484</v>
      </c>
      <c r="S1295" s="1" t="s">
        <v>12494</v>
      </c>
      <c r="T1295" s="1" t="s">
        <v>12495</v>
      </c>
      <c r="U1295" s="1" t="s">
        <v>12496</v>
      </c>
      <c r="V1295" s="13">
        <f>COUNTIF(L1295:$M$1659,L1295)</f>
        <v>8</v>
      </c>
      <c r="W1295" s="1" t="s">
        <v>12488</v>
      </c>
      <c r="X1295">
        <v>576.87</v>
      </c>
      <c r="Y1295">
        <v>58.91</v>
      </c>
      <c r="Z1295">
        <v>15.632675000000001</v>
      </c>
      <c r="AA1295">
        <v>108.374645</v>
      </c>
      <c r="AB1295">
        <v>517.96</v>
      </c>
      <c r="AC1295">
        <v>15.633737</v>
      </c>
      <c r="AD1295">
        <v>108.375322</v>
      </c>
      <c r="AE1295" s="5">
        <f t="shared" si="101"/>
        <v>8.8364999999999999E-2</v>
      </c>
      <c r="AF1295" s="5">
        <f t="shared" si="102"/>
        <v>0.77694000000000007</v>
      </c>
      <c r="AG1295" s="1" t="str">
        <f>TRIM(LEFT(L1295,FIND("-",L1295)-1))</f>
        <v>Thăng Phú</v>
      </c>
      <c r="AH1295" s="1" t="str">
        <f>TRIM(RIGHT(L1295, LEN(L1295) - FIND("-", L1295)))</f>
        <v>Tây Hồ</v>
      </c>
      <c r="AJ1295">
        <f t="shared" si="103"/>
        <v>5.8909999999999997E-2</v>
      </c>
      <c r="AK1295">
        <f t="shared" si="104"/>
        <v>0.51796000000000009</v>
      </c>
      <c r="AL1295">
        <f>VLOOKUP(L1295,'[1]Tuyến cáp H04'!$B:$E,3,0)/1000</f>
        <v>5.5410000000000004</v>
      </c>
      <c r="AM1295" t="str">
        <f>VLOOKUP(L1295,'[1]Tuyến cáp H04'!$B:$E,4,0)</f>
        <v>Mạng cấp 4</v>
      </c>
    </row>
    <row r="1296" spans="1:39" x14ac:dyDescent="0.25">
      <c r="A1296" s="1" t="s">
        <v>12497</v>
      </c>
      <c r="B1296" s="1" t="s">
        <v>12475</v>
      </c>
      <c r="C1296" s="1" t="s">
        <v>12476</v>
      </c>
      <c r="D1296" s="1" t="s">
        <v>12498</v>
      </c>
      <c r="E1296" s="1" t="s">
        <v>12499</v>
      </c>
      <c r="F1296" s="1" t="s">
        <v>12500</v>
      </c>
      <c r="G1296" s="1" t="s">
        <v>14129</v>
      </c>
      <c r="H1296" s="1" t="s">
        <v>14532</v>
      </c>
      <c r="I1296" s="1" t="s">
        <v>15397</v>
      </c>
      <c r="J1296" s="1" t="s">
        <v>23</v>
      </c>
      <c r="K1296" s="1"/>
      <c r="L1296" s="1" t="s">
        <v>12501</v>
      </c>
      <c r="M1296" s="1" t="s">
        <v>12501</v>
      </c>
      <c r="N1296" s="12" t="b">
        <f t="shared" si="100"/>
        <v>1</v>
      </c>
      <c r="O1296" s="1" t="s">
        <v>12502</v>
      </c>
      <c r="P1296" s="1" t="s">
        <v>12503</v>
      </c>
      <c r="Q1296" s="1" t="s">
        <v>12504</v>
      </c>
      <c r="R1296" s="1" t="s">
        <v>12505</v>
      </c>
      <c r="S1296" s="1" t="s">
        <v>12506</v>
      </c>
      <c r="T1296" s="1" t="s">
        <v>12507</v>
      </c>
      <c r="U1296" s="1" t="s">
        <v>12508</v>
      </c>
      <c r="V1296" s="13">
        <f>COUNTIF(L1296:$M$1659,L1296)</f>
        <v>2</v>
      </c>
      <c r="W1296" s="1" t="s">
        <v>12509</v>
      </c>
      <c r="X1296">
        <v>1356.14</v>
      </c>
      <c r="Y1296">
        <v>55.98</v>
      </c>
      <c r="Z1296">
        <v>15.632129000000001</v>
      </c>
      <c r="AA1296">
        <v>108.374284</v>
      </c>
      <c r="AB1296">
        <v>1300.1600000000001</v>
      </c>
      <c r="AC1296">
        <v>15.660126</v>
      </c>
      <c r="AD1296">
        <v>108.342536</v>
      </c>
      <c r="AE1296" s="5">
        <f t="shared" si="101"/>
        <v>8.3970000000000003E-2</v>
      </c>
      <c r="AF1296" s="5">
        <f t="shared" si="102"/>
        <v>1.9502400000000002</v>
      </c>
      <c r="AG1296" s="1" t="str">
        <f>TRIM(LEFT(L1296,FIND("-",L1296)-1))</f>
        <v>Thăng Bình</v>
      </c>
      <c r="AH1296" s="1" t="str">
        <f>TRIM(RIGHT(L1296, LEN(L1296) - FIND("-", L1296)))</f>
        <v>Thăng Phú</v>
      </c>
      <c r="AJ1296">
        <f t="shared" si="103"/>
        <v>5.5979999999999995E-2</v>
      </c>
      <c r="AK1296">
        <f t="shared" si="104"/>
        <v>1.30016</v>
      </c>
      <c r="AL1296">
        <f>VLOOKUP(L1296,'[1]Tuyến cáp H04'!$B:$E,3,0)/1000</f>
        <v>16.556000000000001</v>
      </c>
      <c r="AM1296" t="str">
        <f>VLOOKUP(L1296,'[1]Tuyến cáp H04'!$B:$E,4,0)</f>
        <v>Mạng cấp 4</v>
      </c>
    </row>
    <row r="1297" spans="1:39" x14ac:dyDescent="0.25">
      <c r="A1297" s="1" t="s">
        <v>12510</v>
      </c>
      <c r="B1297" s="1" t="s">
        <v>12475</v>
      </c>
      <c r="C1297" s="1" t="s">
        <v>12476</v>
      </c>
      <c r="D1297" s="1" t="s">
        <v>11560</v>
      </c>
      <c r="E1297" s="1" t="s">
        <v>11561</v>
      </c>
      <c r="F1297" s="1" t="s">
        <v>12511</v>
      </c>
      <c r="G1297" s="1" t="s">
        <v>14129</v>
      </c>
      <c r="H1297" s="1" t="s">
        <v>14532</v>
      </c>
      <c r="I1297" s="1" t="s">
        <v>15398</v>
      </c>
      <c r="J1297" s="1" t="s">
        <v>23</v>
      </c>
      <c r="K1297" s="1"/>
      <c r="L1297" s="1" t="s">
        <v>11470</v>
      </c>
      <c r="M1297" s="1" t="s">
        <v>11470</v>
      </c>
      <c r="N1297" s="12" t="b">
        <f t="shared" si="100"/>
        <v>1</v>
      </c>
      <c r="O1297" s="1" t="s">
        <v>12512</v>
      </c>
      <c r="P1297" s="1" t="s">
        <v>12513</v>
      </c>
      <c r="Q1297" s="1" t="s">
        <v>12514</v>
      </c>
      <c r="R1297" s="1" t="s">
        <v>12515</v>
      </c>
      <c r="S1297" s="1" t="s">
        <v>11564</v>
      </c>
      <c r="T1297" s="1" t="s">
        <v>11565</v>
      </c>
      <c r="U1297" s="1" t="s">
        <v>11566</v>
      </c>
      <c r="V1297" s="13">
        <f>COUNTIF(L1297:$M$1659,L1297)</f>
        <v>12</v>
      </c>
      <c r="W1297" s="1" t="s">
        <v>11478</v>
      </c>
      <c r="X1297">
        <v>5310.74</v>
      </c>
      <c r="Y1297">
        <v>5275.58</v>
      </c>
      <c r="Z1297">
        <v>15.651600999999999</v>
      </c>
      <c r="AA1297">
        <v>108.419245</v>
      </c>
      <c r="AB1297">
        <v>35.17</v>
      </c>
      <c r="AC1297">
        <v>15.579651999999999</v>
      </c>
      <c r="AD1297">
        <v>108.473956</v>
      </c>
      <c r="AE1297" s="5">
        <f t="shared" si="101"/>
        <v>7.9133699999999996</v>
      </c>
      <c r="AF1297" s="5">
        <f t="shared" si="102"/>
        <v>5.2755000000000003E-2</v>
      </c>
      <c r="AG1297" s="1" t="str">
        <f>TRIM(LEFT(L1297,FIND("-",L1297)-1))</f>
        <v>TT2 Tam Kỳ</v>
      </c>
      <c r="AH1297" s="1" t="str">
        <f>TRIM(RIGHT(L1297, LEN(L1297) - FIND("-", L1297)))</f>
        <v>Thăng Bình</v>
      </c>
      <c r="AJ1297">
        <f t="shared" si="103"/>
        <v>5.2755799999999997</v>
      </c>
      <c r="AK1297">
        <f t="shared" si="104"/>
        <v>3.517E-2</v>
      </c>
      <c r="AL1297">
        <f>VLOOKUP(L1297,'[1]Tuyến cáp H04'!$B:$E,3,0)/1000</f>
        <v>24.648</v>
      </c>
      <c r="AM1297" t="str">
        <f>VLOOKUP(L1297,'[1]Tuyến cáp H04'!$B:$E,4,0)</f>
        <v>Mạng cấp 3</v>
      </c>
    </row>
    <row r="1298" spans="1:39" x14ac:dyDescent="0.25">
      <c r="A1298" s="1" t="s">
        <v>12516</v>
      </c>
      <c r="B1298" s="1" t="s">
        <v>12475</v>
      </c>
      <c r="C1298" s="1" t="s">
        <v>12476</v>
      </c>
      <c r="D1298" s="1" t="s">
        <v>12517</v>
      </c>
      <c r="E1298" s="1" t="s">
        <v>12518</v>
      </c>
      <c r="F1298" s="1" t="s">
        <v>12519</v>
      </c>
      <c r="G1298" s="1" t="s">
        <v>14129</v>
      </c>
      <c r="H1298" s="1" t="s">
        <v>14532</v>
      </c>
      <c r="I1298" s="1" t="s">
        <v>15399</v>
      </c>
      <c r="J1298" s="1" t="s">
        <v>23</v>
      </c>
      <c r="K1298" s="1"/>
      <c r="L1298" s="1" t="s">
        <v>12480</v>
      </c>
      <c r="M1298" s="1" t="s">
        <v>12480</v>
      </c>
      <c r="N1298" s="12" t="b">
        <f t="shared" si="100"/>
        <v>1</v>
      </c>
      <c r="O1298" s="1" t="s">
        <v>12520</v>
      </c>
      <c r="P1298" s="1" t="s">
        <v>12482</v>
      </c>
      <c r="Q1298" s="1" t="s">
        <v>12483</v>
      </c>
      <c r="R1298" s="1" t="s">
        <v>12484</v>
      </c>
      <c r="S1298" s="1" t="s">
        <v>12521</v>
      </c>
      <c r="T1298" s="1" t="s">
        <v>12495</v>
      </c>
      <c r="U1298" s="1" t="s">
        <v>12496</v>
      </c>
      <c r="V1298" s="13">
        <f>COUNTIF(L1298:$M$1659,L1298)</f>
        <v>6</v>
      </c>
      <c r="W1298" s="1" t="s">
        <v>12488</v>
      </c>
      <c r="X1298">
        <v>2660.8</v>
      </c>
      <c r="Y1298">
        <v>58.91</v>
      </c>
      <c r="Z1298">
        <v>15.632675000000001</v>
      </c>
      <c r="AA1298">
        <v>108.374645</v>
      </c>
      <c r="AB1298">
        <v>2601.89</v>
      </c>
      <c r="AC1298">
        <v>15.633737</v>
      </c>
      <c r="AD1298">
        <v>108.375322</v>
      </c>
      <c r="AE1298" s="5">
        <f t="shared" si="101"/>
        <v>8.8364999999999999E-2</v>
      </c>
      <c r="AF1298" s="5">
        <f t="shared" si="102"/>
        <v>3.9028350000000001</v>
      </c>
      <c r="AG1298" s="1" t="str">
        <f>TRIM(LEFT(L1298,FIND("-",L1298)-1))</f>
        <v>Thăng Phú</v>
      </c>
      <c r="AH1298" s="1" t="str">
        <f>TRIM(RIGHT(L1298, LEN(L1298) - FIND("-", L1298)))</f>
        <v>Tây Hồ</v>
      </c>
      <c r="AJ1298">
        <f t="shared" si="103"/>
        <v>5.8909999999999997E-2</v>
      </c>
      <c r="AK1298">
        <f t="shared" si="104"/>
        <v>2.60189</v>
      </c>
      <c r="AL1298">
        <f>VLOOKUP(L1298,'[1]Tuyến cáp H04'!$B:$E,3,0)/1000</f>
        <v>5.5410000000000004</v>
      </c>
      <c r="AM1298" t="str">
        <f>VLOOKUP(L1298,'[1]Tuyến cáp H04'!$B:$E,4,0)</f>
        <v>Mạng cấp 4</v>
      </c>
    </row>
    <row r="1299" spans="1:39" x14ac:dyDescent="0.25">
      <c r="A1299" s="1" t="s">
        <v>12522</v>
      </c>
      <c r="B1299" s="1" t="s">
        <v>11643</v>
      </c>
      <c r="C1299" s="1" t="s">
        <v>11644</v>
      </c>
      <c r="D1299" s="1" t="s">
        <v>11467</v>
      </c>
      <c r="E1299" s="1" t="s">
        <v>11468</v>
      </c>
      <c r="F1299" s="1" t="s">
        <v>11645</v>
      </c>
      <c r="G1299" s="1"/>
      <c r="H1299" s="1" t="s">
        <v>14532</v>
      </c>
      <c r="I1299" s="1" t="s">
        <v>15312</v>
      </c>
      <c r="J1299" s="1" t="s">
        <v>23</v>
      </c>
      <c r="K1299" s="1"/>
      <c r="L1299" s="1" t="s">
        <v>11633</v>
      </c>
      <c r="M1299" s="1" t="s">
        <v>11633</v>
      </c>
      <c r="N1299" s="12" t="b">
        <f t="shared" si="100"/>
        <v>1</v>
      </c>
      <c r="O1299" s="1" t="s">
        <v>11646</v>
      </c>
      <c r="P1299" s="1" t="s">
        <v>11647</v>
      </c>
      <c r="Q1299" s="1" t="s">
        <v>11648</v>
      </c>
      <c r="R1299" s="1" t="s">
        <v>11649</v>
      </c>
      <c r="S1299" s="1" t="s">
        <v>11635</v>
      </c>
      <c r="T1299" s="1" t="s">
        <v>11636</v>
      </c>
      <c r="U1299" s="1" t="s">
        <v>11637</v>
      </c>
      <c r="V1299" s="13">
        <f>COUNTIF(L1299:$M$1659,L1299)</f>
        <v>10</v>
      </c>
      <c r="W1299" s="1" t="s">
        <v>11641</v>
      </c>
      <c r="X1299">
        <v>1876.33</v>
      </c>
      <c r="Y1299">
        <v>429.55</v>
      </c>
      <c r="Z1299">
        <v>15.544556999999999</v>
      </c>
      <c r="AA1299">
        <v>108.488028</v>
      </c>
      <c r="AB1299">
        <v>1446.78</v>
      </c>
      <c r="AC1299">
        <v>15.563969</v>
      </c>
      <c r="AD1299">
        <v>108.482575</v>
      </c>
      <c r="AE1299" s="5">
        <f t="shared" si="101"/>
        <v>0.64432500000000004</v>
      </c>
      <c r="AF1299" s="5">
        <f t="shared" si="102"/>
        <v>2.1701700000000002</v>
      </c>
      <c r="AG1299" s="1" t="str">
        <f>TRIM(LEFT(L1299,FIND("-",L1299)-1))</f>
        <v>Hương Trà</v>
      </c>
      <c r="AH1299" s="1" t="str">
        <f>TRIM(RIGHT(L1299, LEN(L1299) - FIND("-", L1299)))</f>
        <v>Tam Kỳ</v>
      </c>
      <c r="AJ1299">
        <f t="shared" si="103"/>
        <v>0.42954999999999999</v>
      </c>
      <c r="AK1299">
        <f t="shared" si="104"/>
        <v>1.44678</v>
      </c>
      <c r="AL1299">
        <f>VLOOKUP(L1299,'[1]Tuyến cáp H04'!$B:$E,3,0)/1000</f>
        <v>5.2249999999999996</v>
      </c>
      <c r="AM1299" t="str">
        <f>VLOOKUP(L1299,'[1]Tuyến cáp H04'!$B:$E,4,0)</f>
        <v>Mạng cấp 4</v>
      </c>
    </row>
    <row r="1300" spans="1:39" x14ac:dyDescent="0.25">
      <c r="A1300" s="1" t="s">
        <v>12523</v>
      </c>
      <c r="B1300" s="1" t="s">
        <v>11643</v>
      </c>
      <c r="C1300" s="1" t="s">
        <v>11644</v>
      </c>
      <c r="D1300" s="1" t="s">
        <v>12524</v>
      </c>
      <c r="E1300" s="1" t="s">
        <v>12525</v>
      </c>
      <c r="F1300" s="1" t="s">
        <v>12526</v>
      </c>
      <c r="G1300" s="1"/>
      <c r="H1300" s="1" t="s">
        <v>14532</v>
      </c>
      <c r="I1300" s="1" t="s">
        <v>15400</v>
      </c>
      <c r="J1300" s="1" t="s">
        <v>23</v>
      </c>
      <c r="K1300" s="1"/>
      <c r="L1300" s="1" t="s">
        <v>11633</v>
      </c>
      <c r="M1300" s="1" t="s">
        <v>11633</v>
      </c>
      <c r="N1300" s="12" t="b">
        <f t="shared" si="100"/>
        <v>1</v>
      </c>
      <c r="O1300" s="1" t="s">
        <v>12527</v>
      </c>
      <c r="P1300" s="1" t="s">
        <v>11647</v>
      </c>
      <c r="Q1300" s="1" t="s">
        <v>11648</v>
      </c>
      <c r="R1300" s="1" t="s">
        <v>11649</v>
      </c>
      <c r="S1300" s="1" t="s">
        <v>12528</v>
      </c>
      <c r="T1300" s="1" t="s">
        <v>11636</v>
      </c>
      <c r="U1300" s="1" t="s">
        <v>11637</v>
      </c>
      <c r="V1300" s="13">
        <f>COUNTIF(L1300:$M$1659,L1300)</f>
        <v>8</v>
      </c>
      <c r="W1300" s="1" t="s">
        <v>11641</v>
      </c>
      <c r="X1300">
        <v>1788.57</v>
      </c>
      <c r="Y1300">
        <v>429.55</v>
      </c>
      <c r="Z1300">
        <v>15.544556999999999</v>
      </c>
      <c r="AA1300">
        <v>108.488028</v>
      </c>
      <c r="AB1300">
        <v>1359.02</v>
      </c>
      <c r="AC1300">
        <v>15.563969</v>
      </c>
      <c r="AD1300">
        <v>108.482575</v>
      </c>
      <c r="AE1300" s="5">
        <f t="shared" si="101"/>
        <v>0.64432500000000004</v>
      </c>
      <c r="AF1300" s="5">
        <f t="shared" si="102"/>
        <v>2.0385300000000002</v>
      </c>
      <c r="AG1300" s="1" t="str">
        <f>TRIM(LEFT(L1300,FIND("-",L1300)-1))</f>
        <v>Hương Trà</v>
      </c>
      <c r="AH1300" s="1" t="str">
        <f>TRIM(RIGHT(L1300, LEN(L1300) - FIND("-", L1300)))</f>
        <v>Tam Kỳ</v>
      </c>
      <c r="AJ1300">
        <f t="shared" si="103"/>
        <v>0.42954999999999999</v>
      </c>
      <c r="AK1300">
        <f t="shared" si="104"/>
        <v>1.3590199999999999</v>
      </c>
      <c r="AL1300">
        <f>VLOOKUP(L1300,'[1]Tuyến cáp H04'!$B:$E,3,0)/1000</f>
        <v>5.2249999999999996</v>
      </c>
      <c r="AM1300" t="str">
        <f>VLOOKUP(L1300,'[1]Tuyến cáp H04'!$B:$E,4,0)</f>
        <v>Mạng cấp 4</v>
      </c>
    </row>
    <row r="1301" spans="1:39" x14ac:dyDescent="0.25">
      <c r="A1301" s="1" t="s">
        <v>12529</v>
      </c>
      <c r="B1301" s="1" t="s">
        <v>11643</v>
      </c>
      <c r="C1301" s="1" t="s">
        <v>11644</v>
      </c>
      <c r="D1301" s="1" t="s">
        <v>12530</v>
      </c>
      <c r="E1301" s="1" t="s">
        <v>12531</v>
      </c>
      <c r="F1301" s="1" t="s">
        <v>12532</v>
      </c>
      <c r="G1301" s="1" t="s">
        <v>14129</v>
      </c>
      <c r="H1301" s="1" t="s">
        <v>14532</v>
      </c>
      <c r="I1301" s="1" t="s">
        <v>15401</v>
      </c>
      <c r="J1301" s="1" t="s">
        <v>23</v>
      </c>
      <c r="K1301" s="1"/>
      <c r="L1301" s="1" t="s">
        <v>11633</v>
      </c>
      <c r="M1301" s="1" t="s">
        <v>11633</v>
      </c>
      <c r="N1301" s="12" t="b">
        <f t="shared" si="100"/>
        <v>1</v>
      </c>
      <c r="O1301" s="1" t="s">
        <v>12533</v>
      </c>
      <c r="P1301" s="1" t="s">
        <v>4377</v>
      </c>
      <c r="Q1301" s="1" t="s">
        <v>12534</v>
      </c>
      <c r="R1301" s="1" t="s">
        <v>12535</v>
      </c>
      <c r="S1301" s="1" t="s">
        <v>12536</v>
      </c>
      <c r="T1301" s="1" t="s">
        <v>12537</v>
      </c>
      <c r="U1301" s="1" t="s">
        <v>12538</v>
      </c>
      <c r="V1301" s="13">
        <f>COUNTIF(L1301:$M$1659,L1301)</f>
        <v>6</v>
      </c>
      <c r="W1301" s="1" t="s">
        <v>12539</v>
      </c>
      <c r="X1301">
        <v>812.28</v>
      </c>
      <c r="Y1301">
        <v>56.83</v>
      </c>
      <c r="Z1301">
        <v>15.545833</v>
      </c>
      <c r="AA1301">
        <v>108.484005</v>
      </c>
      <c r="AB1301">
        <v>755.45</v>
      </c>
      <c r="AC1301">
        <v>15.547324</v>
      </c>
      <c r="AD1301">
        <v>108.486795</v>
      </c>
      <c r="AE1301" s="5">
        <f t="shared" si="101"/>
        <v>8.5245000000000001E-2</v>
      </c>
      <c r="AF1301" s="5">
        <f t="shared" si="102"/>
        <v>1.1331750000000003</v>
      </c>
      <c r="AG1301" s="1" t="str">
        <f>TRIM(LEFT(L1301,FIND("-",L1301)-1))</f>
        <v>Hương Trà</v>
      </c>
      <c r="AH1301" s="1" t="str">
        <f>TRIM(RIGHT(L1301, LEN(L1301) - FIND("-", L1301)))</f>
        <v>Tam Kỳ</v>
      </c>
      <c r="AJ1301">
        <f t="shared" si="103"/>
        <v>5.6829999999999999E-2</v>
      </c>
      <c r="AK1301">
        <f t="shared" si="104"/>
        <v>0.75545000000000007</v>
      </c>
      <c r="AL1301">
        <f>VLOOKUP(L1301,'[1]Tuyến cáp H04'!$B:$E,3,0)/1000</f>
        <v>5.2249999999999996</v>
      </c>
      <c r="AM1301" t="str">
        <f>VLOOKUP(L1301,'[1]Tuyến cáp H04'!$B:$E,4,0)</f>
        <v>Mạng cấp 4</v>
      </c>
    </row>
    <row r="1302" spans="1:39" x14ac:dyDescent="0.25">
      <c r="A1302" s="1" t="s">
        <v>12540</v>
      </c>
      <c r="B1302" s="1" t="s">
        <v>130</v>
      </c>
      <c r="C1302" s="1" t="s">
        <v>131</v>
      </c>
      <c r="D1302" s="1" t="s">
        <v>12541</v>
      </c>
      <c r="E1302" s="1" t="s">
        <v>12542</v>
      </c>
      <c r="F1302" s="1" t="s">
        <v>12543</v>
      </c>
      <c r="G1302" s="1" t="s">
        <v>14129</v>
      </c>
      <c r="H1302" s="1" t="s">
        <v>14532</v>
      </c>
      <c r="I1302" s="1" t="s">
        <v>15402</v>
      </c>
      <c r="J1302" s="1" t="s">
        <v>23</v>
      </c>
      <c r="K1302" s="1"/>
      <c r="L1302" s="1" t="s">
        <v>12544</v>
      </c>
      <c r="M1302" s="1" t="s">
        <v>12544</v>
      </c>
      <c r="N1302" s="12" t="b">
        <f t="shared" si="100"/>
        <v>1</v>
      </c>
      <c r="O1302" s="1" t="s">
        <v>12545</v>
      </c>
      <c r="P1302" s="1" t="s">
        <v>12546</v>
      </c>
      <c r="Q1302" s="1" t="s">
        <v>12547</v>
      </c>
      <c r="R1302" s="1" t="s">
        <v>12548</v>
      </c>
      <c r="S1302" s="1" t="s">
        <v>12549</v>
      </c>
      <c r="T1302" s="1" t="s">
        <v>12550</v>
      </c>
      <c r="U1302" s="1" t="s">
        <v>12551</v>
      </c>
      <c r="V1302" s="13">
        <f>COUNTIF(L1302:$M$1659,L1302)</f>
        <v>4</v>
      </c>
      <c r="W1302" s="1" t="s">
        <v>12552</v>
      </c>
      <c r="X1302">
        <v>166.84</v>
      </c>
      <c r="Y1302">
        <v>153.25</v>
      </c>
      <c r="Z1302">
        <v>15.565082</v>
      </c>
      <c r="AA1302">
        <v>108.48103399999999</v>
      </c>
      <c r="AB1302">
        <v>13.59</v>
      </c>
      <c r="AC1302">
        <v>15.566739999999999</v>
      </c>
      <c r="AD1302">
        <v>108.479157</v>
      </c>
      <c r="AE1302" s="5">
        <f t="shared" si="101"/>
        <v>0.229875</v>
      </c>
      <c r="AF1302" s="5">
        <f t="shared" si="102"/>
        <v>2.0384999999999997E-2</v>
      </c>
      <c r="AG1302" s="1" t="str">
        <f>TRIM(LEFT(L1302,FIND("-",L1302)-1))</f>
        <v>PC06</v>
      </c>
      <c r="AH1302" s="1" t="str">
        <f>TRIM(RIGHT(L1302, LEN(L1302) - FIND("-", L1302)))</f>
        <v>PC07</v>
      </c>
      <c r="AJ1302">
        <f t="shared" si="103"/>
        <v>0.15325</v>
      </c>
      <c r="AK1302">
        <f t="shared" si="104"/>
        <v>1.359E-2</v>
      </c>
      <c r="AL1302">
        <f>VLOOKUP(L1302,'[1]Tuyến cáp H04'!$B:$E,3,0)/1000</f>
        <v>2.0049999999999999</v>
      </c>
      <c r="AM1302" t="str">
        <f>VLOOKUP(L1302,'[1]Tuyến cáp H04'!$B:$E,4,0)</f>
        <v>Mạng cấp 3</v>
      </c>
    </row>
    <row r="1303" spans="1:39" x14ac:dyDescent="0.25">
      <c r="A1303" s="1" t="s">
        <v>12553</v>
      </c>
      <c r="B1303" s="1" t="s">
        <v>12554</v>
      </c>
      <c r="C1303" s="1" t="s">
        <v>12555</v>
      </c>
      <c r="D1303" s="1" t="s">
        <v>12556</v>
      </c>
      <c r="E1303" s="1" t="s">
        <v>12557</v>
      </c>
      <c r="F1303" s="1" t="s">
        <v>12558</v>
      </c>
      <c r="G1303" s="1" t="s">
        <v>14129</v>
      </c>
      <c r="H1303" s="1" t="s">
        <v>14532</v>
      </c>
      <c r="I1303" s="1" t="s">
        <v>15403</v>
      </c>
      <c r="J1303" s="1" t="s">
        <v>23</v>
      </c>
      <c r="K1303" s="1"/>
      <c r="L1303" s="1" t="s">
        <v>12559</v>
      </c>
      <c r="M1303" s="1" t="s">
        <v>12559</v>
      </c>
      <c r="N1303" s="12" t="b">
        <f t="shared" si="100"/>
        <v>1</v>
      </c>
      <c r="O1303" s="1" t="s">
        <v>12560</v>
      </c>
      <c r="P1303" s="1" t="s">
        <v>12561</v>
      </c>
      <c r="Q1303" s="1" t="s">
        <v>12562</v>
      </c>
      <c r="R1303" s="1" t="s">
        <v>12563</v>
      </c>
      <c r="S1303" s="1" t="s">
        <v>12564</v>
      </c>
      <c r="T1303" s="1" t="s">
        <v>12565</v>
      </c>
      <c r="U1303" s="1" t="s">
        <v>12566</v>
      </c>
      <c r="V1303" s="13">
        <f>COUNTIF(L1303:$M$1659,L1303)</f>
        <v>6</v>
      </c>
      <c r="W1303" s="1" t="s">
        <v>12567</v>
      </c>
      <c r="X1303">
        <v>1220</v>
      </c>
      <c r="Y1303">
        <v>218.62</v>
      </c>
      <c r="Z1303">
        <v>15.58076</v>
      </c>
      <c r="AA1303">
        <v>108.463223</v>
      </c>
      <c r="AB1303">
        <v>1001.38</v>
      </c>
      <c r="AC1303">
        <v>15.575601000000001</v>
      </c>
      <c r="AD1303">
        <v>108.461769</v>
      </c>
      <c r="AE1303" s="5">
        <f t="shared" si="101"/>
        <v>0.32793</v>
      </c>
      <c r="AF1303" s="5">
        <f t="shared" si="102"/>
        <v>1.50207</v>
      </c>
      <c r="AG1303" s="1" t="str">
        <f>TRIM(LEFT(L1303,FIND("-",L1303)-1))</f>
        <v>PK02</v>
      </c>
      <c r="AH1303" s="1" t="str">
        <f>TRIM(RIGHT(L1303, LEN(L1303) - FIND("-", L1303)))</f>
        <v>PC11</v>
      </c>
      <c r="AJ1303">
        <f t="shared" si="103"/>
        <v>0.21862000000000001</v>
      </c>
      <c r="AK1303">
        <f t="shared" si="104"/>
        <v>1.0013799999999999</v>
      </c>
      <c r="AL1303">
        <f>VLOOKUP(L1303,'[1]Tuyến cáp H04'!$B:$E,3,0)/1000</f>
        <v>4.5209999999999999</v>
      </c>
      <c r="AM1303" t="str">
        <f>VLOOKUP(L1303,'[1]Tuyến cáp H04'!$B:$E,4,0)</f>
        <v>Mạng cấp 3</v>
      </c>
    </row>
    <row r="1304" spans="1:39" x14ac:dyDescent="0.25">
      <c r="A1304" s="1" t="s">
        <v>12568</v>
      </c>
      <c r="B1304" s="1" t="s">
        <v>12554</v>
      </c>
      <c r="C1304" s="1" t="s">
        <v>12555</v>
      </c>
      <c r="D1304" s="1" t="s">
        <v>12364</v>
      </c>
      <c r="E1304" s="1" t="s">
        <v>12365</v>
      </c>
      <c r="F1304" s="1" t="s">
        <v>12569</v>
      </c>
      <c r="G1304" s="1" t="s">
        <v>14129</v>
      </c>
      <c r="H1304" s="1" t="s">
        <v>14532</v>
      </c>
      <c r="I1304" s="1" t="s">
        <v>15404</v>
      </c>
      <c r="J1304" s="1" t="s">
        <v>23</v>
      </c>
      <c r="K1304" s="1"/>
      <c r="L1304" s="1" t="s">
        <v>11601</v>
      </c>
      <c r="M1304" s="1" t="s">
        <v>11601</v>
      </c>
      <c r="N1304" s="12" t="b">
        <f t="shared" si="100"/>
        <v>1</v>
      </c>
      <c r="O1304" s="1" t="s">
        <v>12570</v>
      </c>
      <c r="P1304" s="1" t="s">
        <v>12571</v>
      </c>
      <c r="Q1304" s="1" t="s">
        <v>12572</v>
      </c>
      <c r="R1304" s="1" t="s">
        <v>11605</v>
      </c>
      <c r="S1304" s="1" t="s">
        <v>12573</v>
      </c>
      <c r="T1304" s="1" t="s">
        <v>12574</v>
      </c>
      <c r="U1304" s="1" t="s">
        <v>12575</v>
      </c>
      <c r="V1304" s="13">
        <f>COUNTIF(L1304:$M$1659,L1304)</f>
        <v>2</v>
      </c>
      <c r="W1304" s="1" t="s">
        <v>11609</v>
      </c>
      <c r="X1304">
        <v>2366.52</v>
      </c>
      <c r="Y1304">
        <v>2292.2199999999998</v>
      </c>
      <c r="Z1304">
        <v>15.575385000000001</v>
      </c>
      <c r="AA1304">
        <v>108.444188</v>
      </c>
      <c r="AB1304">
        <v>74.3</v>
      </c>
      <c r="AC1304">
        <v>15.562578</v>
      </c>
      <c r="AD1304">
        <v>108.425622</v>
      </c>
      <c r="AE1304" s="5">
        <f t="shared" si="101"/>
        <v>3.4383300000000001</v>
      </c>
      <c r="AF1304" s="5">
        <f t="shared" si="102"/>
        <v>0.11144999999999999</v>
      </c>
      <c r="AG1304" s="1" t="str">
        <f>TRIM(LEFT(L1304,FIND("-",L1304)-1))</f>
        <v>TT2 Tam Kỳ</v>
      </c>
      <c r="AH1304" s="1" t="str">
        <f>TRIM(RIGHT(L1304, LEN(L1304) - FIND("-", L1304)))</f>
        <v>CAX Tiên Sơn (Tiên Phước)</v>
      </c>
      <c r="AJ1304">
        <f t="shared" si="103"/>
        <v>2.2922199999999999</v>
      </c>
      <c r="AK1304">
        <f t="shared" si="104"/>
        <v>7.4299999999999991E-2</v>
      </c>
      <c r="AL1304">
        <f>VLOOKUP(L1304,'[1]Tuyến cáp H04'!$B:$E,3,0)/1000</f>
        <v>28.587</v>
      </c>
      <c r="AM1304" t="str">
        <f>VLOOKUP(L1304,'[1]Tuyến cáp H04'!$B:$E,4,0)</f>
        <v>Mạng cấp 3</v>
      </c>
    </row>
    <row r="1305" spans="1:39" x14ac:dyDescent="0.25">
      <c r="A1305" s="1" t="s">
        <v>12576</v>
      </c>
      <c r="B1305" s="1" t="s">
        <v>12554</v>
      </c>
      <c r="C1305" s="1" t="s">
        <v>12555</v>
      </c>
      <c r="D1305" s="1" t="s">
        <v>11560</v>
      </c>
      <c r="E1305" s="1" t="s">
        <v>11561</v>
      </c>
      <c r="F1305" s="1" t="s">
        <v>12577</v>
      </c>
      <c r="G1305" s="1" t="s">
        <v>14129</v>
      </c>
      <c r="H1305" s="1" t="s">
        <v>14532</v>
      </c>
      <c r="I1305" s="1" t="s">
        <v>15405</v>
      </c>
      <c r="J1305" s="1" t="s">
        <v>23</v>
      </c>
      <c r="K1305" s="1"/>
      <c r="L1305" s="1" t="s">
        <v>11470</v>
      </c>
      <c r="M1305" s="1" t="s">
        <v>11470</v>
      </c>
      <c r="N1305" s="12" t="b">
        <f t="shared" si="100"/>
        <v>1</v>
      </c>
      <c r="O1305" s="1" t="s">
        <v>12578</v>
      </c>
      <c r="P1305" s="1" t="s">
        <v>12579</v>
      </c>
      <c r="Q1305" s="1" t="s">
        <v>12580</v>
      </c>
      <c r="R1305" s="1" t="s">
        <v>12581</v>
      </c>
      <c r="S1305" s="1" t="s">
        <v>11564</v>
      </c>
      <c r="T1305" s="1" t="s">
        <v>11565</v>
      </c>
      <c r="U1305" s="1" t="s">
        <v>11566</v>
      </c>
      <c r="V1305" s="13">
        <f>COUNTIF(L1305:$M$1659,L1305)</f>
        <v>10</v>
      </c>
      <c r="W1305" s="1" t="s">
        <v>11478</v>
      </c>
      <c r="X1305">
        <v>448.32</v>
      </c>
      <c r="Y1305">
        <v>413.15</v>
      </c>
      <c r="Z1305">
        <v>15.585190000000001</v>
      </c>
      <c r="AA1305">
        <v>108.466882</v>
      </c>
      <c r="AB1305">
        <v>35.17</v>
      </c>
      <c r="AC1305">
        <v>15.579651999999999</v>
      </c>
      <c r="AD1305">
        <v>108.473956</v>
      </c>
      <c r="AE1305" s="5">
        <f t="shared" si="101"/>
        <v>0.61972499999999986</v>
      </c>
      <c r="AF1305" s="5">
        <f t="shared" si="102"/>
        <v>5.2755000000000003E-2</v>
      </c>
      <c r="AG1305" s="1" t="str">
        <f>TRIM(LEFT(L1305,FIND("-",L1305)-1))</f>
        <v>TT2 Tam Kỳ</v>
      </c>
      <c r="AH1305" s="1" t="str">
        <f>TRIM(RIGHT(L1305, LEN(L1305) - FIND("-", L1305)))</f>
        <v>Thăng Bình</v>
      </c>
      <c r="AJ1305">
        <f t="shared" si="103"/>
        <v>0.41314999999999996</v>
      </c>
      <c r="AK1305">
        <f t="shared" si="104"/>
        <v>3.517E-2</v>
      </c>
      <c r="AL1305">
        <f>VLOOKUP(L1305,'[1]Tuyến cáp H04'!$B:$E,3,0)/1000</f>
        <v>24.648</v>
      </c>
      <c r="AM1305" t="str">
        <f>VLOOKUP(L1305,'[1]Tuyến cáp H04'!$B:$E,4,0)</f>
        <v>Mạng cấp 3</v>
      </c>
    </row>
    <row r="1306" spans="1:39" x14ac:dyDescent="0.25">
      <c r="A1306" s="1" t="s">
        <v>12582</v>
      </c>
      <c r="B1306" s="1" t="s">
        <v>12524</v>
      </c>
      <c r="C1306" s="1" t="s">
        <v>12525</v>
      </c>
      <c r="D1306" s="1" t="s">
        <v>11560</v>
      </c>
      <c r="E1306" s="1" t="s">
        <v>11561</v>
      </c>
      <c r="F1306" s="1" t="s">
        <v>12583</v>
      </c>
      <c r="G1306" s="1" t="s">
        <v>14129</v>
      </c>
      <c r="H1306" s="1" t="s">
        <v>14532</v>
      </c>
      <c r="I1306" s="1" t="s">
        <v>15406</v>
      </c>
      <c r="J1306" s="1" t="s">
        <v>23</v>
      </c>
      <c r="K1306" s="1"/>
      <c r="L1306" s="1" t="s">
        <v>12584</v>
      </c>
      <c r="M1306" s="1" t="s">
        <v>12584</v>
      </c>
      <c r="N1306" s="12" t="b">
        <f t="shared" si="100"/>
        <v>1</v>
      </c>
      <c r="O1306" s="1" t="s">
        <v>12585</v>
      </c>
      <c r="P1306" s="1" t="s">
        <v>12586</v>
      </c>
      <c r="Q1306" s="1" t="s">
        <v>12587</v>
      </c>
      <c r="R1306" s="1" t="s">
        <v>12588</v>
      </c>
      <c r="S1306" s="1" t="s">
        <v>12589</v>
      </c>
      <c r="T1306" s="1" t="s">
        <v>12590</v>
      </c>
      <c r="U1306" s="1" t="s">
        <v>12591</v>
      </c>
      <c r="V1306" s="13">
        <f>COUNTIF(L1306:$M$1659,L1306)</f>
        <v>6</v>
      </c>
      <c r="W1306" s="1" t="s">
        <v>12592</v>
      </c>
      <c r="X1306">
        <v>133.13999999999999</v>
      </c>
      <c r="Y1306">
        <v>95.8</v>
      </c>
      <c r="Z1306">
        <v>15.575644</v>
      </c>
      <c r="AA1306">
        <v>108.476562</v>
      </c>
      <c r="AB1306">
        <v>37.33</v>
      </c>
      <c r="AC1306">
        <v>15.579679</v>
      </c>
      <c r="AD1306">
        <v>108.47395</v>
      </c>
      <c r="AE1306" s="5">
        <f t="shared" si="101"/>
        <v>0.14369999999999999</v>
      </c>
      <c r="AF1306" s="5">
        <f t="shared" si="102"/>
        <v>5.5994999999999996E-2</v>
      </c>
      <c r="AG1306" s="1" t="str">
        <f>TRIM(LEFT(L1306,FIND("-",L1306)-1))</f>
        <v>TT2 Tam Kỳ</v>
      </c>
      <c r="AH1306" s="1" t="str">
        <f>TRIM(RIGHT(L1306, LEN(L1306) - FIND("-", L1306)))</f>
        <v>PC08</v>
      </c>
      <c r="AJ1306">
        <f t="shared" si="103"/>
        <v>9.5799999999999996E-2</v>
      </c>
      <c r="AK1306">
        <f t="shared" si="104"/>
        <v>3.7329999999999995E-2</v>
      </c>
      <c r="AL1306">
        <f>VLOOKUP(L1306,'[1]Tuyến cáp H04'!$B:$E,3,0)/1000</f>
        <v>1.42</v>
      </c>
      <c r="AM1306" t="str">
        <f>VLOOKUP(L1306,'[1]Tuyến cáp H04'!$B:$E,4,0)</f>
        <v>Mạng cấp 3</v>
      </c>
    </row>
    <row r="1307" spans="1:39" x14ac:dyDescent="0.25">
      <c r="A1307" s="1" t="s">
        <v>12593</v>
      </c>
      <c r="B1307" s="1" t="s">
        <v>12524</v>
      </c>
      <c r="C1307" s="1" t="s">
        <v>12525</v>
      </c>
      <c r="D1307" s="1" t="s">
        <v>11643</v>
      </c>
      <c r="E1307" s="1" t="s">
        <v>11644</v>
      </c>
      <c r="F1307" s="1" t="s">
        <v>12526</v>
      </c>
      <c r="G1307" s="1"/>
      <c r="H1307" s="1" t="s">
        <v>14532</v>
      </c>
      <c r="I1307" s="1" t="s">
        <v>15400</v>
      </c>
      <c r="J1307" s="1" t="s">
        <v>23</v>
      </c>
      <c r="K1307" s="1"/>
      <c r="L1307" s="1" t="s">
        <v>11633</v>
      </c>
      <c r="M1307" s="1" t="s">
        <v>11633</v>
      </c>
      <c r="N1307" s="12" t="b">
        <f t="shared" si="100"/>
        <v>1</v>
      </c>
      <c r="O1307" s="1" t="s">
        <v>12527</v>
      </c>
      <c r="P1307" s="1" t="s">
        <v>12528</v>
      </c>
      <c r="Q1307" s="1" t="s">
        <v>11636</v>
      </c>
      <c r="R1307" s="1" t="s">
        <v>11637</v>
      </c>
      <c r="S1307" s="1" t="s">
        <v>11647</v>
      </c>
      <c r="T1307" s="1" t="s">
        <v>11648</v>
      </c>
      <c r="U1307" s="1" t="s">
        <v>11649</v>
      </c>
      <c r="V1307" s="13">
        <f>COUNTIF(L1307:$M$1659,L1307)</f>
        <v>4</v>
      </c>
      <c r="W1307" s="1" t="s">
        <v>11641</v>
      </c>
      <c r="X1307">
        <v>1788.57</v>
      </c>
      <c r="Y1307">
        <v>1359.02</v>
      </c>
      <c r="Z1307">
        <v>15.563969</v>
      </c>
      <c r="AA1307">
        <v>108.482575</v>
      </c>
      <c r="AB1307">
        <v>429.55</v>
      </c>
      <c r="AC1307">
        <v>15.544556999999999</v>
      </c>
      <c r="AD1307">
        <v>108.488028</v>
      </c>
      <c r="AE1307" s="5">
        <f t="shared" si="101"/>
        <v>2.0385300000000002</v>
      </c>
      <c r="AF1307" s="5">
        <f t="shared" si="102"/>
        <v>0.64432500000000004</v>
      </c>
      <c r="AG1307" s="1" t="str">
        <f>TRIM(LEFT(L1307,FIND("-",L1307)-1))</f>
        <v>Hương Trà</v>
      </c>
      <c r="AH1307" s="1" t="str">
        <f>TRIM(RIGHT(L1307, LEN(L1307) - FIND("-", L1307)))</f>
        <v>Tam Kỳ</v>
      </c>
      <c r="AJ1307">
        <f t="shared" si="103"/>
        <v>1.3590199999999999</v>
      </c>
      <c r="AK1307">
        <f t="shared" si="104"/>
        <v>0.42954999999999999</v>
      </c>
      <c r="AL1307">
        <f>VLOOKUP(L1307,'[1]Tuyến cáp H04'!$B:$E,3,0)/1000</f>
        <v>5.2249999999999996</v>
      </c>
      <c r="AM1307" t="str">
        <f>VLOOKUP(L1307,'[1]Tuyến cáp H04'!$B:$E,4,0)</f>
        <v>Mạng cấp 4</v>
      </c>
    </row>
    <row r="1308" spans="1:39" x14ac:dyDescent="0.25">
      <c r="A1308" s="1" t="s">
        <v>12582</v>
      </c>
      <c r="B1308" s="1" t="s">
        <v>12524</v>
      </c>
      <c r="C1308" s="1" t="s">
        <v>12525</v>
      </c>
      <c r="D1308" s="1" t="s">
        <v>11560</v>
      </c>
      <c r="E1308" s="1" t="s">
        <v>11561</v>
      </c>
      <c r="F1308" s="1" t="s">
        <v>12583</v>
      </c>
      <c r="G1308" s="1" t="s">
        <v>14129</v>
      </c>
      <c r="H1308" s="1" t="s">
        <v>14532</v>
      </c>
      <c r="I1308" s="1" t="s">
        <v>15406</v>
      </c>
      <c r="J1308" s="1" t="s">
        <v>23</v>
      </c>
      <c r="K1308" s="1"/>
      <c r="L1308" s="1" t="s">
        <v>12584</v>
      </c>
      <c r="M1308" s="1" t="s">
        <v>12584</v>
      </c>
      <c r="N1308" s="12" t="b">
        <f t="shared" si="100"/>
        <v>1</v>
      </c>
      <c r="O1308" s="1" t="s">
        <v>12585</v>
      </c>
      <c r="P1308" s="1" t="s">
        <v>12586</v>
      </c>
      <c r="Q1308" s="1" t="s">
        <v>12587</v>
      </c>
      <c r="R1308" s="1" t="s">
        <v>12588</v>
      </c>
      <c r="S1308" s="1" t="s">
        <v>12589</v>
      </c>
      <c r="T1308" s="1" t="s">
        <v>12590</v>
      </c>
      <c r="U1308" s="1" t="s">
        <v>12591</v>
      </c>
      <c r="V1308" s="13">
        <f>COUNTIF(L1308:$M$1659,L1308)</f>
        <v>4</v>
      </c>
      <c r="W1308" s="1" t="s">
        <v>12592</v>
      </c>
      <c r="X1308">
        <v>133.13999999999999</v>
      </c>
      <c r="Y1308">
        <v>95.8</v>
      </c>
      <c r="Z1308">
        <v>15.575644</v>
      </c>
      <c r="AA1308">
        <v>108.476562</v>
      </c>
      <c r="AB1308">
        <v>37.33</v>
      </c>
      <c r="AC1308">
        <v>15.579679</v>
      </c>
      <c r="AD1308">
        <v>108.47395</v>
      </c>
      <c r="AE1308" s="5">
        <f t="shared" si="101"/>
        <v>0.14369999999999999</v>
      </c>
      <c r="AF1308" s="5">
        <f t="shared" si="102"/>
        <v>5.5994999999999996E-2</v>
      </c>
      <c r="AG1308" s="1" t="str">
        <f>TRIM(LEFT(L1308,FIND("-",L1308)-1))</f>
        <v>TT2 Tam Kỳ</v>
      </c>
      <c r="AH1308" s="1" t="str">
        <f>TRIM(RIGHT(L1308, LEN(L1308) - FIND("-", L1308)))</f>
        <v>PC08</v>
      </c>
      <c r="AJ1308">
        <f t="shared" si="103"/>
        <v>9.5799999999999996E-2</v>
      </c>
      <c r="AK1308">
        <f t="shared" si="104"/>
        <v>3.7329999999999995E-2</v>
      </c>
      <c r="AL1308">
        <f>VLOOKUP(L1308,'[1]Tuyến cáp H04'!$B:$E,3,0)/1000</f>
        <v>1.42</v>
      </c>
      <c r="AM1308" t="str">
        <f>VLOOKUP(L1308,'[1]Tuyến cáp H04'!$B:$E,4,0)</f>
        <v>Mạng cấp 3</v>
      </c>
    </row>
    <row r="1309" spans="1:39" x14ac:dyDescent="0.25">
      <c r="A1309" s="1" t="s">
        <v>12594</v>
      </c>
      <c r="B1309" s="1" t="s">
        <v>4610</v>
      </c>
      <c r="C1309" s="1" t="s">
        <v>4611</v>
      </c>
      <c r="D1309" s="1" t="s">
        <v>12595</v>
      </c>
      <c r="E1309" s="1" t="s">
        <v>12596</v>
      </c>
      <c r="F1309" s="1" t="s">
        <v>12597</v>
      </c>
      <c r="G1309" s="1" t="s">
        <v>14129</v>
      </c>
      <c r="H1309" s="1" t="s">
        <v>14130</v>
      </c>
      <c r="I1309" s="1" t="s">
        <v>15407</v>
      </c>
      <c r="J1309" s="1" t="s">
        <v>23</v>
      </c>
      <c r="K1309" s="1"/>
      <c r="L1309" s="1" t="s">
        <v>12559</v>
      </c>
      <c r="M1309" s="1" t="s">
        <v>12559</v>
      </c>
      <c r="N1309" s="12" t="b">
        <f t="shared" si="100"/>
        <v>1</v>
      </c>
      <c r="O1309" s="1" t="s">
        <v>12598</v>
      </c>
      <c r="P1309" s="1" t="s">
        <v>12599</v>
      </c>
      <c r="Q1309" s="1" t="s">
        <v>12600</v>
      </c>
      <c r="R1309" s="1" t="s">
        <v>12601</v>
      </c>
      <c r="S1309" s="1" t="s">
        <v>12602</v>
      </c>
      <c r="T1309" s="1" t="s">
        <v>12603</v>
      </c>
      <c r="U1309" s="1" t="s">
        <v>12604</v>
      </c>
      <c r="V1309" s="13">
        <f>COUNTIF(L1309:$M$1659,L1309)</f>
        <v>4</v>
      </c>
      <c r="W1309" s="1" t="s">
        <v>12605</v>
      </c>
      <c r="X1309">
        <v>64.92</v>
      </c>
      <c r="Y1309">
        <v>19.86</v>
      </c>
      <c r="Z1309">
        <v>15.558757999999999</v>
      </c>
      <c r="AA1309">
        <v>108.450018</v>
      </c>
      <c r="AB1309">
        <v>45.06</v>
      </c>
      <c r="AC1309">
        <v>15.564654000000001</v>
      </c>
      <c r="AD1309">
        <v>108.459951</v>
      </c>
      <c r="AE1309" s="5">
        <f t="shared" si="101"/>
        <v>2.9790000000000001E-2</v>
      </c>
      <c r="AF1309" s="5">
        <f t="shared" si="102"/>
        <v>6.7589999999999997E-2</v>
      </c>
      <c r="AG1309" s="1" t="str">
        <f>TRIM(LEFT(L1309,FIND("-",L1309)-1))</f>
        <v>PK02</v>
      </c>
      <c r="AH1309" s="1" t="str">
        <f>TRIM(RIGHT(L1309, LEN(L1309) - FIND("-", L1309)))</f>
        <v>PC11</v>
      </c>
      <c r="AJ1309">
        <f t="shared" si="103"/>
        <v>1.9859999999999999E-2</v>
      </c>
      <c r="AK1309">
        <f t="shared" si="104"/>
        <v>4.5060000000000003E-2</v>
      </c>
      <c r="AL1309">
        <f>VLOOKUP(L1309,'[1]Tuyến cáp H04'!$B:$E,3,0)/1000</f>
        <v>4.5209999999999999</v>
      </c>
      <c r="AM1309" t="str">
        <f>VLOOKUP(L1309,'[1]Tuyến cáp H04'!$B:$E,4,0)</f>
        <v>Mạng cấp 3</v>
      </c>
    </row>
    <row r="1310" spans="1:39" x14ac:dyDescent="0.25">
      <c r="A1310" s="1" t="s">
        <v>12606</v>
      </c>
      <c r="B1310" s="1" t="s">
        <v>4610</v>
      </c>
      <c r="C1310" s="1" t="s">
        <v>4611</v>
      </c>
      <c r="D1310" s="1" t="s">
        <v>12607</v>
      </c>
      <c r="E1310" s="1" t="s">
        <v>12608</v>
      </c>
      <c r="F1310" s="1" t="s">
        <v>12609</v>
      </c>
      <c r="G1310" s="1" t="s">
        <v>14129</v>
      </c>
      <c r="H1310" s="1" t="s">
        <v>14532</v>
      </c>
      <c r="I1310" s="1" t="s">
        <v>15408</v>
      </c>
      <c r="J1310" s="1" t="s">
        <v>23</v>
      </c>
      <c r="K1310" s="1"/>
      <c r="L1310" s="1" t="s">
        <v>12610</v>
      </c>
      <c r="M1310" s="1" t="s">
        <v>12610</v>
      </c>
      <c r="N1310" s="12" t="b">
        <f t="shared" si="100"/>
        <v>1</v>
      </c>
      <c r="O1310" s="1" t="s">
        <v>12611</v>
      </c>
      <c r="P1310" s="1" t="s">
        <v>12612</v>
      </c>
      <c r="Q1310" s="1" t="s">
        <v>12613</v>
      </c>
      <c r="R1310" s="1" t="s">
        <v>12614</v>
      </c>
      <c r="S1310" s="1" t="s">
        <v>12615</v>
      </c>
      <c r="T1310" s="1" t="s">
        <v>12616</v>
      </c>
      <c r="U1310" s="1" t="s">
        <v>12617</v>
      </c>
      <c r="V1310" s="13">
        <f>COUNTIF(L1310:$M$1659,L1310)</f>
        <v>8</v>
      </c>
      <c r="W1310" s="1" t="s">
        <v>12618</v>
      </c>
      <c r="X1310">
        <v>1025.56</v>
      </c>
      <c r="Y1310">
        <v>362.26</v>
      </c>
      <c r="Z1310">
        <v>15.560487</v>
      </c>
      <c r="AA1310">
        <v>108.44725800000001</v>
      </c>
      <c r="AB1310">
        <v>663.31</v>
      </c>
      <c r="AC1310">
        <v>15.558166</v>
      </c>
      <c r="AD1310">
        <v>108.433716</v>
      </c>
      <c r="AE1310" s="5">
        <f t="shared" si="101"/>
        <v>0.54339000000000004</v>
      </c>
      <c r="AF1310" s="5">
        <f t="shared" si="102"/>
        <v>0.99496499999999988</v>
      </c>
      <c r="AG1310" s="1" t="str">
        <f>TRIM(LEFT(L1310,FIND("-",L1310)-1))</f>
        <v>Phú Ninh</v>
      </c>
      <c r="AH1310" s="1" t="str">
        <f>TRIM(RIGHT(L1310, LEN(L1310) - FIND("-", L1310)))</f>
        <v>TT2 Tam Kỳ</v>
      </c>
      <c r="AJ1310">
        <f t="shared" si="103"/>
        <v>0.36225999999999997</v>
      </c>
      <c r="AK1310">
        <f t="shared" si="104"/>
        <v>0.66330999999999996</v>
      </c>
      <c r="AL1310">
        <f>VLOOKUP(L1310,'[1]Tuyến cáp H04'!$B:$E,3,0)/1000</f>
        <v>8.4600000000000009</v>
      </c>
      <c r="AM1310" t="str">
        <f>VLOOKUP(L1310,'[1]Tuyến cáp H04'!$B:$E,4,0)</f>
        <v>Mạng cấp 3</v>
      </c>
    </row>
    <row r="1311" spans="1:39" x14ac:dyDescent="0.25">
      <c r="A1311" s="1" t="s">
        <v>12619</v>
      </c>
      <c r="B1311" s="1" t="s">
        <v>4610</v>
      </c>
      <c r="C1311" s="1" t="s">
        <v>4611</v>
      </c>
      <c r="D1311" s="1" t="s">
        <v>12620</v>
      </c>
      <c r="E1311" s="1" t="s">
        <v>12621</v>
      </c>
      <c r="F1311" s="1" t="s">
        <v>12622</v>
      </c>
      <c r="G1311" s="1" t="s">
        <v>14129</v>
      </c>
      <c r="H1311" s="1" t="s">
        <v>14532</v>
      </c>
      <c r="I1311" s="1" t="s">
        <v>15409</v>
      </c>
      <c r="J1311" s="1" t="s">
        <v>23</v>
      </c>
      <c r="K1311" s="1"/>
      <c r="L1311" s="1" t="s">
        <v>12559</v>
      </c>
      <c r="M1311" s="1" t="s">
        <v>12559</v>
      </c>
      <c r="N1311" s="12" t="b">
        <f t="shared" si="100"/>
        <v>1</v>
      </c>
      <c r="O1311" s="1" t="s">
        <v>12623</v>
      </c>
      <c r="P1311" s="1" t="s">
        <v>12599</v>
      </c>
      <c r="Q1311" s="1" t="s">
        <v>12600</v>
      </c>
      <c r="R1311" s="1" t="s">
        <v>12601</v>
      </c>
      <c r="S1311" s="1" t="s">
        <v>12624</v>
      </c>
      <c r="T1311" s="1" t="s">
        <v>12625</v>
      </c>
      <c r="U1311" s="1" t="s">
        <v>12626</v>
      </c>
      <c r="V1311" s="13">
        <f>COUNTIF(L1311:$M$1659,L1311)</f>
        <v>2</v>
      </c>
      <c r="W1311" s="1" t="s">
        <v>12605</v>
      </c>
      <c r="X1311">
        <v>1061.48</v>
      </c>
      <c r="Y1311">
        <v>19.86</v>
      </c>
      <c r="Z1311">
        <v>15.558757999999999</v>
      </c>
      <c r="AA1311">
        <v>108.450018</v>
      </c>
      <c r="AB1311">
        <v>1041.6199999999999</v>
      </c>
      <c r="AC1311">
        <v>15.565383000000001</v>
      </c>
      <c r="AD1311">
        <v>108.461071</v>
      </c>
      <c r="AE1311" s="5">
        <f t="shared" si="101"/>
        <v>2.9790000000000001E-2</v>
      </c>
      <c r="AF1311" s="5">
        <f t="shared" si="102"/>
        <v>1.5624299999999998</v>
      </c>
      <c r="AG1311" s="1" t="str">
        <f>TRIM(LEFT(L1311,FIND("-",L1311)-1))</f>
        <v>PK02</v>
      </c>
      <c r="AH1311" s="1" t="str">
        <f>TRIM(RIGHT(L1311, LEN(L1311) - FIND("-", L1311)))</f>
        <v>PC11</v>
      </c>
      <c r="AJ1311">
        <f t="shared" si="103"/>
        <v>1.9859999999999999E-2</v>
      </c>
      <c r="AK1311">
        <f t="shared" si="104"/>
        <v>1.04162</v>
      </c>
      <c r="AL1311">
        <f>VLOOKUP(L1311,'[1]Tuyến cáp H04'!$B:$E,3,0)/1000</f>
        <v>4.5209999999999999</v>
      </c>
      <c r="AM1311" t="str">
        <f>VLOOKUP(L1311,'[1]Tuyến cáp H04'!$B:$E,4,0)</f>
        <v>Mạng cấp 3</v>
      </c>
    </row>
    <row r="1312" spans="1:39" x14ac:dyDescent="0.25">
      <c r="A1312" s="1" t="s">
        <v>12627</v>
      </c>
      <c r="B1312" s="1" t="s">
        <v>4610</v>
      </c>
      <c r="C1312" s="1" t="s">
        <v>4611</v>
      </c>
      <c r="D1312" s="1" t="s">
        <v>12628</v>
      </c>
      <c r="E1312" s="1" t="s">
        <v>12629</v>
      </c>
      <c r="F1312" s="1" t="s">
        <v>12630</v>
      </c>
      <c r="G1312" s="1" t="s">
        <v>14129</v>
      </c>
      <c r="H1312" s="1" t="s">
        <v>14532</v>
      </c>
      <c r="I1312" s="1" t="s">
        <v>15410</v>
      </c>
      <c r="J1312" s="1" t="s">
        <v>23</v>
      </c>
      <c r="K1312" s="1"/>
      <c r="L1312" s="1" t="s">
        <v>12631</v>
      </c>
      <c r="M1312" s="1" t="s">
        <v>12631</v>
      </c>
      <c r="N1312" s="12" t="b">
        <f t="shared" si="100"/>
        <v>1</v>
      </c>
      <c r="O1312" s="1" t="s">
        <v>12632</v>
      </c>
      <c r="P1312" s="1" t="s">
        <v>12633</v>
      </c>
      <c r="Q1312" s="1" t="s">
        <v>12634</v>
      </c>
      <c r="R1312" s="1" t="s">
        <v>12635</v>
      </c>
      <c r="S1312" s="1" t="s">
        <v>12636</v>
      </c>
      <c r="T1312" s="1" t="s">
        <v>12637</v>
      </c>
      <c r="U1312" s="1" t="s">
        <v>12638</v>
      </c>
      <c r="V1312" s="13">
        <f>COUNTIF(L1312:$M$1659,L1312)</f>
        <v>2</v>
      </c>
      <c r="W1312" s="1" t="s">
        <v>12639</v>
      </c>
      <c r="X1312">
        <v>961.83</v>
      </c>
      <c r="Y1312">
        <v>1.72</v>
      </c>
      <c r="Z1312">
        <v>15.558593999999999</v>
      </c>
      <c r="AA1312">
        <v>108.450006</v>
      </c>
      <c r="AB1312">
        <v>960.11</v>
      </c>
      <c r="AC1312">
        <v>15.55847</v>
      </c>
      <c r="AD1312">
        <v>108.451409</v>
      </c>
      <c r="AE1312" s="5">
        <f t="shared" si="101"/>
        <v>2.5800000000000003E-3</v>
      </c>
      <c r="AF1312" s="5">
        <f t="shared" si="102"/>
        <v>1.4401649999999999</v>
      </c>
      <c r="AG1312" s="1" t="str">
        <f>TRIM(LEFT(L1312,FIND("-",L1312)-1))</f>
        <v>PC11</v>
      </c>
      <c r="AH1312" s="1" t="str">
        <f>TRIM(RIGHT(L1312, LEN(L1312) - FIND("-", L1312)))</f>
        <v>TT2 Tam Kỳ</v>
      </c>
      <c r="AJ1312">
        <f t="shared" si="103"/>
        <v>1.72E-3</v>
      </c>
      <c r="AK1312">
        <f t="shared" si="104"/>
        <v>0.96011000000000002</v>
      </c>
      <c r="AL1312">
        <f>VLOOKUP(L1312,'[1]Tuyến cáp H04'!$B:$E,3,0)/1000</f>
        <v>3.8330000000000002</v>
      </c>
      <c r="AM1312" t="str">
        <f>VLOOKUP(L1312,'[1]Tuyến cáp H04'!$B:$E,4,0)</f>
        <v>Mạng cấp 3</v>
      </c>
    </row>
    <row r="1313" spans="1:39" x14ac:dyDescent="0.25">
      <c r="A1313" s="1" t="s">
        <v>12640</v>
      </c>
      <c r="B1313" s="1" t="s">
        <v>4610</v>
      </c>
      <c r="C1313" s="1" t="s">
        <v>4611</v>
      </c>
      <c r="D1313" s="1" t="s">
        <v>12641</v>
      </c>
      <c r="E1313" s="1" t="s">
        <v>12642</v>
      </c>
      <c r="F1313" s="1" t="s">
        <v>12643</v>
      </c>
      <c r="G1313" s="1" t="s">
        <v>14129</v>
      </c>
      <c r="H1313" s="1" t="s">
        <v>14532</v>
      </c>
      <c r="I1313" s="1" t="s">
        <v>15411</v>
      </c>
      <c r="J1313" s="1" t="s">
        <v>23</v>
      </c>
      <c r="K1313" s="1"/>
      <c r="L1313" s="1" t="s">
        <v>12610</v>
      </c>
      <c r="M1313" s="1" t="s">
        <v>12610</v>
      </c>
      <c r="N1313" s="12" t="b">
        <f t="shared" si="100"/>
        <v>1</v>
      </c>
      <c r="O1313" s="1" t="s">
        <v>12644</v>
      </c>
      <c r="P1313" s="1" t="s">
        <v>12612</v>
      </c>
      <c r="Q1313" s="1" t="s">
        <v>12613</v>
      </c>
      <c r="R1313" s="1" t="s">
        <v>12614</v>
      </c>
      <c r="S1313" s="1" t="s">
        <v>12645</v>
      </c>
      <c r="T1313" s="1" t="s">
        <v>12646</v>
      </c>
      <c r="U1313" s="1" t="s">
        <v>12647</v>
      </c>
      <c r="V1313" s="13">
        <f>COUNTIF(L1313:$M$1659,L1313)</f>
        <v>6</v>
      </c>
      <c r="W1313" s="1" t="s">
        <v>12618</v>
      </c>
      <c r="X1313">
        <v>1462.28</v>
      </c>
      <c r="Y1313">
        <v>362.26</v>
      </c>
      <c r="Z1313">
        <v>15.560487</v>
      </c>
      <c r="AA1313">
        <v>108.44725800000001</v>
      </c>
      <c r="AB1313">
        <v>1100.02</v>
      </c>
      <c r="AC1313">
        <v>15.553032999999999</v>
      </c>
      <c r="AD1313">
        <v>108.418121</v>
      </c>
      <c r="AE1313" s="5">
        <f t="shared" si="101"/>
        <v>0.54339000000000004</v>
      </c>
      <c r="AF1313" s="5">
        <f t="shared" si="102"/>
        <v>1.6500299999999999</v>
      </c>
      <c r="AG1313" s="1" t="str">
        <f>TRIM(LEFT(L1313,FIND("-",L1313)-1))</f>
        <v>Phú Ninh</v>
      </c>
      <c r="AH1313" s="1" t="str">
        <f>TRIM(RIGHT(L1313, LEN(L1313) - FIND("-", L1313)))</f>
        <v>TT2 Tam Kỳ</v>
      </c>
      <c r="AJ1313">
        <f t="shared" si="103"/>
        <v>0.36225999999999997</v>
      </c>
      <c r="AK1313">
        <f t="shared" si="104"/>
        <v>1.10002</v>
      </c>
      <c r="AL1313">
        <f>VLOOKUP(L1313,'[1]Tuyến cáp H04'!$B:$E,3,0)/1000</f>
        <v>8.4600000000000009</v>
      </c>
      <c r="AM1313" t="str">
        <f>VLOOKUP(L1313,'[1]Tuyến cáp H04'!$B:$E,4,0)</f>
        <v>Mạng cấp 3</v>
      </c>
    </row>
    <row r="1314" spans="1:39" x14ac:dyDescent="0.25">
      <c r="A1314" s="1" t="s">
        <v>12648</v>
      </c>
      <c r="B1314" s="1" t="s">
        <v>4610</v>
      </c>
      <c r="C1314" s="1" t="s">
        <v>4611</v>
      </c>
      <c r="D1314" s="1" t="s">
        <v>11560</v>
      </c>
      <c r="E1314" s="1" t="s">
        <v>11561</v>
      </c>
      <c r="F1314" s="1" t="s">
        <v>12649</v>
      </c>
      <c r="G1314" s="1" t="s">
        <v>14129</v>
      </c>
      <c r="H1314" s="1" t="s">
        <v>14532</v>
      </c>
      <c r="I1314" s="1" t="s">
        <v>15412</v>
      </c>
      <c r="J1314" s="1" t="s">
        <v>23</v>
      </c>
      <c r="K1314" s="1"/>
      <c r="L1314" s="1" t="s">
        <v>12610</v>
      </c>
      <c r="M1314" s="1" t="s">
        <v>12610</v>
      </c>
      <c r="N1314" s="12" t="b">
        <f t="shared" si="100"/>
        <v>1</v>
      </c>
      <c r="O1314" s="1" t="s">
        <v>12650</v>
      </c>
      <c r="P1314" s="1" t="s">
        <v>12651</v>
      </c>
      <c r="Q1314" s="1" t="s">
        <v>12652</v>
      </c>
      <c r="R1314" s="1" t="s">
        <v>12653</v>
      </c>
      <c r="S1314" s="1" t="s">
        <v>12654</v>
      </c>
      <c r="T1314" s="1" t="s">
        <v>12655</v>
      </c>
      <c r="U1314" s="1" t="s">
        <v>12656</v>
      </c>
      <c r="V1314" s="13">
        <f>COUNTIF(L1314:$M$1659,L1314)</f>
        <v>4</v>
      </c>
      <c r="W1314" s="1" t="s">
        <v>12657</v>
      </c>
      <c r="X1314">
        <v>2023.35</v>
      </c>
      <c r="Y1314">
        <v>1440.83</v>
      </c>
      <c r="Z1314">
        <v>15.565669</v>
      </c>
      <c r="AA1314">
        <v>108.46126</v>
      </c>
      <c r="AB1314">
        <v>582.51</v>
      </c>
      <c r="AC1314">
        <v>15.574358999999999</v>
      </c>
      <c r="AD1314">
        <v>108.475303</v>
      </c>
      <c r="AE1314" s="5">
        <f t="shared" si="101"/>
        <v>2.1612450000000001</v>
      </c>
      <c r="AF1314" s="5">
        <f t="shared" si="102"/>
        <v>0.87376500000000001</v>
      </c>
      <c r="AG1314" s="1" t="str">
        <f>TRIM(LEFT(L1314,FIND("-",L1314)-1))</f>
        <v>Phú Ninh</v>
      </c>
      <c r="AH1314" s="1" t="str">
        <f>TRIM(RIGHT(L1314, LEN(L1314) - FIND("-", L1314)))</f>
        <v>TT2 Tam Kỳ</v>
      </c>
      <c r="AJ1314">
        <f t="shared" si="103"/>
        <v>1.4408299999999998</v>
      </c>
      <c r="AK1314">
        <f t="shared" si="104"/>
        <v>0.58250999999999997</v>
      </c>
      <c r="AL1314">
        <f>VLOOKUP(L1314,'[1]Tuyến cáp H04'!$B:$E,3,0)/1000</f>
        <v>8.4600000000000009</v>
      </c>
      <c r="AM1314" t="str">
        <f>VLOOKUP(L1314,'[1]Tuyến cáp H04'!$B:$E,4,0)</f>
        <v>Mạng cấp 3</v>
      </c>
    </row>
    <row r="1315" spans="1:39" x14ac:dyDescent="0.25">
      <c r="A1315" s="1" t="s">
        <v>12658</v>
      </c>
      <c r="B1315" s="1" t="s">
        <v>12659</v>
      </c>
      <c r="C1315" s="1" t="s">
        <v>12660</v>
      </c>
      <c r="D1315" s="1" t="s">
        <v>12661</v>
      </c>
      <c r="E1315" s="1" t="s">
        <v>12662</v>
      </c>
      <c r="F1315" s="1" t="s">
        <v>12663</v>
      </c>
      <c r="G1315" s="1" t="s">
        <v>14129</v>
      </c>
      <c r="H1315" s="1" t="s">
        <v>14532</v>
      </c>
      <c r="I1315" s="1" t="s">
        <v>15413</v>
      </c>
      <c r="J1315" s="1" t="s">
        <v>23</v>
      </c>
      <c r="K1315" s="1"/>
      <c r="L1315" s="1" t="s">
        <v>11470</v>
      </c>
      <c r="M1315" s="1" t="s">
        <v>11470</v>
      </c>
      <c r="N1315" s="12" t="b">
        <f t="shared" si="100"/>
        <v>1</v>
      </c>
      <c r="O1315" s="1" t="s">
        <v>12664</v>
      </c>
      <c r="P1315" s="1" t="s">
        <v>12665</v>
      </c>
      <c r="Q1315" s="1" t="s">
        <v>12666</v>
      </c>
      <c r="R1315" s="1" t="s">
        <v>12667</v>
      </c>
      <c r="S1315" s="1" t="s">
        <v>12668</v>
      </c>
      <c r="T1315" s="1" t="s">
        <v>12669</v>
      </c>
      <c r="U1315" s="1" t="s">
        <v>12670</v>
      </c>
      <c r="V1315" s="13">
        <f>COUNTIF(L1315:$M$1659,L1315)</f>
        <v>8</v>
      </c>
      <c r="W1315" s="1" t="s">
        <v>11478</v>
      </c>
      <c r="X1315">
        <v>1634.33</v>
      </c>
      <c r="Y1315">
        <v>212.68</v>
      </c>
      <c r="Z1315">
        <v>15.582587999999999</v>
      </c>
      <c r="AA1315">
        <v>108.47035099999999</v>
      </c>
      <c r="AB1315">
        <v>1421.65</v>
      </c>
      <c r="AC1315">
        <v>15.594262000000001</v>
      </c>
      <c r="AD1315">
        <v>108.45896399999999</v>
      </c>
      <c r="AE1315" s="5">
        <f t="shared" si="101"/>
        <v>0.31901999999999997</v>
      </c>
      <c r="AF1315" s="5">
        <f t="shared" si="102"/>
        <v>2.1324750000000003</v>
      </c>
      <c r="AG1315" s="1" t="str">
        <f>TRIM(LEFT(L1315,FIND("-",L1315)-1))</f>
        <v>TT2 Tam Kỳ</v>
      </c>
      <c r="AH1315" s="1" t="str">
        <f>TRIM(RIGHT(L1315, LEN(L1315) - FIND("-", L1315)))</f>
        <v>Thăng Bình</v>
      </c>
      <c r="AJ1315">
        <f t="shared" si="103"/>
        <v>0.21268000000000001</v>
      </c>
      <c r="AK1315">
        <f t="shared" si="104"/>
        <v>1.4216500000000001</v>
      </c>
      <c r="AL1315">
        <f>VLOOKUP(L1315,'[1]Tuyến cáp H04'!$B:$E,3,0)/1000</f>
        <v>24.648</v>
      </c>
      <c r="AM1315" t="str">
        <f>VLOOKUP(L1315,'[1]Tuyến cáp H04'!$B:$E,4,0)</f>
        <v>Mạng cấp 3</v>
      </c>
    </row>
    <row r="1316" spans="1:39" x14ac:dyDescent="0.25">
      <c r="A1316" s="1" t="s">
        <v>12671</v>
      </c>
      <c r="B1316" s="1" t="s">
        <v>12659</v>
      </c>
      <c r="C1316" s="1" t="s">
        <v>12660</v>
      </c>
      <c r="D1316" s="1" t="s">
        <v>11560</v>
      </c>
      <c r="E1316" s="1" t="s">
        <v>11561</v>
      </c>
      <c r="F1316" s="1" t="s">
        <v>12672</v>
      </c>
      <c r="G1316" s="1" t="s">
        <v>14129</v>
      </c>
      <c r="H1316" s="1" t="s">
        <v>14532</v>
      </c>
      <c r="I1316" s="1" t="s">
        <v>15414</v>
      </c>
      <c r="J1316" s="1" t="s">
        <v>23</v>
      </c>
      <c r="K1316" s="1"/>
      <c r="L1316" s="1" t="s">
        <v>11470</v>
      </c>
      <c r="M1316" s="1" t="s">
        <v>11470</v>
      </c>
      <c r="N1316" s="12" t="b">
        <f t="shared" si="100"/>
        <v>1</v>
      </c>
      <c r="O1316" s="1" t="s">
        <v>12673</v>
      </c>
      <c r="P1316" s="1" t="s">
        <v>12665</v>
      </c>
      <c r="Q1316" s="1" t="s">
        <v>12666</v>
      </c>
      <c r="R1316" s="1" t="s">
        <v>12667</v>
      </c>
      <c r="S1316" s="1" t="s">
        <v>11564</v>
      </c>
      <c r="T1316" s="1" t="s">
        <v>11565</v>
      </c>
      <c r="U1316" s="1" t="s">
        <v>11566</v>
      </c>
      <c r="V1316" s="13">
        <f>COUNTIF(L1316:$M$1659,L1316)</f>
        <v>6</v>
      </c>
      <c r="W1316" s="1" t="s">
        <v>11478</v>
      </c>
      <c r="X1316">
        <v>247.84</v>
      </c>
      <c r="Y1316">
        <v>212.68</v>
      </c>
      <c r="Z1316">
        <v>15.582587999999999</v>
      </c>
      <c r="AA1316">
        <v>108.47035099999999</v>
      </c>
      <c r="AB1316">
        <v>35.17</v>
      </c>
      <c r="AC1316">
        <v>15.579651999999999</v>
      </c>
      <c r="AD1316">
        <v>108.473956</v>
      </c>
      <c r="AE1316" s="5">
        <f t="shared" si="101"/>
        <v>0.31901999999999997</v>
      </c>
      <c r="AF1316" s="5">
        <f t="shared" si="102"/>
        <v>5.2755000000000003E-2</v>
      </c>
      <c r="AG1316" s="1" t="str">
        <f>TRIM(LEFT(L1316,FIND("-",L1316)-1))</f>
        <v>TT2 Tam Kỳ</v>
      </c>
      <c r="AH1316" s="1" t="str">
        <f>TRIM(RIGHT(L1316, LEN(L1316) - FIND("-", L1316)))</f>
        <v>Thăng Bình</v>
      </c>
      <c r="AJ1316">
        <f t="shared" si="103"/>
        <v>0.21268000000000001</v>
      </c>
      <c r="AK1316">
        <f t="shared" si="104"/>
        <v>3.517E-2</v>
      </c>
      <c r="AL1316">
        <f>VLOOKUP(L1316,'[1]Tuyến cáp H04'!$B:$E,3,0)/1000</f>
        <v>24.648</v>
      </c>
      <c r="AM1316" t="str">
        <f>VLOOKUP(L1316,'[1]Tuyến cáp H04'!$B:$E,4,0)</f>
        <v>Mạng cấp 3</v>
      </c>
    </row>
    <row r="1317" spans="1:39" x14ac:dyDescent="0.25">
      <c r="A1317" s="1" t="s">
        <v>12674</v>
      </c>
      <c r="B1317" s="1" t="s">
        <v>12675</v>
      </c>
      <c r="C1317" s="1" t="s">
        <v>12676</v>
      </c>
      <c r="D1317" s="1" t="s">
        <v>11560</v>
      </c>
      <c r="E1317" s="1" t="s">
        <v>11561</v>
      </c>
      <c r="F1317" s="1" t="s">
        <v>12677</v>
      </c>
      <c r="G1317" s="1" t="s">
        <v>14129</v>
      </c>
      <c r="H1317" s="1" t="s">
        <v>14532</v>
      </c>
      <c r="I1317" s="1" t="s">
        <v>15415</v>
      </c>
      <c r="J1317" s="1" t="s">
        <v>23</v>
      </c>
      <c r="K1317" s="1"/>
      <c r="L1317" s="1" t="s">
        <v>12584</v>
      </c>
      <c r="M1317" s="1" t="s">
        <v>12584</v>
      </c>
      <c r="N1317" s="12" t="b">
        <f t="shared" si="100"/>
        <v>1</v>
      </c>
      <c r="O1317" s="1" t="s">
        <v>12678</v>
      </c>
      <c r="P1317" s="1" t="s">
        <v>12679</v>
      </c>
      <c r="Q1317" s="1" t="s">
        <v>12680</v>
      </c>
      <c r="R1317" s="1" t="s">
        <v>12681</v>
      </c>
      <c r="S1317" s="1" t="s">
        <v>12589</v>
      </c>
      <c r="T1317" s="1" t="s">
        <v>12590</v>
      </c>
      <c r="U1317" s="1" t="s">
        <v>12591</v>
      </c>
      <c r="V1317" s="13">
        <f>COUNTIF(L1317:$M$1659,L1317)</f>
        <v>2</v>
      </c>
      <c r="W1317" s="1" t="s">
        <v>12592</v>
      </c>
      <c r="X1317">
        <v>72.52</v>
      </c>
      <c r="Y1317">
        <v>35.18</v>
      </c>
      <c r="Z1317">
        <v>15.575923</v>
      </c>
      <c r="AA1317">
        <v>108.476812</v>
      </c>
      <c r="AB1317">
        <v>37.33</v>
      </c>
      <c r="AC1317">
        <v>15.579679</v>
      </c>
      <c r="AD1317">
        <v>108.47395</v>
      </c>
      <c r="AE1317" s="5">
        <f t="shared" si="101"/>
        <v>5.2769999999999997E-2</v>
      </c>
      <c r="AF1317" s="5">
        <f t="shared" si="102"/>
        <v>5.5994999999999996E-2</v>
      </c>
      <c r="AG1317" s="1" t="str">
        <f>TRIM(LEFT(L1317,FIND("-",L1317)-1))</f>
        <v>TT2 Tam Kỳ</v>
      </c>
      <c r="AH1317" s="1" t="str">
        <f>TRIM(RIGHT(L1317, LEN(L1317) - FIND("-", L1317)))</f>
        <v>PC08</v>
      </c>
      <c r="AJ1317">
        <f t="shared" si="103"/>
        <v>3.5180000000000003E-2</v>
      </c>
      <c r="AK1317">
        <f t="shared" si="104"/>
        <v>3.7329999999999995E-2</v>
      </c>
      <c r="AL1317">
        <f>VLOOKUP(L1317,'[1]Tuyến cáp H04'!$B:$E,3,0)/1000</f>
        <v>1.42</v>
      </c>
      <c r="AM1317" t="str">
        <f>VLOOKUP(L1317,'[1]Tuyến cáp H04'!$B:$E,4,0)</f>
        <v>Mạng cấp 3</v>
      </c>
    </row>
    <row r="1318" spans="1:39" x14ac:dyDescent="0.25">
      <c r="A1318" s="1" t="s">
        <v>12682</v>
      </c>
      <c r="B1318" s="1" t="s">
        <v>10991</v>
      </c>
      <c r="C1318" s="1" t="s">
        <v>10992</v>
      </c>
      <c r="D1318" s="1" t="s">
        <v>12683</v>
      </c>
      <c r="E1318" s="1" t="s">
        <v>12684</v>
      </c>
      <c r="F1318" s="1" t="s">
        <v>12685</v>
      </c>
      <c r="G1318" s="1" t="s">
        <v>14281</v>
      </c>
      <c r="H1318" s="1" t="s">
        <v>14282</v>
      </c>
      <c r="I1318" s="1" t="s">
        <v>15416</v>
      </c>
      <c r="J1318" s="1" t="s">
        <v>23</v>
      </c>
      <c r="K1318" s="1"/>
      <c r="L1318" s="1" t="s">
        <v>11796</v>
      </c>
      <c r="M1318" s="1" t="s">
        <v>11796</v>
      </c>
      <c r="N1318" s="12" t="b">
        <f t="shared" si="100"/>
        <v>1</v>
      </c>
      <c r="O1318" s="1" t="s">
        <v>12686</v>
      </c>
      <c r="P1318" s="1" t="s">
        <v>12687</v>
      </c>
      <c r="Q1318" s="1" t="s">
        <v>12688</v>
      </c>
      <c r="R1318" s="1" t="s">
        <v>12689</v>
      </c>
      <c r="S1318" s="1" t="s">
        <v>12690</v>
      </c>
      <c r="T1318" s="1" t="s">
        <v>12691</v>
      </c>
      <c r="U1318" s="1" t="s">
        <v>12692</v>
      </c>
      <c r="V1318" s="13">
        <f>COUNTIF(L1318:$M$1659,L1318)</f>
        <v>2</v>
      </c>
      <c r="W1318" s="1" t="s">
        <v>12693</v>
      </c>
      <c r="X1318">
        <v>972.01</v>
      </c>
      <c r="Y1318">
        <v>958.72</v>
      </c>
      <c r="Z1318">
        <v>16.020700000000001</v>
      </c>
      <c r="AA1318">
        <v>108.211562</v>
      </c>
      <c r="AB1318">
        <v>13.29</v>
      </c>
      <c r="AC1318">
        <v>16.037234000000002</v>
      </c>
      <c r="AD1318">
        <v>108.221028</v>
      </c>
      <c r="AE1318" s="5">
        <f t="shared" si="101"/>
        <v>1.43808</v>
      </c>
      <c r="AF1318" s="5">
        <f t="shared" si="102"/>
        <v>1.9934999999999998E-2</v>
      </c>
      <c r="AG1318" s="1" t="str">
        <f>TRIM(LEFT(L1318,FIND("-",L1318)-1))</f>
        <v>Hòa CƯờng</v>
      </c>
      <c r="AH1318" s="1" t="str">
        <f>TRIM(RIGHT(L1318, LEN(L1318) - FIND("-", L1318)))</f>
        <v>TTKV Cẩm Lệ</v>
      </c>
      <c r="AJ1318">
        <f t="shared" si="103"/>
        <v>0.95872000000000002</v>
      </c>
      <c r="AK1318">
        <f t="shared" si="104"/>
        <v>1.329E-2</v>
      </c>
      <c r="AL1318" t="e">
        <f>VLOOKUP(L1318,'[1]Tuyến cáp H04'!$B:$E,3,0)/1000</f>
        <v>#N/A</v>
      </c>
      <c r="AM1318" t="e">
        <f>VLOOKUP(L1318,'[1]Tuyến cáp H04'!$B:$E,4,0)</f>
        <v>#N/A</v>
      </c>
    </row>
    <row r="1319" spans="1:39" x14ac:dyDescent="0.25">
      <c r="A1319" s="1" t="s">
        <v>12694</v>
      </c>
      <c r="B1319" s="1" t="s">
        <v>10991</v>
      </c>
      <c r="C1319" s="1" t="s">
        <v>10992</v>
      </c>
      <c r="D1319" s="1" t="s">
        <v>12695</v>
      </c>
      <c r="E1319" s="1" t="s">
        <v>12696</v>
      </c>
      <c r="F1319" s="1" t="s">
        <v>12697</v>
      </c>
      <c r="G1319" s="1" t="s">
        <v>14281</v>
      </c>
      <c r="H1319" s="1" t="s">
        <v>14282</v>
      </c>
      <c r="I1319" s="1" t="s">
        <v>15417</v>
      </c>
      <c r="J1319" s="1" t="s">
        <v>23</v>
      </c>
      <c r="K1319" s="1"/>
      <c r="L1319" s="1" t="s">
        <v>12698</v>
      </c>
      <c r="M1319" s="1" t="s">
        <v>12698</v>
      </c>
      <c r="N1319" s="12" t="b">
        <f t="shared" si="100"/>
        <v>1</v>
      </c>
      <c r="O1319" s="1" t="s">
        <v>12699</v>
      </c>
      <c r="P1319" s="1" t="s">
        <v>12700</v>
      </c>
      <c r="Q1319" s="1" t="s">
        <v>12701</v>
      </c>
      <c r="R1319" s="1" t="s">
        <v>12702</v>
      </c>
      <c r="S1319" s="1" t="s">
        <v>12703</v>
      </c>
      <c r="T1319" s="1" t="s">
        <v>12704</v>
      </c>
      <c r="U1319" s="1" t="s">
        <v>12705</v>
      </c>
      <c r="V1319" s="13">
        <f>COUNTIF(L1319:$M$1659,L1319)</f>
        <v>2</v>
      </c>
      <c r="W1319" s="1" t="s">
        <v>12706</v>
      </c>
      <c r="X1319">
        <v>717.46</v>
      </c>
      <c r="Y1319">
        <v>428.05</v>
      </c>
      <c r="Z1319">
        <v>16.014690000000002</v>
      </c>
      <c r="AA1319">
        <v>108.20023500000001</v>
      </c>
      <c r="AB1319">
        <v>289.41000000000003</v>
      </c>
      <c r="AC1319">
        <v>16.046088000000001</v>
      </c>
      <c r="AD1319">
        <v>108.18213</v>
      </c>
      <c r="AE1319" s="5">
        <f t="shared" si="101"/>
        <v>0.64207500000000006</v>
      </c>
      <c r="AF1319" s="5">
        <f t="shared" si="102"/>
        <v>0.43411500000000003</v>
      </c>
      <c r="AG1319" s="1" t="str">
        <f>TRIM(LEFT(L1319,FIND("-",L1319)-1))</f>
        <v>H03</v>
      </c>
      <c r="AH1319" s="1" t="str">
        <f>TRIM(RIGHT(L1319, LEN(L1319) - FIND("-", L1319)))</f>
        <v>Đ1 E28</v>
      </c>
      <c r="AJ1319">
        <f t="shared" si="103"/>
        <v>0.42804999999999999</v>
      </c>
      <c r="AK1319">
        <f t="shared" si="104"/>
        <v>0.28941</v>
      </c>
      <c r="AL1319" t="e">
        <f>VLOOKUP(L1319,'[1]Tuyến cáp H04'!$B:$E,3,0)/1000</f>
        <v>#N/A</v>
      </c>
      <c r="AM1319" t="e">
        <f>VLOOKUP(L1319,'[1]Tuyến cáp H04'!$B:$E,4,0)</f>
        <v>#N/A</v>
      </c>
    </row>
    <row r="1320" spans="1:39" x14ac:dyDescent="0.25">
      <c r="A1320" s="1" t="s">
        <v>12707</v>
      </c>
      <c r="B1320" s="1" t="s">
        <v>10991</v>
      </c>
      <c r="C1320" s="1" t="s">
        <v>10992</v>
      </c>
      <c r="D1320" s="1" t="s">
        <v>12708</v>
      </c>
      <c r="E1320" s="1" t="s">
        <v>12709</v>
      </c>
      <c r="F1320" s="1" t="s">
        <v>12710</v>
      </c>
      <c r="G1320" s="1" t="s">
        <v>14281</v>
      </c>
      <c r="H1320" s="1" t="s">
        <v>14282</v>
      </c>
      <c r="I1320" s="1" t="s">
        <v>15418</v>
      </c>
      <c r="J1320" s="1" t="s">
        <v>23</v>
      </c>
      <c r="K1320" s="1"/>
      <c r="L1320" s="1" t="s">
        <v>11009</v>
      </c>
      <c r="M1320" s="1" t="s">
        <v>11009</v>
      </c>
      <c r="N1320" s="12" t="b">
        <f t="shared" si="100"/>
        <v>1</v>
      </c>
      <c r="O1320" s="1" t="s">
        <v>12711</v>
      </c>
      <c r="P1320" s="1" t="s">
        <v>12712</v>
      </c>
      <c r="Q1320" s="1" t="s">
        <v>12713</v>
      </c>
      <c r="R1320" s="1" t="s">
        <v>12714</v>
      </c>
      <c r="S1320" s="1" t="s">
        <v>12715</v>
      </c>
      <c r="T1320" s="1" t="s">
        <v>12716</v>
      </c>
      <c r="U1320" s="1" t="s">
        <v>12717</v>
      </c>
      <c r="V1320" s="13">
        <f>COUNTIF(L1320:$M$1659,L1320)</f>
        <v>4</v>
      </c>
      <c r="W1320" s="1" t="s">
        <v>11017</v>
      </c>
      <c r="X1320">
        <v>207.17</v>
      </c>
      <c r="Y1320">
        <v>9.0500000000000007</v>
      </c>
      <c r="Z1320">
        <v>16.016857999999999</v>
      </c>
      <c r="AA1320">
        <v>108.203554</v>
      </c>
      <c r="AB1320">
        <v>198.12</v>
      </c>
      <c r="AC1320">
        <v>16.017104</v>
      </c>
      <c r="AD1320">
        <v>108.204489</v>
      </c>
      <c r="AE1320" s="5">
        <f t="shared" si="101"/>
        <v>1.3575E-2</v>
      </c>
      <c r="AF1320" s="5">
        <f t="shared" si="102"/>
        <v>0.29718</v>
      </c>
      <c r="AG1320" s="1" t="str">
        <f>TRIM(LEFT(L1320,FIND("-",L1320)-1))</f>
        <v>TT1 Đà Nẵng</v>
      </c>
      <c r="AH1320" s="1" t="str">
        <f>TRIM(RIGHT(L1320, LEN(L1320) - FIND("-", L1320)))</f>
        <v>Cẩm Lệ</v>
      </c>
      <c r="AJ1320">
        <f t="shared" si="103"/>
        <v>9.0500000000000008E-3</v>
      </c>
      <c r="AK1320">
        <f t="shared" si="104"/>
        <v>0.19812000000000002</v>
      </c>
      <c r="AL1320">
        <f>VLOOKUP(L1320,'[1]Tuyến cáp H04'!$B:$E,3,0)/1000</f>
        <v>8.4979999999999993</v>
      </c>
      <c r="AM1320" t="str">
        <f>VLOOKUP(L1320,'[1]Tuyến cáp H04'!$B:$E,4,0)</f>
        <v>Mạng cấp 3</v>
      </c>
    </row>
    <row r="1321" spans="1:39" x14ac:dyDescent="0.25">
      <c r="A1321" s="1" t="s">
        <v>12718</v>
      </c>
      <c r="B1321" s="1" t="s">
        <v>10991</v>
      </c>
      <c r="C1321" s="1" t="s">
        <v>10992</v>
      </c>
      <c r="D1321" s="1" t="s">
        <v>12719</v>
      </c>
      <c r="E1321" s="1" t="s">
        <v>12720</v>
      </c>
      <c r="F1321" s="1" t="s">
        <v>12721</v>
      </c>
      <c r="G1321" s="1" t="s">
        <v>14281</v>
      </c>
      <c r="H1321" s="1" t="s">
        <v>14282</v>
      </c>
      <c r="I1321" s="1" t="s">
        <v>15419</v>
      </c>
      <c r="J1321" s="1" t="s">
        <v>23</v>
      </c>
      <c r="K1321" s="1"/>
      <c r="L1321" s="1" t="s">
        <v>11009</v>
      </c>
      <c r="M1321" s="1" t="s">
        <v>11009</v>
      </c>
      <c r="N1321" s="12" t="b">
        <f t="shared" si="100"/>
        <v>1</v>
      </c>
      <c r="O1321" s="1" t="s">
        <v>12722</v>
      </c>
      <c r="P1321" s="1" t="s">
        <v>12712</v>
      </c>
      <c r="Q1321" s="1" t="s">
        <v>12713</v>
      </c>
      <c r="R1321" s="1" t="s">
        <v>12714</v>
      </c>
      <c r="S1321" s="1" t="s">
        <v>12723</v>
      </c>
      <c r="T1321" s="1" t="s">
        <v>12724</v>
      </c>
      <c r="U1321" s="1" t="s">
        <v>12725</v>
      </c>
      <c r="V1321" s="13">
        <f>COUNTIF(L1321:$M$1659,L1321)</f>
        <v>2</v>
      </c>
      <c r="W1321" s="1" t="s">
        <v>11017</v>
      </c>
      <c r="X1321">
        <v>238.81</v>
      </c>
      <c r="Y1321">
        <v>9.0500000000000007</v>
      </c>
      <c r="Z1321">
        <v>16.016857999999999</v>
      </c>
      <c r="AA1321">
        <v>108.203554</v>
      </c>
      <c r="AB1321">
        <v>229.77</v>
      </c>
      <c r="AC1321">
        <v>16.018495999999999</v>
      </c>
      <c r="AD1321">
        <v>108.20739399999999</v>
      </c>
      <c r="AE1321" s="5">
        <f t="shared" si="101"/>
        <v>1.3575E-2</v>
      </c>
      <c r="AF1321" s="5">
        <f t="shared" si="102"/>
        <v>0.34465500000000004</v>
      </c>
      <c r="AG1321" s="1" t="str">
        <f>TRIM(LEFT(L1321,FIND("-",L1321)-1))</f>
        <v>TT1 Đà Nẵng</v>
      </c>
      <c r="AH1321" s="1" t="str">
        <f>TRIM(RIGHT(L1321, LEN(L1321) - FIND("-", L1321)))</f>
        <v>Cẩm Lệ</v>
      </c>
      <c r="AJ1321">
        <f t="shared" si="103"/>
        <v>9.0500000000000008E-3</v>
      </c>
      <c r="AK1321">
        <f t="shared" si="104"/>
        <v>0.22977</v>
      </c>
      <c r="AL1321">
        <f>VLOOKUP(L1321,'[1]Tuyến cáp H04'!$B:$E,3,0)/1000</f>
        <v>8.4979999999999993</v>
      </c>
      <c r="AM1321" t="str">
        <f>VLOOKUP(L1321,'[1]Tuyến cáp H04'!$B:$E,4,0)</f>
        <v>Mạng cấp 3</v>
      </c>
    </row>
    <row r="1322" spans="1:39" x14ac:dyDescent="0.25">
      <c r="A1322" s="1" t="s">
        <v>12726</v>
      </c>
      <c r="B1322" s="1" t="s">
        <v>10991</v>
      </c>
      <c r="C1322" s="1" t="s">
        <v>10992</v>
      </c>
      <c r="D1322" s="1" t="s">
        <v>12727</v>
      </c>
      <c r="E1322" s="1" t="s">
        <v>12728</v>
      </c>
      <c r="F1322" s="1" t="s">
        <v>12729</v>
      </c>
      <c r="G1322" s="1" t="s">
        <v>14281</v>
      </c>
      <c r="H1322" s="1" t="s">
        <v>14282</v>
      </c>
      <c r="I1322" s="1" t="s">
        <v>15420</v>
      </c>
      <c r="J1322" s="1" t="s">
        <v>23</v>
      </c>
      <c r="K1322" s="1"/>
      <c r="L1322" s="1" t="s">
        <v>11022</v>
      </c>
      <c r="M1322" s="1" t="s">
        <v>11022</v>
      </c>
      <c r="N1322" s="12" t="b">
        <f t="shared" si="100"/>
        <v>1</v>
      </c>
      <c r="O1322" s="1" t="s">
        <v>12730</v>
      </c>
      <c r="P1322" s="1" t="s">
        <v>11024</v>
      </c>
      <c r="Q1322" s="1" t="s">
        <v>11025</v>
      </c>
      <c r="R1322" s="1" t="s">
        <v>11026</v>
      </c>
      <c r="S1322" s="1" t="s">
        <v>12731</v>
      </c>
      <c r="T1322" s="1" t="s">
        <v>12732</v>
      </c>
      <c r="U1322" s="1" t="s">
        <v>12733</v>
      </c>
      <c r="V1322" s="13">
        <f>COUNTIF(L1322:$M$1659,L1322)</f>
        <v>8</v>
      </c>
      <c r="W1322" s="1" t="s">
        <v>11030</v>
      </c>
      <c r="X1322">
        <v>167.87</v>
      </c>
      <c r="Y1322">
        <v>2.15</v>
      </c>
      <c r="Z1322">
        <v>16.016921</v>
      </c>
      <c r="AA1322">
        <v>108.20348</v>
      </c>
      <c r="AB1322">
        <v>165.72</v>
      </c>
      <c r="AC1322">
        <v>16.004992999999999</v>
      </c>
      <c r="AD1322">
        <v>108.191183</v>
      </c>
      <c r="AE1322" s="5">
        <f t="shared" si="101"/>
        <v>3.2249999999999996E-3</v>
      </c>
      <c r="AF1322" s="5">
        <f t="shared" si="102"/>
        <v>0.24858</v>
      </c>
      <c r="AG1322" s="1" t="str">
        <f>TRIM(LEFT(L1322,FIND("-",L1322)-1))</f>
        <v>Hòa Xuân</v>
      </c>
      <c r="AH1322" s="1" t="str">
        <f>TRIM(RIGHT(L1322, LEN(L1322) - FIND("-", L1322)))</f>
        <v>TTKV Cẩm Lệ</v>
      </c>
      <c r="AJ1322">
        <f t="shared" si="103"/>
        <v>2.15E-3</v>
      </c>
      <c r="AK1322">
        <f t="shared" si="104"/>
        <v>0.16572000000000001</v>
      </c>
      <c r="AL1322" t="e">
        <f>VLOOKUP(L1322,'[1]Tuyến cáp H04'!$B:$E,3,0)/1000</f>
        <v>#N/A</v>
      </c>
      <c r="AM1322" t="e">
        <f>VLOOKUP(L1322,'[1]Tuyến cáp H04'!$B:$E,4,0)</f>
        <v>#N/A</v>
      </c>
    </row>
    <row r="1323" spans="1:39" x14ac:dyDescent="0.25">
      <c r="A1323" s="1" t="s">
        <v>12734</v>
      </c>
      <c r="B1323" s="1" t="s">
        <v>10991</v>
      </c>
      <c r="C1323" s="1" t="s">
        <v>10992</v>
      </c>
      <c r="D1323" s="1" t="s">
        <v>11665</v>
      </c>
      <c r="E1323" s="1" t="s">
        <v>11666</v>
      </c>
      <c r="F1323" s="1" t="s">
        <v>12735</v>
      </c>
      <c r="G1323" s="1"/>
      <c r="H1323" s="1" t="s">
        <v>14282</v>
      </c>
      <c r="I1323" s="1" t="s">
        <v>15421</v>
      </c>
      <c r="J1323" s="1" t="s">
        <v>23</v>
      </c>
      <c r="K1323" s="1"/>
      <c r="L1323" s="1" t="s">
        <v>11022</v>
      </c>
      <c r="M1323" s="1" t="s">
        <v>11022</v>
      </c>
      <c r="N1323" s="12" t="b">
        <f t="shared" si="100"/>
        <v>1</v>
      </c>
      <c r="O1323" s="1" t="s">
        <v>12736</v>
      </c>
      <c r="P1323" s="1" t="s">
        <v>11024</v>
      </c>
      <c r="Q1323" s="1" t="s">
        <v>11025</v>
      </c>
      <c r="R1323" s="1" t="s">
        <v>11026</v>
      </c>
      <c r="S1323" s="1" t="s">
        <v>11684</v>
      </c>
      <c r="T1323" s="1" t="s">
        <v>11685</v>
      </c>
      <c r="U1323" s="1" t="s">
        <v>11686</v>
      </c>
      <c r="V1323" s="13">
        <f>COUNTIF(L1323:$M$1659,L1323)</f>
        <v>6</v>
      </c>
      <c r="W1323" s="1" t="s">
        <v>11030</v>
      </c>
      <c r="X1323">
        <v>36.11</v>
      </c>
      <c r="Y1323">
        <v>2.15</v>
      </c>
      <c r="Z1323">
        <v>16.016921</v>
      </c>
      <c r="AA1323">
        <v>108.20348</v>
      </c>
      <c r="AB1323">
        <v>33.950000000000003</v>
      </c>
      <c r="AC1323">
        <v>16.011571</v>
      </c>
      <c r="AD1323">
        <v>108.197464</v>
      </c>
      <c r="AE1323" s="5">
        <f t="shared" si="101"/>
        <v>3.2249999999999996E-3</v>
      </c>
      <c r="AF1323" s="5">
        <f t="shared" si="102"/>
        <v>5.0925000000000005E-2</v>
      </c>
      <c r="AG1323" s="1" t="str">
        <f>TRIM(LEFT(L1323,FIND("-",L1323)-1))</f>
        <v>Hòa Xuân</v>
      </c>
      <c r="AH1323" s="1" t="str">
        <f>TRIM(RIGHT(L1323, LEN(L1323) - FIND("-", L1323)))</f>
        <v>TTKV Cẩm Lệ</v>
      </c>
      <c r="AJ1323">
        <f t="shared" si="103"/>
        <v>2.15E-3</v>
      </c>
      <c r="AK1323">
        <f t="shared" si="104"/>
        <v>3.3950000000000001E-2</v>
      </c>
      <c r="AL1323" t="e">
        <f>VLOOKUP(L1323,'[1]Tuyến cáp H04'!$B:$E,3,0)/1000</f>
        <v>#N/A</v>
      </c>
      <c r="AM1323" t="e">
        <f>VLOOKUP(L1323,'[1]Tuyến cáp H04'!$B:$E,4,0)</f>
        <v>#N/A</v>
      </c>
    </row>
    <row r="1324" spans="1:39" x14ac:dyDescent="0.25">
      <c r="A1324" s="1" t="s">
        <v>12737</v>
      </c>
      <c r="B1324" s="1" t="s">
        <v>11040</v>
      </c>
      <c r="C1324" s="1" t="s">
        <v>11041</v>
      </c>
      <c r="D1324" s="1" t="s">
        <v>12738</v>
      </c>
      <c r="E1324" s="1" t="s">
        <v>12739</v>
      </c>
      <c r="F1324" s="1" t="s">
        <v>12740</v>
      </c>
      <c r="G1324" s="1" t="s">
        <v>14281</v>
      </c>
      <c r="H1324" s="1" t="s">
        <v>14282</v>
      </c>
      <c r="I1324" s="1" t="s">
        <v>15422</v>
      </c>
      <c r="J1324" s="1" t="s">
        <v>23</v>
      </c>
      <c r="K1324" s="1"/>
      <c r="L1324" s="1" t="s">
        <v>11045</v>
      </c>
      <c r="M1324" s="1" t="s">
        <v>11045</v>
      </c>
      <c r="N1324" s="12" t="b">
        <f t="shared" si="100"/>
        <v>1</v>
      </c>
      <c r="O1324" s="1" t="s">
        <v>12741</v>
      </c>
      <c r="P1324" s="1" t="s">
        <v>11047</v>
      </c>
      <c r="Q1324" s="1" t="s">
        <v>11048</v>
      </c>
      <c r="R1324" s="1" t="s">
        <v>11049</v>
      </c>
      <c r="S1324" s="1" t="s">
        <v>12742</v>
      </c>
      <c r="T1324" s="1" t="s">
        <v>12743</v>
      </c>
      <c r="U1324" s="1" t="s">
        <v>12744</v>
      </c>
      <c r="V1324" s="13">
        <f>COUNTIF(L1324:$M$1659,L1324)</f>
        <v>12</v>
      </c>
      <c r="W1324" s="1" t="s">
        <v>11053</v>
      </c>
      <c r="X1324">
        <v>490.06</v>
      </c>
      <c r="Y1324">
        <v>27.45</v>
      </c>
      <c r="Z1324">
        <v>16.077317000000001</v>
      </c>
      <c r="AA1324">
        <v>108.21924799999999</v>
      </c>
      <c r="AB1324">
        <v>462.61</v>
      </c>
      <c r="AC1324">
        <v>16.059671999999999</v>
      </c>
      <c r="AD1324">
        <v>108.21110400000001</v>
      </c>
      <c r="AE1324" s="5">
        <f t="shared" si="101"/>
        <v>4.1174999999999996E-2</v>
      </c>
      <c r="AF1324" s="5">
        <f t="shared" si="102"/>
        <v>0.69391499999999995</v>
      </c>
      <c r="AG1324" s="1" t="e">
        <f>TRIM(LEFT(L1324,FIND("-",L1324)-1))</f>
        <v>#VALUE!</v>
      </c>
      <c r="AH1324" s="1" t="e">
        <f>TRIM(RIGHT(L1324, LEN(L1324) - FIND("-", L1324)))</f>
        <v>#VALUE!</v>
      </c>
      <c r="AJ1324">
        <f t="shared" si="103"/>
        <v>2.7449999999999999E-2</v>
      </c>
      <c r="AK1324">
        <f t="shared" si="104"/>
        <v>0.46261000000000002</v>
      </c>
      <c r="AL1324" t="e">
        <f>VLOOKUP(L1324,'[1]Tuyến cáp H04'!$B:$E,3,0)/1000</f>
        <v>#N/A</v>
      </c>
      <c r="AM1324" t="e">
        <f>VLOOKUP(L1324,'[1]Tuyến cáp H04'!$B:$E,4,0)</f>
        <v>#N/A</v>
      </c>
    </row>
    <row r="1325" spans="1:39" x14ac:dyDescent="0.25">
      <c r="A1325" s="1" t="s">
        <v>12745</v>
      </c>
      <c r="B1325" s="1" t="s">
        <v>11040</v>
      </c>
      <c r="C1325" s="1" t="s">
        <v>11041</v>
      </c>
      <c r="D1325" s="1" t="s">
        <v>12746</v>
      </c>
      <c r="E1325" s="1" t="s">
        <v>12747</v>
      </c>
      <c r="F1325" s="1" t="s">
        <v>12748</v>
      </c>
      <c r="G1325" s="1" t="s">
        <v>14281</v>
      </c>
      <c r="H1325" s="1" t="s">
        <v>14282</v>
      </c>
      <c r="I1325" s="1" t="s">
        <v>15423</v>
      </c>
      <c r="J1325" s="1" t="s">
        <v>23</v>
      </c>
      <c r="K1325" s="1"/>
      <c r="L1325" s="1" t="s">
        <v>11098</v>
      </c>
      <c r="M1325" s="1" t="s">
        <v>11098</v>
      </c>
      <c r="N1325" s="12" t="b">
        <f t="shared" si="100"/>
        <v>1</v>
      </c>
      <c r="O1325" s="1" t="s">
        <v>12749</v>
      </c>
      <c r="P1325" s="1" t="s">
        <v>12750</v>
      </c>
      <c r="Q1325" s="1" t="s">
        <v>12751</v>
      </c>
      <c r="R1325" s="1" t="s">
        <v>12752</v>
      </c>
      <c r="S1325" s="1" t="s">
        <v>12753</v>
      </c>
      <c r="T1325" s="1" t="s">
        <v>12754</v>
      </c>
      <c r="U1325" s="1" t="s">
        <v>12755</v>
      </c>
      <c r="V1325" s="13">
        <f>COUNTIF(L1325:$M$1659,L1325)</f>
        <v>6</v>
      </c>
      <c r="W1325" s="1" t="s">
        <v>12756</v>
      </c>
      <c r="X1325">
        <v>420.32</v>
      </c>
      <c r="Y1325">
        <v>3.82</v>
      </c>
      <c r="Z1325">
        <v>16.077577999999999</v>
      </c>
      <c r="AA1325">
        <v>108.21923099999999</v>
      </c>
      <c r="AB1325">
        <v>416.5</v>
      </c>
      <c r="AC1325">
        <v>16.061254000000002</v>
      </c>
      <c r="AD1325">
        <v>108.21955699999999</v>
      </c>
      <c r="AE1325" s="5">
        <f t="shared" si="101"/>
        <v>5.7299999999999999E-3</v>
      </c>
      <c r="AF1325" s="5">
        <f t="shared" si="102"/>
        <v>0.62475000000000003</v>
      </c>
      <c r="AG1325" s="1" t="str">
        <f>TRIM(LEFT(L1325,FIND("-",L1325)-1))</f>
        <v>Hòa Vang</v>
      </c>
      <c r="AH1325" s="1" t="str">
        <f>TRIM(RIGHT(L1325, LEN(L1325) - FIND("-", L1325)))</f>
        <v>TT1 Đà Nẵng</v>
      </c>
      <c r="AJ1325">
        <f t="shared" si="103"/>
        <v>3.82E-3</v>
      </c>
      <c r="AK1325">
        <f t="shared" si="104"/>
        <v>0.41649999999999998</v>
      </c>
      <c r="AL1325">
        <f>VLOOKUP(L1325,'[1]Tuyến cáp H04'!$B:$E,3,0)/1000</f>
        <v>17.654</v>
      </c>
      <c r="AM1325" t="str">
        <f>VLOOKUP(L1325,'[1]Tuyến cáp H04'!$B:$E,4,0)</f>
        <v>Mạng cấp 3</v>
      </c>
    </row>
    <row r="1326" spans="1:39" x14ac:dyDescent="0.25">
      <c r="A1326" s="1" t="s">
        <v>12757</v>
      </c>
      <c r="B1326" s="1" t="s">
        <v>11040</v>
      </c>
      <c r="C1326" s="1" t="s">
        <v>11041</v>
      </c>
      <c r="D1326" s="1" t="s">
        <v>12758</v>
      </c>
      <c r="E1326" s="1" t="s">
        <v>12759</v>
      </c>
      <c r="F1326" s="1" t="s">
        <v>12760</v>
      </c>
      <c r="G1326" s="1" t="s">
        <v>14281</v>
      </c>
      <c r="H1326" s="1" t="s">
        <v>14282</v>
      </c>
      <c r="I1326" s="1" t="s">
        <v>15424</v>
      </c>
      <c r="J1326" s="1" t="s">
        <v>23</v>
      </c>
      <c r="K1326" s="1"/>
      <c r="L1326" s="1" t="s">
        <v>11166</v>
      </c>
      <c r="M1326" s="1" t="s">
        <v>11166</v>
      </c>
      <c r="N1326" s="12" t="b">
        <f t="shared" si="100"/>
        <v>1</v>
      </c>
      <c r="O1326" s="1" t="s">
        <v>12761</v>
      </c>
      <c r="P1326" s="1" t="s">
        <v>12762</v>
      </c>
      <c r="Q1326" s="1" t="s">
        <v>12763</v>
      </c>
      <c r="R1326" s="1" t="s">
        <v>12764</v>
      </c>
      <c r="S1326" s="1" t="s">
        <v>12765</v>
      </c>
      <c r="T1326" s="1" t="s">
        <v>12766</v>
      </c>
      <c r="U1326" s="1" t="s">
        <v>12767</v>
      </c>
      <c r="V1326" s="13">
        <f>COUNTIF(L1326:$M$1659,L1326)</f>
        <v>12</v>
      </c>
      <c r="W1326" s="1" t="s">
        <v>11174</v>
      </c>
      <c r="X1326">
        <v>222.1</v>
      </c>
      <c r="Y1326">
        <v>8.34</v>
      </c>
      <c r="Z1326">
        <v>16.077586</v>
      </c>
      <c r="AA1326">
        <v>108.219273</v>
      </c>
      <c r="AB1326">
        <v>213.76</v>
      </c>
      <c r="AC1326">
        <v>16.072686999999998</v>
      </c>
      <c r="AD1326">
        <v>108.20998400000001</v>
      </c>
      <c r="AE1326" s="5">
        <f t="shared" si="101"/>
        <v>1.251E-2</v>
      </c>
      <c r="AF1326" s="5">
        <f t="shared" si="102"/>
        <v>0.32063999999999998</v>
      </c>
      <c r="AG1326" s="1" t="str">
        <f>TRIM(LEFT(L1326,FIND("-",L1326)-1))</f>
        <v>TT1 Đà Nẵng</v>
      </c>
      <c r="AH1326" s="1" t="str">
        <f>TRIM(RIGHT(L1326, LEN(L1326) - FIND("-", L1326)))</f>
        <v>Hải Vân</v>
      </c>
      <c r="AJ1326">
        <f t="shared" si="103"/>
        <v>8.3400000000000002E-3</v>
      </c>
      <c r="AK1326">
        <f t="shared" si="104"/>
        <v>0.21375999999999998</v>
      </c>
      <c r="AL1326">
        <f>VLOOKUP(L1326,'[1]Tuyến cáp H04'!$B:$E,3,0)/1000</f>
        <v>14.76</v>
      </c>
      <c r="AM1326" t="str">
        <f>VLOOKUP(L1326,'[1]Tuyến cáp H04'!$B:$E,4,0)</f>
        <v>Mạng cấp 4</v>
      </c>
    </row>
    <row r="1327" spans="1:39" x14ac:dyDescent="0.25">
      <c r="A1327" s="1" t="s">
        <v>12768</v>
      </c>
      <c r="B1327" s="1" t="s">
        <v>11040</v>
      </c>
      <c r="C1327" s="1" t="s">
        <v>11041</v>
      </c>
      <c r="D1327" s="1" t="s">
        <v>12769</v>
      </c>
      <c r="E1327" s="1" t="s">
        <v>12770</v>
      </c>
      <c r="F1327" s="1" t="s">
        <v>12771</v>
      </c>
      <c r="G1327" s="1" t="s">
        <v>14281</v>
      </c>
      <c r="H1327" s="1" t="s">
        <v>14282</v>
      </c>
      <c r="I1327" s="1" t="s">
        <v>15425</v>
      </c>
      <c r="J1327" s="1" t="s">
        <v>23</v>
      </c>
      <c r="K1327" s="1"/>
      <c r="L1327" s="1" t="s">
        <v>12772</v>
      </c>
      <c r="M1327" s="1" t="s">
        <v>12772</v>
      </c>
      <c r="N1327" s="12" t="b">
        <f t="shared" si="100"/>
        <v>1</v>
      </c>
      <c r="O1327" s="1" t="s">
        <v>12773</v>
      </c>
      <c r="P1327" s="1" t="s">
        <v>12774</v>
      </c>
      <c r="Q1327" s="1" t="s">
        <v>12775</v>
      </c>
      <c r="R1327" s="1" t="s">
        <v>12776</v>
      </c>
      <c r="S1327" s="1" t="s">
        <v>12777</v>
      </c>
      <c r="T1327" s="1" t="s">
        <v>12778</v>
      </c>
      <c r="U1327" s="1" t="s">
        <v>12779</v>
      </c>
      <c r="V1327" s="13">
        <f>COUNTIF(L1327:$M$1659,L1327)</f>
        <v>2</v>
      </c>
      <c r="W1327" s="1" t="s">
        <v>12780</v>
      </c>
      <c r="X1327">
        <v>304.75</v>
      </c>
      <c r="Y1327">
        <v>158.28</v>
      </c>
      <c r="Z1327">
        <v>16.077041000000001</v>
      </c>
      <c r="AA1327">
        <v>108.217821</v>
      </c>
      <c r="AB1327">
        <v>146.47</v>
      </c>
      <c r="AC1327">
        <v>16.071300999999998</v>
      </c>
      <c r="AD1327">
        <v>108.211493</v>
      </c>
      <c r="AE1327" s="5">
        <f t="shared" si="101"/>
        <v>0.23742000000000002</v>
      </c>
      <c r="AF1327" s="5">
        <f t="shared" si="102"/>
        <v>0.21970499999999998</v>
      </c>
      <c r="AG1327" s="1" t="str">
        <f>TRIM(LEFT(L1327,FIND("-",L1327)-1))</f>
        <v>C08</v>
      </c>
      <c r="AH1327" s="1" t="str">
        <f>TRIM(RIGHT(L1327, LEN(L1327) - FIND("-", L1327)))</f>
        <v>TTV2</v>
      </c>
      <c r="AJ1327">
        <f t="shared" si="103"/>
        <v>0.15828</v>
      </c>
      <c r="AK1327">
        <f t="shared" si="104"/>
        <v>0.14646999999999999</v>
      </c>
      <c r="AL1327" t="e">
        <f>VLOOKUP(L1327,'[1]Tuyến cáp H04'!$B:$E,3,0)/1000</f>
        <v>#N/A</v>
      </c>
      <c r="AM1327" t="e">
        <f>VLOOKUP(L1327,'[1]Tuyến cáp H04'!$B:$E,4,0)</f>
        <v>#N/A</v>
      </c>
    </row>
    <row r="1328" spans="1:39" x14ac:dyDescent="0.25">
      <c r="A1328" s="1" t="s">
        <v>12781</v>
      </c>
      <c r="B1328" s="1" t="s">
        <v>11040</v>
      </c>
      <c r="C1328" s="1" t="s">
        <v>11041</v>
      </c>
      <c r="D1328" s="1" t="s">
        <v>12782</v>
      </c>
      <c r="E1328" s="1" t="s">
        <v>12783</v>
      </c>
      <c r="F1328" s="1" t="s">
        <v>12784</v>
      </c>
      <c r="G1328" s="1" t="s">
        <v>14281</v>
      </c>
      <c r="H1328" s="1" t="s">
        <v>14282</v>
      </c>
      <c r="I1328" s="1" t="s">
        <v>15426</v>
      </c>
      <c r="J1328" s="1" t="s">
        <v>23</v>
      </c>
      <c r="K1328" s="1"/>
      <c r="L1328" s="1" t="s">
        <v>12173</v>
      </c>
      <c r="M1328" s="1" t="s">
        <v>12173</v>
      </c>
      <c r="N1328" s="12" t="b">
        <f t="shared" si="100"/>
        <v>1</v>
      </c>
      <c r="O1328" s="1" t="s">
        <v>12785</v>
      </c>
      <c r="P1328" s="1" t="s">
        <v>12786</v>
      </c>
      <c r="Q1328" s="1" t="s">
        <v>12787</v>
      </c>
      <c r="R1328" s="1" t="s">
        <v>12752</v>
      </c>
      <c r="S1328" s="1" t="s">
        <v>12788</v>
      </c>
      <c r="T1328" s="1" t="s">
        <v>12789</v>
      </c>
      <c r="U1328" s="1" t="s">
        <v>12790</v>
      </c>
      <c r="V1328" s="13">
        <f>COUNTIF(L1328:$M$1659,L1328)</f>
        <v>8</v>
      </c>
      <c r="W1328" s="1" t="s">
        <v>12181</v>
      </c>
      <c r="X1328">
        <v>136.51</v>
      </c>
      <c r="Y1328">
        <v>6.64</v>
      </c>
      <c r="Z1328">
        <v>16.077611999999998</v>
      </c>
      <c r="AA1328">
        <v>108.21923099999999</v>
      </c>
      <c r="AB1328">
        <v>129.87</v>
      </c>
      <c r="AC1328">
        <v>16.071611999999998</v>
      </c>
      <c r="AD1328">
        <v>108.20477</v>
      </c>
      <c r="AE1328" s="5">
        <f t="shared" si="101"/>
        <v>9.9599999999999984E-3</v>
      </c>
      <c r="AF1328" s="5">
        <f t="shared" si="102"/>
        <v>0.19480500000000001</v>
      </c>
      <c r="AG1328" s="1" t="str">
        <f>TRIM(LEFT(L1328,FIND("-",L1328)-1))</f>
        <v>Thanh Khê</v>
      </c>
      <c r="AH1328" s="1" t="str">
        <f>TRIM(RIGHT(L1328, LEN(L1328) - FIND("-", L1328)))</f>
        <v>TT1 Đà Nẵng</v>
      </c>
      <c r="AJ1328">
        <f t="shared" si="103"/>
        <v>6.6400000000000001E-3</v>
      </c>
      <c r="AK1328">
        <f t="shared" si="104"/>
        <v>0.12987000000000001</v>
      </c>
      <c r="AL1328" t="e">
        <f>VLOOKUP(L1328,'[1]Tuyến cáp H04'!$B:$E,3,0)/1000</f>
        <v>#N/A</v>
      </c>
      <c r="AM1328" t="e">
        <f>VLOOKUP(L1328,'[1]Tuyến cáp H04'!$B:$E,4,0)</f>
        <v>#N/A</v>
      </c>
    </row>
    <row r="1329" spans="1:39" x14ac:dyDescent="0.25">
      <c r="A1329" s="1" t="s">
        <v>12791</v>
      </c>
      <c r="B1329" s="1" t="s">
        <v>11040</v>
      </c>
      <c r="C1329" s="1" t="s">
        <v>11041</v>
      </c>
      <c r="D1329" s="1" t="s">
        <v>12792</v>
      </c>
      <c r="E1329" s="1" t="s">
        <v>12793</v>
      </c>
      <c r="F1329" s="1" t="s">
        <v>12794</v>
      </c>
      <c r="G1329" s="1" t="s">
        <v>14281</v>
      </c>
      <c r="H1329" s="1" t="s">
        <v>14282</v>
      </c>
      <c r="I1329" s="1" t="s">
        <v>15427</v>
      </c>
      <c r="J1329" s="1" t="s">
        <v>23</v>
      </c>
      <c r="K1329" s="1"/>
      <c r="L1329" s="1" t="s">
        <v>12173</v>
      </c>
      <c r="M1329" s="1" t="s">
        <v>12173</v>
      </c>
      <c r="N1329" s="12" t="b">
        <f t="shared" si="100"/>
        <v>1</v>
      </c>
      <c r="O1329" s="1" t="s">
        <v>12795</v>
      </c>
      <c r="P1329" s="1" t="s">
        <v>12786</v>
      </c>
      <c r="Q1329" s="1" t="s">
        <v>12787</v>
      </c>
      <c r="R1329" s="1" t="s">
        <v>12752</v>
      </c>
      <c r="S1329" s="1" t="s">
        <v>12796</v>
      </c>
      <c r="T1329" s="1" t="s">
        <v>12797</v>
      </c>
      <c r="U1329" s="1" t="s">
        <v>12798</v>
      </c>
      <c r="V1329" s="13">
        <f>COUNTIF(L1329:$M$1659,L1329)</f>
        <v>6</v>
      </c>
      <c r="W1329" s="1" t="s">
        <v>12181</v>
      </c>
      <c r="X1329">
        <v>37.57</v>
      </c>
      <c r="Y1329">
        <v>6.64</v>
      </c>
      <c r="Z1329">
        <v>16.077611999999998</v>
      </c>
      <c r="AA1329">
        <v>108.21923099999999</v>
      </c>
      <c r="AB1329">
        <v>30.94</v>
      </c>
      <c r="AC1329">
        <v>16.076633999999999</v>
      </c>
      <c r="AD1329">
        <v>108.21962499999999</v>
      </c>
      <c r="AE1329" s="5">
        <f t="shared" si="101"/>
        <v>9.9599999999999984E-3</v>
      </c>
      <c r="AF1329" s="5">
        <f t="shared" si="102"/>
        <v>4.6410000000000007E-2</v>
      </c>
      <c r="AG1329" s="1" t="str">
        <f>TRIM(LEFT(L1329,FIND("-",L1329)-1))</f>
        <v>Thanh Khê</v>
      </c>
      <c r="AH1329" s="1" t="str">
        <f>TRIM(RIGHT(L1329, LEN(L1329) - FIND("-", L1329)))</f>
        <v>TT1 Đà Nẵng</v>
      </c>
      <c r="AJ1329">
        <f t="shared" si="103"/>
        <v>6.6400000000000001E-3</v>
      </c>
      <c r="AK1329">
        <f t="shared" si="104"/>
        <v>3.0940000000000002E-2</v>
      </c>
      <c r="AL1329" t="e">
        <f>VLOOKUP(L1329,'[1]Tuyến cáp H04'!$B:$E,3,0)/1000</f>
        <v>#N/A</v>
      </c>
      <c r="AM1329" t="e">
        <f>VLOOKUP(L1329,'[1]Tuyến cáp H04'!$B:$E,4,0)</f>
        <v>#N/A</v>
      </c>
    </row>
    <row r="1330" spans="1:39" x14ac:dyDescent="0.25">
      <c r="A1330" s="1" t="s">
        <v>12799</v>
      </c>
      <c r="B1330" s="1" t="s">
        <v>11040</v>
      </c>
      <c r="C1330" s="1" t="s">
        <v>11041</v>
      </c>
      <c r="D1330" s="1" t="s">
        <v>12800</v>
      </c>
      <c r="E1330" s="1" t="s">
        <v>12801</v>
      </c>
      <c r="F1330" s="1" t="s">
        <v>12802</v>
      </c>
      <c r="G1330" s="1" t="s">
        <v>14281</v>
      </c>
      <c r="H1330" s="1" t="s">
        <v>14282</v>
      </c>
      <c r="I1330" s="1" t="s">
        <v>15428</v>
      </c>
      <c r="J1330" s="1" t="s">
        <v>23</v>
      </c>
      <c r="K1330" s="1"/>
      <c r="L1330" s="1" t="s">
        <v>11146</v>
      </c>
      <c r="M1330" s="1" t="s">
        <v>11146</v>
      </c>
      <c r="N1330" s="12" t="b">
        <f t="shared" si="100"/>
        <v>1</v>
      </c>
      <c r="O1330" s="1" t="s">
        <v>12803</v>
      </c>
      <c r="P1330" s="1" t="s">
        <v>12804</v>
      </c>
      <c r="Q1330" s="1" t="s">
        <v>12805</v>
      </c>
      <c r="R1330" s="1" t="s">
        <v>12806</v>
      </c>
      <c r="S1330" s="1" t="s">
        <v>12807</v>
      </c>
      <c r="T1330" s="1" t="s">
        <v>12808</v>
      </c>
      <c r="U1330" s="1" t="s">
        <v>12809</v>
      </c>
      <c r="V1330" s="13">
        <f>COUNTIF(L1330:$M$1659,L1330)</f>
        <v>8</v>
      </c>
      <c r="W1330" s="1" t="s">
        <v>12168</v>
      </c>
      <c r="X1330">
        <v>336.26</v>
      </c>
      <c r="Y1330">
        <v>26.76</v>
      </c>
      <c r="Z1330">
        <v>16.077608999999999</v>
      </c>
      <c r="AA1330">
        <v>108.21944499999999</v>
      </c>
      <c r="AB1330">
        <v>309.5</v>
      </c>
      <c r="AC1330">
        <v>16.079284000000001</v>
      </c>
      <c r="AD1330">
        <v>108.212947</v>
      </c>
      <c r="AE1330" s="5">
        <f t="shared" si="101"/>
        <v>4.0140000000000002E-2</v>
      </c>
      <c r="AF1330" s="5">
        <f t="shared" si="102"/>
        <v>0.46425</v>
      </c>
      <c r="AG1330" s="1" t="str">
        <f>TRIM(LEFT(L1330,FIND("-",L1330)-1))</f>
        <v>TT1 Đà Nẵng</v>
      </c>
      <c r="AH1330" s="1" t="str">
        <f>TRIM(RIGHT(L1330, LEN(L1330) - FIND("-", L1330)))</f>
        <v>Liên Chiểu</v>
      </c>
      <c r="AJ1330">
        <f t="shared" si="103"/>
        <v>2.6760000000000003E-2</v>
      </c>
      <c r="AK1330">
        <f t="shared" si="104"/>
        <v>0.3095</v>
      </c>
      <c r="AL1330">
        <f>VLOOKUP(L1330,'[1]Tuyến cáp H04'!$B:$E,3,0)/1000</f>
        <v>9.8698999999999995</v>
      </c>
      <c r="AM1330" t="str">
        <f>VLOOKUP(L1330,'[1]Tuyến cáp H04'!$B:$E,4,0)</f>
        <v>Mạng cấp 3</v>
      </c>
    </row>
    <row r="1331" spans="1:39" x14ac:dyDescent="0.25">
      <c r="A1331" s="1" t="s">
        <v>12810</v>
      </c>
      <c r="B1331" s="1" t="s">
        <v>11081</v>
      </c>
      <c r="C1331" s="1" t="s">
        <v>11082</v>
      </c>
      <c r="D1331" s="1" t="s">
        <v>12811</v>
      </c>
      <c r="E1331" s="1" t="s">
        <v>12812</v>
      </c>
      <c r="F1331" s="1" t="s">
        <v>12813</v>
      </c>
      <c r="G1331" s="1" t="s">
        <v>14281</v>
      </c>
      <c r="H1331" s="1" t="s">
        <v>14282</v>
      </c>
      <c r="I1331" s="1" t="s">
        <v>15429</v>
      </c>
      <c r="J1331" s="1" t="s">
        <v>23</v>
      </c>
      <c r="K1331" s="1"/>
      <c r="L1331" s="1" t="s">
        <v>11098</v>
      </c>
      <c r="M1331" s="1" t="s">
        <v>11098</v>
      </c>
      <c r="N1331" s="12" t="b">
        <f t="shared" si="100"/>
        <v>1</v>
      </c>
      <c r="O1331" s="1" t="s">
        <v>12814</v>
      </c>
      <c r="P1331" s="1" t="s">
        <v>11100</v>
      </c>
      <c r="Q1331" s="1" t="s">
        <v>11101</v>
      </c>
      <c r="R1331" s="1" t="s">
        <v>11102</v>
      </c>
      <c r="S1331" s="1" t="s">
        <v>12815</v>
      </c>
      <c r="T1331" s="1" t="s">
        <v>12816</v>
      </c>
      <c r="U1331" s="1" t="s">
        <v>12817</v>
      </c>
      <c r="V1331" s="13">
        <f>COUNTIF(L1331:$M$1659,L1331)</f>
        <v>4</v>
      </c>
      <c r="W1331" s="1" t="s">
        <v>11106</v>
      </c>
      <c r="X1331">
        <v>1486.53</v>
      </c>
      <c r="Y1331">
        <v>1240.6099999999999</v>
      </c>
      <c r="Z1331">
        <v>15.997909</v>
      </c>
      <c r="AA1331">
        <v>108.145731</v>
      </c>
      <c r="AB1331">
        <v>245.92</v>
      </c>
      <c r="AC1331">
        <v>16.011703000000001</v>
      </c>
      <c r="AD1331">
        <v>108.173788</v>
      </c>
      <c r="AE1331" s="5">
        <f t="shared" si="101"/>
        <v>1.8609149999999999</v>
      </c>
      <c r="AF1331" s="5">
        <f t="shared" si="102"/>
        <v>0.36887999999999999</v>
      </c>
      <c r="AG1331" s="1" t="str">
        <f>TRIM(LEFT(L1331,FIND("-",L1331)-1))</f>
        <v>Hòa Vang</v>
      </c>
      <c r="AH1331" s="1" t="str">
        <f>TRIM(RIGHT(L1331, LEN(L1331) - FIND("-", L1331)))</f>
        <v>TT1 Đà Nẵng</v>
      </c>
      <c r="AJ1331">
        <f t="shared" si="103"/>
        <v>1.24061</v>
      </c>
      <c r="AK1331">
        <f t="shared" si="104"/>
        <v>0.24592</v>
      </c>
      <c r="AL1331">
        <f>VLOOKUP(L1331,'[1]Tuyến cáp H04'!$B:$E,3,0)/1000</f>
        <v>17.654</v>
      </c>
      <c r="AM1331" t="str">
        <f>VLOOKUP(L1331,'[1]Tuyến cáp H04'!$B:$E,4,0)</f>
        <v>Mạng cấp 3</v>
      </c>
    </row>
    <row r="1332" spans="1:39" x14ac:dyDescent="0.25">
      <c r="A1332" s="1" t="s">
        <v>12818</v>
      </c>
      <c r="B1332" s="1" t="s">
        <v>11081</v>
      </c>
      <c r="C1332" s="1" t="s">
        <v>11082</v>
      </c>
      <c r="D1332" s="1" t="s">
        <v>12819</v>
      </c>
      <c r="E1332" s="1" t="s">
        <v>12820</v>
      </c>
      <c r="F1332" s="1" t="s">
        <v>12821</v>
      </c>
      <c r="G1332" s="1" t="s">
        <v>14281</v>
      </c>
      <c r="H1332" s="1" t="s">
        <v>14282</v>
      </c>
      <c r="I1332" s="1" t="s">
        <v>15430</v>
      </c>
      <c r="J1332" s="1" t="s">
        <v>23</v>
      </c>
      <c r="K1332" s="1"/>
      <c r="L1332" s="1" t="s">
        <v>12822</v>
      </c>
      <c r="M1332" s="1" t="s">
        <v>12822</v>
      </c>
      <c r="N1332" s="12" t="b">
        <f t="shared" si="100"/>
        <v>1</v>
      </c>
      <c r="O1332" s="1" t="s">
        <v>12823</v>
      </c>
      <c r="P1332" s="1" t="s">
        <v>12824</v>
      </c>
      <c r="Q1332" s="1" t="s">
        <v>12825</v>
      </c>
      <c r="R1332" s="1" t="s">
        <v>12826</v>
      </c>
      <c r="S1332" s="1" t="s">
        <v>12827</v>
      </c>
      <c r="T1332" s="1" t="s">
        <v>12828</v>
      </c>
      <c r="U1332" s="1" t="s">
        <v>12829</v>
      </c>
      <c r="V1332" s="13">
        <f>COUNTIF(L1332:$M$1659,L1332)</f>
        <v>8</v>
      </c>
      <c r="W1332" s="1" t="s">
        <v>12830</v>
      </c>
      <c r="X1332">
        <v>8293.39</v>
      </c>
      <c r="Y1332">
        <v>13.23</v>
      </c>
      <c r="Z1332">
        <v>15.987992</v>
      </c>
      <c r="AA1332">
        <v>108.140253</v>
      </c>
      <c r="AB1332">
        <v>8280.15</v>
      </c>
      <c r="AC1332">
        <v>16.028784999999999</v>
      </c>
      <c r="AD1332">
        <v>108.11478</v>
      </c>
      <c r="AE1332" s="5">
        <f t="shared" si="101"/>
        <v>1.9844999999999998E-2</v>
      </c>
      <c r="AF1332" s="5">
        <f t="shared" si="102"/>
        <v>12.420224999999999</v>
      </c>
      <c r="AG1332" s="1" t="str">
        <f>TRIM(LEFT(L1332,FIND("-",L1332)-1))</f>
        <v>Liên Chiểu</v>
      </c>
      <c r="AH1332" s="1" t="str">
        <f>TRIM(RIGHT(L1332, LEN(L1332) - FIND("-", L1332)))</f>
        <v>Hòa Vang</v>
      </c>
      <c r="AJ1332">
        <f t="shared" si="103"/>
        <v>1.323E-2</v>
      </c>
      <c r="AK1332">
        <f t="shared" si="104"/>
        <v>8.280149999999999</v>
      </c>
      <c r="AL1332">
        <f>VLOOKUP(L1332,'[1]Tuyến cáp H04'!$B:$E,3,0)/1000</f>
        <v>15.87</v>
      </c>
      <c r="AM1332" t="str">
        <f>VLOOKUP(L1332,'[1]Tuyến cáp H04'!$B:$E,4,0)</f>
        <v>Mạng cấp 3</v>
      </c>
    </row>
    <row r="1333" spans="1:39" x14ac:dyDescent="0.25">
      <c r="A1333" s="1" t="s">
        <v>12831</v>
      </c>
      <c r="B1333" s="1" t="s">
        <v>11081</v>
      </c>
      <c r="C1333" s="1" t="s">
        <v>11082</v>
      </c>
      <c r="D1333" s="1" t="s">
        <v>12832</v>
      </c>
      <c r="E1333" s="1" t="s">
        <v>12833</v>
      </c>
      <c r="F1333" s="1" t="s">
        <v>12834</v>
      </c>
      <c r="G1333" s="1" t="s">
        <v>14281</v>
      </c>
      <c r="H1333" s="1" t="s">
        <v>14282</v>
      </c>
      <c r="I1333" s="1" t="s">
        <v>15431</v>
      </c>
      <c r="J1333" s="1" t="s">
        <v>23</v>
      </c>
      <c r="K1333" s="1"/>
      <c r="L1333" s="1" t="s">
        <v>12822</v>
      </c>
      <c r="M1333" s="1" t="s">
        <v>12822</v>
      </c>
      <c r="N1333" s="12" t="b">
        <f t="shared" si="100"/>
        <v>1</v>
      </c>
      <c r="O1333" s="1" t="s">
        <v>12835</v>
      </c>
      <c r="P1333" s="1" t="s">
        <v>12824</v>
      </c>
      <c r="Q1333" s="1" t="s">
        <v>12825</v>
      </c>
      <c r="R1333" s="1" t="s">
        <v>12826</v>
      </c>
      <c r="S1333" s="1" t="s">
        <v>12836</v>
      </c>
      <c r="T1333" s="1" t="s">
        <v>12837</v>
      </c>
      <c r="U1333" s="1" t="s">
        <v>12838</v>
      </c>
      <c r="V1333" s="13">
        <f>COUNTIF(L1333:$M$1659,L1333)</f>
        <v>6</v>
      </c>
      <c r="W1333" s="1" t="s">
        <v>12830</v>
      </c>
      <c r="X1333">
        <v>1222.31</v>
      </c>
      <c r="Y1333">
        <v>13.23</v>
      </c>
      <c r="Z1333">
        <v>15.987992</v>
      </c>
      <c r="AA1333">
        <v>108.140253</v>
      </c>
      <c r="AB1333">
        <v>1209.07</v>
      </c>
      <c r="AC1333">
        <v>16.005427999999998</v>
      </c>
      <c r="AD1333">
        <v>108.13575899999999</v>
      </c>
      <c r="AE1333" s="5">
        <f t="shared" si="101"/>
        <v>1.9844999999999998E-2</v>
      </c>
      <c r="AF1333" s="5">
        <f t="shared" si="102"/>
        <v>1.8136049999999999</v>
      </c>
      <c r="AG1333" s="1" t="str">
        <f>TRIM(LEFT(L1333,FIND("-",L1333)-1))</f>
        <v>Liên Chiểu</v>
      </c>
      <c r="AH1333" s="1" t="str">
        <f>TRIM(RIGHT(L1333, LEN(L1333) - FIND("-", L1333)))</f>
        <v>Hòa Vang</v>
      </c>
      <c r="AJ1333">
        <f t="shared" si="103"/>
        <v>1.323E-2</v>
      </c>
      <c r="AK1333">
        <f t="shared" si="104"/>
        <v>1.2090699999999999</v>
      </c>
      <c r="AL1333">
        <f>VLOOKUP(L1333,'[1]Tuyến cáp H04'!$B:$E,3,0)/1000</f>
        <v>15.87</v>
      </c>
      <c r="AM1333" t="str">
        <f>VLOOKUP(L1333,'[1]Tuyến cáp H04'!$B:$E,4,0)</f>
        <v>Mạng cấp 3</v>
      </c>
    </row>
    <row r="1334" spans="1:39" x14ac:dyDescent="0.25">
      <c r="A1334" s="1" t="s">
        <v>12839</v>
      </c>
      <c r="B1334" s="1" t="s">
        <v>11081</v>
      </c>
      <c r="C1334" s="1" t="s">
        <v>11082</v>
      </c>
      <c r="D1334" s="1" t="s">
        <v>12840</v>
      </c>
      <c r="E1334" s="1" t="s">
        <v>12841</v>
      </c>
      <c r="F1334" s="1" t="s">
        <v>12842</v>
      </c>
      <c r="G1334" s="1" t="s">
        <v>14281</v>
      </c>
      <c r="H1334" s="1" t="s">
        <v>14282</v>
      </c>
      <c r="I1334" s="1" t="s">
        <v>15432</v>
      </c>
      <c r="J1334" s="1" t="s">
        <v>23</v>
      </c>
      <c r="K1334" s="1"/>
      <c r="L1334" s="1" t="s">
        <v>11111</v>
      </c>
      <c r="M1334" s="1" t="s">
        <v>11111</v>
      </c>
      <c r="N1334" s="12" t="b">
        <f t="shared" si="100"/>
        <v>1</v>
      </c>
      <c r="O1334" s="1" t="s">
        <v>12843</v>
      </c>
      <c r="P1334" s="1" t="s">
        <v>11113</v>
      </c>
      <c r="Q1334" s="1" t="s">
        <v>11114</v>
      </c>
      <c r="R1334" s="1" t="s">
        <v>11115</v>
      </c>
      <c r="S1334" s="1" t="s">
        <v>12844</v>
      </c>
      <c r="T1334" s="1" t="s">
        <v>12845</v>
      </c>
      <c r="U1334" s="1" t="s">
        <v>12846</v>
      </c>
      <c r="V1334" s="13">
        <f>COUNTIF(L1334:$M$1659,L1334)</f>
        <v>6</v>
      </c>
      <c r="W1334" s="1" t="s">
        <v>11119</v>
      </c>
      <c r="X1334">
        <v>2295.56</v>
      </c>
      <c r="Y1334">
        <v>588.26</v>
      </c>
      <c r="Z1334">
        <v>15.983065</v>
      </c>
      <c r="AA1334">
        <v>108.13851099999999</v>
      </c>
      <c r="AB1334">
        <v>1707.29</v>
      </c>
      <c r="AC1334">
        <v>15.978596</v>
      </c>
      <c r="AD1334">
        <v>108.122163</v>
      </c>
      <c r="AE1334" s="5">
        <f t="shared" si="101"/>
        <v>0.88239000000000001</v>
      </c>
      <c r="AF1334" s="5">
        <f t="shared" si="102"/>
        <v>2.5609349999999997</v>
      </c>
      <c r="AG1334" s="1" t="str">
        <f>TRIM(LEFT(L1334,FIND("-",L1334)-1))</f>
        <v>Sông Vàng</v>
      </c>
      <c r="AH1334" s="1" t="str">
        <f>TRIM(RIGHT(L1334, LEN(L1334) - FIND("-", L1334)))</f>
        <v>TTCMKV Đại Lộc</v>
      </c>
      <c r="AJ1334">
        <f t="shared" si="103"/>
        <v>0.58826000000000001</v>
      </c>
      <c r="AK1334">
        <f t="shared" si="104"/>
        <v>1.70729</v>
      </c>
      <c r="AL1334">
        <f>VLOOKUP(L1334,'[1]Tuyến cáp H04'!$B:$E,3,0)/1000</f>
        <v>38.832000000000001</v>
      </c>
      <c r="AM1334" t="str">
        <f>VLOOKUP(L1334,'[1]Tuyến cáp H04'!$B:$E,4,0)</f>
        <v>Mạng cấp 4</v>
      </c>
    </row>
    <row r="1335" spans="1:39" x14ac:dyDescent="0.25">
      <c r="A1335" s="1" t="s">
        <v>12847</v>
      </c>
      <c r="B1335" s="1" t="s">
        <v>11081</v>
      </c>
      <c r="C1335" s="1" t="s">
        <v>11082</v>
      </c>
      <c r="D1335" s="1" t="s">
        <v>12848</v>
      </c>
      <c r="E1335" s="1" t="s">
        <v>12849</v>
      </c>
      <c r="F1335" s="1" t="s">
        <v>12850</v>
      </c>
      <c r="G1335" s="1" t="s">
        <v>14281</v>
      </c>
      <c r="H1335" s="1" t="s">
        <v>14282</v>
      </c>
      <c r="I1335" s="1" t="s">
        <v>15433</v>
      </c>
      <c r="J1335" s="1" t="s">
        <v>23</v>
      </c>
      <c r="K1335" s="1"/>
      <c r="L1335" s="1" t="s">
        <v>12822</v>
      </c>
      <c r="M1335" s="1" t="s">
        <v>12822</v>
      </c>
      <c r="N1335" s="12" t="b">
        <f t="shared" si="100"/>
        <v>1</v>
      </c>
      <c r="O1335" s="1" t="s">
        <v>12851</v>
      </c>
      <c r="P1335" s="1" t="s">
        <v>12824</v>
      </c>
      <c r="Q1335" s="1" t="s">
        <v>12825</v>
      </c>
      <c r="R1335" s="1" t="s">
        <v>12826</v>
      </c>
      <c r="S1335" s="1" t="s">
        <v>12852</v>
      </c>
      <c r="T1335" s="1" t="s">
        <v>12853</v>
      </c>
      <c r="U1335" s="1" t="s">
        <v>12854</v>
      </c>
      <c r="V1335" s="13">
        <f>COUNTIF(L1335:$M$1659,L1335)</f>
        <v>4</v>
      </c>
      <c r="W1335" s="1" t="s">
        <v>12830</v>
      </c>
      <c r="X1335">
        <v>945.44</v>
      </c>
      <c r="Y1335">
        <v>13.23</v>
      </c>
      <c r="Z1335">
        <v>15.987992</v>
      </c>
      <c r="AA1335">
        <v>108.140253</v>
      </c>
      <c r="AB1335">
        <v>932.2</v>
      </c>
      <c r="AC1335">
        <v>16.007446999999999</v>
      </c>
      <c r="AD1335">
        <v>108.127578</v>
      </c>
      <c r="AE1335" s="5">
        <f t="shared" si="101"/>
        <v>1.9844999999999998E-2</v>
      </c>
      <c r="AF1335" s="5">
        <f t="shared" si="102"/>
        <v>1.3983000000000001</v>
      </c>
      <c r="AG1335" s="1" t="str">
        <f>TRIM(LEFT(L1335,FIND("-",L1335)-1))</f>
        <v>Liên Chiểu</v>
      </c>
      <c r="AH1335" s="1" t="str">
        <f>TRIM(RIGHT(L1335, LEN(L1335) - FIND("-", L1335)))</f>
        <v>Hòa Vang</v>
      </c>
      <c r="AJ1335">
        <f t="shared" si="103"/>
        <v>1.323E-2</v>
      </c>
      <c r="AK1335">
        <f t="shared" si="104"/>
        <v>0.93220000000000003</v>
      </c>
      <c r="AL1335">
        <f>VLOOKUP(L1335,'[1]Tuyến cáp H04'!$B:$E,3,0)/1000</f>
        <v>15.87</v>
      </c>
      <c r="AM1335" t="str">
        <f>VLOOKUP(L1335,'[1]Tuyến cáp H04'!$B:$E,4,0)</f>
        <v>Mạng cấp 3</v>
      </c>
    </row>
    <row r="1336" spans="1:39" x14ac:dyDescent="0.25">
      <c r="A1336" s="1" t="s">
        <v>12855</v>
      </c>
      <c r="B1336" s="1" t="s">
        <v>11081</v>
      </c>
      <c r="C1336" s="1" t="s">
        <v>11082</v>
      </c>
      <c r="D1336" s="1" t="s">
        <v>12856</v>
      </c>
      <c r="E1336" s="1" t="s">
        <v>12857</v>
      </c>
      <c r="F1336" s="1" t="s">
        <v>12858</v>
      </c>
      <c r="G1336" s="1" t="s">
        <v>14281</v>
      </c>
      <c r="H1336" s="1" t="s">
        <v>14282</v>
      </c>
      <c r="I1336" s="1" t="s">
        <v>15434</v>
      </c>
      <c r="J1336" s="1" t="s">
        <v>23</v>
      </c>
      <c r="K1336" s="1"/>
      <c r="L1336" s="1" t="s">
        <v>11111</v>
      </c>
      <c r="M1336" s="1" t="s">
        <v>11111</v>
      </c>
      <c r="N1336" s="12" t="b">
        <f t="shared" si="100"/>
        <v>1</v>
      </c>
      <c r="O1336" s="1" t="s">
        <v>12859</v>
      </c>
      <c r="P1336" s="1" t="s">
        <v>11113</v>
      </c>
      <c r="Q1336" s="1" t="s">
        <v>11114</v>
      </c>
      <c r="R1336" s="1" t="s">
        <v>11115</v>
      </c>
      <c r="S1336" s="1" t="s">
        <v>12860</v>
      </c>
      <c r="T1336" s="1" t="s">
        <v>12861</v>
      </c>
      <c r="U1336" s="1" t="s">
        <v>12862</v>
      </c>
      <c r="V1336" s="13">
        <f>COUNTIF(L1336:$M$1659,L1336)</f>
        <v>4</v>
      </c>
      <c r="W1336" s="1" t="s">
        <v>11119</v>
      </c>
      <c r="X1336">
        <v>676.79</v>
      </c>
      <c r="Y1336">
        <v>588.26</v>
      </c>
      <c r="Z1336">
        <v>15.983065</v>
      </c>
      <c r="AA1336">
        <v>108.13851099999999</v>
      </c>
      <c r="AB1336">
        <v>88.53</v>
      </c>
      <c r="AC1336">
        <v>15.968469000000001</v>
      </c>
      <c r="AD1336">
        <v>108.139465</v>
      </c>
      <c r="AE1336" s="5">
        <f t="shared" si="101"/>
        <v>0.88239000000000001</v>
      </c>
      <c r="AF1336" s="5">
        <f t="shared" si="102"/>
        <v>0.13279500000000002</v>
      </c>
      <c r="AG1336" s="1" t="str">
        <f>TRIM(LEFT(L1336,FIND("-",L1336)-1))</f>
        <v>Sông Vàng</v>
      </c>
      <c r="AH1336" s="1" t="str">
        <f>TRIM(RIGHT(L1336, LEN(L1336) - FIND("-", L1336)))</f>
        <v>TTCMKV Đại Lộc</v>
      </c>
      <c r="AJ1336">
        <f t="shared" si="103"/>
        <v>0.58826000000000001</v>
      </c>
      <c r="AK1336">
        <f t="shared" si="104"/>
        <v>8.8529999999999998E-2</v>
      </c>
      <c r="AL1336">
        <f>VLOOKUP(L1336,'[1]Tuyến cáp H04'!$B:$E,3,0)/1000</f>
        <v>38.832000000000001</v>
      </c>
      <c r="AM1336" t="str">
        <f>VLOOKUP(L1336,'[1]Tuyến cáp H04'!$B:$E,4,0)</f>
        <v>Mạng cấp 4</v>
      </c>
    </row>
    <row r="1337" spans="1:39" x14ac:dyDescent="0.25">
      <c r="A1337" s="1" t="s">
        <v>12863</v>
      </c>
      <c r="B1337" s="1" t="s">
        <v>11081</v>
      </c>
      <c r="C1337" s="1" t="s">
        <v>11082</v>
      </c>
      <c r="D1337" s="1" t="s">
        <v>12864</v>
      </c>
      <c r="E1337" s="1" t="s">
        <v>12865</v>
      </c>
      <c r="F1337" s="1" t="s">
        <v>12866</v>
      </c>
      <c r="G1337" s="1" t="s">
        <v>14281</v>
      </c>
      <c r="H1337" s="1" t="s">
        <v>14282</v>
      </c>
      <c r="I1337" s="1" t="s">
        <v>15435</v>
      </c>
      <c r="J1337" s="1" t="s">
        <v>23</v>
      </c>
      <c r="K1337" s="1"/>
      <c r="L1337" s="1" t="s">
        <v>12867</v>
      </c>
      <c r="M1337" s="1" t="s">
        <v>12867</v>
      </c>
      <c r="N1337" s="12" t="b">
        <f t="shared" si="100"/>
        <v>1</v>
      </c>
      <c r="O1337" s="1" t="s">
        <v>12868</v>
      </c>
      <c r="P1337" s="1" t="s">
        <v>165</v>
      </c>
      <c r="Q1337" s="1" t="s">
        <v>12869</v>
      </c>
      <c r="R1337" s="1" t="s">
        <v>12870</v>
      </c>
      <c r="S1337" s="1" t="s">
        <v>12871</v>
      </c>
      <c r="T1337" s="1" t="s">
        <v>12869</v>
      </c>
      <c r="U1337" s="1" t="s">
        <v>12870</v>
      </c>
      <c r="V1337" s="13">
        <f>COUNTIF(L1337:$M$1659,L1337)</f>
        <v>4</v>
      </c>
      <c r="W1337" s="1" t="s">
        <v>12872</v>
      </c>
      <c r="X1337">
        <v>135.38</v>
      </c>
      <c r="Y1337">
        <v>1.27</v>
      </c>
      <c r="Z1337">
        <v>15.988111</v>
      </c>
      <c r="AA1337">
        <v>108.14019999999999</v>
      </c>
      <c r="AB1337">
        <v>134.11000000000001</v>
      </c>
      <c r="AC1337">
        <v>15.988111</v>
      </c>
      <c r="AD1337">
        <v>108.14019999999999</v>
      </c>
      <c r="AE1337" s="5">
        <f t="shared" si="101"/>
        <v>1.905E-3</v>
      </c>
      <c r="AF1337" s="5">
        <f t="shared" si="102"/>
        <v>0.20116500000000001</v>
      </c>
      <c r="AG1337" s="1" t="str">
        <f>TRIM(LEFT(L1337,FIND("-",L1337)-1))</f>
        <v>Hòa Vang</v>
      </c>
      <c r="AH1337" s="1" t="str">
        <f>TRIM(RIGHT(L1337, LEN(L1337) - FIND("-", L1337)))</f>
        <v>Hòa Tiến</v>
      </c>
      <c r="AJ1337">
        <f t="shared" si="103"/>
        <v>1.2700000000000001E-3</v>
      </c>
      <c r="AK1337">
        <f t="shared" si="104"/>
        <v>0.13411000000000001</v>
      </c>
      <c r="AL1337" t="e">
        <f>VLOOKUP(L1337,'[1]Tuyến cáp H04'!$B:$E,3,0)/1000</f>
        <v>#N/A</v>
      </c>
      <c r="AM1337" t="e">
        <f>VLOOKUP(L1337,'[1]Tuyến cáp H04'!$B:$E,4,0)</f>
        <v>#N/A</v>
      </c>
    </row>
    <row r="1338" spans="1:39" x14ac:dyDescent="0.25">
      <c r="A1338" s="1" t="s">
        <v>12873</v>
      </c>
      <c r="B1338" s="1" t="s">
        <v>12874</v>
      </c>
      <c r="C1338" s="1" t="s">
        <v>12875</v>
      </c>
      <c r="D1338" s="1" t="s">
        <v>12876</v>
      </c>
      <c r="E1338" s="1" t="s">
        <v>12877</v>
      </c>
      <c r="F1338" s="1" t="s">
        <v>12878</v>
      </c>
      <c r="G1338" s="1" t="s">
        <v>14281</v>
      </c>
      <c r="H1338" s="1" t="s">
        <v>14282</v>
      </c>
      <c r="I1338" s="1" t="s">
        <v>15436</v>
      </c>
      <c r="J1338" s="1" t="s">
        <v>23</v>
      </c>
      <c r="K1338" s="1"/>
      <c r="L1338" s="1" t="s">
        <v>12879</v>
      </c>
      <c r="M1338" s="1" t="s">
        <v>12879</v>
      </c>
      <c r="N1338" s="12" t="b">
        <f t="shared" si="100"/>
        <v>1</v>
      </c>
      <c r="O1338" s="1" t="s">
        <v>12880</v>
      </c>
      <c r="P1338" s="1" t="s">
        <v>12881</v>
      </c>
      <c r="Q1338" s="1" t="s">
        <v>12882</v>
      </c>
      <c r="R1338" s="1" t="s">
        <v>12883</v>
      </c>
      <c r="S1338" s="1" t="s">
        <v>12884</v>
      </c>
      <c r="T1338" s="1" t="s">
        <v>12885</v>
      </c>
      <c r="U1338" s="1" t="s">
        <v>12886</v>
      </c>
      <c r="V1338" s="13">
        <f>COUNTIF(L1338:$M$1659,L1338)</f>
        <v>12</v>
      </c>
      <c r="W1338" s="1" t="s">
        <v>12887</v>
      </c>
      <c r="X1338">
        <v>5137.18</v>
      </c>
      <c r="Y1338">
        <v>28.03</v>
      </c>
      <c r="Z1338">
        <v>15.970610000000001</v>
      </c>
      <c r="AA1338">
        <v>108.180829</v>
      </c>
      <c r="AB1338">
        <v>5109.1499999999996</v>
      </c>
      <c r="AC1338">
        <v>15.994001000000001</v>
      </c>
      <c r="AD1338">
        <v>108.192807</v>
      </c>
      <c r="AE1338" s="5">
        <f t="shared" si="101"/>
        <v>4.2044999999999999E-2</v>
      </c>
      <c r="AF1338" s="5">
        <f t="shared" si="102"/>
        <v>7.6637249999999995</v>
      </c>
      <c r="AG1338" s="1" t="str">
        <f>TRIM(LEFT(L1338,FIND("-",L1338)-1))</f>
        <v>Hòa Tiến</v>
      </c>
      <c r="AH1338" s="1" t="str">
        <f>TRIM(RIGHT(L1338, LEN(L1338) - FIND("-", L1338)))</f>
        <v>Bà Nà</v>
      </c>
      <c r="AJ1338">
        <f t="shared" si="103"/>
        <v>2.8030000000000003E-2</v>
      </c>
      <c r="AK1338">
        <f t="shared" si="104"/>
        <v>5.1091499999999996</v>
      </c>
      <c r="AL1338" t="e">
        <f>VLOOKUP(L1338,'[1]Tuyến cáp H04'!$B:$E,3,0)/1000</f>
        <v>#N/A</v>
      </c>
      <c r="AM1338" t="e">
        <f>VLOOKUP(L1338,'[1]Tuyến cáp H04'!$B:$E,4,0)</f>
        <v>#N/A</v>
      </c>
    </row>
    <row r="1339" spans="1:39" x14ac:dyDescent="0.25">
      <c r="A1339" s="1" t="s">
        <v>12888</v>
      </c>
      <c r="B1339" s="1" t="s">
        <v>12874</v>
      </c>
      <c r="C1339" s="1" t="s">
        <v>12875</v>
      </c>
      <c r="D1339" s="1" t="s">
        <v>12889</v>
      </c>
      <c r="E1339" s="1" t="s">
        <v>12890</v>
      </c>
      <c r="F1339" s="1" t="s">
        <v>12891</v>
      </c>
      <c r="G1339" s="1" t="s">
        <v>14281</v>
      </c>
      <c r="H1339" s="1" t="s">
        <v>14282</v>
      </c>
      <c r="I1339" s="1" t="s">
        <v>15437</v>
      </c>
      <c r="J1339" s="1" t="s">
        <v>23</v>
      </c>
      <c r="K1339" s="1"/>
      <c r="L1339" s="1" t="s">
        <v>12879</v>
      </c>
      <c r="M1339" s="1" t="s">
        <v>12879</v>
      </c>
      <c r="N1339" s="12" t="b">
        <f t="shared" si="100"/>
        <v>1</v>
      </c>
      <c r="O1339" s="1" t="s">
        <v>12892</v>
      </c>
      <c r="P1339" s="1" t="s">
        <v>12881</v>
      </c>
      <c r="Q1339" s="1" t="s">
        <v>12882</v>
      </c>
      <c r="R1339" s="1" t="s">
        <v>12883</v>
      </c>
      <c r="S1339" s="1" t="s">
        <v>12893</v>
      </c>
      <c r="T1339" s="1" t="s">
        <v>12894</v>
      </c>
      <c r="U1339" s="1" t="s">
        <v>12895</v>
      </c>
      <c r="V1339" s="13">
        <f>COUNTIF(L1339:$M$1659,L1339)</f>
        <v>10</v>
      </c>
      <c r="W1339" s="1" t="s">
        <v>12887</v>
      </c>
      <c r="X1339">
        <v>3469.92</v>
      </c>
      <c r="Y1339">
        <v>28.03</v>
      </c>
      <c r="Z1339">
        <v>15.970610000000001</v>
      </c>
      <c r="AA1339">
        <v>108.180829</v>
      </c>
      <c r="AB1339">
        <v>3441.89</v>
      </c>
      <c r="AC1339">
        <v>15.997654000000001</v>
      </c>
      <c r="AD1339">
        <v>108.191596</v>
      </c>
      <c r="AE1339" s="5">
        <f t="shared" si="101"/>
        <v>4.2044999999999999E-2</v>
      </c>
      <c r="AF1339" s="5">
        <f t="shared" si="102"/>
        <v>5.1628350000000003</v>
      </c>
      <c r="AG1339" s="1" t="str">
        <f>TRIM(LEFT(L1339,FIND("-",L1339)-1))</f>
        <v>Hòa Tiến</v>
      </c>
      <c r="AH1339" s="1" t="str">
        <f>TRIM(RIGHT(L1339, LEN(L1339) - FIND("-", L1339)))</f>
        <v>Bà Nà</v>
      </c>
      <c r="AJ1339">
        <f t="shared" si="103"/>
        <v>2.8030000000000003E-2</v>
      </c>
      <c r="AK1339">
        <f t="shared" si="104"/>
        <v>3.4418899999999999</v>
      </c>
      <c r="AL1339" t="e">
        <f>VLOOKUP(L1339,'[1]Tuyến cáp H04'!$B:$E,3,0)/1000</f>
        <v>#N/A</v>
      </c>
      <c r="AM1339" t="e">
        <f>VLOOKUP(L1339,'[1]Tuyến cáp H04'!$B:$E,4,0)</f>
        <v>#N/A</v>
      </c>
    </row>
    <row r="1340" spans="1:39" x14ac:dyDescent="0.25">
      <c r="A1340" s="1" t="s">
        <v>12896</v>
      </c>
      <c r="B1340" s="1" t="s">
        <v>12874</v>
      </c>
      <c r="C1340" s="1" t="s">
        <v>12875</v>
      </c>
      <c r="D1340" s="1" t="s">
        <v>12897</v>
      </c>
      <c r="E1340" s="1" t="s">
        <v>12898</v>
      </c>
      <c r="F1340" s="1" t="s">
        <v>12899</v>
      </c>
      <c r="G1340" s="1" t="s">
        <v>14281</v>
      </c>
      <c r="H1340" s="1" t="s">
        <v>14282</v>
      </c>
      <c r="I1340" s="1" t="s">
        <v>15438</v>
      </c>
      <c r="J1340" s="1" t="s">
        <v>23</v>
      </c>
      <c r="K1340" s="1"/>
      <c r="L1340" s="1" t="s">
        <v>12879</v>
      </c>
      <c r="M1340" s="1" t="s">
        <v>12879</v>
      </c>
      <c r="N1340" s="12" t="b">
        <f t="shared" si="100"/>
        <v>1</v>
      </c>
      <c r="O1340" s="1" t="s">
        <v>12900</v>
      </c>
      <c r="P1340" s="1" t="s">
        <v>12881</v>
      </c>
      <c r="Q1340" s="1" t="s">
        <v>12882</v>
      </c>
      <c r="R1340" s="1" t="s">
        <v>12883</v>
      </c>
      <c r="S1340" s="1" t="s">
        <v>12901</v>
      </c>
      <c r="T1340" s="1" t="s">
        <v>12902</v>
      </c>
      <c r="U1340" s="1" t="s">
        <v>12903</v>
      </c>
      <c r="V1340" s="13">
        <f>COUNTIF(L1340:$M$1659,L1340)</f>
        <v>8</v>
      </c>
      <c r="W1340" s="1" t="s">
        <v>12887</v>
      </c>
      <c r="X1340">
        <v>114.03</v>
      </c>
      <c r="Y1340">
        <v>28.03</v>
      </c>
      <c r="Z1340">
        <v>15.970610000000001</v>
      </c>
      <c r="AA1340">
        <v>108.180829</v>
      </c>
      <c r="AB1340">
        <v>85.99</v>
      </c>
      <c r="AC1340">
        <v>15.985526</v>
      </c>
      <c r="AD1340">
        <v>108.188317</v>
      </c>
      <c r="AE1340" s="5">
        <f t="shared" si="101"/>
        <v>4.2044999999999999E-2</v>
      </c>
      <c r="AF1340" s="5">
        <f t="shared" si="102"/>
        <v>0.12898499999999999</v>
      </c>
      <c r="AG1340" s="1" t="str">
        <f>TRIM(LEFT(L1340,FIND("-",L1340)-1))</f>
        <v>Hòa Tiến</v>
      </c>
      <c r="AH1340" s="1" t="str">
        <f>TRIM(RIGHT(L1340, LEN(L1340) - FIND("-", L1340)))</f>
        <v>Bà Nà</v>
      </c>
      <c r="AJ1340">
        <f t="shared" si="103"/>
        <v>2.8030000000000003E-2</v>
      </c>
      <c r="AK1340">
        <f t="shared" si="104"/>
        <v>8.5989999999999997E-2</v>
      </c>
      <c r="AL1340" t="e">
        <f>VLOOKUP(L1340,'[1]Tuyến cáp H04'!$B:$E,3,0)/1000</f>
        <v>#N/A</v>
      </c>
      <c r="AM1340" t="e">
        <f>VLOOKUP(L1340,'[1]Tuyến cáp H04'!$B:$E,4,0)</f>
        <v>#N/A</v>
      </c>
    </row>
    <row r="1341" spans="1:39" x14ac:dyDescent="0.25">
      <c r="A1341" s="1" t="s">
        <v>12904</v>
      </c>
      <c r="B1341" s="1" t="s">
        <v>12874</v>
      </c>
      <c r="C1341" s="1" t="s">
        <v>12875</v>
      </c>
      <c r="D1341" s="1" t="s">
        <v>12905</v>
      </c>
      <c r="E1341" s="1" t="s">
        <v>12906</v>
      </c>
      <c r="F1341" s="1" t="s">
        <v>12907</v>
      </c>
      <c r="G1341" s="1" t="s">
        <v>14281</v>
      </c>
      <c r="H1341" s="1" t="s">
        <v>14282</v>
      </c>
      <c r="I1341" s="1" t="s">
        <v>15439</v>
      </c>
      <c r="J1341" s="1" t="s">
        <v>23</v>
      </c>
      <c r="K1341" s="1"/>
      <c r="L1341" s="1" t="s">
        <v>12867</v>
      </c>
      <c r="M1341" s="1" t="s">
        <v>12867</v>
      </c>
      <c r="N1341" s="12" t="b">
        <f t="shared" si="100"/>
        <v>1</v>
      </c>
      <c r="O1341" s="1" t="s">
        <v>12908</v>
      </c>
      <c r="P1341" s="1" t="s">
        <v>12909</v>
      </c>
      <c r="Q1341" s="1" t="s">
        <v>12910</v>
      </c>
      <c r="R1341" s="1" t="s">
        <v>12911</v>
      </c>
      <c r="S1341" s="1" t="s">
        <v>12912</v>
      </c>
      <c r="T1341" s="1" t="s">
        <v>12913</v>
      </c>
      <c r="U1341" s="1" t="s">
        <v>12914</v>
      </c>
      <c r="V1341" s="13">
        <f>COUNTIF(L1341:$M$1659,L1341)</f>
        <v>2</v>
      </c>
      <c r="W1341" s="1" t="s">
        <v>12915</v>
      </c>
      <c r="X1341">
        <v>2648.7</v>
      </c>
      <c r="Y1341">
        <v>25.23</v>
      </c>
      <c r="Z1341">
        <v>15.970608</v>
      </c>
      <c r="AA1341">
        <v>108.180635</v>
      </c>
      <c r="AB1341">
        <v>2623.47</v>
      </c>
      <c r="AC1341">
        <v>15.970139</v>
      </c>
      <c r="AD1341">
        <v>108.180554</v>
      </c>
      <c r="AE1341" s="5">
        <f t="shared" si="101"/>
        <v>3.7844999999999997E-2</v>
      </c>
      <c r="AF1341" s="5">
        <f t="shared" si="102"/>
        <v>3.9352049999999998</v>
      </c>
      <c r="AG1341" s="1" t="str">
        <f>TRIM(LEFT(L1341,FIND("-",L1341)-1))</f>
        <v>Hòa Vang</v>
      </c>
      <c r="AH1341" s="1" t="str">
        <f>TRIM(RIGHT(L1341, LEN(L1341) - FIND("-", L1341)))</f>
        <v>Hòa Tiến</v>
      </c>
      <c r="AJ1341">
        <f t="shared" si="103"/>
        <v>2.5229999999999999E-2</v>
      </c>
      <c r="AK1341">
        <f t="shared" si="104"/>
        <v>2.6234699999999997</v>
      </c>
      <c r="AL1341" t="e">
        <f>VLOOKUP(L1341,'[1]Tuyến cáp H04'!$B:$E,3,0)/1000</f>
        <v>#N/A</v>
      </c>
      <c r="AM1341" t="e">
        <f>VLOOKUP(L1341,'[1]Tuyến cáp H04'!$B:$E,4,0)</f>
        <v>#N/A</v>
      </c>
    </row>
    <row r="1342" spans="1:39" x14ac:dyDescent="0.25">
      <c r="A1342" s="1" t="s">
        <v>12916</v>
      </c>
      <c r="B1342" s="1" t="s">
        <v>12874</v>
      </c>
      <c r="C1342" s="1" t="s">
        <v>12875</v>
      </c>
      <c r="D1342" s="1" t="s">
        <v>12917</v>
      </c>
      <c r="E1342" s="1" t="s">
        <v>12918</v>
      </c>
      <c r="F1342" s="1" t="s">
        <v>12919</v>
      </c>
      <c r="G1342" s="1" t="s">
        <v>14281</v>
      </c>
      <c r="H1342" s="1" t="s">
        <v>14282</v>
      </c>
      <c r="I1342" s="1" t="s">
        <v>15440</v>
      </c>
      <c r="J1342" s="1" t="s">
        <v>23</v>
      </c>
      <c r="K1342" s="1"/>
      <c r="L1342" s="1" t="s">
        <v>12879</v>
      </c>
      <c r="M1342" s="1" t="s">
        <v>12879</v>
      </c>
      <c r="N1342" s="12" t="b">
        <f t="shared" si="100"/>
        <v>1</v>
      </c>
      <c r="O1342" s="1" t="s">
        <v>12920</v>
      </c>
      <c r="P1342" s="1" t="s">
        <v>12881</v>
      </c>
      <c r="Q1342" s="1" t="s">
        <v>12882</v>
      </c>
      <c r="R1342" s="1" t="s">
        <v>12883</v>
      </c>
      <c r="S1342" s="1" t="s">
        <v>12921</v>
      </c>
      <c r="T1342" s="1" t="s">
        <v>12922</v>
      </c>
      <c r="U1342" s="1" t="s">
        <v>12923</v>
      </c>
      <c r="V1342" s="13">
        <f>COUNTIF(L1342:$M$1659,L1342)</f>
        <v>6</v>
      </c>
      <c r="W1342" s="1" t="s">
        <v>12887</v>
      </c>
      <c r="X1342">
        <v>1540.94</v>
      </c>
      <c r="Y1342">
        <v>28.03</v>
      </c>
      <c r="Z1342">
        <v>15.970610000000001</v>
      </c>
      <c r="AA1342">
        <v>108.180829</v>
      </c>
      <c r="AB1342">
        <v>1512.91</v>
      </c>
      <c r="AC1342">
        <v>15.979906</v>
      </c>
      <c r="AD1342">
        <v>108.186144</v>
      </c>
      <c r="AE1342" s="5">
        <f t="shared" si="101"/>
        <v>4.2044999999999999E-2</v>
      </c>
      <c r="AF1342" s="5">
        <f t="shared" si="102"/>
        <v>2.2693650000000001</v>
      </c>
      <c r="AG1342" s="1" t="str">
        <f>TRIM(LEFT(L1342,FIND("-",L1342)-1))</f>
        <v>Hòa Tiến</v>
      </c>
      <c r="AH1342" s="1" t="str">
        <f>TRIM(RIGHT(L1342, LEN(L1342) - FIND("-", L1342)))</f>
        <v>Bà Nà</v>
      </c>
      <c r="AJ1342">
        <f t="shared" si="103"/>
        <v>2.8030000000000003E-2</v>
      </c>
      <c r="AK1342">
        <f t="shared" si="104"/>
        <v>1.51291</v>
      </c>
      <c r="AL1342" t="e">
        <f>VLOOKUP(L1342,'[1]Tuyến cáp H04'!$B:$E,3,0)/1000</f>
        <v>#N/A</v>
      </c>
      <c r="AM1342" t="e">
        <f>VLOOKUP(L1342,'[1]Tuyến cáp H04'!$B:$E,4,0)</f>
        <v>#N/A</v>
      </c>
    </row>
    <row r="1343" spans="1:39" x14ac:dyDescent="0.25">
      <c r="A1343" s="1" t="s">
        <v>12888</v>
      </c>
      <c r="B1343" s="1" t="s">
        <v>12874</v>
      </c>
      <c r="C1343" s="1" t="s">
        <v>12875</v>
      </c>
      <c r="D1343" s="1" t="s">
        <v>12889</v>
      </c>
      <c r="E1343" s="1" t="s">
        <v>12890</v>
      </c>
      <c r="F1343" s="1" t="s">
        <v>12891</v>
      </c>
      <c r="G1343" s="1" t="s">
        <v>14281</v>
      </c>
      <c r="H1343" s="1" t="s">
        <v>14282</v>
      </c>
      <c r="I1343" s="1" t="s">
        <v>15437</v>
      </c>
      <c r="J1343" s="1" t="s">
        <v>23</v>
      </c>
      <c r="K1343" s="1"/>
      <c r="L1343" s="1" t="s">
        <v>12879</v>
      </c>
      <c r="M1343" s="1" t="s">
        <v>12879</v>
      </c>
      <c r="N1343" s="12" t="b">
        <f t="shared" si="100"/>
        <v>1</v>
      </c>
      <c r="O1343" s="1" t="s">
        <v>12892</v>
      </c>
      <c r="P1343" s="1" t="s">
        <v>12881</v>
      </c>
      <c r="Q1343" s="1" t="s">
        <v>12882</v>
      </c>
      <c r="R1343" s="1" t="s">
        <v>12883</v>
      </c>
      <c r="S1343" s="1" t="s">
        <v>12893</v>
      </c>
      <c r="T1343" s="1" t="s">
        <v>12894</v>
      </c>
      <c r="U1343" s="1" t="s">
        <v>12895</v>
      </c>
      <c r="V1343" s="13">
        <f>COUNTIF(L1343:$M$1659,L1343)</f>
        <v>4</v>
      </c>
      <c r="W1343" s="1" t="s">
        <v>12887</v>
      </c>
      <c r="X1343">
        <v>3469.92</v>
      </c>
      <c r="Y1343">
        <v>28.03</v>
      </c>
      <c r="Z1343">
        <v>15.970610000000001</v>
      </c>
      <c r="AA1343">
        <v>108.180829</v>
      </c>
      <c r="AB1343">
        <v>3441.89</v>
      </c>
      <c r="AC1343">
        <v>15.997654000000001</v>
      </c>
      <c r="AD1343">
        <v>108.191596</v>
      </c>
      <c r="AE1343" s="5">
        <f t="shared" si="101"/>
        <v>4.2044999999999999E-2</v>
      </c>
      <c r="AF1343" s="5">
        <f t="shared" si="102"/>
        <v>5.1628350000000003</v>
      </c>
      <c r="AG1343" s="1" t="str">
        <f>TRIM(LEFT(L1343,FIND("-",L1343)-1))</f>
        <v>Hòa Tiến</v>
      </c>
      <c r="AH1343" s="1" t="str">
        <f>TRIM(RIGHT(L1343, LEN(L1343) - FIND("-", L1343)))</f>
        <v>Bà Nà</v>
      </c>
      <c r="AJ1343">
        <f t="shared" si="103"/>
        <v>2.8030000000000003E-2</v>
      </c>
      <c r="AK1343">
        <f t="shared" si="104"/>
        <v>3.4418899999999999</v>
      </c>
      <c r="AL1343" t="e">
        <f>VLOOKUP(L1343,'[1]Tuyến cáp H04'!$B:$E,3,0)/1000</f>
        <v>#N/A</v>
      </c>
      <c r="AM1343" t="e">
        <f>VLOOKUP(L1343,'[1]Tuyến cáp H04'!$B:$E,4,0)</f>
        <v>#N/A</v>
      </c>
    </row>
    <row r="1344" spans="1:39" x14ac:dyDescent="0.25">
      <c r="A1344" s="1" t="s">
        <v>12924</v>
      </c>
      <c r="B1344" s="1" t="s">
        <v>12874</v>
      </c>
      <c r="C1344" s="1" t="s">
        <v>12875</v>
      </c>
      <c r="D1344" s="1" t="e">
        <v>#N/A</v>
      </c>
      <c r="E1344" s="1" t="e">
        <v>#N/A</v>
      </c>
      <c r="F1344" s="1" t="s">
        <v>12925</v>
      </c>
      <c r="G1344" s="1" t="s">
        <v>14281</v>
      </c>
      <c r="H1344" s="1" t="s">
        <v>14282</v>
      </c>
      <c r="I1344" s="1" t="s">
        <v>15441</v>
      </c>
      <c r="J1344" s="1" t="s">
        <v>5166</v>
      </c>
      <c r="K1344" s="1" t="s">
        <v>11893</v>
      </c>
      <c r="L1344" s="1"/>
      <c r="M1344" s="1"/>
      <c r="N1344" s="12" t="b">
        <f t="shared" si="100"/>
        <v>1</v>
      </c>
      <c r="O1344" s="1"/>
      <c r="P1344" s="1"/>
      <c r="Q1344" s="1"/>
      <c r="R1344" s="1"/>
      <c r="S1344" s="1"/>
      <c r="T1344" s="1"/>
      <c r="U1344" s="1"/>
      <c r="V1344" s="13">
        <f>COUNTIF(L1344:$M$1659,L1344)</f>
        <v>0</v>
      </c>
      <c r="W1344" s="1"/>
      <c r="AE1344" s="5"/>
      <c r="AF1344" s="5"/>
      <c r="AG1344" s="1"/>
      <c r="AH1344" s="1"/>
      <c r="AL1344" t="e">
        <f>VLOOKUP(L1344,'[1]Tuyến cáp H04'!$B:$E,3,0)/1000</f>
        <v>#N/A</v>
      </c>
      <c r="AM1344" t="e">
        <f>VLOOKUP(L1344,'[1]Tuyến cáp H04'!$B:$E,4,0)</f>
        <v>#N/A</v>
      </c>
    </row>
    <row r="1345" spans="1:39" x14ac:dyDescent="0.25">
      <c r="A1345" s="1" t="s">
        <v>12888</v>
      </c>
      <c r="B1345" s="1" t="s">
        <v>12874</v>
      </c>
      <c r="C1345" s="1" t="s">
        <v>12875</v>
      </c>
      <c r="D1345" s="1" t="s">
        <v>12889</v>
      </c>
      <c r="E1345" s="1" t="s">
        <v>12890</v>
      </c>
      <c r="F1345" s="1" t="s">
        <v>12926</v>
      </c>
      <c r="G1345" s="1" t="s">
        <v>14281</v>
      </c>
      <c r="H1345" s="1" t="s">
        <v>14282</v>
      </c>
      <c r="I1345" s="1" t="s">
        <v>15442</v>
      </c>
      <c r="J1345" s="1" t="s">
        <v>23</v>
      </c>
      <c r="K1345" s="1"/>
      <c r="L1345" s="1" t="s">
        <v>12879</v>
      </c>
      <c r="M1345" s="1" t="s">
        <v>12879</v>
      </c>
      <c r="N1345" s="12" t="b">
        <f t="shared" si="100"/>
        <v>1</v>
      </c>
      <c r="O1345" s="1" t="s">
        <v>12892</v>
      </c>
      <c r="P1345" s="1" t="s">
        <v>12881</v>
      </c>
      <c r="Q1345" s="1" t="s">
        <v>12882</v>
      </c>
      <c r="R1345" s="1" t="s">
        <v>12883</v>
      </c>
      <c r="S1345" s="1" t="s">
        <v>12893</v>
      </c>
      <c r="T1345" s="1" t="s">
        <v>12894</v>
      </c>
      <c r="U1345" s="1" t="s">
        <v>12895</v>
      </c>
      <c r="V1345" s="13">
        <f>COUNTIF(L1345:$M$1659,L1345)</f>
        <v>2</v>
      </c>
      <c r="W1345" s="1" t="s">
        <v>12887</v>
      </c>
      <c r="X1345">
        <v>3469.92</v>
      </c>
      <c r="Y1345">
        <v>28.03</v>
      </c>
      <c r="Z1345">
        <v>15.970610000000001</v>
      </c>
      <c r="AA1345">
        <v>108.180829</v>
      </c>
      <c r="AB1345">
        <v>3441.89</v>
      </c>
      <c r="AC1345">
        <v>15.997654000000001</v>
      </c>
      <c r="AD1345">
        <v>108.191596</v>
      </c>
      <c r="AE1345" s="5">
        <f t="shared" si="101"/>
        <v>4.2044999999999999E-2</v>
      </c>
      <c r="AF1345" s="5">
        <f t="shared" si="102"/>
        <v>5.1628350000000003</v>
      </c>
      <c r="AG1345" s="1" t="str">
        <f>TRIM(LEFT(L1345,FIND("-",L1345)-1))</f>
        <v>Hòa Tiến</v>
      </c>
      <c r="AH1345" s="1" t="str">
        <f>TRIM(RIGHT(L1345, LEN(L1345) - FIND("-", L1345)))</f>
        <v>Bà Nà</v>
      </c>
      <c r="AJ1345">
        <f t="shared" si="103"/>
        <v>2.8030000000000003E-2</v>
      </c>
      <c r="AK1345">
        <f t="shared" si="104"/>
        <v>3.4418899999999999</v>
      </c>
      <c r="AL1345" t="e">
        <f>VLOOKUP(L1345,'[1]Tuyến cáp H04'!$B:$E,3,0)/1000</f>
        <v>#N/A</v>
      </c>
      <c r="AM1345" t="e">
        <f>VLOOKUP(L1345,'[1]Tuyến cáp H04'!$B:$E,4,0)</f>
        <v>#N/A</v>
      </c>
    </row>
    <row r="1346" spans="1:39" x14ac:dyDescent="0.25">
      <c r="A1346" s="1" t="s">
        <v>12927</v>
      </c>
      <c r="B1346" s="1" t="s">
        <v>11141</v>
      </c>
      <c r="C1346" s="1" t="s">
        <v>11142</v>
      </c>
      <c r="D1346" s="1" t="s">
        <v>12819</v>
      </c>
      <c r="E1346" s="1" t="s">
        <v>12820</v>
      </c>
      <c r="F1346" s="1" t="s">
        <v>12928</v>
      </c>
      <c r="G1346" s="1" t="s">
        <v>14281</v>
      </c>
      <c r="H1346" s="1" t="s">
        <v>14282</v>
      </c>
      <c r="I1346" s="1" t="s">
        <v>15443</v>
      </c>
      <c r="J1346" s="1" t="s">
        <v>23</v>
      </c>
      <c r="K1346" s="1"/>
      <c r="L1346" s="1" t="s">
        <v>11179</v>
      </c>
      <c r="M1346" s="1" t="s">
        <v>11179</v>
      </c>
      <c r="N1346" s="12" t="b">
        <f t="shared" si="100"/>
        <v>1</v>
      </c>
      <c r="O1346" s="1" t="s">
        <v>12929</v>
      </c>
      <c r="P1346" s="1" t="s">
        <v>11181</v>
      </c>
      <c r="Q1346" s="1" t="s">
        <v>11182</v>
      </c>
      <c r="R1346" s="1" t="s">
        <v>11183</v>
      </c>
      <c r="S1346" s="1" t="s">
        <v>12930</v>
      </c>
      <c r="T1346" s="1" t="s">
        <v>12931</v>
      </c>
      <c r="U1346" s="1" t="s">
        <v>12932</v>
      </c>
      <c r="V1346" s="13">
        <f>COUNTIF(L1346:$M$1659,L1346)</f>
        <v>10</v>
      </c>
      <c r="W1346" s="1" t="s">
        <v>11187</v>
      </c>
      <c r="X1346">
        <v>3335.25</v>
      </c>
      <c r="Y1346">
        <v>27.31</v>
      </c>
      <c r="Z1346">
        <v>16.074273999999999</v>
      </c>
      <c r="AA1346">
        <v>108.158044</v>
      </c>
      <c r="AB1346">
        <v>3307.94</v>
      </c>
      <c r="AC1346">
        <v>16.11626</v>
      </c>
      <c r="AD1346">
        <v>108.125941</v>
      </c>
      <c r="AE1346" s="5">
        <f t="shared" si="101"/>
        <v>4.0964999999999994E-2</v>
      </c>
      <c r="AF1346" s="5">
        <f t="shared" si="102"/>
        <v>4.9619099999999996</v>
      </c>
      <c r="AG1346" s="1" t="str">
        <f>TRIM(LEFT(L1346,FIND("-",L1346)-1))</f>
        <v>TTCMKV Liên Chiểu</v>
      </c>
      <c r="AH1346" s="1" t="str">
        <f>TRIM(RIGHT(L1346, LEN(L1346) - FIND("-", L1346)))</f>
        <v>Trạm CSGT Hòa Hiệp</v>
      </c>
      <c r="AJ1346">
        <f t="shared" si="103"/>
        <v>2.7309999999999997E-2</v>
      </c>
      <c r="AK1346">
        <f t="shared" si="104"/>
        <v>3.3079399999999999</v>
      </c>
      <c r="AL1346">
        <f>VLOOKUP(L1346,'[1]Tuyến cáp H04'!$B:$E,3,0)/1000</f>
        <v>9.5169999999999995</v>
      </c>
      <c r="AM1346" t="str">
        <f>VLOOKUP(L1346,'[1]Tuyến cáp H04'!$B:$E,4,0)</f>
        <v>Mạng cấp 3</v>
      </c>
    </row>
    <row r="1347" spans="1:39" x14ac:dyDescent="0.25">
      <c r="A1347" s="1" t="s">
        <v>11162</v>
      </c>
      <c r="B1347" s="1" t="s">
        <v>11141</v>
      </c>
      <c r="C1347" s="1" t="s">
        <v>11142</v>
      </c>
      <c r="D1347" s="1" t="s">
        <v>11163</v>
      </c>
      <c r="E1347" s="1" t="s">
        <v>11164</v>
      </c>
      <c r="F1347" s="1" t="s">
        <v>12933</v>
      </c>
      <c r="G1347" s="1" t="s">
        <v>14281</v>
      </c>
      <c r="H1347" s="1" t="s">
        <v>14282</v>
      </c>
      <c r="I1347" s="1" t="s">
        <v>15267</v>
      </c>
      <c r="J1347" s="1" t="s">
        <v>23</v>
      </c>
      <c r="K1347" s="1"/>
      <c r="L1347" s="1" t="s">
        <v>11166</v>
      </c>
      <c r="M1347" s="1" t="s">
        <v>11166</v>
      </c>
      <c r="N1347" s="12" t="b">
        <f t="shared" ref="N1347:N1410" si="105">L1347=M1347</f>
        <v>1</v>
      </c>
      <c r="O1347" s="1" t="s">
        <v>11167</v>
      </c>
      <c r="P1347" s="1" t="s">
        <v>11168</v>
      </c>
      <c r="Q1347" s="1" t="s">
        <v>11169</v>
      </c>
      <c r="R1347" s="1" t="s">
        <v>11170</v>
      </c>
      <c r="S1347" s="1" t="s">
        <v>11171</v>
      </c>
      <c r="T1347" s="1" t="s">
        <v>11172</v>
      </c>
      <c r="U1347" s="1" t="s">
        <v>11173</v>
      </c>
      <c r="V1347" s="13">
        <f>COUNTIF(L1347:$M$1659,L1347)</f>
        <v>10</v>
      </c>
      <c r="W1347" s="1" t="s">
        <v>11174</v>
      </c>
      <c r="X1347">
        <v>823.71</v>
      </c>
      <c r="Y1347">
        <v>792.46</v>
      </c>
      <c r="Z1347">
        <v>16.077791000000001</v>
      </c>
      <c r="AA1347">
        <v>108.164749</v>
      </c>
      <c r="AB1347">
        <v>31.26</v>
      </c>
      <c r="AC1347">
        <v>16.073207</v>
      </c>
      <c r="AD1347">
        <v>108.177558</v>
      </c>
      <c r="AE1347" s="5">
        <f t="shared" ref="AE1347:AE1410" si="106">Y1347*1.5/1000</f>
        <v>1.18869</v>
      </c>
      <c r="AF1347" s="5">
        <f t="shared" ref="AF1347:AF1410" si="107">AB1347*1.5/1000</f>
        <v>4.6890000000000001E-2</v>
      </c>
      <c r="AG1347" s="1" t="str">
        <f>TRIM(LEFT(L1347,FIND("-",L1347)-1))</f>
        <v>TT1 Đà Nẵng</v>
      </c>
      <c r="AH1347" s="1" t="str">
        <f>TRIM(RIGHT(L1347, LEN(L1347) - FIND("-", L1347)))</f>
        <v>Hải Vân</v>
      </c>
      <c r="AJ1347">
        <f t="shared" ref="AJ1347:AJ1410" si="108">Y1347/1000</f>
        <v>0.79246000000000005</v>
      </c>
      <c r="AK1347">
        <f t="shared" ref="AK1347:AK1410" si="109">AB1347/1000</f>
        <v>3.1260000000000003E-2</v>
      </c>
      <c r="AL1347">
        <f>VLOOKUP(L1347,'[1]Tuyến cáp H04'!$B:$E,3,0)/1000</f>
        <v>14.76</v>
      </c>
      <c r="AM1347" t="str">
        <f>VLOOKUP(L1347,'[1]Tuyến cáp H04'!$B:$E,4,0)</f>
        <v>Mạng cấp 4</v>
      </c>
    </row>
    <row r="1348" spans="1:39" x14ac:dyDescent="0.25">
      <c r="A1348" s="1" t="s">
        <v>11188</v>
      </c>
      <c r="B1348" s="1" t="s">
        <v>11141</v>
      </c>
      <c r="C1348" s="1" t="s">
        <v>11142</v>
      </c>
      <c r="D1348" s="1" t="s">
        <v>11189</v>
      </c>
      <c r="E1348" s="1" t="s">
        <v>11190</v>
      </c>
      <c r="F1348" s="1" t="s">
        <v>12934</v>
      </c>
      <c r="G1348" s="1" t="s">
        <v>14281</v>
      </c>
      <c r="H1348" s="1" t="s">
        <v>14282</v>
      </c>
      <c r="I1348" s="1" t="s">
        <v>15269</v>
      </c>
      <c r="J1348" s="1" t="s">
        <v>23</v>
      </c>
      <c r="K1348" s="1"/>
      <c r="L1348" s="1" t="s">
        <v>11179</v>
      </c>
      <c r="M1348" s="1" t="s">
        <v>11179</v>
      </c>
      <c r="N1348" s="12" t="b">
        <f t="shared" si="105"/>
        <v>1</v>
      </c>
      <c r="O1348" s="1" t="s">
        <v>11192</v>
      </c>
      <c r="P1348" s="1" t="s">
        <v>11181</v>
      </c>
      <c r="Q1348" s="1" t="s">
        <v>11182</v>
      </c>
      <c r="R1348" s="1" t="s">
        <v>11183</v>
      </c>
      <c r="S1348" s="1" t="s">
        <v>11193</v>
      </c>
      <c r="T1348" s="1" t="s">
        <v>11194</v>
      </c>
      <c r="U1348" s="1" t="s">
        <v>11195</v>
      </c>
      <c r="V1348" s="13">
        <f>COUNTIF(L1348:$M$1659,L1348)</f>
        <v>8</v>
      </c>
      <c r="W1348" s="1" t="s">
        <v>11187</v>
      </c>
      <c r="X1348">
        <v>98.86</v>
      </c>
      <c r="Y1348">
        <v>27.31</v>
      </c>
      <c r="Z1348">
        <v>16.074273999999999</v>
      </c>
      <c r="AA1348">
        <v>108.158044</v>
      </c>
      <c r="AB1348">
        <v>71.55</v>
      </c>
      <c r="AC1348">
        <v>16.090608</v>
      </c>
      <c r="AD1348">
        <v>108.14290800000001</v>
      </c>
      <c r="AE1348" s="5">
        <f t="shared" si="106"/>
        <v>4.0964999999999994E-2</v>
      </c>
      <c r="AF1348" s="5">
        <f t="shared" si="107"/>
        <v>0.10732499999999999</v>
      </c>
      <c r="AG1348" s="1" t="str">
        <f>TRIM(LEFT(L1348,FIND("-",L1348)-1))</f>
        <v>TTCMKV Liên Chiểu</v>
      </c>
      <c r="AH1348" s="1" t="str">
        <f>TRIM(RIGHT(L1348, LEN(L1348) - FIND("-", L1348)))</f>
        <v>Trạm CSGT Hòa Hiệp</v>
      </c>
      <c r="AJ1348">
        <f t="shared" si="108"/>
        <v>2.7309999999999997E-2</v>
      </c>
      <c r="AK1348">
        <f t="shared" si="109"/>
        <v>7.1550000000000002E-2</v>
      </c>
      <c r="AL1348">
        <f>VLOOKUP(L1348,'[1]Tuyến cáp H04'!$B:$E,3,0)/1000</f>
        <v>9.5169999999999995</v>
      </c>
      <c r="AM1348" t="str">
        <f>VLOOKUP(L1348,'[1]Tuyến cáp H04'!$B:$E,4,0)</f>
        <v>Mạng cấp 3</v>
      </c>
    </row>
    <row r="1349" spans="1:39" x14ac:dyDescent="0.25">
      <c r="A1349" s="1" t="s">
        <v>11175</v>
      </c>
      <c r="B1349" s="1" t="s">
        <v>11141</v>
      </c>
      <c r="C1349" s="1" t="s">
        <v>11142</v>
      </c>
      <c r="D1349" s="1" t="s">
        <v>11176</v>
      </c>
      <c r="E1349" s="1" t="s">
        <v>11177</v>
      </c>
      <c r="F1349" s="1" t="s">
        <v>12935</v>
      </c>
      <c r="G1349" s="1"/>
      <c r="H1349" s="1" t="s">
        <v>14282</v>
      </c>
      <c r="I1349" s="1" t="s">
        <v>15268</v>
      </c>
      <c r="J1349" s="1" t="s">
        <v>23</v>
      </c>
      <c r="K1349" s="1"/>
      <c r="L1349" s="1" t="s">
        <v>11179</v>
      </c>
      <c r="M1349" s="1" t="s">
        <v>11179</v>
      </c>
      <c r="N1349" s="12" t="b">
        <f t="shared" si="105"/>
        <v>1</v>
      </c>
      <c r="O1349" s="1" t="s">
        <v>11180</v>
      </c>
      <c r="P1349" s="1" t="s">
        <v>11181</v>
      </c>
      <c r="Q1349" s="1" t="s">
        <v>11182</v>
      </c>
      <c r="R1349" s="1" t="s">
        <v>11183</v>
      </c>
      <c r="S1349" s="1" t="s">
        <v>11184</v>
      </c>
      <c r="T1349" s="1" t="s">
        <v>11185</v>
      </c>
      <c r="U1349" s="1" t="s">
        <v>11186</v>
      </c>
      <c r="V1349" s="13">
        <f>COUNTIF(L1349:$M$1659,L1349)</f>
        <v>6</v>
      </c>
      <c r="W1349" s="1" t="s">
        <v>11187</v>
      </c>
      <c r="X1349">
        <v>490.42</v>
      </c>
      <c r="Y1349">
        <v>27.31</v>
      </c>
      <c r="Z1349">
        <v>16.074273999999999</v>
      </c>
      <c r="AA1349">
        <v>108.158044</v>
      </c>
      <c r="AB1349">
        <v>463.11</v>
      </c>
      <c r="AC1349">
        <v>16.074614</v>
      </c>
      <c r="AD1349">
        <v>108.14948099999999</v>
      </c>
      <c r="AE1349" s="5">
        <f t="shared" si="106"/>
        <v>4.0964999999999994E-2</v>
      </c>
      <c r="AF1349" s="5">
        <f t="shared" si="107"/>
        <v>0.69466499999999998</v>
      </c>
      <c r="AG1349" s="1" t="str">
        <f>TRIM(LEFT(L1349,FIND("-",L1349)-1))</f>
        <v>TTCMKV Liên Chiểu</v>
      </c>
      <c r="AH1349" s="1" t="str">
        <f>TRIM(RIGHT(L1349, LEN(L1349) - FIND("-", L1349)))</f>
        <v>Trạm CSGT Hòa Hiệp</v>
      </c>
      <c r="AJ1349">
        <f t="shared" si="108"/>
        <v>2.7309999999999997E-2</v>
      </c>
      <c r="AK1349">
        <f t="shared" si="109"/>
        <v>0.46311000000000002</v>
      </c>
      <c r="AL1349">
        <f>VLOOKUP(L1349,'[1]Tuyến cáp H04'!$B:$E,3,0)/1000</f>
        <v>9.5169999999999995</v>
      </c>
      <c r="AM1349" t="str">
        <f>VLOOKUP(L1349,'[1]Tuyến cáp H04'!$B:$E,4,0)</f>
        <v>Mạng cấp 3</v>
      </c>
    </row>
    <row r="1350" spans="1:39" x14ac:dyDescent="0.25">
      <c r="A1350" s="1" t="s">
        <v>12936</v>
      </c>
      <c r="B1350" s="1" t="s">
        <v>11141</v>
      </c>
      <c r="C1350" s="1" t="s">
        <v>11142</v>
      </c>
      <c r="D1350" s="1" t="s">
        <v>12937</v>
      </c>
      <c r="E1350" s="1" t="s">
        <v>12938</v>
      </c>
      <c r="F1350" s="1" t="s">
        <v>12939</v>
      </c>
      <c r="G1350" s="1" t="s">
        <v>14281</v>
      </c>
      <c r="H1350" s="1" t="s">
        <v>14282</v>
      </c>
      <c r="I1350" s="1" t="s">
        <v>15444</v>
      </c>
      <c r="J1350" s="1" t="s">
        <v>23</v>
      </c>
      <c r="K1350" s="1"/>
      <c r="L1350" s="1" t="s">
        <v>11146</v>
      </c>
      <c r="M1350" s="1" t="s">
        <v>11146</v>
      </c>
      <c r="N1350" s="12" t="b">
        <f t="shared" si="105"/>
        <v>1</v>
      </c>
      <c r="O1350" s="1" t="s">
        <v>12940</v>
      </c>
      <c r="P1350" s="1" t="s">
        <v>3185</v>
      </c>
      <c r="Q1350" s="1" t="s">
        <v>12941</v>
      </c>
      <c r="R1350" s="1" t="s">
        <v>12942</v>
      </c>
      <c r="S1350" s="1" t="s">
        <v>12943</v>
      </c>
      <c r="T1350" s="1" t="s">
        <v>12944</v>
      </c>
      <c r="U1350" s="1" t="s">
        <v>12945</v>
      </c>
      <c r="V1350" s="13">
        <f>COUNTIF(L1350:$M$1659,L1350)</f>
        <v>6</v>
      </c>
      <c r="W1350" s="1" t="s">
        <v>12946</v>
      </c>
      <c r="X1350">
        <v>366.88</v>
      </c>
      <c r="Y1350">
        <v>38.99</v>
      </c>
      <c r="Z1350">
        <v>16.074251</v>
      </c>
      <c r="AA1350">
        <v>108.15793600000001</v>
      </c>
      <c r="AB1350">
        <v>327.89</v>
      </c>
      <c r="AC1350">
        <v>16.076884</v>
      </c>
      <c r="AD1350">
        <v>108.159477</v>
      </c>
      <c r="AE1350" s="5">
        <f t="shared" si="106"/>
        <v>5.8485000000000002E-2</v>
      </c>
      <c r="AF1350" s="5">
        <f t="shared" si="107"/>
        <v>0.49183499999999997</v>
      </c>
      <c r="AG1350" s="1" t="str">
        <f>TRIM(LEFT(L1350,FIND("-",L1350)-1))</f>
        <v>TT1 Đà Nẵng</v>
      </c>
      <c r="AH1350" s="1" t="str">
        <f>TRIM(RIGHT(L1350, LEN(L1350) - FIND("-", L1350)))</f>
        <v>Liên Chiểu</v>
      </c>
      <c r="AJ1350">
        <f t="shared" si="108"/>
        <v>3.8990000000000004E-2</v>
      </c>
      <c r="AK1350">
        <f t="shared" si="109"/>
        <v>0.32788999999999996</v>
      </c>
      <c r="AL1350">
        <f>VLOOKUP(L1350,'[1]Tuyến cáp H04'!$B:$E,3,0)/1000</f>
        <v>9.8698999999999995</v>
      </c>
      <c r="AM1350" t="str">
        <f>VLOOKUP(L1350,'[1]Tuyến cáp H04'!$B:$E,4,0)</f>
        <v>Mạng cấp 3</v>
      </c>
    </row>
    <row r="1351" spans="1:39" x14ac:dyDescent="0.25">
      <c r="A1351" s="1" t="s">
        <v>12947</v>
      </c>
      <c r="B1351" s="1" t="s">
        <v>11141</v>
      </c>
      <c r="C1351" s="1" t="s">
        <v>11142</v>
      </c>
      <c r="D1351" s="1" t="s">
        <v>12948</v>
      </c>
      <c r="E1351" s="1" t="s">
        <v>12949</v>
      </c>
      <c r="F1351" s="1" t="s">
        <v>12950</v>
      </c>
      <c r="G1351" s="1" t="s">
        <v>14281</v>
      </c>
      <c r="H1351" s="1" t="s">
        <v>14282</v>
      </c>
      <c r="I1351" s="1" t="s">
        <v>15445</v>
      </c>
      <c r="J1351" s="1" t="s">
        <v>23</v>
      </c>
      <c r="K1351" s="1"/>
      <c r="L1351" s="1" t="s">
        <v>11179</v>
      </c>
      <c r="M1351" s="1" t="s">
        <v>11179</v>
      </c>
      <c r="N1351" s="12" t="b">
        <f t="shared" si="105"/>
        <v>1</v>
      </c>
      <c r="O1351" s="1" t="s">
        <v>12951</v>
      </c>
      <c r="P1351" s="1" t="s">
        <v>11181</v>
      </c>
      <c r="Q1351" s="1" t="s">
        <v>11182</v>
      </c>
      <c r="R1351" s="1" t="s">
        <v>11183</v>
      </c>
      <c r="S1351" s="1" t="s">
        <v>12952</v>
      </c>
      <c r="T1351" s="1" t="s">
        <v>12953</v>
      </c>
      <c r="U1351" s="1" t="s">
        <v>12954</v>
      </c>
      <c r="V1351" s="13">
        <f>COUNTIF(L1351:$M$1659,L1351)</f>
        <v>4</v>
      </c>
      <c r="W1351" s="1" t="s">
        <v>11187</v>
      </c>
      <c r="X1351">
        <v>278.69</v>
      </c>
      <c r="Y1351">
        <v>27.31</v>
      </c>
      <c r="Z1351">
        <v>16.074273999999999</v>
      </c>
      <c r="AA1351">
        <v>108.158044</v>
      </c>
      <c r="AB1351">
        <v>251.38</v>
      </c>
      <c r="AC1351">
        <v>16.075294</v>
      </c>
      <c r="AD1351">
        <v>108.15112499999999</v>
      </c>
      <c r="AE1351" s="5">
        <f t="shared" si="106"/>
        <v>4.0964999999999994E-2</v>
      </c>
      <c r="AF1351" s="5">
        <f t="shared" si="107"/>
        <v>0.37707000000000002</v>
      </c>
      <c r="AG1351" s="1" t="str">
        <f>TRIM(LEFT(L1351,FIND("-",L1351)-1))</f>
        <v>TTCMKV Liên Chiểu</v>
      </c>
      <c r="AH1351" s="1" t="str">
        <f>TRIM(RIGHT(L1351, LEN(L1351) - FIND("-", L1351)))</f>
        <v>Trạm CSGT Hòa Hiệp</v>
      </c>
      <c r="AJ1351">
        <f t="shared" si="108"/>
        <v>2.7309999999999997E-2</v>
      </c>
      <c r="AK1351">
        <f t="shared" si="109"/>
        <v>0.25137999999999999</v>
      </c>
      <c r="AL1351">
        <f>VLOOKUP(L1351,'[1]Tuyến cáp H04'!$B:$E,3,0)/1000</f>
        <v>9.5169999999999995</v>
      </c>
      <c r="AM1351" t="str">
        <f>VLOOKUP(L1351,'[1]Tuyến cáp H04'!$B:$E,4,0)</f>
        <v>Mạng cấp 3</v>
      </c>
    </row>
    <row r="1352" spans="1:39" x14ac:dyDescent="0.25">
      <c r="A1352" s="1" t="s">
        <v>12955</v>
      </c>
      <c r="B1352" s="1" t="s">
        <v>11197</v>
      </c>
      <c r="C1352" s="1" t="s">
        <v>11198</v>
      </c>
      <c r="D1352" s="1" t="s">
        <v>12956</v>
      </c>
      <c r="E1352" s="1" t="s">
        <v>12957</v>
      </c>
      <c r="F1352" s="1" t="s">
        <v>12958</v>
      </c>
      <c r="G1352" s="1" t="s">
        <v>14281</v>
      </c>
      <c r="H1352" s="1" t="s">
        <v>14282</v>
      </c>
      <c r="I1352" s="1" t="s">
        <v>15446</v>
      </c>
      <c r="J1352" s="1" t="s">
        <v>23</v>
      </c>
      <c r="K1352" s="1"/>
      <c r="L1352" s="1" t="s">
        <v>12072</v>
      </c>
      <c r="M1352" s="1" t="s">
        <v>12072</v>
      </c>
      <c r="N1352" s="12" t="b">
        <f t="shared" si="105"/>
        <v>1</v>
      </c>
      <c r="O1352" s="1" t="s">
        <v>12959</v>
      </c>
      <c r="P1352" s="1" t="s">
        <v>3125</v>
      </c>
      <c r="Q1352" s="1" t="s">
        <v>12960</v>
      </c>
      <c r="R1352" s="1" t="s">
        <v>12961</v>
      </c>
      <c r="S1352" s="1" t="s">
        <v>12962</v>
      </c>
      <c r="T1352" s="1" t="s">
        <v>12078</v>
      </c>
      <c r="U1352" s="1" t="s">
        <v>12079</v>
      </c>
      <c r="V1352" s="13">
        <f>COUNTIF(L1352:$M$1659,L1352)</f>
        <v>12</v>
      </c>
      <c r="W1352" s="1" t="s">
        <v>12080</v>
      </c>
      <c r="X1352">
        <v>125.49</v>
      </c>
      <c r="Y1352">
        <v>72.540000000000006</v>
      </c>
      <c r="Z1352">
        <v>16.015794</v>
      </c>
      <c r="AA1352">
        <v>108.254242</v>
      </c>
      <c r="AB1352">
        <v>52.95</v>
      </c>
      <c r="AC1352">
        <v>16.042570000000001</v>
      </c>
      <c r="AD1352">
        <v>108.245257</v>
      </c>
      <c r="AE1352" s="5">
        <f t="shared" si="106"/>
        <v>0.10881</v>
      </c>
      <c r="AF1352" s="5">
        <f t="shared" si="107"/>
        <v>7.9425000000000009E-2</v>
      </c>
      <c r="AG1352" s="1" t="str">
        <f>TRIM(LEFT(L1352,FIND("-",L1352)-1))</f>
        <v>K01</v>
      </c>
      <c r="AH1352" s="1" t="str">
        <f>TRIM(RIGHT(L1352, LEN(L1352) - FIND("-", L1352)))</f>
        <v>A01</v>
      </c>
      <c r="AJ1352">
        <f t="shared" si="108"/>
        <v>7.2540000000000007E-2</v>
      </c>
      <c r="AK1352">
        <f t="shared" si="109"/>
        <v>5.2950000000000004E-2</v>
      </c>
      <c r="AL1352" t="e">
        <f>VLOOKUP(L1352,'[1]Tuyến cáp H04'!$B:$E,3,0)/1000</f>
        <v>#N/A</v>
      </c>
      <c r="AM1352" t="e">
        <f>VLOOKUP(L1352,'[1]Tuyến cáp H04'!$B:$E,4,0)</f>
        <v>#N/A</v>
      </c>
    </row>
    <row r="1353" spans="1:39" x14ac:dyDescent="0.25">
      <c r="A1353" s="1" t="s">
        <v>12963</v>
      </c>
      <c r="B1353" s="1" t="s">
        <v>11197</v>
      </c>
      <c r="C1353" s="1" t="s">
        <v>11198</v>
      </c>
      <c r="D1353" s="1" t="s">
        <v>12876</v>
      </c>
      <c r="E1353" s="1" t="s">
        <v>12877</v>
      </c>
      <c r="F1353" s="1" t="s">
        <v>12964</v>
      </c>
      <c r="G1353" s="1" t="s">
        <v>14281</v>
      </c>
      <c r="H1353" s="1" t="s">
        <v>14282</v>
      </c>
      <c r="I1353" s="1" t="s">
        <v>15447</v>
      </c>
      <c r="J1353" s="1" t="s">
        <v>23</v>
      </c>
      <c r="K1353" s="1"/>
      <c r="L1353" s="1" t="s">
        <v>11878</v>
      </c>
      <c r="M1353" s="1" t="s">
        <v>11878</v>
      </c>
      <c r="N1353" s="12" t="b">
        <f t="shared" si="105"/>
        <v>1</v>
      </c>
      <c r="O1353" s="1" t="s">
        <v>12965</v>
      </c>
      <c r="P1353" s="1" t="s">
        <v>12966</v>
      </c>
      <c r="Q1353" s="1" t="s">
        <v>12967</v>
      </c>
      <c r="R1353" s="1" t="s">
        <v>12968</v>
      </c>
      <c r="S1353" s="1" t="s">
        <v>12969</v>
      </c>
      <c r="T1353" s="1" t="s">
        <v>12970</v>
      </c>
      <c r="U1353" s="1" t="s">
        <v>12971</v>
      </c>
      <c r="V1353" s="13">
        <f>COUNTIF(L1353:$M$1659,L1353)</f>
        <v>8</v>
      </c>
      <c r="W1353" s="1" t="s">
        <v>12972</v>
      </c>
      <c r="X1353">
        <v>1679.8</v>
      </c>
      <c r="Y1353">
        <v>23.38</v>
      </c>
      <c r="Z1353">
        <v>16.015270000000001</v>
      </c>
      <c r="AA1353">
        <v>108.254587</v>
      </c>
      <c r="AB1353">
        <v>1656.42</v>
      </c>
      <c r="AC1353">
        <v>15.999196</v>
      </c>
      <c r="AD1353">
        <v>108.233384</v>
      </c>
      <c r="AE1353" s="5">
        <f t="shared" si="106"/>
        <v>3.5069999999999997E-2</v>
      </c>
      <c r="AF1353" s="5">
        <f t="shared" si="107"/>
        <v>2.4846300000000001</v>
      </c>
      <c r="AG1353" s="1" t="str">
        <f>TRIM(LEFT(L1353,FIND("-",L1353)-1))</f>
        <v>TTKV Ngũ Hành Sơn</v>
      </c>
      <c r="AH1353" s="1" t="str">
        <f>TRIM(RIGHT(L1353, LEN(L1353) - FIND("-", L1353)))</f>
        <v>Hòa Xuân</v>
      </c>
      <c r="AJ1353">
        <f t="shared" si="108"/>
        <v>2.3379999999999998E-2</v>
      </c>
      <c r="AK1353">
        <f t="shared" si="109"/>
        <v>1.65642</v>
      </c>
      <c r="AL1353" t="e">
        <f>VLOOKUP(L1353,'[1]Tuyến cáp H04'!$B:$E,3,0)/1000</f>
        <v>#N/A</v>
      </c>
      <c r="AM1353" t="e">
        <f>VLOOKUP(L1353,'[1]Tuyến cáp H04'!$B:$E,4,0)</f>
        <v>#N/A</v>
      </c>
    </row>
    <row r="1354" spans="1:39" x14ac:dyDescent="0.25">
      <c r="A1354" s="1" t="s">
        <v>12973</v>
      </c>
      <c r="B1354" s="1" t="s">
        <v>11197</v>
      </c>
      <c r="C1354" s="1" t="s">
        <v>11198</v>
      </c>
      <c r="D1354" s="1" t="s">
        <v>12974</v>
      </c>
      <c r="E1354" s="1" t="s">
        <v>12975</v>
      </c>
      <c r="F1354" s="1" t="s">
        <v>12976</v>
      </c>
      <c r="G1354" s="1" t="s">
        <v>14281</v>
      </c>
      <c r="H1354" s="1" t="s">
        <v>14282</v>
      </c>
      <c r="I1354" s="1" t="s">
        <v>15448</v>
      </c>
      <c r="J1354" s="1" t="s">
        <v>23</v>
      </c>
      <c r="K1354" s="1"/>
      <c r="L1354" s="1" t="s">
        <v>11202</v>
      </c>
      <c r="M1354" s="1" t="s">
        <v>11202</v>
      </c>
      <c r="N1354" s="12" t="b">
        <f t="shared" si="105"/>
        <v>1</v>
      </c>
      <c r="O1354" s="1" t="s">
        <v>12977</v>
      </c>
      <c r="P1354" s="1" t="s">
        <v>11204</v>
      </c>
      <c r="Q1354" s="1" t="s">
        <v>11205</v>
      </c>
      <c r="R1354" s="1" t="s">
        <v>11206</v>
      </c>
      <c r="S1354" s="1" t="s">
        <v>12978</v>
      </c>
      <c r="T1354" s="1" t="s">
        <v>12979</v>
      </c>
      <c r="U1354" s="1" t="s">
        <v>12980</v>
      </c>
      <c r="V1354" s="13">
        <f>COUNTIF(L1354:$M$1659,L1354)</f>
        <v>6</v>
      </c>
      <c r="W1354" s="1" t="s">
        <v>11210</v>
      </c>
      <c r="X1354">
        <v>35.39</v>
      </c>
      <c r="Y1354">
        <v>14.34</v>
      </c>
      <c r="Z1354">
        <v>16.015280000000001</v>
      </c>
      <c r="AA1354">
        <v>108.254448</v>
      </c>
      <c r="AB1354">
        <v>21.05</v>
      </c>
      <c r="AC1354">
        <v>15.996881</v>
      </c>
      <c r="AD1354">
        <v>108.26286899999999</v>
      </c>
      <c r="AE1354" s="5">
        <f t="shared" si="106"/>
        <v>2.1509999999999998E-2</v>
      </c>
      <c r="AF1354" s="5">
        <f t="shared" si="107"/>
        <v>3.1575000000000006E-2</v>
      </c>
      <c r="AG1354" s="1" t="str">
        <f>TRIM(LEFT(L1354,FIND("-",L1354)-1))</f>
        <v>Hội An</v>
      </c>
      <c r="AH1354" s="1" t="str">
        <f>TRIM(RIGHT(L1354, LEN(L1354) - FIND("-", L1354)))</f>
        <v>Ngũ Hành Sơn</v>
      </c>
      <c r="AJ1354">
        <f t="shared" si="108"/>
        <v>1.434E-2</v>
      </c>
      <c r="AK1354">
        <f t="shared" si="109"/>
        <v>2.1049999999999999E-2</v>
      </c>
      <c r="AL1354">
        <f>VLOOKUP(L1354,'[1]Tuyến cáp H04'!$B:$E,3,0)/1000</f>
        <v>20.16</v>
      </c>
      <c r="AM1354" t="str">
        <f>VLOOKUP(L1354,'[1]Tuyến cáp H04'!$B:$E,4,0)</f>
        <v>Mạng cấp 3</v>
      </c>
    </row>
    <row r="1355" spans="1:39" x14ac:dyDescent="0.25">
      <c r="A1355" s="1" t="s">
        <v>12981</v>
      </c>
      <c r="B1355" s="1" t="s">
        <v>11197</v>
      </c>
      <c r="C1355" s="1" t="s">
        <v>11198</v>
      </c>
      <c r="D1355" s="1" t="s">
        <v>12982</v>
      </c>
      <c r="E1355" s="1" t="s">
        <v>12983</v>
      </c>
      <c r="F1355" s="1" t="s">
        <v>12984</v>
      </c>
      <c r="G1355" s="1" t="s">
        <v>14281</v>
      </c>
      <c r="H1355" s="1" t="s">
        <v>14282</v>
      </c>
      <c r="I1355" s="1" t="s">
        <v>15449</v>
      </c>
      <c r="J1355" s="1" t="s">
        <v>23</v>
      </c>
      <c r="K1355" s="1"/>
      <c r="L1355" s="1" t="s">
        <v>11202</v>
      </c>
      <c r="M1355" s="1" t="s">
        <v>11202</v>
      </c>
      <c r="N1355" s="12" t="b">
        <f t="shared" si="105"/>
        <v>1</v>
      </c>
      <c r="O1355" s="1" t="s">
        <v>12985</v>
      </c>
      <c r="P1355" s="1" t="s">
        <v>11204</v>
      </c>
      <c r="Q1355" s="1" t="s">
        <v>11205</v>
      </c>
      <c r="R1355" s="1" t="s">
        <v>11206</v>
      </c>
      <c r="S1355" s="1" t="s">
        <v>12986</v>
      </c>
      <c r="T1355" s="1" t="s">
        <v>12987</v>
      </c>
      <c r="U1355" s="1" t="s">
        <v>12988</v>
      </c>
      <c r="V1355" s="13">
        <f>COUNTIF(L1355:$M$1659,L1355)</f>
        <v>4</v>
      </c>
      <c r="W1355" s="1" t="s">
        <v>11210</v>
      </c>
      <c r="X1355">
        <v>120.29</v>
      </c>
      <c r="Y1355">
        <v>14.34</v>
      </c>
      <c r="Z1355">
        <v>16.015280000000001</v>
      </c>
      <c r="AA1355">
        <v>108.254448</v>
      </c>
      <c r="AB1355">
        <v>105.95</v>
      </c>
      <c r="AC1355">
        <v>16.015132000000001</v>
      </c>
      <c r="AD1355">
        <v>108.25502</v>
      </c>
      <c r="AE1355" s="5">
        <f t="shared" si="106"/>
        <v>2.1509999999999998E-2</v>
      </c>
      <c r="AF1355" s="5">
        <f t="shared" si="107"/>
        <v>0.15892500000000001</v>
      </c>
      <c r="AG1355" s="1" t="str">
        <f>TRIM(LEFT(L1355,FIND("-",L1355)-1))</f>
        <v>Hội An</v>
      </c>
      <c r="AH1355" s="1" t="str">
        <f>TRIM(RIGHT(L1355, LEN(L1355) - FIND("-", L1355)))</f>
        <v>Ngũ Hành Sơn</v>
      </c>
      <c r="AJ1355">
        <f t="shared" si="108"/>
        <v>1.434E-2</v>
      </c>
      <c r="AK1355">
        <f t="shared" si="109"/>
        <v>0.10595</v>
      </c>
      <c r="AL1355">
        <f>VLOOKUP(L1355,'[1]Tuyến cáp H04'!$B:$E,3,0)/1000</f>
        <v>20.16</v>
      </c>
      <c r="AM1355" t="str">
        <f>VLOOKUP(L1355,'[1]Tuyến cáp H04'!$B:$E,4,0)</f>
        <v>Mạng cấp 3</v>
      </c>
    </row>
    <row r="1356" spans="1:39" x14ac:dyDescent="0.25">
      <c r="A1356" s="1" t="s">
        <v>12989</v>
      </c>
      <c r="B1356" s="1" t="s">
        <v>11197</v>
      </c>
      <c r="C1356" s="1" t="s">
        <v>11198</v>
      </c>
      <c r="D1356" s="1" t="s">
        <v>12990</v>
      </c>
      <c r="E1356" s="1" t="s">
        <v>12991</v>
      </c>
      <c r="F1356" s="1" t="s">
        <v>12992</v>
      </c>
      <c r="G1356" s="1" t="s">
        <v>14281</v>
      </c>
      <c r="H1356" s="1" t="s">
        <v>14282</v>
      </c>
      <c r="I1356" s="1" t="s">
        <v>15450</v>
      </c>
      <c r="J1356" s="1" t="s">
        <v>23</v>
      </c>
      <c r="K1356" s="1"/>
      <c r="L1356" s="1" t="s">
        <v>12072</v>
      </c>
      <c r="M1356" s="1" t="s">
        <v>12072</v>
      </c>
      <c r="N1356" s="12" t="b">
        <f t="shared" si="105"/>
        <v>1</v>
      </c>
      <c r="O1356" s="1" t="s">
        <v>12993</v>
      </c>
      <c r="P1356" s="1" t="s">
        <v>3125</v>
      </c>
      <c r="Q1356" s="1" t="s">
        <v>12960</v>
      </c>
      <c r="R1356" s="1" t="s">
        <v>12961</v>
      </c>
      <c r="S1356" s="1" t="s">
        <v>12994</v>
      </c>
      <c r="T1356" s="1" t="s">
        <v>12995</v>
      </c>
      <c r="U1356" s="1" t="s">
        <v>12996</v>
      </c>
      <c r="V1356" s="13">
        <f>COUNTIF(L1356:$M$1659,L1356)</f>
        <v>10</v>
      </c>
      <c r="W1356" s="1" t="s">
        <v>12080</v>
      </c>
      <c r="X1356">
        <v>245.67</v>
      </c>
      <c r="Y1356">
        <v>72.540000000000006</v>
      </c>
      <c r="Z1356">
        <v>16.015794</v>
      </c>
      <c r="AA1356">
        <v>108.254242</v>
      </c>
      <c r="AB1356">
        <v>173.13</v>
      </c>
      <c r="AC1356">
        <v>16.008153</v>
      </c>
      <c r="AD1356">
        <v>108.257991</v>
      </c>
      <c r="AE1356" s="5">
        <f t="shared" si="106"/>
        <v>0.10881</v>
      </c>
      <c r="AF1356" s="5">
        <f t="shared" si="107"/>
        <v>0.25969500000000001</v>
      </c>
      <c r="AG1356" s="1" t="str">
        <f>TRIM(LEFT(L1356,FIND("-",L1356)-1))</f>
        <v>K01</v>
      </c>
      <c r="AH1356" s="1" t="str">
        <f>TRIM(RIGHT(L1356, LEN(L1356) - FIND("-", L1356)))</f>
        <v>A01</v>
      </c>
      <c r="AJ1356">
        <f t="shared" si="108"/>
        <v>7.2540000000000007E-2</v>
      </c>
      <c r="AK1356">
        <f t="shared" si="109"/>
        <v>0.17313000000000001</v>
      </c>
      <c r="AL1356" t="e">
        <f>VLOOKUP(L1356,'[1]Tuyến cáp H04'!$B:$E,3,0)/1000</f>
        <v>#N/A</v>
      </c>
      <c r="AM1356" t="e">
        <f>VLOOKUP(L1356,'[1]Tuyến cáp H04'!$B:$E,4,0)</f>
        <v>#N/A</v>
      </c>
    </row>
    <row r="1357" spans="1:39" x14ac:dyDescent="0.25">
      <c r="A1357" s="1" t="s">
        <v>12997</v>
      </c>
      <c r="B1357" s="1" t="s">
        <v>11197</v>
      </c>
      <c r="C1357" s="1" t="s">
        <v>11198</v>
      </c>
      <c r="D1357" s="1" t="s">
        <v>12998</v>
      </c>
      <c r="E1357" s="1" t="s">
        <v>12999</v>
      </c>
      <c r="F1357" s="1" t="s">
        <v>13000</v>
      </c>
      <c r="G1357" s="1" t="s">
        <v>14281</v>
      </c>
      <c r="H1357" s="1" t="s">
        <v>14282</v>
      </c>
      <c r="I1357" s="1" t="s">
        <v>15451</v>
      </c>
      <c r="J1357" s="1" t="s">
        <v>23</v>
      </c>
      <c r="K1357" s="1"/>
      <c r="L1357" s="1" t="s">
        <v>12072</v>
      </c>
      <c r="M1357" s="1" t="s">
        <v>12072</v>
      </c>
      <c r="N1357" s="12" t="b">
        <f t="shared" si="105"/>
        <v>1</v>
      </c>
      <c r="O1357" s="1" t="s">
        <v>13001</v>
      </c>
      <c r="P1357" s="1" t="s">
        <v>3125</v>
      </c>
      <c r="Q1357" s="1" t="s">
        <v>12960</v>
      </c>
      <c r="R1357" s="1" t="s">
        <v>12961</v>
      </c>
      <c r="S1357" s="1" t="s">
        <v>226</v>
      </c>
      <c r="T1357" s="1" t="s">
        <v>13002</v>
      </c>
      <c r="U1357" s="1" t="s">
        <v>13003</v>
      </c>
      <c r="V1357" s="13">
        <f>COUNTIF(L1357:$M$1659,L1357)</f>
        <v>8</v>
      </c>
      <c r="W1357" s="1" t="s">
        <v>12080</v>
      </c>
      <c r="X1357">
        <v>188.33</v>
      </c>
      <c r="Y1357">
        <v>72.540000000000006</v>
      </c>
      <c r="Z1357">
        <v>16.015794</v>
      </c>
      <c r="AA1357">
        <v>108.254242</v>
      </c>
      <c r="AB1357">
        <v>115.79</v>
      </c>
      <c r="AC1357">
        <v>16.012620999999999</v>
      </c>
      <c r="AD1357">
        <v>108.255769</v>
      </c>
      <c r="AE1357" s="5">
        <f t="shared" si="106"/>
        <v>0.10881</v>
      </c>
      <c r="AF1357" s="5">
        <f t="shared" si="107"/>
        <v>0.17368500000000001</v>
      </c>
      <c r="AG1357" s="1" t="str">
        <f>TRIM(LEFT(L1357,FIND("-",L1357)-1))</f>
        <v>K01</v>
      </c>
      <c r="AH1357" s="1" t="str">
        <f>TRIM(RIGHT(L1357, LEN(L1357) - FIND("-", L1357)))</f>
        <v>A01</v>
      </c>
      <c r="AJ1357">
        <f t="shared" si="108"/>
        <v>7.2540000000000007E-2</v>
      </c>
      <c r="AK1357">
        <f t="shared" si="109"/>
        <v>0.11579</v>
      </c>
      <c r="AL1357" t="e">
        <f>VLOOKUP(L1357,'[1]Tuyến cáp H04'!$B:$E,3,0)/1000</f>
        <v>#N/A</v>
      </c>
      <c r="AM1357" t="e">
        <f>VLOOKUP(L1357,'[1]Tuyến cáp H04'!$B:$E,4,0)</f>
        <v>#N/A</v>
      </c>
    </row>
    <row r="1358" spans="1:39" x14ac:dyDescent="0.25">
      <c r="A1358" s="1" t="s">
        <v>13004</v>
      </c>
      <c r="B1358" s="1" t="s">
        <v>11197</v>
      </c>
      <c r="C1358" s="1" t="s">
        <v>11198</v>
      </c>
      <c r="D1358" s="1" t="s">
        <v>13005</v>
      </c>
      <c r="E1358" s="1" t="s">
        <v>13006</v>
      </c>
      <c r="F1358" s="1" t="s">
        <v>13007</v>
      </c>
      <c r="G1358" s="1" t="s">
        <v>14281</v>
      </c>
      <c r="H1358" s="1" t="s">
        <v>14282</v>
      </c>
      <c r="I1358" s="1" t="s">
        <v>15452</v>
      </c>
      <c r="J1358" s="1" t="s">
        <v>23</v>
      </c>
      <c r="K1358" s="1"/>
      <c r="L1358" s="1" t="s">
        <v>11202</v>
      </c>
      <c r="M1358" s="1" t="s">
        <v>11202</v>
      </c>
      <c r="N1358" s="12" t="b">
        <f t="shared" si="105"/>
        <v>1</v>
      </c>
      <c r="O1358" s="1" t="s">
        <v>13008</v>
      </c>
      <c r="P1358" s="1" t="s">
        <v>11204</v>
      </c>
      <c r="Q1358" s="1" t="s">
        <v>11205</v>
      </c>
      <c r="R1358" s="1" t="s">
        <v>11206</v>
      </c>
      <c r="S1358" s="1" t="s">
        <v>13009</v>
      </c>
      <c r="T1358" s="1" t="s">
        <v>13010</v>
      </c>
      <c r="U1358" s="1" t="s">
        <v>13011</v>
      </c>
      <c r="V1358" s="13">
        <f>COUNTIF(L1358:$M$1659,L1358)</f>
        <v>2</v>
      </c>
      <c r="W1358" s="1" t="s">
        <v>11210</v>
      </c>
      <c r="X1358">
        <v>538.37</v>
      </c>
      <c r="Y1358">
        <v>14.34</v>
      </c>
      <c r="Z1358">
        <v>16.015280000000001</v>
      </c>
      <c r="AA1358">
        <v>108.254448</v>
      </c>
      <c r="AB1358">
        <v>524.03</v>
      </c>
      <c r="AC1358">
        <v>16.000471000000001</v>
      </c>
      <c r="AD1358">
        <v>108.25984699999999</v>
      </c>
      <c r="AE1358" s="5">
        <f t="shared" si="106"/>
        <v>2.1509999999999998E-2</v>
      </c>
      <c r="AF1358" s="5">
        <f t="shared" si="107"/>
        <v>0.78604499999999999</v>
      </c>
      <c r="AG1358" s="1" t="str">
        <f>TRIM(LEFT(L1358,FIND("-",L1358)-1))</f>
        <v>Hội An</v>
      </c>
      <c r="AH1358" s="1" t="str">
        <f>TRIM(RIGHT(L1358, LEN(L1358) - FIND("-", L1358)))</f>
        <v>Ngũ Hành Sơn</v>
      </c>
      <c r="AJ1358">
        <f t="shared" si="108"/>
        <v>1.434E-2</v>
      </c>
      <c r="AK1358">
        <f t="shared" si="109"/>
        <v>0.52403</v>
      </c>
      <c r="AL1358">
        <f>VLOOKUP(L1358,'[1]Tuyến cáp H04'!$B:$E,3,0)/1000</f>
        <v>20.16</v>
      </c>
      <c r="AM1358" t="str">
        <f>VLOOKUP(L1358,'[1]Tuyến cáp H04'!$B:$E,4,0)</f>
        <v>Mạng cấp 3</v>
      </c>
    </row>
    <row r="1359" spans="1:39" x14ac:dyDescent="0.25">
      <c r="A1359" s="1" t="s">
        <v>13012</v>
      </c>
      <c r="B1359" s="1" t="s">
        <v>11220</v>
      </c>
      <c r="C1359" s="1" t="s">
        <v>11221</v>
      </c>
      <c r="D1359" s="1" t="s">
        <v>13013</v>
      </c>
      <c r="E1359" s="1" t="s">
        <v>13014</v>
      </c>
      <c r="F1359" s="1" t="s">
        <v>13015</v>
      </c>
      <c r="G1359" s="1" t="s">
        <v>14281</v>
      </c>
      <c r="H1359" s="1" t="s">
        <v>14282</v>
      </c>
      <c r="I1359" s="1" t="s">
        <v>15453</v>
      </c>
      <c r="J1359" s="1" t="s">
        <v>23</v>
      </c>
      <c r="K1359" s="1"/>
      <c r="L1359" s="1" t="s">
        <v>13016</v>
      </c>
      <c r="M1359" s="1" t="s">
        <v>13016</v>
      </c>
      <c r="N1359" s="12" t="b">
        <f t="shared" si="105"/>
        <v>1</v>
      </c>
      <c r="O1359" s="1" t="s">
        <v>13017</v>
      </c>
      <c r="P1359" s="1" t="s">
        <v>13018</v>
      </c>
      <c r="Q1359" s="1" t="s">
        <v>13019</v>
      </c>
      <c r="R1359" s="1" t="s">
        <v>13020</v>
      </c>
      <c r="S1359" s="1" t="s">
        <v>13021</v>
      </c>
      <c r="T1359" s="1" t="s">
        <v>13022</v>
      </c>
      <c r="U1359" s="1" t="s">
        <v>13023</v>
      </c>
      <c r="V1359" s="13">
        <f>COUNTIF(L1359:$M$1659,L1359)</f>
        <v>4</v>
      </c>
      <c r="W1359" s="1" t="s">
        <v>13024</v>
      </c>
      <c r="X1359">
        <v>1731.73</v>
      </c>
      <c r="Y1359">
        <v>248.8</v>
      </c>
      <c r="Z1359">
        <v>16.068176999999999</v>
      </c>
      <c r="AA1359">
        <v>108.232409</v>
      </c>
      <c r="AB1359">
        <v>1482.93</v>
      </c>
      <c r="AC1359">
        <v>16.086010999999999</v>
      </c>
      <c r="AD1359">
        <v>108.239991</v>
      </c>
      <c r="AE1359" s="5">
        <f t="shared" si="106"/>
        <v>0.37320000000000003</v>
      </c>
      <c r="AF1359" s="5">
        <f t="shared" si="107"/>
        <v>2.2243949999999999</v>
      </c>
      <c r="AG1359" s="1" t="str">
        <f>TRIM(LEFT(L1359,FIND("-",L1359)-1))</f>
        <v>K01 (CS2)</v>
      </c>
      <c r="AH1359" s="1" t="str">
        <f>TRIM(RIGHT(L1359, LEN(L1359) - FIND("-", L1359)))</f>
        <v>Bệnh viện 199 - ok</v>
      </c>
      <c r="AJ1359">
        <f t="shared" si="108"/>
        <v>0.24880000000000002</v>
      </c>
      <c r="AK1359">
        <f t="shared" si="109"/>
        <v>1.4829300000000001</v>
      </c>
      <c r="AL1359" t="e">
        <f>VLOOKUP(L1359,'[1]Tuyến cáp H04'!$B:$E,3,0)/1000</f>
        <v>#N/A</v>
      </c>
      <c r="AM1359" t="e">
        <f>VLOOKUP(L1359,'[1]Tuyến cáp H04'!$B:$E,4,0)</f>
        <v>#N/A</v>
      </c>
    </row>
    <row r="1360" spans="1:39" x14ac:dyDescent="0.25">
      <c r="A1360" s="1" t="s">
        <v>13025</v>
      </c>
      <c r="B1360" s="1" t="s">
        <v>11220</v>
      </c>
      <c r="C1360" s="1" t="s">
        <v>11221</v>
      </c>
      <c r="D1360" s="1" t="s">
        <v>12738</v>
      </c>
      <c r="E1360" s="1" t="s">
        <v>12739</v>
      </c>
      <c r="F1360" s="1" t="s">
        <v>13026</v>
      </c>
      <c r="G1360" s="1" t="s">
        <v>14281</v>
      </c>
      <c r="H1360" s="1" t="s">
        <v>14282</v>
      </c>
      <c r="I1360" s="1" t="s">
        <v>15454</v>
      </c>
      <c r="J1360" s="1" t="s">
        <v>23</v>
      </c>
      <c r="K1360" s="1"/>
      <c r="L1360" s="1" t="s">
        <v>11045</v>
      </c>
      <c r="M1360" s="1" t="s">
        <v>11045</v>
      </c>
      <c r="N1360" s="12" t="b">
        <f t="shared" si="105"/>
        <v>1</v>
      </c>
      <c r="O1360" s="1" t="s">
        <v>13027</v>
      </c>
      <c r="P1360" s="1" t="s">
        <v>13028</v>
      </c>
      <c r="Q1360" s="1" t="s">
        <v>13029</v>
      </c>
      <c r="R1360" s="1" t="s">
        <v>13030</v>
      </c>
      <c r="S1360" s="1" t="s">
        <v>12742</v>
      </c>
      <c r="T1360" s="1" t="s">
        <v>12743</v>
      </c>
      <c r="U1360" s="1" t="s">
        <v>12744</v>
      </c>
      <c r="V1360" s="13">
        <f>COUNTIF(L1360:$M$1659,L1360)</f>
        <v>10</v>
      </c>
      <c r="W1360" s="1" t="s">
        <v>11053</v>
      </c>
      <c r="X1360">
        <v>2017.4</v>
      </c>
      <c r="Y1360">
        <v>1554.78</v>
      </c>
      <c r="Z1360">
        <v>16.074739000000001</v>
      </c>
      <c r="AA1360">
        <v>108.21987300000001</v>
      </c>
      <c r="AB1360">
        <v>462.61</v>
      </c>
      <c r="AC1360">
        <v>16.059671999999999</v>
      </c>
      <c r="AD1360">
        <v>108.21110400000001</v>
      </c>
      <c r="AE1360" s="5">
        <f t="shared" si="106"/>
        <v>2.3321700000000001</v>
      </c>
      <c r="AF1360" s="5">
        <f t="shared" si="107"/>
        <v>0.69391499999999995</v>
      </c>
      <c r="AG1360" s="1" t="e">
        <f>TRIM(LEFT(L1360,FIND("-",L1360)-1))</f>
        <v>#VALUE!</v>
      </c>
      <c r="AH1360" s="1" t="e">
        <f>TRIM(RIGHT(L1360, LEN(L1360) - FIND("-", L1360)))</f>
        <v>#VALUE!</v>
      </c>
      <c r="AJ1360">
        <f t="shared" si="108"/>
        <v>1.5547800000000001</v>
      </c>
      <c r="AK1360">
        <f t="shared" si="109"/>
        <v>0.46261000000000002</v>
      </c>
      <c r="AL1360" t="e">
        <f>VLOOKUP(L1360,'[1]Tuyến cáp H04'!$B:$E,3,0)/1000</f>
        <v>#N/A</v>
      </c>
      <c r="AM1360" t="e">
        <f>VLOOKUP(L1360,'[1]Tuyến cáp H04'!$B:$E,4,0)</f>
        <v>#N/A</v>
      </c>
    </row>
    <row r="1361" spans="1:39" x14ac:dyDescent="0.25">
      <c r="A1361" s="1" t="s">
        <v>13031</v>
      </c>
      <c r="B1361" s="1" t="s">
        <v>11220</v>
      </c>
      <c r="C1361" s="1" t="s">
        <v>11221</v>
      </c>
      <c r="D1361" s="1" t="s">
        <v>13032</v>
      </c>
      <c r="E1361" s="1" t="s">
        <v>13033</v>
      </c>
      <c r="F1361" s="1" t="s">
        <v>13034</v>
      </c>
      <c r="G1361" s="1" t="s">
        <v>14281</v>
      </c>
      <c r="H1361" s="1" t="s">
        <v>14282</v>
      </c>
      <c r="I1361" s="1" t="s">
        <v>15455</v>
      </c>
      <c r="J1361" s="1" t="s">
        <v>23</v>
      </c>
      <c r="K1361" s="1"/>
      <c r="L1361" s="1" t="s">
        <v>13016</v>
      </c>
      <c r="M1361" s="1" t="s">
        <v>13016</v>
      </c>
      <c r="N1361" s="12" t="b">
        <f t="shared" si="105"/>
        <v>1</v>
      </c>
      <c r="O1361" s="1" t="s">
        <v>13035</v>
      </c>
      <c r="P1361" s="1" t="s">
        <v>13018</v>
      </c>
      <c r="Q1361" s="1" t="s">
        <v>13019</v>
      </c>
      <c r="R1361" s="1" t="s">
        <v>13020</v>
      </c>
      <c r="S1361" s="1" t="s">
        <v>13036</v>
      </c>
      <c r="T1361" s="1" t="s">
        <v>13037</v>
      </c>
      <c r="U1361" s="1" t="s">
        <v>13038</v>
      </c>
      <c r="V1361" s="13">
        <f>COUNTIF(L1361:$M$1659,L1361)</f>
        <v>2</v>
      </c>
      <c r="W1361" s="1" t="s">
        <v>13024</v>
      </c>
      <c r="X1361">
        <v>1073.3699999999999</v>
      </c>
      <c r="Y1361">
        <v>248.8</v>
      </c>
      <c r="Z1361">
        <v>16.068176999999999</v>
      </c>
      <c r="AA1361">
        <v>108.232409</v>
      </c>
      <c r="AB1361">
        <v>824.57</v>
      </c>
      <c r="AC1361">
        <v>16.082333999999999</v>
      </c>
      <c r="AD1361">
        <v>108.236397</v>
      </c>
      <c r="AE1361" s="5">
        <f t="shared" si="106"/>
        <v>0.37320000000000003</v>
      </c>
      <c r="AF1361" s="5">
        <f t="shared" si="107"/>
        <v>1.236855</v>
      </c>
      <c r="AG1361" s="1" t="str">
        <f>TRIM(LEFT(L1361,FIND("-",L1361)-1))</f>
        <v>K01 (CS2)</v>
      </c>
      <c r="AH1361" s="1" t="str">
        <f>TRIM(RIGHT(L1361, LEN(L1361) - FIND("-", L1361)))</f>
        <v>Bệnh viện 199 - ok</v>
      </c>
      <c r="AJ1361">
        <f t="shared" si="108"/>
        <v>0.24880000000000002</v>
      </c>
      <c r="AK1361">
        <f t="shared" si="109"/>
        <v>0.82457000000000003</v>
      </c>
      <c r="AL1361" t="e">
        <f>VLOOKUP(L1361,'[1]Tuyến cáp H04'!$B:$E,3,0)/1000</f>
        <v>#N/A</v>
      </c>
      <c r="AM1361" t="e">
        <f>VLOOKUP(L1361,'[1]Tuyến cáp H04'!$B:$E,4,0)</f>
        <v>#N/A</v>
      </c>
    </row>
    <row r="1362" spans="1:39" x14ac:dyDescent="0.25">
      <c r="A1362" s="1" t="s">
        <v>13039</v>
      </c>
      <c r="B1362" s="1" t="s">
        <v>11220</v>
      </c>
      <c r="C1362" s="1" t="s">
        <v>11221</v>
      </c>
      <c r="D1362" s="1" t="s">
        <v>13040</v>
      </c>
      <c r="E1362" s="1" t="s">
        <v>13041</v>
      </c>
      <c r="F1362" s="1" t="s">
        <v>13042</v>
      </c>
      <c r="G1362" s="1" t="s">
        <v>14281</v>
      </c>
      <c r="H1362" s="1" t="s">
        <v>14282</v>
      </c>
      <c r="I1362" s="1" t="s">
        <v>15456</v>
      </c>
      <c r="J1362" s="1" t="s">
        <v>23</v>
      </c>
      <c r="K1362" s="1"/>
      <c r="L1362" s="1" t="s">
        <v>11225</v>
      </c>
      <c r="M1362" s="1" t="s">
        <v>11225</v>
      </c>
      <c r="N1362" s="12" t="b">
        <f t="shared" si="105"/>
        <v>1</v>
      </c>
      <c r="O1362" s="1" t="s">
        <v>13043</v>
      </c>
      <c r="P1362" s="1" t="s">
        <v>11227</v>
      </c>
      <c r="Q1362" s="1" t="s">
        <v>11228</v>
      </c>
      <c r="R1362" s="1" t="s">
        <v>11229</v>
      </c>
      <c r="S1362" s="1" t="s">
        <v>13044</v>
      </c>
      <c r="T1362" s="1" t="s">
        <v>11231</v>
      </c>
      <c r="U1362" s="1" t="s">
        <v>11232</v>
      </c>
      <c r="V1362" s="13">
        <f>COUNTIF(L1362:$M$1659,L1362)</f>
        <v>10</v>
      </c>
      <c r="W1362" s="1" t="s">
        <v>11233</v>
      </c>
      <c r="X1362">
        <v>493.53</v>
      </c>
      <c r="Y1362">
        <v>208.25</v>
      </c>
      <c r="Z1362">
        <v>16.071846000000001</v>
      </c>
      <c r="AA1362">
        <v>108.23430399999999</v>
      </c>
      <c r="AB1362">
        <v>285.27</v>
      </c>
      <c r="AC1362">
        <v>16.069942000000001</v>
      </c>
      <c r="AD1362">
        <v>108.24113199999999</v>
      </c>
      <c r="AE1362" s="5">
        <f t="shared" si="106"/>
        <v>0.31237500000000001</v>
      </c>
      <c r="AF1362" s="5">
        <f t="shared" si="107"/>
        <v>0.42790499999999998</v>
      </c>
      <c r="AG1362" s="1" t="str">
        <f>TRIM(LEFT(L1362,FIND("-",L1362)-1))</f>
        <v>An Hải</v>
      </c>
      <c r="AH1362" s="1" t="str">
        <f>TRIM(RIGHT(L1362, LEN(L1362) - FIND("-", L1362)))</f>
        <v>Sơn Trà</v>
      </c>
      <c r="AJ1362">
        <f t="shared" si="108"/>
        <v>0.20824999999999999</v>
      </c>
      <c r="AK1362">
        <f t="shared" si="109"/>
        <v>0.28526999999999997</v>
      </c>
      <c r="AL1362" t="e">
        <f>VLOOKUP(L1362,'[1]Tuyến cáp H04'!$B:$E,3,0)/1000</f>
        <v>#N/A</v>
      </c>
      <c r="AM1362" t="e">
        <f>VLOOKUP(L1362,'[1]Tuyến cáp H04'!$B:$E,4,0)</f>
        <v>#N/A</v>
      </c>
    </row>
    <row r="1363" spans="1:39" x14ac:dyDescent="0.25">
      <c r="A1363" s="1" t="s">
        <v>13045</v>
      </c>
      <c r="B1363" s="1" t="s">
        <v>11220</v>
      </c>
      <c r="C1363" s="1" t="s">
        <v>11221</v>
      </c>
      <c r="D1363" s="1" t="s">
        <v>13046</v>
      </c>
      <c r="E1363" s="1" t="s">
        <v>13047</v>
      </c>
      <c r="F1363" s="1" t="s">
        <v>13048</v>
      </c>
      <c r="G1363" s="1" t="s">
        <v>14281</v>
      </c>
      <c r="H1363" s="1" t="s">
        <v>14282</v>
      </c>
      <c r="I1363" s="1" t="s">
        <v>15457</v>
      </c>
      <c r="J1363" s="1" t="s">
        <v>23</v>
      </c>
      <c r="K1363" s="1"/>
      <c r="L1363" s="1" t="s">
        <v>12085</v>
      </c>
      <c r="M1363" s="1" t="s">
        <v>12085</v>
      </c>
      <c r="N1363" s="12" t="b">
        <f t="shared" si="105"/>
        <v>1</v>
      </c>
      <c r="O1363" s="1" t="s">
        <v>13049</v>
      </c>
      <c r="P1363" s="1" t="s">
        <v>13050</v>
      </c>
      <c r="Q1363" s="1" t="s">
        <v>13051</v>
      </c>
      <c r="R1363" s="1" t="s">
        <v>13052</v>
      </c>
      <c r="S1363" s="1" t="s">
        <v>13053</v>
      </c>
      <c r="T1363" s="1" t="s">
        <v>13054</v>
      </c>
      <c r="U1363" s="1" t="s">
        <v>13055</v>
      </c>
      <c r="V1363" s="13">
        <f>COUNTIF(L1363:$M$1659,L1363)</f>
        <v>2</v>
      </c>
      <c r="W1363" s="1" t="s">
        <v>12093</v>
      </c>
      <c r="X1363">
        <v>796.6</v>
      </c>
      <c r="Y1363">
        <v>617.65</v>
      </c>
      <c r="Z1363">
        <v>16.065455</v>
      </c>
      <c r="AA1363">
        <v>108.236769</v>
      </c>
      <c r="AB1363">
        <v>178.95</v>
      </c>
      <c r="AC1363">
        <v>16.060064000000001</v>
      </c>
      <c r="AD1363">
        <v>108.245611</v>
      </c>
      <c r="AE1363" s="5">
        <f t="shared" si="106"/>
        <v>0.92647499999999994</v>
      </c>
      <c r="AF1363" s="5">
        <f t="shared" si="107"/>
        <v>0.26842499999999997</v>
      </c>
      <c r="AG1363" s="1" t="str">
        <f>TRIM(LEFT(L1363,FIND("-",L1363)-1))</f>
        <v>Bệnh viện 199</v>
      </c>
      <c r="AH1363" s="1" t="str">
        <f>TRIM(RIGHT(L1363, LEN(L1363) - FIND("-", L1363)))</f>
        <v>A01 - ok</v>
      </c>
      <c r="AJ1363">
        <f t="shared" si="108"/>
        <v>0.61765000000000003</v>
      </c>
      <c r="AK1363">
        <f t="shared" si="109"/>
        <v>0.17895</v>
      </c>
      <c r="AL1363" t="e">
        <f>VLOOKUP(L1363,'[1]Tuyến cáp H04'!$B:$E,3,0)/1000</f>
        <v>#N/A</v>
      </c>
      <c r="AM1363" t="e">
        <f>VLOOKUP(L1363,'[1]Tuyến cáp H04'!$B:$E,4,0)</f>
        <v>#N/A</v>
      </c>
    </row>
    <row r="1364" spans="1:39" x14ac:dyDescent="0.25">
      <c r="A1364" s="1" t="s">
        <v>11280</v>
      </c>
      <c r="B1364" s="1" t="s">
        <v>11220</v>
      </c>
      <c r="C1364" s="1" t="s">
        <v>11221</v>
      </c>
      <c r="D1364" s="1" t="s">
        <v>11281</v>
      </c>
      <c r="E1364" s="1" t="s">
        <v>11282</v>
      </c>
      <c r="F1364" s="1" t="s">
        <v>13056</v>
      </c>
      <c r="G1364" s="1" t="s">
        <v>14281</v>
      </c>
      <c r="H1364" s="1" t="s">
        <v>14282</v>
      </c>
      <c r="I1364" s="1" t="s">
        <v>15278</v>
      </c>
      <c r="J1364" s="1" t="s">
        <v>23</v>
      </c>
      <c r="K1364" s="1"/>
      <c r="L1364" s="1" t="s">
        <v>11244</v>
      </c>
      <c r="M1364" s="1" t="s">
        <v>11244</v>
      </c>
      <c r="N1364" s="12" t="b">
        <f t="shared" si="105"/>
        <v>1</v>
      </c>
      <c r="O1364" s="1" t="s">
        <v>11284</v>
      </c>
      <c r="P1364" s="1" t="s">
        <v>11246</v>
      </c>
      <c r="Q1364" s="1" t="s">
        <v>11247</v>
      </c>
      <c r="R1364" s="1" t="s">
        <v>11248</v>
      </c>
      <c r="S1364" s="1" t="s">
        <v>11285</v>
      </c>
      <c r="T1364" s="1" t="s">
        <v>11286</v>
      </c>
      <c r="U1364" s="1" t="s">
        <v>11287</v>
      </c>
      <c r="V1364" s="13">
        <f>COUNTIF(L1364:$M$1659,L1364)</f>
        <v>2</v>
      </c>
      <c r="W1364" s="1" t="s">
        <v>11252</v>
      </c>
      <c r="X1364">
        <v>806.13</v>
      </c>
      <c r="Y1364">
        <v>231.85</v>
      </c>
      <c r="Z1364">
        <v>16.068318999999999</v>
      </c>
      <c r="AA1364">
        <v>108.232472</v>
      </c>
      <c r="AB1364">
        <v>574.28</v>
      </c>
      <c r="AC1364">
        <v>16.056984</v>
      </c>
      <c r="AD1364">
        <v>108.235525</v>
      </c>
      <c r="AE1364" s="5">
        <f t="shared" si="106"/>
        <v>0.347775</v>
      </c>
      <c r="AF1364" s="5">
        <f t="shared" si="107"/>
        <v>0.86141999999999996</v>
      </c>
      <c r="AG1364" s="1" t="str">
        <f>TRIM(LEFT(L1364,FIND("-",L1364)-1))</f>
        <v>Ngũ Hành Sơn</v>
      </c>
      <c r="AH1364" s="1" t="str">
        <f>TRIM(RIGHT(L1364, LEN(L1364) - FIND("-", L1364)))</f>
        <v>Sơn Trà</v>
      </c>
      <c r="AJ1364">
        <f t="shared" si="108"/>
        <v>0.23185</v>
      </c>
      <c r="AK1364">
        <f t="shared" si="109"/>
        <v>0.57428000000000001</v>
      </c>
      <c r="AL1364">
        <f>VLOOKUP(L1364,'[1]Tuyến cáp H04'!$B:$E,3,0)/1000</f>
        <v>6.73</v>
      </c>
      <c r="AM1364" t="str">
        <f>VLOOKUP(L1364,'[1]Tuyến cáp H04'!$B:$E,4,0)</f>
        <v>Mạng cấp 3</v>
      </c>
    </row>
    <row r="1365" spans="1:39" x14ac:dyDescent="0.25">
      <c r="A1365" s="1" t="s">
        <v>13057</v>
      </c>
      <c r="B1365" s="1" t="s">
        <v>11220</v>
      </c>
      <c r="C1365" s="1" t="s">
        <v>11221</v>
      </c>
      <c r="D1365" s="1" t="s">
        <v>13058</v>
      </c>
      <c r="E1365" s="1" t="s">
        <v>13059</v>
      </c>
      <c r="F1365" s="1" t="s">
        <v>13060</v>
      </c>
      <c r="G1365" s="1" t="s">
        <v>14281</v>
      </c>
      <c r="H1365" s="1" t="s">
        <v>14282</v>
      </c>
      <c r="I1365" s="1" t="s">
        <v>15458</v>
      </c>
      <c r="J1365" s="1" t="s">
        <v>23</v>
      </c>
      <c r="K1365" s="1"/>
      <c r="L1365" s="1" t="s">
        <v>11225</v>
      </c>
      <c r="M1365" s="1" t="s">
        <v>11225</v>
      </c>
      <c r="N1365" s="12" t="b">
        <f t="shared" si="105"/>
        <v>1</v>
      </c>
      <c r="O1365" s="1" t="s">
        <v>13061</v>
      </c>
      <c r="P1365" s="1" t="s">
        <v>11227</v>
      </c>
      <c r="Q1365" s="1" t="s">
        <v>11228</v>
      </c>
      <c r="R1365" s="1" t="s">
        <v>11229</v>
      </c>
      <c r="S1365" s="1" t="s">
        <v>13062</v>
      </c>
      <c r="T1365" s="1" t="s">
        <v>11231</v>
      </c>
      <c r="U1365" s="1" t="s">
        <v>11232</v>
      </c>
      <c r="V1365" s="13">
        <f>COUNTIF(L1365:$M$1659,L1365)</f>
        <v>8</v>
      </c>
      <c r="W1365" s="1" t="s">
        <v>11233</v>
      </c>
      <c r="X1365">
        <v>829.54</v>
      </c>
      <c r="Y1365">
        <v>208.25</v>
      </c>
      <c r="Z1365">
        <v>16.071846000000001</v>
      </c>
      <c r="AA1365">
        <v>108.23430399999999</v>
      </c>
      <c r="AB1365">
        <v>621.28</v>
      </c>
      <c r="AC1365">
        <v>16.069942000000001</v>
      </c>
      <c r="AD1365">
        <v>108.24113199999999</v>
      </c>
      <c r="AE1365" s="5">
        <f t="shared" si="106"/>
        <v>0.31237500000000001</v>
      </c>
      <c r="AF1365" s="5">
        <f t="shared" si="107"/>
        <v>0.93191999999999997</v>
      </c>
      <c r="AG1365" s="1" t="str">
        <f>TRIM(LEFT(L1365,FIND("-",L1365)-1))</f>
        <v>An Hải</v>
      </c>
      <c r="AH1365" s="1" t="str">
        <f>TRIM(RIGHT(L1365, LEN(L1365) - FIND("-", L1365)))</f>
        <v>Sơn Trà</v>
      </c>
      <c r="AJ1365">
        <f t="shared" si="108"/>
        <v>0.20824999999999999</v>
      </c>
      <c r="AK1365">
        <f t="shared" si="109"/>
        <v>0.62127999999999994</v>
      </c>
      <c r="AL1365" t="e">
        <f>VLOOKUP(L1365,'[1]Tuyến cáp H04'!$B:$E,3,0)/1000</f>
        <v>#N/A</v>
      </c>
      <c r="AM1365" t="e">
        <f>VLOOKUP(L1365,'[1]Tuyến cáp H04'!$B:$E,4,0)</f>
        <v>#N/A</v>
      </c>
    </row>
    <row r="1366" spans="1:39" x14ac:dyDescent="0.25">
      <c r="A1366" s="1" t="s">
        <v>13063</v>
      </c>
      <c r="B1366" s="1" t="s">
        <v>13064</v>
      </c>
      <c r="C1366" s="1" t="s">
        <v>13065</v>
      </c>
      <c r="D1366" s="1" t="s">
        <v>11552</v>
      </c>
      <c r="E1366" s="1" t="s">
        <v>11553</v>
      </c>
      <c r="F1366" s="1" t="s">
        <v>13066</v>
      </c>
      <c r="G1366" s="1" t="s">
        <v>14281</v>
      </c>
      <c r="H1366" s="1" t="s">
        <v>14282</v>
      </c>
      <c r="I1366" s="1" t="s">
        <v>15459</v>
      </c>
      <c r="J1366" s="1" t="s">
        <v>23</v>
      </c>
      <c r="K1366" s="1"/>
      <c r="L1366" s="1" t="s">
        <v>12430</v>
      </c>
      <c r="M1366" s="1" t="s">
        <v>12430</v>
      </c>
      <c r="N1366" s="12" t="b">
        <f t="shared" si="105"/>
        <v>1</v>
      </c>
      <c r="O1366" s="1" t="s">
        <v>13067</v>
      </c>
      <c r="P1366" s="1" t="s">
        <v>13068</v>
      </c>
      <c r="Q1366" s="1" t="s">
        <v>13069</v>
      </c>
      <c r="R1366" s="1" t="s">
        <v>13070</v>
      </c>
      <c r="S1366" s="1" t="s">
        <v>13071</v>
      </c>
      <c r="T1366" s="1" t="s">
        <v>13072</v>
      </c>
      <c r="U1366" s="1" t="s">
        <v>13073</v>
      </c>
      <c r="V1366" s="13">
        <f>COUNTIF(L1366:$M$1659,L1366)</f>
        <v>2</v>
      </c>
      <c r="W1366" s="1" t="s">
        <v>12437</v>
      </c>
      <c r="X1366">
        <v>6347.58</v>
      </c>
      <c r="Y1366">
        <v>6069.45</v>
      </c>
      <c r="Z1366">
        <v>15.839861000000001</v>
      </c>
      <c r="AA1366">
        <v>108.281587</v>
      </c>
      <c r="AB1366">
        <v>278.13</v>
      </c>
      <c r="AC1366">
        <v>15.787193</v>
      </c>
      <c r="AD1366">
        <v>108.323618</v>
      </c>
      <c r="AE1366" s="5">
        <f t="shared" si="106"/>
        <v>9.1041749999999997</v>
      </c>
      <c r="AF1366" s="5">
        <f t="shared" si="107"/>
        <v>0.41719499999999998</v>
      </c>
      <c r="AG1366" s="1" t="str">
        <f>TRIM(LEFT(L1366,FIND("-",L1366)-1))</f>
        <v>Nam Phước</v>
      </c>
      <c r="AH1366" s="1" t="str">
        <f>TRIM(RIGHT(L1366, LEN(L1366) - FIND("-", L1366)))</f>
        <v>Xuân Phú</v>
      </c>
      <c r="AJ1366">
        <f t="shared" si="108"/>
        <v>6.0694499999999998</v>
      </c>
      <c r="AK1366">
        <f t="shared" si="109"/>
        <v>0.27812999999999999</v>
      </c>
      <c r="AL1366">
        <f>VLOOKUP(L1366,'[1]Tuyến cáp H04'!$B:$E,3,0)/1000</f>
        <v>11.41</v>
      </c>
      <c r="AM1366" t="str">
        <f>VLOOKUP(L1366,'[1]Tuyến cáp H04'!$B:$E,4,0)</f>
        <v>Mạng cấp 4</v>
      </c>
    </row>
    <row r="1367" spans="1:39" x14ac:dyDescent="0.25">
      <c r="A1367" s="1" t="s">
        <v>13074</v>
      </c>
      <c r="B1367" s="1" t="s">
        <v>13064</v>
      </c>
      <c r="C1367" s="1" t="s">
        <v>13065</v>
      </c>
      <c r="D1367" s="1" t="s">
        <v>13075</v>
      </c>
      <c r="E1367" s="1" t="s">
        <v>13076</v>
      </c>
      <c r="F1367" s="1" t="s">
        <v>13077</v>
      </c>
      <c r="G1367" s="1" t="s">
        <v>14281</v>
      </c>
      <c r="H1367" s="1" t="s">
        <v>14282</v>
      </c>
      <c r="I1367" s="1" t="s">
        <v>15460</v>
      </c>
      <c r="J1367" s="1" t="s">
        <v>23</v>
      </c>
      <c r="K1367" s="1"/>
      <c r="L1367" s="1" t="s">
        <v>13078</v>
      </c>
      <c r="M1367" s="1" t="s">
        <v>13078</v>
      </c>
      <c r="N1367" s="12" t="b">
        <f t="shared" si="105"/>
        <v>1</v>
      </c>
      <c r="O1367" s="1" t="s">
        <v>13079</v>
      </c>
      <c r="P1367" s="1" t="s">
        <v>13080</v>
      </c>
      <c r="Q1367" s="1" t="s">
        <v>13081</v>
      </c>
      <c r="R1367" s="1" t="s">
        <v>13082</v>
      </c>
      <c r="S1367" s="1" t="s">
        <v>13083</v>
      </c>
      <c r="T1367" s="1" t="s">
        <v>13084</v>
      </c>
      <c r="U1367" s="1" t="s">
        <v>13085</v>
      </c>
      <c r="V1367" s="13">
        <f>COUNTIF(L1367:$M$1659,L1367)</f>
        <v>8</v>
      </c>
      <c r="W1367" s="1" t="s">
        <v>13086</v>
      </c>
      <c r="X1367">
        <v>1753.2</v>
      </c>
      <c r="Y1367">
        <v>1505.28</v>
      </c>
      <c r="Z1367">
        <v>15.888445000000001</v>
      </c>
      <c r="AA1367">
        <v>108.23995499999999</v>
      </c>
      <c r="AB1367">
        <v>247.93</v>
      </c>
      <c r="AC1367">
        <v>15.888389999999999</v>
      </c>
      <c r="AD1367">
        <v>108.17937999999999</v>
      </c>
      <c r="AE1367" s="5">
        <f t="shared" si="106"/>
        <v>2.2579199999999999</v>
      </c>
      <c r="AF1367" s="5">
        <f t="shared" si="107"/>
        <v>0.37189499999999998</v>
      </c>
      <c r="AG1367" s="1" t="str">
        <f>TRIM(LEFT(L1367,FIND("-",L1367)-1))</f>
        <v>Điện Bàn</v>
      </c>
      <c r="AH1367" s="1" t="str">
        <f>TRIM(RIGHT(L1367, LEN(L1367) - FIND("-", L1367)))</f>
        <v>Điện Bàn Tây</v>
      </c>
      <c r="AJ1367">
        <f t="shared" si="108"/>
        <v>1.50528</v>
      </c>
      <c r="AK1367">
        <f t="shared" si="109"/>
        <v>0.24793000000000001</v>
      </c>
      <c r="AL1367">
        <f>VLOOKUP(L1367,'[1]Tuyến cáp H04'!$B:$E,3,0)/1000</f>
        <v>12.833</v>
      </c>
      <c r="AM1367" t="str">
        <f>VLOOKUP(L1367,'[1]Tuyến cáp H04'!$B:$E,4,0)</f>
        <v>Mạng cấp 4</v>
      </c>
    </row>
    <row r="1368" spans="1:39" x14ac:dyDescent="0.25">
      <c r="A1368" s="1" t="s">
        <v>13087</v>
      </c>
      <c r="B1368" s="1" t="s">
        <v>13064</v>
      </c>
      <c r="C1368" s="1" t="s">
        <v>13065</v>
      </c>
      <c r="D1368" s="1" t="s">
        <v>13088</v>
      </c>
      <c r="E1368" s="1" t="s">
        <v>13089</v>
      </c>
      <c r="F1368" s="1" t="s">
        <v>13090</v>
      </c>
      <c r="G1368" s="1"/>
      <c r="H1368" s="1" t="s">
        <v>14282</v>
      </c>
      <c r="I1368" s="1" t="s">
        <v>15461</v>
      </c>
      <c r="J1368" s="1" t="s">
        <v>23</v>
      </c>
      <c r="K1368" s="1"/>
      <c r="L1368" s="1" t="s">
        <v>13091</v>
      </c>
      <c r="M1368" s="1" t="s">
        <v>13091</v>
      </c>
      <c r="N1368" s="12" t="b">
        <f t="shared" si="105"/>
        <v>1</v>
      </c>
      <c r="O1368" s="1" t="s">
        <v>13092</v>
      </c>
      <c r="P1368" s="1" t="s">
        <v>13093</v>
      </c>
      <c r="Q1368" s="1" t="s">
        <v>13094</v>
      </c>
      <c r="R1368" s="1" t="s">
        <v>13095</v>
      </c>
      <c r="S1368" s="1" t="s">
        <v>13096</v>
      </c>
      <c r="T1368" s="1" t="s">
        <v>13097</v>
      </c>
      <c r="U1368" s="1" t="s">
        <v>13098</v>
      </c>
      <c r="V1368" s="13">
        <f>COUNTIF(L1368:$M$1659,L1368)</f>
        <v>4</v>
      </c>
      <c r="W1368" s="1" t="s">
        <v>13099</v>
      </c>
      <c r="X1368">
        <v>312.47000000000003</v>
      </c>
      <c r="Y1368">
        <v>294.45</v>
      </c>
      <c r="Z1368">
        <v>15.889352000000001</v>
      </c>
      <c r="AA1368">
        <v>108.256027</v>
      </c>
      <c r="AB1368">
        <v>18.02</v>
      </c>
      <c r="AC1368">
        <v>15.919997</v>
      </c>
      <c r="AD1368">
        <v>108.221555</v>
      </c>
      <c r="AE1368" s="5">
        <f t="shared" si="106"/>
        <v>0.44167499999999993</v>
      </c>
      <c r="AF1368" s="5">
        <f t="shared" si="107"/>
        <v>2.7030000000000002E-2</v>
      </c>
      <c r="AG1368" s="1" t="str">
        <f>TRIM(LEFT(L1368,FIND("-",L1368)-1))</f>
        <v>TTCMKV Điện Bàn</v>
      </c>
      <c r="AH1368" s="1" t="str">
        <f>TRIM(RIGHT(L1368, LEN(L1368) - FIND("-", L1368)))</f>
        <v>An Thắng</v>
      </c>
      <c r="AJ1368">
        <f t="shared" si="108"/>
        <v>0.29444999999999999</v>
      </c>
      <c r="AK1368">
        <f t="shared" si="109"/>
        <v>1.8020000000000001E-2</v>
      </c>
      <c r="AL1368">
        <f>VLOOKUP(L1368,'[1]Tuyến cáp H04'!$B:$E,3,0)/1000</f>
        <v>8.1240000000000006</v>
      </c>
      <c r="AM1368" t="str">
        <f>VLOOKUP(L1368,'[1]Tuyến cáp H04'!$B:$E,4,0)</f>
        <v>Mạng cấp 4</v>
      </c>
    </row>
    <row r="1369" spans="1:39" x14ac:dyDescent="0.25">
      <c r="A1369" s="1" t="s">
        <v>13100</v>
      </c>
      <c r="B1369" s="1" t="s">
        <v>13064</v>
      </c>
      <c r="C1369" s="1" t="s">
        <v>13065</v>
      </c>
      <c r="D1369" s="1" t="s">
        <v>13101</v>
      </c>
      <c r="E1369" s="1" t="s">
        <v>13102</v>
      </c>
      <c r="F1369" s="1" t="s">
        <v>13103</v>
      </c>
      <c r="G1369" s="1" t="s">
        <v>14281</v>
      </c>
      <c r="H1369" s="1" t="s">
        <v>14282</v>
      </c>
      <c r="I1369" s="1" t="s">
        <v>15462</v>
      </c>
      <c r="J1369" s="1" t="s">
        <v>23</v>
      </c>
      <c r="K1369" s="1"/>
      <c r="L1369" s="1" t="s">
        <v>13078</v>
      </c>
      <c r="M1369" s="1" t="s">
        <v>13078</v>
      </c>
      <c r="N1369" s="12" t="b">
        <f t="shared" si="105"/>
        <v>1</v>
      </c>
      <c r="O1369" s="1" t="s">
        <v>13104</v>
      </c>
      <c r="P1369" s="1" t="s">
        <v>13080</v>
      </c>
      <c r="Q1369" s="1" t="s">
        <v>13081</v>
      </c>
      <c r="R1369" s="1" t="s">
        <v>13082</v>
      </c>
      <c r="S1369" s="1" t="s">
        <v>13105</v>
      </c>
      <c r="T1369" s="1" t="s">
        <v>13106</v>
      </c>
      <c r="U1369" s="1" t="s">
        <v>13107</v>
      </c>
      <c r="V1369" s="13">
        <f>COUNTIF(L1369:$M$1659,L1369)</f>
        <v>6</v>
      </c>
      <c r="W1369" s="1" t="s">
        <v>13086</v>
      </c>
      <c r="X1369">
        <v>1566.06</v>
      </c>
      <c r="Y1369">
        <v>1505.28</v>
      </c>
      <c r="Z1369">
        <v>15.888445000000001</v>
      </c>
      <c r="AA1369">
        <v>108.23995499999999</v>
      </c>
      <c r="AB1369">
        <v>60.78</v>
      </c>
      <c r="AC1369">
        <v>15.884274</v>
      </c>
      <c r="AD1369">
        <v>108.22657599999999</v>
      </c>
      <c r="AE1369" s="5">
        <f t="shared" si="106"/>
        <v>2.2579199999999999</v>
      </c>
      <c r="AF1369" s="5">
        <f t="shared" si="107"/>
        <v>9.1170000000000001E-2</v>
      </c>
      <c r="AG1369" s="1" t="str">
        <f>TRIM(LEFT(L1369,FIND("-",L1369)-1))</f>
        <v>Điện Bàn</v>
      </c>
      <c r="AH1369" s="1" t="str">
        <f>TRIM(RIGHT(L1369, LEN(L1369) - FIND("-", L1369)))</f>
        <v>Điện Bàn Tây</v>
      </c>
      <c r="AJ1369">
        <f t="shared" si="108"/>
        <v>1.50528</v>
      </c>
      <c r="AK1369">
        <f t="shared" si="109"/>
        <v>6.0780000000000001E-2</v>
      </c>
      <c r="AL1369">
        <f>VLOOKUP(L1369,'[1]Tuyến cáp H04'!$B:$E,3,0)/1000</f>
        <v>12.833</v>
      </c>
      <c r="AM1369" t="str">
        <f>VLOOKUP(L1369,'[1]Tuyến cáp H04'!$B:$E,4,0)</f>
        <v>Mạng cấp 4</v>
      </c>
    </row>
    <row r="1370" spans="1:39" x14ac:dyDescent="0.25">
      <c r="A1370" s="1" t="s">
        <v>13108</v>
      </c>
      <c r="B1370" s="1" t="s">
        <v>13064</v>
      </c>
      <c r="C1370" s="1" t="s">
        <v>13065</v>
      </c>
      <c r="D1370" s="1" t="s">
        <v>13109</v>
      </c>
      <c r="E1370" s="1" t="s">
        <v>13110</v>
      </c>
      <c r="F1370" s="1" t="s">
        <v>13111</v>
      </c>
      <c r="G1370" s="1" t="s">
        <v>14281</v>
      </c>
      <c r="H1370" s="1" t="s">
        <v>14282</v>
      </c>
      <c r="I1370" s="1" t="s">
        <v>15463</v>
      </c>
      <c r="J1370" s="1" t="s">
        <v>23</v>
      </c>
      <c r="K1370" s="1"/>
      <c r="L1370" s="1" t="s">
        <v>13112</v>
      </c>
      <c r="M1370" s="1" t="s">
        <v>13112</v>
      </c>
      <c r="N1370" s="12" t="b">
        <f t="shared" si="105"/>
        <v>1</v>
      </c>
      <c r="O1370" s="1" t="s">
        <v>9926</v>
      </c>
      <c r="P1370" s="1" t="s">
        <v>13113</v>
      </c>
      <c r="Q1370" s="1" t="s">
        <v>13114</v>
      </c>
      <c r="R1370" s="1" t="s">
        <v>13115</v>
      </c>
      <c r="S1370" s="1" t="s">
        <v>13116</v>
      </c>
      <c r="T1370" s="1" t="s">
        <v>13117</v>
      </c>
      <c r="U1370" s="1" t="s">
        <v>13118</v>
      </c>
      <c r="V1370" s="13">
        <f>COUNTIF(L1370:$M$1659,L1370)</f>
        <v>6</v>
      </c>
      <c r="W1370" s="1" t="s">
        <v>13119</v>
      </c>
      <c r="X1370">
        <v>1502.01</v>
      </c>
      <c r="Y1370">
        <v>13.57</v>
      </c>
      <c r="Z1370">
        <v>15.887679</v>
      </c>
      <c r="AA1370">
        <v>108.25402800000001</v>
      </c>
      <c r="AB1370">
        <v>1488.43</v>
      </c>
      <c r="AC1370">
        <v>15.865550000000001</v>
      </c>
      <c r="AD1370">
        <v>108.27046</v>
      </c>
      <c r="AE1370" s="5">
        <f t="shared" si="106"/>
        <v>2.0355000000000002E-2</v>
      </c>
      <c r="AF1370" s="5">
        <f t="shared" si="107"/>
        <v>2.2326449999999998</v>
      </c>
      <c r="AG1370" s="1" t="str">
        <f>TRIM(LEFT(L1370,FIND("-",L1370)-1))</f>
        <v>TTCMKV Điện Bàn</v>
      </c>
      <c r="AH1370" s="1" t="str">
        <f>TRIM(RIGHT(L1370, LEN(L1370) - FIND("-", L1370)))</f>
        <v>Nam Phước</v>
      </c>
      <c r="AJ1370">
        <f t="shared" si="108"/>
        <v>1.357E-2</v>
      </c>
      <c r="AK1370">
        <f t="shared" si="109"/>
        <v>1.4884300000000001</v>
      </c>
      <c r="AL1370">
        <f>VLOOKUP(L1370,'[1]Tuyến cáp H04'!$B:$E,3,0)/1000</f>
        <v>11.981</v>
      </c>
      <c r="AM1370" t="str">
        <f>VLOOKUP(L1370,'[1]Tuyến cáp H04'!$B:$E,4,0)</f>
        <v>Mạng cấp 4</v>
      </c>
    </row>
    <row r="1371" spans="1:39" x14ac:dyDescent="0.25">
      <c r="A1371" s="1" t="s">
        <v>13120</v>
      </c>
      <c r="B1371" s="1" t="s">
        <v>13064</v>
      </c>
      <c r="C1371" s="1" t="s">
        <v>13065</v>
      </c>
      <c r="D1371" s="1" t="s">
        <v>13121</v>
      </c>
      <c r="E1371" s="1" t="s">
        <v>13122</v>
      </c>
      <c r="F1371" s="1" t="s">
        <v>13123</v>
      </c>
      <c r="G1371" s="1" t="s">
        <v>14281</v>
      </c>
      <c r="H1371" s="1" t="s">
        <v>14282</v>
      </c>
      <c r="I1371" s="1" t="s">
        <v>15464</v>
      </c>
      <c r="J1371" s="1" t="s">
        <v>23</v>
      </c>
      <c r="K1371" s="1"/>
      <c r="L1371" s="1" t="s">
        <v>13112</v>
      </c>
      <c r="M1371" s="1" t="s">
        <v>13112</v>
      </c>
      <c r="N1371" s="12" t="b">
        <f t="shared" si="105"/>
        <v>1</v>
      </c>
      <c r="O1371" s="1" t="s">
        <v>13124</v>
      </c>
      <c r="P1371" s="1" t="s">
        <v>13113</v>
      </c>
      <c r="Q1371" s="1" t="s">
        <v>13114</v>
      </c>
      <c r="R1371" s="1" t="s">
        <v>13115</v>
      </c>
      <c r="S1371" s="1" t="s">
        <v>13125</v>
      </c>
      <c r="T1371" s="1" t="s">
        <v>13126</v>
      </c>
      <c r="U1371" s="1" t="s">
        <v>13127</v>
      </c>
      <c r="V1371" s="13">
        <f>COUNTIF(L1371:$M$1659,L1371)</f>
        <v>4</v>
      </c>
      <c r="W1371" s="1" t="s">
        <v>13119</v>
      </c>
      <c r="X1371">
        <v>39.020000000000003</v>
      </c>
      <c r="Y1371">
        <v>13.57</v>
      </c>
      <c r="Z1371">
        <v>15.887679</v>
      </c>
      <c r="AA1371">
        <v>108.25402800000001</v>
      </c>
      <c r="AB1371">
        <v>25.45</v>
      </c>
      <c r="AC1371">
        <v>15.868352</v>
      </c>
      <c r="AD1371">
        <v>108.263243</v>
      </c>
      <c r="AE1371" s="5">
        <f t="shared" si="106"/>
        <v>2.0355000000000002E-2</v>
      </c>
      <c r="AF1371" s="5">
        <f t="shared" si="107"/>
        <v>3.8175000000000001E-2</v>
      </c>
      <c r="AG1371" s="1" t="str">
        <f>TRIM(LEFT(L1371,FIND("-",L1371)-1))</f>
        <v>TTCMKV Điện Bàn</v>
      </c>
      <c r="AH1371" s="1" t="str">
        <f>TRIM(RIGHT(L1371, LEN(L1371) - FIND("-", L1371)))</f>
        <v>Nam Phước</v>
      </c>
      <c r="AJ1371">
        <f t="shared" si="108"/>
        <v>1.357E-2</v>
      </c>
      <c r="AK1371">
        <f t="shared" si="109"/>
        <v>2.545E-2</v>
      </c>
      <c r="AL1371">
        <f>VLOOKUP(L1371,'[1]Tuyến cáp H04'!$B:$E,3,0)/1000</f>
        <v>11.981</v>
      </c>
      <c r="AM1371" t="str">
        <f>VLOOKUP(L1371,'[1]Tuyến cáp H04'!$B:$E,4,0)</f>
        <v>Mạng cấp 4</v>
      </c>
    </row>
    <row r="1372" spans="1:39" x14ac:dyDescent="0.25">
      <c r="A1372" s="1" t="s">
        <v>13128</v>
      </c>
      <c r="B1372" s="1" t="s">
        <v>13064</v>
      </c>
      <c r="C1372" s="1" t="s">
        <v>13065</v>
      </c>
      <c r="D1372" s="1" t="s">
        <v>13129</v>
      </c>
      <c r="E1372" s="1" t="s">
        <v>13130</v>
      </c>
      <c r="F1372" s="1" t="s">
        <v>13131</v>
      </c>
      <c r="G1372" s="1" t="s">
        <v>14281</v>
      </c>
      <c r="H1372" s="1" t="s">
        <v>14282</v>
      </c>
      <c r="I1372" s="1" t="s">
        <v>15465</v>
      </c>
      <c r="J1372" s="1" t="s">
        <v>23</v>
      </c>
      <c r="K1372" s="1"/>
      <c r="L1372" s="1" t="s">
        <v>13112</v>
      </c>
      <c r="M1372" s="1" t="s">
        <v>13112</v>
      </c>
      <c r="N1372" s="12" t="b">
        <f t="shared" si="105"/>
        <v>1</v>
      </c>
      <c r="O1372" s="1" t="s">
        <v>13132</v>
      </c>
      <c r="P1372" s="1" t="s">
        <v>13113</v>
      </c>
      <c r="Q1372" s="1" t="s">
        <v>13114</v>
      </c>
      <c r="R1372" s="1" t="s">
        <v>13115</v>
      </c>
      <c r="S1372" s="1" t="s">
        <v>13133</v>
      </c>
      <c r="T1372" s="1" t="s">
        <v>13126</v>
      </c>
      <c r="U1372" s="1" t="s">
        <v>13127</v>
      </c>
      <c r="V1372" s="13">
        <f>COUNTIF(L1372:$M$1659,L1372)</f>
        <v>2</v>
      </c>
      <c r="W1372" s="1" t="s">
        <v>13119</v>
      </c>
      <c r="X1372">
        <v>1118.8499999999999</v>
      </c>
      <c r="Y1372">
        <v>13.57</v>
      </c>
      <c r="Z1372">
        <v>15.887679</v>
      </c>
      <c r="AA1372">
        <v>108.25402800000001</v>
      </c>
      <c r="AB1372">
        <v>1105.28</v>
      </c>
      <c r="AC1372">
        <v>15.868352</v>
      </c>
      <c r="AD1372">
        <v>108.263243</v>
      </c>
      <c r="AE1372" s="5">
        <f t="shared" si="106"/>
        <v>2.0355000000000002E-2</v>
      </c>
      <c r="AF1372" s="5">
        <f t="shared" si="107"/>
        <v>1.6579200000000001</v>
      </c>
      <c r="AG1372" s="1" t="str">
        <f>TRIM(LEFT(L1372,FIND("-",L1372)-1))</f>
        <v>TTCMKV Điện Bàn</v>
      </c>
      <c r="AH1372" s="1" t="str">
        <f>TRIM(RIGHT(L1372, LEN(L1372) - FIND("-", L1372)))</f>
        <v>Nam Phước</v>
      </c>
      <c r="AJ1372">
        <f t="shared" si="108"/>
        <v>1.357E-2</v>
      </c>
      <c r="AK1372">
        <f t="shared" si="109"/>
        <v>1.10528</v>
      </c>
      <c r="AL1372">
        <f>VLOOKUP(L1372,'[1]Tuyến cáp H04'!$B:$E,3,0)/1000</f>
        <v>11.981</v>
      </c>
      <c r="AM1372" t="str">
        <f>VLOOKUP(L1372,'[1]Tuyến cáp H04'!$B:$E,4,0)</f>
        <v>Mạng cấp 4</v>
      </c>
    </row>
    <row r="1373" spans="1:39" x14ac:dyDescent="0.25">
      <c r="A1373" s="1" t="s">
        <v>13134</v>
      </c>
      <c r="B1373" s="1" t="s">
        <v>13064</v>
      </c>
      <c r="C1373" s="1" t="s">
        <v>13065</v>
      </c>
      <c r="D1373" s="1" t="s">
        <v>13135</v>
      </c>
      <c r="E1373" s="1" t="s">
        <v>13136</v>
      </c>
      <c r="F1373" s="1" t="s">
        <v>13137</v>
      </c>
      <c r="G1373" s="1" t="s">
        <v>14281</v>
      </c>
      <c r="H1373" s="1" t="s">
        <v>14282</v>
      </c>
      <c r="I1373" s="1" t="s">
        <v>15466</v>
      </c>
      <c r="J1373" s="1" t="s">
        <v>23</v>
      </c>
      <c r="K1373" s="1"/>
      <c r="L1373" s="1" t="s">
        <v>11857</v>
      </c>
      <c r="M1373" s="1" t="s">
        <v>11857</v>
      </c>
      <c r="N1373" s="12" t="b">
        <f t="shared" si="105"/>
        <v>1</v>
      </c>
      <c r="O1373" s="1" t="s">
        <v>13138</v>
      </c>
      <c r="P1373" s="1" t="s">
        <v>9978</v>
      </c>
      <c r="Q1373" s="1" t="s">
        <v>13139</v>
      </c>
      <c r="R1373" s="1" t="s">
        <v>13140</v>
      </c>
      <c r="S1373" s="1" t="s">
        <v>13141</v>
      </c>
      <c r="T1373" s="1" t="s">
        <v>13142</v>
      </c>
      <c r="U1373" s="1" t="s">
        <v>13143</v>
      </c>
      <c r="V1373" s="13">
        <f>COUNTIF(L1373:$M$1659,L1373)</f>
        <v>2</v>
      </c>
      <c r="W1373" s="1" t="s">
        <v>11865</v>
      </c>
      <c r="X1373">
        <v>354.28</v>
      </c>
      <c r="Y1373">
        <v>306.38</v>
      </c>
      <c r="Z1373">
        <v>15.886761</v>
      </c>
      <c r="AA1373">
        <v>108.25125800000001</v>
      </c>
      <c r="AB1373">
        <v>47.9</v>
      </c>
      <c r="AC1373">
        <v>15.888949</v>
      </c>
      <c r="AD1373">
        <v>108.24909</v>
      </c>
      <c r="AE1373" s="5">
        <f t="shared" si="106"/>
        <v>0.45956999999999998</v>
      </c>
      <c r="AF1373" s="5">
        <f t="shared" si="107"/>
        <v>7.1849999999999997E-2</v>
      </c>
      <c r="AG1373" s="1" t="str">
        <f>TRIM(LEFT(L1373,FIND("-",L1373)-1))</f>
        <v>Cẩm Lệ</v>
      </c>
      <c r="AH1373" s="1" t="str">
        <f>TRIM(RIGHT(L1373, LEN(L1373) - FIND("-", L1373)))</f>
        <v>Điện Bàn</v>
      </c>
      <c r="AJ1373">
        <f t="shared" si="108"/>
        <v>0.30637999999999999</v>
      </c>
      <c r="AK1373">
        <f t="shared" si="109"/>
        <v>4.7899999999999998E-2</v>
      </c>
      <c r="AL1373">
        <f>VLOOKUP(L1373,'[1]Tuyến cáp H04'!$B:$E,3,0)/1000</f>
        <v>17.334</v>
      </c>
      <c r="AM1373" t="str">
        <f>VLOOKUP(L1373,'[1]Tuyến cáp H04'!$B:$E,4,0)</f>
        <v>Mạng cấp 3</v>
      </c>
    </row>
    <row r="1374" spans="1:39" x14ac:dyDescent="0.25">
      <c r="A1374" s="1" t="s">
        <v>13144</v>
      </c>
      <c r="B1374" s="1" t="s">
        <v>13064</v>
      </c>
      <c r="C1374" s="1" t="s">
        <v>13065</v>
      </c>
      <c r="D1374" s="1" t="s">
        <v>13145</v>
      </c>
      <c r="E1374" s="1" t="s">
        <v>13146</v>
      </c>
      <c r="F1374" s="1" t="s">
        <v>13147</v>
      </c>
      <c r="G1374" s="1" t="s">
        <v>14281</v>
      </c>
      <c r="H1374" s="1" t="s">
        <v>14282</v>
      </c>
      <c r="I1374" s="1" t="s">
        <v>15467</v>
      </c>
      <c r="J1374" s="1" t="s">
        <v>23</v>
      </c>
      <c r="K1374" s="1"/>
      <c r="L1374" s="1" t="s">
        <v>13078</v>
      </c>
      <c r="M1374" s="1" t="s">
        <v>13078</v>
      </c>
      <c r="N1374" s="12" t="b">
        <f t="shared" si="105"/>
        <v>1</v>
      </c>
      <c r="O1374" s="1" t="s">
        <v>13148</v>
      </c>
      <c r="P1374" s="1" t="s">
        <v>13149</v>
      </c>
      <c r="Q1374" s="1" t="s">
        <v>13150</v>
      </c>
      <c r="R1374" s="1" t="s">
        <v>13151</v>
      </c>
      <c r="S1374" s="1" t="s">
        <v>13152</v>
      </c>
      <c r="T1374" s="1" t="s">
        <v>13153</v>
      </c>
      <c r="U1374" s="1" t="s">
        <v>13154</v>
      </c>
      <c r="V1374" s="13">
        <f>COUNTIF(L1374:$M$1659,L1374)</f>
        <v>4</v>
      </c>
      <c r="W1374" s="1" t="s">
        <v>13155</v>
      </c>
      <c r="X1374">
        <v>1338.63</v>
      </c>
      <c r="Y1374">
        <v>69.790000000000006</v>
      </c>
      <c r="Z1374">
        <v>15.887834</v>
      </c>
      <c r="AA1374">
        <v>108.25341299999999</v>
      </c>
      <c r="AB1374">
        <v>1268.8399999999999</v>
      </c>
      <c r="AC1374">
        <v>15.884627999999999</v>
      </c>
      <c r="AD1374">
        <v>108.248704</v>
      </c>
      <c r="AE1374" s="5">
        <f t="shared" si="106"/>
        <v>0.104685</v>
      </c>
      <c r="AF1374" s="5">
        <f t="shared" si="107"/>
        <v>1.9032599999999997</v>
      </c>
      <c r="AG1374" s="1" t="str">
        <f>TRIM(LEFT(L1374,FIND("-",L1374)-1))</f>
        <v>Điện Bàn</v>
      </c>
      <c r="AH1374" s="1" t="str">
        <f>TRIM(RIGHT(L1374, LEN(L1374) - FIND("-", L1374)))</f>
        <v>Điện Bàn Tây</v>
      </c>
      <c r="AJ1374">
        <f t="shared" si="108"/>
        <v>6.9790000000000005E-2</v>
      </c>
      <c r="AK1374">
        <f t="shared" si="109"/>
        <v>1.26884</v>
      </c>
      <c r="AL1374">
        <f>VLOOKUP(L1374,'[1]Tuyến cáp H04'!$B:$E,3,0)/1000</f>
        <v>12.833</v>
      </c>
      <c r="AM1374" t="str">
        <f>VLOOKUP(L1374,'[1]Tuyến cáp H04'!$B:$E,4,0)</f>
        <v>Mạng cấp 4</v>
      </c>
    </row>
    <row r="1375" spans="1:39" x14ac:dyDescent="0.25">
      <c r="A1375" s="1" t="s">
        <v>13156</v>
      </c>
      <c r="B1375" s="1" t="s">
        <v>13157</v>
      </c>
      <c r="C1375" s="1" t="s">
        <v>13158</v>
      </c>
      <c r="D1375" s="1" t="s">
        <v>13075</v>
      </c>
      <c r="E1375" s="1" t="s">
        <v>13076</v>
      </c>
      <c r="F1375" s="1" t="s">
        <v>13159</v>
      </c>
      <c r="G1375" s="1" t="s">
        <v>14281</v>
      </c>
      <c r="H1375" s="1" t="s">
        <v>14282</v>
      </c>
      <c r="I1375" s="1" t="s">
        <v>15468</v>
      </c>
      <c r="J1375" s="1" t="s">
        <v>23</v>
      </c>
      <c r="K1375" s="1"/>
      <c r="L1375" s="1" t="s">
        <v>13078</v>
      </c>
      <c r="M1375" s="1" t="s">
        <v>13078</v>
      </c>
      <c r="N1375" s="12" t="b">
        <f t="shared" si="105"/>
        <v>1</v>
      </c>
      <c r="O1375" s="1" t="s">
        <v>13160</v>
      </c>
      <c r="P1375" s="1" t="s">
        <v>13161</v>
      </c>
      <c r="Q1375" s="1" t="s">
        <v>13162</v>
      </c>
      <c r="R1375" s="1" t="s">
        <v>13163</v>
      </c>
      <c r="S1375" s="1" t="s">
        <v>13164</v>
      </c>
      <c r="T1375" s="1" t="s">
        <v>13165</v>
      </c>
      <c r="U1375" s="1" t="s">
        <v>13085</v>
      </c>
      <c r="V1375" s="13">
        <f>COUNTIF(L1375:$M$1659,L1375)</f>
        <v>2</v>
      </c>
      <c r="W1375" s="1" t="s">
        <v>13166</v>
      </c>
      <c r="X1375">
        <v>3949.71</v>
      </c>
      <c r="Y1375">
        <v>3701.29</v>
      </c>
      <c r="Z1375">
        <v>15.888811</v>
      </c>
      <c r="AA1375">
        <v>108.149871</v>
      </c>
      <c r="AB1375">
        <v>248.42</v>
      </c>
      <c r="AC1375">
        <v>15.888381000000001</v>
      </c>
      <c r="AD1375">
        <v>108.17937999999999</v>
      </c>
      <c r="AE1375" s="5">
        <f t="shared" si="106"/>
        <v>5.5519349999999994</v>
      </c>
      <c r="AF1375" s="5">
        <f t="shared" si="107"/>
        <v>0.37263000000000002</v>
      </c>
      <c r="AG1375" s="1" t="str">
        <f>TRIM(LEFT(L1375,FIND("-",L1375)-1))</f>
        <v>Điện Bàn</v>
      </c>
      <c r="AH1375" s="1" t="str">
        <f>TRIM(RIGHT(L1375, LEN(L1375) - FIND("-", L1375)))</f>
        <v>Điện Bàn Tây</v>
      </c>
      <c r="AJ1375">
        <f t="shared" si="108"/>
        <v>3.7012899999999997</v>
      </c>
      <c r="AK1375">
        <f t="shared" si="109"/>
        <v>0.24841999999999997</v>
      </c>
      <c r="AL1375">
        <f>VLOOKUP(L1375,'[1]Tuyến cáp H04'!$B:$E,3,0)/1000</f>
        <v>12.833</v>
      </c>
      <c r="AM1375" t="str">
        <f>VLOOKUP(L1375,'[1]Tuyến cáp H04'!$B:$E,4,0)</f>
        <v>Mạng cấp 4</v>
      </c>
    </row>
    <row r="1376" spans="1:39" x14ac:dyDescent="0.25">
      <c r="A1376" s="1" t="s">
        <v>13167</v>
      </c>
      <c r="B1376" s="1" t="s">
        <v>13157</v>
      </c>
      <c r="C1376" s="1" t="s">
        <v>13158</v>
      </c>
      <c r="D1376" s="1" t="s">
        <v>13168</v>
      </c>
      <c r="E1376" s="1" t="s">
        <v>13169</v>
      </c>
      <c r="F1376" s="1" t="s">
        <v>13170</v>
      </c>
      <c r="G1376" s="1"/>
      <c r="H1376" s="1" t="s">
        <v>14282</v>
      </c>
      <c r="I1376" s="1" t="s">
        <v>15469</v>
      </c>
      <c r="J1376" s="1" t="s">
        <v>23</v>
      </c>
      <c r="K1376" s="1"/>
      <c r="L1376" s="1" t="s">
        <v>133</v>
      </c>
      <c r="M1376" s="1" t="s">
        <v>133</v>
      </c>
      <c r="N1376" s="12" t="b">
        <f t="shared" si="105"/>
        <v>1</v>
      </c>
      <c r="O1376" s="1" t="s">
        <v>13171</v>
      </c>
      <c r="P1376" s="1" t="s">
        <v>13172</v>
      </c>
      <c r="Q1376" s="1" t="s">
        <v>13173</v>
      </c>
      <c r="R1376" s="1" t="s">
        <v>13174</v>
      </c>
      <c r="S1376" s="1" t="s">
        <v>13175</v>
      </c>
      <c r="T1376" s="1" t="s">
        <v>139</v>
      </c>
      <c r="U1376" s="1" t="s">
        <v>140</v>
      </c>
      <c r="V1376" s="13">
        <f>COUNTIF(L1376:$M$1659,L1376)</f>
        <v>24</v>
      </c>
      <c r="W1376" s="1" t="s">
        <v>141</v>
      </c>
      <c r="X1376">
        <v>3133.76</v>
      </c>
      <c r="Y1376">
        <v>3081.84</v>
      </c>
      <c r="Z1376">
        <v>15.855328</v>
      </c>
      <c r="AA1376">
        <v>108.113702</v>
      </c>
      <c r="AB1376">
        <v>51.92</v>
      </c>
      <c r="AC1376">
        <v>15.822844</v>
      </c>
      <c r="AD1376">
        <v>108.24684600000001</v>
      </c>
      <c r="AE1376" s="5">
        <f t="shared" si="106"/>
        <v>4.6227600000000004</v>
      </c>
      <c r="AF1376" s="5">
        <f t="shared" si="107"/>
        <v>7.7879999999999991E-2</v>
      </c>
      <c r="AG1376" s="1" t="str">
        <f>TRIM(LEFT(L1376,FIND("-",L1376)-1))</f>
        <v>Trại giam An Điềm (C10)</v>
      </c>
      <c r="AH1376" s="1" t="str">
        <f>TRIM(RIGHT(L1376, LEN(L1376) - FIND("-", L1376)))</f>
        <v>Duy Xuyên</v>
      </c>
      <c r="AJ1376">
        <f t="shared" si="108"/>
        <v>3.0818400000000001</v>
      </c>
      <c r="AK1376">
        <f t="shared" si="109"/>
        <v>5.1920000000000001E-2</v>
      </c>
      <c r="AL1376">
        <f>VLOOKUP(L1376,'[1]Tuyến cáp H04'!$B:$E,3,0)/1000</f>
        <v>48.999000000000002</v>
      </c>
      <c r="AM1376" t="str">
        <f>VLOOKUP(L1376,'[1]Tuyến cáp H04'!$B:$E,4,0)</f>
        <v>Mạng cấp 3</v>
      </c>
    </row>
    <row r="1377" spans="1:39" x14ac:dyDescent="0.25">
      <c r="A1377" s="1" t="s">
        <v>13176</v>
      </c>
      <c r="B1377" s="1" t="s">
        <v>13157</v>
      </c>
      <c r="C1377" s="1" t="s">
        <v>13158</v>
      </c>
      <c r="D1377" s="1" t="s">
        <v>13177</v>
      </c>
      <c r="E1377" s="1" t="s">
        <v>13178</v>
      </c>
      <c r="F1377" s="1" t="s">
        <v>13179</v>
      </c>
      <c r="G1377" s="1" t="s">
        <v>14281</v>
      </c>
      <c r="H1377" s="1" t="s">
        <v>14282</v>
      </c>
      <c r="I1377" s="1" t="s">
        <v>15470</v>
      </c>
      <c r="J1377" s="1" t="s">
        <v>23</v>
      </c>
      <c r="K1377" s="1"/>
      <c r="L1377" s="1" t="s">
        <v>11111</v>
      </c>
      <c r="M1377" s="1" t="s">
        <v>11111</v>
      </c>
      <c r="N1377" s="12" t="b">
        <f t="shared" si="105"/>
        <v>1</v>
      </c>
      <c r="O1377" s="1" t="s">
        <v>13180</v>
      </c>
      <c r="P1377" s="1" t="s">
        <v>13181</v>
      </c>
      <c r="Q1377" s="1" t="s">
        <v>13182</v>
      </c>
      <c r="R1377" s="1" t="s">
        <v>13183</v>
      </c>
      <c r="S1377" s="1" t="s">
        <v>13184</v>
      </c>
      <c r="T1377" s="1" t="s">
        <v>13185</v>
      </c>
      <c r="U1377" s="1" t="s">
        <v>13186</v>
      </c>
      <c r="V1377" s="13">
        <f>COUNTIF(L1377:$M$1659,L1377)</f>
        <v>2</v>
      </c>
      <c r="W1377" s="1" t="s">
        <v>11119</v>
      </c>
      <c r="X1377">
        <v>578.62</v>
      </c>
      <c r="Y1377">
        <v>27.76</v>
      </c>
      <c r="Z1377">
        <v>15.882747999999999</v>
      </c>
      <c r="AA1377">
        <v>108.115681</v>
      </c>
      <c r="AB1377">
        <v>550.86</v>
      </c>
      <c r="AC1377">
        <v>15.906772</v>
      </c>
      <c r="AD1377">
        <v>108.126825</v>
      </c>
      <c r="AE1377" s="5">
        <f t="shared" si="106"/>
        <v>4.1640000000000003E-2</v>
      </c>
      <c r="AF1377" s="5">
        <f t="shared" si="107"/>
        <v>0.82628999999999997</v>
      </c>
      <c r="AG1377" s="1" t="str">
        <f>TRIM(LEFT(L1377,FIND("-",L1377)-1))</f>
        <v>Sông Vàng</v>
      </c>
      <c r="AH1377" s="1" t="str">
        <f>TRIM(RIGHT(L1377, LEN(L1377) - FIND("-", L1377)))</f>
        <v>TTCMKV Đại Lộc</v>
      </c>
      <c r="AJ1377">
        <f t="shared" si="108"/>
        <v>2.776E-2</v>
      </c>
      <c r="AK1377">
        <f t="shared" si="109"/>
        <v>0.55086000000000002</v>
      </c>
      <c r="AL1377">
        <f>VLOOKUP(L1377,'[1]Tuyến cáp H04'!$B:$E,3,0)/1000</f>
        <v>38.832000000000001</v>
      </c>
      <c r="AM1377" t="str">
        <f>VLOOKUP(L1377,'[1]Tuyến cáp H04'!$B:$E,4,0)</f>
        <v>Mạng cấp 4</v>
      </c>
    </row>
    <row r="1378" spans="1:39" x14ac:dyDescent="0.25">
      <c r="A1378" s="1" t="s">
        <v>13187</v>
      </c>
      <c r="B1378" s="1" t="s">
        <v>13157</v>
      </c>
      <c r="C1378" s="1" t="s">
        <v>13158</v>
      </c>
      <c r="D1378" s="1" t="s">
        <v>13188</v>
      </c>
      <c r="E1378" s="1" t="s">
        <v>13189</v>
      </c>
      <c r="F1378" s="1" t="s">
        <v>13190</v>
      </c>
      <c r="G1378" s="1" t="s">
        <v>14281</v>
      </c>
      <c r="H1378" s="1" t="s">
        <v>14282</v>
      </c>
      <c r="I1378" s="1" t="s">
        <v>15471</v>
      </c>
      <c r="J1378" s="1" t="s">
        <v>23</v>
      </c>
      <c r="K1378" s="1"/>
      <c r="L1378" s="1" t="s">
        <v>13191</v>
      </c>
      <c r="M1378" s="1" t="s">
        <v>13191</v>
      </c>
      <c r="N1378" s="12" t="b">
        <f t="shared" si="105"/>
        <v>1</v>
      </c>
      <c r="O1378" s="1" t="s">
        <v>13192</v>
      </c>
      <c r="P1378" s="1" t="s">
        <v>13193</v>
      </c>
      <c r="Q1378" s="1" t="s">
        <v>13194</v>
      </c>
      <c r="R1378" s="1" t="s">
        <v>13195</v>
      </c>
      <c r="S1378" s="1" t="s">
        <v>9555</v>
      </c>
      <c r="T1378" s="1" t="s">
        <v>13196</v>
      </c>
      <c r="U1378" s="1" t="s">
        <v>13197</v>
      </c>
      <c r="V1378" s="13">
        <f>COUNTIF(L1378:$M$1659,L1378)</f>
        <v>4</v>
      </c>
      <c r="W1378" s="1" t="s">
        <v>13198</v>
      </c>
      <c r="X1378">
        <v>743.31</v>
      </c>
      <c r="Y1378">
        <v>576.69000000000005</v>
      </c>
      <c r="Z1378">
        <v>15.882273</v>
      </c>
      <c r="AA1378">
        <v>108.110457</v>
      </c>
      <c r="AB1378">
        <v>166.62</v>
      </c>
      <c r="AC1378">
        <v>15.878144000000001</v>
      </c>
      <c r="AD1378">
        <v>108.07739599999999</v>
      </c>
      <c r="AE1378" s="5">
        <f t="shared" si="106"/>
        <v>0.86503500000000011</v>
      </c>
      <c r="AF1378" s="5">
        <f t="shared" si="107"/>
        <v>0.24993000000000001</v>
      </c>
      <c r="AG1378" s="1" t="str">
        <f>TRIM(LEFT(L1378,FIND("-",L1378)-1))</f>
        <v>Đại Lộc</v>
      </c>
      <c r="AH1378" s="1" t="str">
        <f>TRIM(RIGHT(L1378, LEN(L1378) - FIND("-", L1378)))</f>
        <v>Phước Sơn</v>
      </c>
      <c r="AJ1378">
        <f t="shared" si="108"/>
        <v>0.57669000000000004</v>
      </c>
      <c r="AK1378">
        <f t="shared" si="109"/>
        <v>0.16662000000000002</v>
      </c>
      <c r="AL1378">
        <f>VLOOKUP(L1378,'[1]Tuyến cáp H04'!$B:$E,3,0)/1000</f>
        <v>95.215000000000003</v>
      </c>
      <c r="AM1378" t="str">
        <f>VLOOKUP(L1378,'[1]Tuyến cáp H04'!$B:$E,4,0)</f>
        <v>Mạng cấp 3</v>
      </c>
    </row>
    <row r="1379" spans="1:39" x14ac:dyDescent="0.25">
      <c r="A1379" s="1" t="s">
        <v>13199</v>
      </c>
      <c r="B1379" s="1" t="s">
        <v>13157</v>
      </c>
      <c r="C1379" s="1" t="s">
        <v>13158</v>
      </c>
      <c r="D1379" s="1" t="s">
        <v>13200</v>
      </c>
      <c r="E1379" s="1" t="s">
        <v>13201</v>
      </c>
      <c r="F1379" s="1" t="s">
        <v>13202</v>
      </c>
      <c r="G1379" s="1" t="s">
        <v>14281</v>
      </c>
      <c r="H1379" s="1" t="s">
        <v>14282</v>
      </c>
      <c r="I1379" s="1" t="s">
        <v>15472</v>
      </c>
      <c r="J1379" s="1" t="s">
        <v>23</v>
      </c>
      <c r="K1379" s="1"/>
      <c r="L1379" s="1" t="s">
        <v>13191</v>
      </c>
      <c r="M1379" s="1" t="s">
        <v>13191</v>
      </c>
      <c r="N1379" s="12" t="b">
        <f t="shared" si="105"/>
        <v>1</v>
      </c>
      <c r="O1379" s="1" t="s">
        <v>13203</v>
      </c>
      <c r="P1379" s="1" t="s">
        <v>13193</v>
      </c>
      <c r="Q1379" s="1" t="s">
        <v>13194</v>
      </c>
      <c r="R1379" s="1" t="s">
        <v>13195</v>
      </c>
      <c r="S1379" s="1" t="s">
        <v>13204</v>
      </c>
      <c r="T1379" s="1" t="s">
        <v>13205</v>
      </c>
      <c r="U1379" s="1" t="s">
        <v>13206</v>
      </c>
      <c r="V1379" s="13">
        <f>COUNTIF(L1379:$M$1659,L1379)</f>
        <v>2</v>
      </c>
      <c r="W1379" s="1" t="s">
        <v>13198</v>
      </c>
      <c r="X1379">
        <v>634.17999999999995</v>
      </c>
      <c r="Y1379">
        <v>576.69000000000005</v>
      </c>
      <c r="Z1379">
        <v>15.882273</v>
      </c>
      <c r="AA1379">
        <v>108.110457</v>
      </c>
      <c r="AB1379">
        <v>57.49</v>
      </c>
      <c r="AC1379">
        <v>15.878698999999999</v>
      </c>
      <c r="AD1379">
        <v>108.105295</v>
      </c>
      <c r="AE1379" s="5">
        <f t="shared" si="106"/>
        <v>0.86503500000000011</v>
      </c>
      <c r="AF1379" s="5">
        <f t="shared" si="107"/>
        <v>8.6235000000000006E-2</v>
      </c>
      <c r="AG1379" s="1" t="str">
        <f>TRIM(LEFT(L1379,FIND("-",L1379)-1))</f>
        <v>Đại Lộc</v>
      </c>
      <c r="AH1379" s="1" t="str">
        <f>TRIM(RIGHT(L1379, LEN(L1379) - FIND("-", L1379)))</f>
        <v>Phước Sơn</v>
      </c>
      <c r="AJ1379">
        <f t="shared" si="108"/>
        <v>0.57669000000000004</v>
      </c>
      <c r="AK1379">
        <f t="shared" si="109"/>
        <v>5.7489999999999999E-2</v>
      </c>
      <c r="AL1379">
        <f>VLOOKUP(L1379,'[1]Tuyến cáp H04'!$B:$E,3,0)/1000</f>
        <v>95.215000000000003</v>
      </c>
      <c r="AM1379" t="str">
        <f>VLOOKUP(L1379,'[1]Tuyến cáp H04'!$B:$E,4,0)</f>
        <v>Mạng cấp 3</v>
      </c>
    </row>
    <row r="1380" spans="1:39" x14ac:dyDescent="0.25">
      <c r="A1380" s="1" t="s">
        <v>13207</v>
      </c>
      <c r="B1380" s="1" t="s">
        <v>13157</v>
      </c>
      <c r="C1380" s="1" t="s">
        <v>13158</v>
      </c>
      <c r="D1380" s="1" t="s">
        <v>13208</v>
      </c>
      <c r="E1380" s="1" t="s">
        <v>13209</v>
      </c>
      <c r="F1380" s="1" t="s">
        <v>13210</v>
      </c>
      <c r="G1380" s="1" t="s">
        <v>14281</v>
      </c>
      <c r="H1380" s="1" t="s">
        <v>14282</v>
      </c>
      <c r="I1380" s="1" t="s">
        <v>15473</v>
      </c>
      <c r="J1380" s="1" t="s">
        <v>23</v>
      </c>
      <c r="K1380" s="1"/>
      <c r="L1380" s="1" t="s">
        <v>13211</v>
      </c>
      <c r="M1380" s="1" t="s">
        <v>13211</v>
      </c>
      <c r="N1380" s="12" t="b">
        <f t="shared" si="105"/>
        <v>1</v>
      </c>
      <c r="O1380" s="1" t="s">
        <v>13212</v>
      </c>
      <c r="P1380" s="1" t="s">
        <v>13213</v>
      </c>
      <c r="Q1380" s="1" t="s">
        <v>13214</v>
      </c>
      <c r="R1380" s="1" t="s">
        <v>13215</v>
      </c>
      <c r="S1380" s="1" t="s">
        <v>13216</v>
      </c>
      <c r="T1380" s="1" t="s">
        <v>13217</v>
      </c>
      <c r="U1380" s="1" t="s">
        <v>13218</v>
      </c>
      <c r="V1380" s="13">
        <f>COUNTIF(L1380:$M$1659,L1380)</f>
        <v>4</v>
      </c>
      <c r="W1380" s="1" t="s">
        <v>13219</v>
      </c>
      <c r="X1380">
        <v>840.34</v>
      </c>
      <c r="Y1380">
        <v>578.28</v>
      </c>
      <c r="Z1380">
        <v>15.882272</v>
      </c>
      <c r="AA1380">
        <v>108.11044200000001</v>
      </c>
      <c r="AB1380">
        <v>262.07</v>
      </c>
      <c r="AC1380">
        <v>15.87538</v>
      </c>
      <c r="AD1380">
        <v>108.09114</v>
      </c>
      <c r="AE1380" s="5">
        <f t="shared" si="106"/>
        <v>0.86741999999999997</v>
      </c>
      <c r="AF1380" s="5">
        <f t="shared" si="107"/>
        <v>0.39310500000000004</v>
      </c>
      <c r="AG1380" s="1" t="str">
        <f>TRIM(LEFT(L1380,FIND("-",L1380)-1))</f>
        <v>TTCMKV Đại Lộc</v>
      </c>
      <c r="AH1380" s="1" t="str">
        <f>TRIM(RIGHT(L1380, LEN(L1380) - FIND("-", L1380)))</f>
        <v>Hà Nha</v>
      </c>
      <c r="AJ1380">
        <f t="shared" si="108"/>
        <v>0.57828000000000002</v>
      </c>
      <c r="AK1380">
        <f t="shared" si="109"/>
        <v>0.26206999999999997</v>
      </c>
      <c r="AL1380">
        <f>VLOOKUP(L1380,'[1]Tuyến cáp H04'!$B:$E,3,0)/1000</f>
        <v>7.5140000000000002</v>
      </c>
      <c r="AM1380" t="str">
        <f>VLOOKUP(L1380,'[1]Tuyến cáp H04'!$B:$E,4,0)</f>
        <v>Mạng cấp 4</v>
      </c>
    </row>
    <row r="1381" spans="1:39" x14ac:dyDescent="0.25">
      <c r="A1381" s="1" t="s">
        <v>13220</v>
      </c>
      <c r="B1381" s="1" t="s">
        <v>13157</v>
      </c>
      <c r="C1381" s="1" t="s">
        <v>13158</v>
      </c>
      <c r="D1381" s="1" t="s">
        <v>13221</v>
      </c>
      <c r="E1381" s="1" t="s">
        <v>13222</v>
      </c>
      <c r="F1381" s="1" t="s">
        <v>13223</v>
      </c>
      <c r="G1381" s="1" t="s">
        <v>14281</v>
      </c>
      <c r="H1381" s="1" t="s">
        <v>14282</v>
      </c>
      <c r="I1381" s="1" t="s">
        <v>15474</v>
      </c>
      <c r="J1381" s="1" t="s">
        <v>23</v>
      </c>
      <c r="K1381" s="1"/>
      <c r="L1381" s="1" t="s">
        <v>13224</v>
      </c>
      <c r="M1381" s="1" t="s">
        <v>13224</v>
      </c>
      <c r="N1381" s="12" t="b">
        <f t="shared" si="105"/>
        <v>1</v>
      </c>
      <c r="O1381" s="1" t="s">
        <v>13225</v>
      </c>
      <c r="P1381" s="1" t="s">
        <v>13226</v>
      </c>
      <c r="Q1381" s="1" t="s">
        <v>13227</v>
      </c>
      <c r="R1381" s="1" t="s">
        <v>13228</v>
      </c>
      <c r="S1381" s="1" t="s">
        <v>13229</v>
      </c>
      <c r="T1381" s="1" t="s">
        <v>13230</v>
      </c>
      <c r="U1381" s="1" t="s">
        <v>13231</v>
      </c>
      <c r="V1381" s="13">
        <f>COUNTIF(L1381:$M$1659,L1381)</f>
        <v>6</v>
      </c>
      <c r="W1381" s="1" t="s">
        <v>13232</v>
      </c>
      <c r="X1381">
        <v>704.32</v>
      </c>
      <c r="Y1381">
        <v>36.07</v>
      </c>
      <c r="Z1381">
        <v>15.882702999999999</v>
      </c>
      <c r="AA1381">
        <v>108.11599099999999</v>
      </c>
      <c r="AB1381">
        <v>668.25</v>
      </c>
      <c r="AC1381">
        <v>15.878918000000001</v>
      </c>
      <c r="AD1381">
        <v>108.121422</v>
      </c>
      <c r="AE1381" s="5">
        <f t="shared" si="106"/>
        <v>5.4105000000000007E-2</v>
      </c>
      <c r="AF1381" s="5">
        <f t="shared" si="107"/>
        <v>1.002375</v>
      </c>
      <c r="AG1381" s="1" t="str">
        <f>TRIM(LEFT(L1381,FIND("-",L1381)-1))</f>
        <v>Đại Lộc</v>
      </c>
      <c r="AH1381" s="1" t="str">
        <f>TRIM(RIGHT(L1381, LEN(L1381) - FIND("-", L1381)))</f>
        <v>Thu Bồn</v>
      </c>
      <c r="AJ1381">
        <f t="shared" si="108"/>
        <v>3.6069999999999998E-2</v>
      </c>
      <c r="AK1381">
        <f t="shared" si="109"/>
        <v>0.66825000000000001</v>
      </c>
      <c r="AL1381">
        <f>VLOOKUP(L1381,'[1]Tuyến cáp H04'!$B:$E,3,0)/1000</f>
        <v>6.9859999999999998</v>
      </c>
      <c r="AM1381" t="str">
        <f>VLOOKUP(L1381,'[1]Tuyến cáp H04'!$B:$E,4,0)</f>
        <v>Mạng cấp 4</v>
      </c>
    </row>
    <row r="1382" spans="1:39" x14ac:dyDescent="0.25">
      <c r="A1382" s="1" t="s">
        <v>13233</v>
      </c>
      <c r="B1382" s="1" t="s">
        <v>13157</v>
      </c>
      <c r="C1382" s="1" t="s">
        <v>13158</v>
      </c>
      <c r="D1382" s="1" t="s">
        <v>13234</v>
      </c>
      <c r="E1382" s="1" t="s">
        <v>13235</v>
      </c>
      <c r="F1382" s="1" t="s">
        <v>13236</v>
      </c>
      <c r="G1382" s="1" t="s">
        <v>14281</v>
      </c>
      <c r="H1382" s="1" t="s">
        <v>14282</v>
      </c>
      <c r="I1382" s="1" t="s">
        <v>15475</v>
      </c>
      <c r="J1382" s="1" t="s">
        <v>23</v>
      </c>
      <c r="K1382" s="1"/>
      <c r="L1382" s="1" t="s">
        <v>13224</v>
      </c>
      <c r="M1382" s="1" t="s">
        <v>13224</v>
      </c>
      <c r="N1382" s="12" t="b">
        <f t="shared" si="105"/>
        <v>1</v>
      </c>
      <c r="O1382" s="1" t="s">
        <v>13237</v>
      </c>
      <c r="P1382" s="1" t="s">
        <v>13226</v>
      </c>
      <c r="Q1382" s="1" t="s">
        <v>13227</v>
      </c>
      <c r="R1382" s="1" t="s">
        <v>13228</v>
      </c>
      <c r="S1382" s="1" t="s">
        <v>13238</v>
      </c>
      <c r="T1382" s="1" t="s">
        <v>13239</v>
      </c>
      <c r="U1382" s="1" t="s">
        <v>13240</v>
      </c>
      <c r="V1382" s="13">
        <f>COUNTIF(L1382:$M$1659,L1382)</f>
        <v>4</v>
      </c>
      <c r="W1382" s="1" t="s">
        <v>13232</v>
      </c>
      <c r="X1382">
        <v>858.93</v>
      </c>
      <c r="Y1382">
        <v>36.07</v>
      </c>
      <c r="Z1382">
        <v>15.882702999999999</v>
      </c>
      <c r="AA1382">
        <v>108.11599099999999</v>
      </c>
      <c r="AB1382">
        <v>822.86</v>
      </c>
      <c r="AC1382">
        <v>15.868012999999999</v>
      </c>
      <c r="AD1382">
        <v>108.121419</v>
      </c>
      <c r="AE1382" s="5">
        <f t="shared" si="106"/>
        <v>5.4105000000000007E-2</v>
      </c>
      <c r="AF1382" s="5">
        <f t="shared" si="107"/>
        <v>1.2342899999999999</v>
      </c>
      <c r="AG1382" s="1" t="str">
        <f>TRIM(LEFT(L1382,FIND("-",L1382)-1))</f>
        <v>Đại Lộc</v>
      </c>
      <c r="AH1382" s="1" t="str">
        <f>TRIM(RIGHT(L1382, LEN(L1382) - FIND("-", L1382)))</f>
        <v>Thu Bồn</v>
      </c>
      <c r="AJ1382">
        <f t="shared" si="108"/>
        <v>3.6069999999999998E-2</v>
      </c>
      <c r="AK1382">
        <f t="shared" si="109"/>
        <v>0.82286000000000004</v>
      </c>
      <c r="AL1382">
        <f>VLOOKUP(L1382,'[1]Tuyến cáp H04'!$B:$E,3,0)/1000</f>
        <v>6.9859999999999998</v>
      </c>
      <c r="AM1382" t="str">
        <f>VLOOKUP(L1382,'[1]Tuyến cáp H04'!$B:$E,4,0)</f>
        <v>Mạng cấp 4</v>
      </c>
    </row>
    <row r="1383" spans="1:39" x14ac:dyDescent="0.25">
      <c r="A1383" s="1" t="s">
        <v>13241</v>
      </c>
      <c r="B1383" s="1" t="s">
        <v>13157</v>
      </c>
      <c r="C1383" s="1" t="s">
        <v>13158</v>
      </c>
      <c r="D1383" s="1" t="s">
        <v>13242</v>
      </c>
      <c r="E1383" s="1" t="s">
        <v>13243</v>
      </c>
      <c r="F1383" s="1" t="s">
        <v>13244</v>
      </c>
      <c r="G1383" s="1" t="s">
        <v>14281</v>
      </c>
      <c r="H1383" s="1" t="s">
        <v>14282</v>
      </c>
      <c r="I1383" s="1" t="s">
        <v>15476</v>
      </c>
      <c r="J1383" s="1" t="s">
        <v>23</v>
      </c>
      <c r="K1383" s="1"/>
      <c r="L1383" s="1" t="s">
        <v>13224</v>
      </c>
      <c r="M1383" s="1" t="s">
        <v>13224</v>
      </c>
      <c r="N1383" s="12" t="b">
        <f t="shared" si="105"/>
        <v>1</v>
      </c>
      <c r="O1383" s="1" t="s">
        <v>13245</v>
      </c>
      <c r="P1383" s="1" t="s">
        <v>13246</v>
      </c>
      <c r="Q1383" s="1" t="s">
        <v>13247</v>
      </c>
      <c r="R1383" s="1" t="s">
        <v>13248</v>
      </c>
      <c r="S1383" s="1" t="s">
        <v>13249</v>
      </c>
      <c r="T1383" s="1" t="s">
        <v>13247</v>
      </c>
      <c r="U1383" s="1" t="s">
        <v>13248</v>
      </c>
      <c r="V1383" s="13">
        <f>COUNTIF(L1383:$M$1659,L1383)</f>
        <v>2</v>
      </c>
      <c r="W1383" s="1" t="s">
        <v>13250</v>
      </c>
      <c r="X1383">
        <v>253.54</v>
      </c>
      <c r="Y1383">
        <v>4.24</v>
      </c>
      <c r="Z1383">
        <v>15.882982</v>
      </c>
      <c r="AA1383">
        <v>108.115762</v>
      </c>
      <c r="AB1383">
        <v>249.3</v>
      </c>
      <c r="AC1383">
        <v>15.882982</v>
      </c>
      <c r="AD1383">
        <v>108.115762</v>
      </c>
      <c r="AE1383" s="5">
        <f t="shared" si="106"/>
        <v>6.3600000000000002E-3</v>
      </c>
      <c r="AF1383" s="5">
        <f t="shared" si="107"/>
        <v>0.37395000000000006</v>
      </c>
      <c r="AG1383" s="1" t="str">
        <f>TRIM(LEFT(L1383,FIND("-",L1383)-1))</f>
        <v>Đại Lộc</v>
      </c>
      <c r="AH1383" s="1" t="str">
        <f>TRIM(RIGHT(L1383, LEN(L1383) - FIND("-", L1383)))</f>
        <v>Thu Bồn</v>
      </c>
      <c r="AJ1383">
        <f t="shared" si="108"/>
        <v>4.2399999999999998E-3</v>
      </c>
      <c r="AK1383">
        <f t="shared" si="109"/>
        <v>0.24930000000000002</v>
      </c>
      <c r="AL1383">
        <f>VLOOKUP(L1383,'[1]Tuyến cáp H04'!$B:$E,3,0)/1000</f>
        <v>6.9859999999999998</v>
      </c>
      <c r="AM1383" t="str">
        <f>VLOOKUP(L1383,'[1]Tuyến cáp H04'!$B:$E,4,0)</f>
        <v>Mạng cấp 4</v>
      </c>
    </row>
    <row r="1384" spans="1:39" x14ac:dyDescent="0.25">
      <c r="A1384" s="1" t="s">
        <v>13251</v>
      </c>
      <c r="B1384" s="1" t="s">
        <v>13157</v>
      </c>
      <c r="C1384" s="1" t="s">
        <v>13158</v>
      </c>
      <c r="D1384" s="1" t="s">
        <v>13252</v>
      </c>
      <c r="E1384" s="1" t="s">
        <v>13253</v>
      </c>
      <c r="F1384" s="1" t="s">
        <v>13254</v>
      </c>
      <c r="G1384" s="1" t="s">
        <v>14281</v>
      </c>
      <c r="H1384" s="1" t="s">
        <v>14282</v>
      </c>
      <c r="I1384" s="1" t="s">
        <v>15477</v>
      </c>
      <c r="J1384" s="1" t="s">
        <v>23</v>
      </c>
      <c r="K1384" s="1"/>
      <c r="L1384" s="1" t="s">
        <v>13211</v>
      </c>
      <c r="M1384" s="1" t="s">
        <v>13211</v>
      </c>
      <c r="N1384" s="12" t="b">
        <f t="shared" si="105"/>
        <v>1</v>
      </c>
      <c r="O1384" s="1" t="s">
        <v>13255</v>
      </c>
      <c r="P1384" s="1" t="s">
        <v>13256</v>
      </c>
      <c r="Q1384" s="1" t="s">
        <v>13257</v>
      </c>
      <c r="R1384" s="1" t="s">
        <v>13258</v>
      </c>
      <c r="S1384" s="1" t="s">
        <v>13259</v>
      </c>
      <c r="T1384" s="1" t="s">
        <v>13260</v>
      </c>
      <c r="U1384" s="1" t="s">
        <v>13261</v>
      </c>
      <c r="V1384" s="13">
        <f>COUNTIF(L1384:$M$1659,L1384)</f>
        <v>2</v>
      </c>
      <c r="W1384" s="1" t="s">
        <v>13262</v>
      </c>
      <c r="X1384">
        <v>311.29000000000002</v>
      </c>
      <c r="Y1384">
        <v>152.30000000000001</v>
      </c>
      <c r="Z1384">
        <v>15.882797</v>
      </c>
      <c r="AA1384">
        <v>108.11438699999999</v>
      </c>
      <c r="AB1384">
        <v>158.99</v>
      </c>
      <c r="AC1384">
        <v>15.882904999999999</v>
      </c>
      <c r="AD1384">
        <v>108.112134</v>
      </c>
      <c r="AE1384" s="5">
        <f t="shared" si="106"/>
        <v>0.22845000000000001</v>
      </c>
      <c r="AF1384" s="5">
        <f t="shared" si="107"/>
        <v>0.238485</v>
      </c>
      <c r="AG1384" s="1" t="str">
        <f>TRIM(LEFT(L1384,FIND("-",L1384)-1))</f>
        <v>TTCMKV Đại Lộc</v>
      </c>
      <c r="AH1384" s="1" t="str">
        <f>TRIM(RIGHT(L1384, LEN(L1384) - FIND("-", L1384)))</f>
        <v>Hà Nha</v>
      </c>
      <c r="AJ1384">
        <f t="shared" si="108"/>
        <v>0.15230000000000002</v>
      </c>
      <c r="AK1384">
        <f t="shared" si="109"/>
        <v>0.15899000000000002</v>
      </c>
      <c r="AL1384">
        <f>VLOOKUP(L1384,'[1]Tuyến cáp H04'!$B:$E,3,0)/1000</f>
        <v>7.5140000000000002</v>
      </c>
      <c r="AM1384" t="str">
        <f>VLOOKUP(L1384,'[1]Tuyến cáp H04'!$B:$E,4,0)</f>
        <v>Mạng cấp 4</v>
      </c>
    </row>
    <row r="1385" spans="1:39" x14ac:dyDescent="0.25">
      <c r="A1385" s="1" t="s">
        <v>13263</v>
      </c>
      <c r="B1385" s="1" t="s">
        <v>13168</v>
      </c>
      <c r="C1385" s="1" t="s">
        <v>13169</v>
      </c>
      <c r="D1385" s="1" t="s">
        <v>13157</v>
      </c>
      <c r="E1385" s="1" t="s">
        <v>13158</v>
      </c>
      <c r="F1385" s="1" t="s">
        <v>13170</v>
      </c>
      <c r="G1385" s="1"/>
      <c r="H1385" s="1" t="s">
        <v>14282</v>
      </c>
      <c r="I1385" s="1" t="s">
        <v>15469</v>
      </c>
      <c r="J1385" s="1" t="s">
        <v>23</v>
      </c>
      <c r="K1385" s="1"/>
      <c r="L1385" s="1" t="s">
        <v>133</v>
      </c>
      <c r="M1385" s="1" t="s">
        <v>133</v>
      </c>
      <c r="N1385" s="12" t="b">
        <f t="shared" si="105"/>
        <v>1</v>
      </c>
      <c r="O1385" s="1" t="s">
        <v>13171</v>
      </c>
      <c r="P1385" s="1" t="s">
        <v>13175</v>
      </c>
      <c r="Q1385" s="1" t="s">
        <v>139</v>
      </c>
      <c r="R1385" s="1" t="s">
        <v>140</v>
      </c>
      <c r="S1385" s="1" t="s">
        <v>13172</v>
      </c>
      <c r="T1385" s="1" t="s">
        <v>13173</v>
      </c>
      <c r="U1385" s="1" t="s">
        <v>13174</v>
      </c>
      <c r="V1385" s="13">
        <f>COUNTIF(L1385:$M$1659,L1385)</f>
        <v>22</v>
      </c>
      <c r="W1385" s="1" t="s">
        <v>141</v>
      </c>
      <c r="X1385">
        <v>3133.76</v>
      </c>
      <c r="Y1385">
        <v>51.92</v>
      </c>
      <c r="Z1385">
        <v>15.822844</v>
      </c>
      <c r="AA1385">
        <v>108.24684600000001</v>
      </c>
      <c r="AB1385">
        <v>3081.84</v>
      </c>
      <c r="AC1385">
        <v>15.855328</v>
      </c>
      <c r="AD1385">
        <v>108.113702</v>
      </c>
      <c r="AE1385" s="5">
        <f t="shared" si="106"/>
        <v>7.7879999999999991E-2</v>
      </c>
      <c r="AF1385" s="5">
        <f t="shared" si="107"/>
        <v>4.6227600000000004</v>
      </c>
      <c r="AG1385" s="1" t="str">
        <f>TRIM(LEFT(L1385,FIND("-",L1385)-1))</f>
        <v>Trại giam An Điềm (C10)</v>
      </c>
      <c r="AH1385" s="1" t="str">
        <f>TRIM(RIGHT(L1385, LEN(L1385) - FIND("-", L1385)))</f>
        <v>Duy Xuyên</v>
      </c>
      <c r="AJ1385">
        <f t="shared" si="108"/>
        <v>5.1920000000000001E-2</v>
      </c>
      <c r="AK1385">
        <f t="shared" si="109"/>
        <v>3.0818400000000001</v>
      </c>
      <c r="AL1385">
        <f>VLOOKUP(L1385,'[1]Tuyến cáp H04'!$B:$E,3,0)/1000</f>
        <v>48.999000000000002</v>
      </c>
      <c r="AM1385" t="str">
        <f>VLOOKUP(L1385,'[1]Tuyến cáp H04'!$B:$E,4,0)</f>
        <v>Mạng cấp 3</v>
      </c>
    </row>
    <row r="1386" spans="1:39" x14ac:dyDescent="0.25">
      <c r="A1386" s="1" t="s">
        <v>13264</v>
      </c>
      <c r="B1386" s="1" t="s">
        <v>13168</v>
      </c>
      <c r="C1386" s="1" t="s">
        <v>13169</v>
      </c>
      <c r="D1386" s="1" t="s">
        <v>13265</v>
      </c>
      <c r="E1386" s="1" t="s">
        <v>13266</v>
      </c>
      <c r="F1386" s="1" t="s">
        <v>13267</v>
      </c>
      <c r="G1386" s="1" t="s">
        <v>14281</v>
      </c>
      <c r="H1386" s="1" t="s">
        <v>14282</v>
      </c>
      <c r="I1386" s="1" t="s">
        <v>15478</v>
      </c>
      <c r="J1386" s="1" t="s">
        <v>23</v>
      </c>
      <c r="K1386" s="1"/>
      <c r="L1386" s="1" t="s">
        <v>13268</v>
      </c>
      <c r="M1386" s="1" t="s">
        <v>13268</v>
      </c>
      <c r="N1386" s="12" t="b">
        <f t="shared" si="105"/>
        <v>1</v>
      </c>
      <c r="O1386" s="1" t="s">
        <v>13269</v>
      </c>
      <c r="P1386" s="1" t="s">
        <v>13270</v>
      </c>
      <c r="Q1386" s="1" t="s">
        <v>13271</v>
      </c>
      <c r="R1386" s="1" t="s">
        <v>13272</v>
      </c>
      <c r="S1386" s="1" t="s">
        <v>13273</v>
      </c>
      <c r="T1386" s="1" t="s">
        <v>13274</v>
      </c>
      <c r="U1386" s="1" t="s">
        <v>13275</v>
      </c>
      <c r="V1386" s="13">
        <f>COUNTIF(L1386:$M$1659,L1386)</f>
        <v>10</v>
      </c>
      <c r="W1386" s="1" t="s">
        <v>13276</v>
      </c>
      <c r="X1386">
        <v>866.41</v>
      </c>
      <c r="Y1386">
        <v>39.619999999999997</v>
      </c>
      <c r="Z1386">
        <v>15.822770999999999</v>
      </c>
      <c r="AA1386">
        <v>108.246752</v>
      </c>
      <c r="AB1386">
        <v>826.79</v>
      </c>
      <c r="AC1386">
        <v>15.830394999999999</v>
      </c>
      <c r="AD1386">
        <v>108.29240799999999</v>
      </c>
      <c r="AE1386" s="5">
        <f t="shared" si="106"/>
        <v>5.942999999999999E-2</v>
      </c>
      <c r="AF1386" s="5">
        <f t="shared" si="107"/>
        <v>1.2401849999999999</v>
      </c>
      <c r="AG1386" s="1" t="str">
        <f>TRIM(LEFT(L1386,FIND("-",L1386)-1))</f>
        <v>"Đội CSĐT (X. Duy Nghĩa, Duyên Xuyên)</v>
      </c>
      <c r="AH1386" s="1" t="str">
        <f>TRIM(RIGHT(L1386, LEN(L1386) - FIND("-", L1386)))</f>
        <v xml:space="preserve">
TTCMKV Duy Xuyên"</v>
      </c>
      <c r="AJ1386">
        <f t="shared" si="108"/>
        <v>3.9619999999999995E-2</v>
      </c>
      <c r="AK1386">
        <f t="shared" si="109"/>
        <v>0.82678999999999991</v>
      </c>
      <c r="AL1386" t="e">
        <f>VLOOKUP(L1386,'[1]Tuyến cáp H04'!$B:$E,3,0)/1000</f>
        <v>#N/A</v>
      </c>
      <c r="AM1386" t="e">
        <f>VLOOKUP(L1386,'[1]Tuyến cáp H04'!$B:$E,4,0)</f>
        <v>#N/A</v>
      </c>
    </row>
    <row r="1387" spans="1:39" x14ac:dyDescent="0.25">
      <c r="A1387" s="1" t="s">
        <v>13277</v>
      </c>
      <c r="B1387" s="1" t="s">
        <v>13168</v>
      </c>
      <c r="C1387" s="1" t="s">
        <v>13169</v>
      </c>
      <c r="D1387" s="1" t="s">
        <v>13278</v>
      </c>
      <c r="E1387" s="1" t="s">
        <v>13279</v>
      </c>
      <c r="F1387" s="1" t="s">
        <v>13280</v>
      </c>
      <c r="G1387" s="1" t="s">
        <v>14281</v>
      </c>
      <c r="H1387" s="1" t="s">
        <v>14282</v>
      </c>
      <c r="I1387" s="1" t="s">
        <v>15479</v>
      </c>
      <c r="J1387" s="1" t="s">
        <v>23</v>
      </c>
      <c r="K1387" s="1"/>
      <c r="L1387" s="1" t="s">
        <v>133</v>
      </c>
      <c r="M1387" s="1" t="s">
        <v>133</v>
      </c>
      <c r="N1387" s="12" t="b">
        <f t="shared" si="105"/>
        <v>1</v>
      </c>
      <c r="O1387" s="1" t="s">
        <v>13281</v>
      </c>
      <c r="P1387" s="1" t="s">
        <v>13175</v>
      </c>
      <c r="Q1387" s="1" t="s">
        <v>139</v>
      </c>
      <c r="R1387" s="1" t="s">
        <v>140</v>
      </c>
      <c r="S1387" s="1" t="s">
        <v>6687</v>
      </c>
      <c r="T1387" s="1" t="s">
        <v>13282</v>
      </c>
      <c r="U1387" s="1" t="s">
        <v>13283</v>
      </c>
      <c r="V1387" s="13">
        <f>COUNTIF(L1387:$M$1659,L1387)</f>
        <v>20</v>
      </c>
      <c r="W1387" s="1" t="s">
        <v>141</v>
      </c>
      <c r="X1387">
        <v>200.43</v>
      </c>
      <c r="Y1387">
        <v>51.92</v>
      </c>
      <c r="Z1387">
        <v>15.822844</v>
      </c>
      <c r="AA1387">
        <v>108.24684600000001</v>
      </c>
      <c r="AB1387">
        <v>148.51</v>
      </c>
      <c r="AC1387">
        <v>15.836906000000001</v>
      </c>
      <c r="AD1387">
        <v>108.14394900000001</v>
      </c>
      <c r="AE1387" s="5">
        <f t="shared" si="106"/>
        <v>7.7879999999999991E-2</v>
      </c>
      <c r="AF1387" s="5">
        <f t="shared" si="107"/>
        <v>0.22276499999999999</v>
      </c>
      <c r="AG1387" s="1" t="str">
        <f>TRIM(LEFT(L1387,FIND("-",L1387)-1))</f>
        <v>Trại giam An Điềm (C10)</v>
      </c>
      <c r="AH1387" s="1" t="str">
        <f>TRIM(RIGHT(L1387, LEN(L1387) - FIND("-", L1387)))</f>
        <v>Duy Xuyên</v>
      </c>
      <c r="AJ1387">
        <f t="shared" si="108"/>
        <v>5.1920000000000001E-2</v>
      </c>
      <c r="AK1387">
        <f t="shared" si="109"/>
        <v>0.14851</v>
      </c>
      <c r="AL1387">
        <f>VLOOKUP(L1387,'[1]Tuyến cáp H04'!$B:$E,3,0)/1000</f>
        <v>48.999000000000002</v>
      </c>
      <c r="AM1387" t="str">
        <f>VLOOKUP(L1387,'[1]Tuyến cáp H04'!$B:$E,4,0)</f>
        <v>Mạng cấp 3</v>
      </c>
    </row>
    <row r="1388" spans="1:39" x14ac:dyDescent="0.25">
      <c r="A1388" s="1" t="s">
        <v>13284</v>
      </c>
      <c r="B1388" s="1" t="s">
        <v>13168</v>
      </c>
      <c r="C1388" s="1" t="s">
        <v>13169</v>
      </c>
      <c r="D1388" s="1" t="s">
        <v>13285</v>
      </c>
      <c r="E1388" s="1" t="s">
        <v>13286</v>
      </c>
      <c r="F1388" s="1" t="s">
        <v>13287</v>
      </c>
      <c r="G1388" s="1" t="s">
        <v>14281</v>
      </c>
      <c r="H1388" s="1" t="s">
        <v>14282</v>
      </c>
      <c r="I1388" s="1" t="s">
        <v>15480</v>
      </c>
      <c r="J1388" s="1" t="s">
        <v>23</v>
      </c>
      <c r="K1388" s="1"/>
      <c r="L1388" s="1" t="s">
        <v>133</v>
      </c>
      <c r="M1388" s="1" t="s">
        <v>133</v>
      </c>
      <c r="N1388" s="12" t="b">
        <f t="shared" si="105"/>
        <v>1</v>
      </c>
      <c r="O1388" s="1" t="s">
        <v>13288</v>
      </c>
      <c r="P1388" s="1" t="s">
        <v>13175</v>
      </c>
      <c r="Q1388" s="1" t="s">
        <v>139</v>
      </c>
      <c r="R1388" s="1" t="s">
        <v>140</v>
      </c>
      <c r="S1388" s="1" t="s">
        <v>13289</v>
      </c>
      <c r="T1388" s="1" t="s">
        <v>13290</v>
      </c>
      <c r="U1388" s="1" t="s">
        <v>13291</v>
      </c>
      <c r="V1388" s="13">
        <f>COUNTIF(L1388:$M$1659,L1388)</f>
        <v>18</v>
      </c>
      <c r="W1388" s="1" t="s">
        <v>141</v>
      </c>
      <c r="X1388">
        <v>759.63</v>
      </c>
      <c r="Y1388">
        <v>51.92</v>
      </c>
      <c r="Z1388">
        <v>15.822844</v>
      </c>
      <c r="AA1388">
        <v>108.24684600000001</v>
      </c>
      <c r="AB1388">
        <v>707.71</v>
      </c>
      <c r="AC1388">
        <v>15.829067999999999</v>
      </c>
      <c r="AD1388">
        <v>108.202787</v>
      </c>
      <c r="AE1388" s="5">
        <f t="shared" si="106"/>
        <v>7.7879999999999991E-2</v>
      </c>
      <c r="AF1388" s="5">
        <f t="shared" si="107"/>
        <v>1.0615650000000001</v>
      </c>
      <c r="AG1388" s="1" t="str">
        <f>TRIM(LEFT(L1388,FIND("-",L1388)-1))</f>
        <v>Trại giam An Điềm (C10)</v>
      </c>
      <c r="AH1388" s="1" t="str">
        <f>TRIM(RIGHT(L1388, LEN(L1388) - FIND("-", L1388)))</f>
        <v>Duy Xuyên</v>
      </c>
      <c r="AJ1388">
        <f t="shared" si="108"/>
        <v>5.1920000000000001E-2</v>
      </c>
      <c r="AK1388">
        <f t="shared" si="109"/>
        <v>0.70771000000000006</v>
      </c>
      <c r="AL1388">
        <f>VLOOKUP(L1388,'[1]Tuyến cáp H04'!$B:$E,3,0)/1000</f>
        <v>48.999000000000002</v>
      </c>
      <c r="AM1388" t="str">
        <f>VLOOKUP(L1388,'[1]Tuyến cáp H04'!$B:$E,4,0)</f>
        <v>Mạng cấp 3</v>
      </c>
    </row>
    <row r="1389" spans="1:39" x14ac:dyDescent="0.25">
      <c r="A1389" s="1" t="s">
        <v>13292</v>
      </c>
      <c r="B1389" s="1" t="s">
        <v>13168</v>
      </c>
      <c r="C1389" s="1" t="s">
        <v>13169</v>
      </c>
      <c r="D1389" s="1" t="s">
        <v>12270</v>
      </c>
      <c r="E1389" s="1" t="s">
        <v>12271</v>
      </c>
      <c r="F1389" s="1" t="s">
        <v>13293</v>
      </c>
      <c r="G1389" s="1"/>
      <c r="H1389" s="1" t="s">
        <v>14282</v>
      </c>
      <c r="I1389" s="1" t="s">
        <v>15481</v>
      </c>
      <c r="J1389" s="1" t="s">
        <v>23</v>
      </c>
      <c r="K1389" s="1"/>
      <c r="L1389" s="1" t="s">
        <v>13294</v>
      </c>
      <c r="M1389" s="1" t="s">
        <v>13294</v>
      </c>
      <c r="N1389" s="12" t="b">
        <f t="shared" si="105"/>
        <v>1</v>
      </c>
      <c r="O1389" s="1" t="s">
        <v>13295</v>
      </c>
      <c r="P1389" s="1" t="s">
        <v>9792</v>
      </c>
      <c r="Q1389" s="1" t="s">
        <v>13296</v>
      </c>
      <c r="R1389" s="1" t="s">
        <v>13297</v>
      </c>
      <c r="S1389" s="1" t="s">
        <v>13298</v>
      </c>
      <c r="T1389" s="1" t="s">
        <v>13299</v>
      </c>
      <c r="U1389" s="1" t="s">
        <v>13300</v>
      </c>
      <c r="V1389" s="13">
        <f>COUNTIF(L1389:$M$1659,L1389)</f>
        <v>8</v>
      </c>
      <c r="W1389" s="1" t="s">
        <v>13301</v>
      </c>
      <c r="X1389">
        <v>799.31</v>
      </c>
      <c r="Y1389">
        <v>53.71</v>
      </c>
      <c r="Z1389">
        <v>15.822854</v>
      </c>
      <c r="AA1389">
        <v>108.24686</v>
      </c>
      <c r="AB1389">
        <v>745.6</v>
      </c>
      <c r="AC1389">
        <v>15.836684999999999</v>
      </c>
      <c r="AD1389">
        <v>108.124303</v>
      </c>
      <c r="AE1389" s="5">
        <f t="shared" si="106"/>
        <v>8.0564999999999998E-2</v>
      </c>
      <c r="AF1389" s="5">
        <f t="shared" si="107"/>
        <v>1.1184000000000001</v>
      </c>
      <c r="AG1389" s="1" t="str">
        <f>TRIM(LEFT(L1389,FIND("-",L1389)-1))</f>
        <v>Phú Thuận</v>
      </c>
      <c r="AH1389" s="1" t="str">
        <f>TRIM(RIGHT(L1389, LEN(L1389) - FIND("-", L1389)))</f>
        <v>Duy Xuyên</v>
      </c>
      <c r="AJ1389">
        <f t="shared" si="108"/>
        <v>5.3710000000000001E-2</v>
      </c>
      <c r="AK1389">
        <f t="shared" si="109"/>
        <v>0.74560000000000004</v>
      </c>
      <c r="AL1389">
        <f>VLOOKUP(L1389,'[1]Tuyến cáp H04'!$B:$E,3,0)/1000</f>
        <v>30.079000000000001</v>
      </c>
      <c r="AM1389" t="str">
        <f>VLOOKUP(L1389,'[1]Tuyến cáp H04'!$B:$E,4,0)</f>
        <v>Mạng cấp 4</v>
      </c>
    </row>
    <row r="1390" spans="1:39" x14ac:dyDescent="0.25">
      <c r="A1390" s="1" t="s">
        <v>13302</v>
      </c>
      <c r="B1390" s="1" t="s">
        <v>13168</v>
      </c>
      <c r="C1390" s="1" t="s">
        <v>13169</v>
      </c>
      <c r="D1390" s="1" t="s">
        <v>13303</v>
      </c>
      <c r="E1390" s="1" t="s">
        <v>13304</v>
      </c>
      <c r="F1390" s="1" t="s">
        <v>13305</v>
      </c>
      <c r="G1390" s="1" t="s">
        <v>14281</v>
      </c>
      <c r="H1390" s="1" t="s">
        <v>14282</v>
      </c>
      <c r="I1390" s="1" t="s">
        <v>15482</v>
      </c>
      <c r="J1390" s="1" t="s">
        <v>23</v>
      </c>
      <c r="K1390" s="1"/>
      <c r="L1390" s="1" t="s">
        <v>133</v>
      </c>
      <c r="M1390" s="1" t="s">
        <v>133</v>
      </c>
      <c r="N1390" s="12" t="b">
        <f t="shared" si="105"/>
        <v>1</v>
      </c>
      <c r="O1390" s="1" t="s">
        <v>13306</v>
      </c>
      <c r="P1390" s="1" t="s">
        <v>13175</v>
      </c>
      <c r="Q1390" s="1" t="s">
        <v>139</v>
      </c>
      <c r="R1390" s="1" t="s">
        <v>140</v>
      </c>
      <c r="S1390" s="1" t="s">
        <v>13307</v>
      </c>
      <c r="T1390" s="1" t="s">
        <v>13308</v>
      </c>
      <c r="U1390" s="1" t="s">
        <v>13309</v>
      </c>
      <c r="V1390" s="13">
        <f>COUNTIF(L1390:$M$1659,L1390)</f>
        <v>16</v>
      </c>
      <c r="W1390" s="1" t="s">
        <v>141</v>
      </c>
      <c r="X1390">
        <v>2543.6799999999998</v>
      </c>
      <c r="Y1390">
        <v>51.92</v>
      </c>
      <c r="Z1390">
        <v>15.822844</v>
      </c>
      <c r="AA1390">
        <v>108.24684600000001</v>
      </c>
      <c r="AB1390">
        <v>2491.7600000000002</v>
      </c>
      <c r="AC1390">
        <v>15.830925000000001</v>
      </c>
      <c r="AD1390">
        <v>108.195851</v>
      </c>
      <c r="AE1390" s="5">
        <f t="shared" si="106"/>
        <v>7.7879999999999991E-2</v>
      </c>
      <c r="AF1390" s="5">
        <f t="shared" si="107"/>
        <v>3.7376400000000003</v>
      </c>
      <c r="AG1390" s="1" t="str">
        <f>TRIM(LEFT(L1390,FIND("-",L1390)-1))</f>
        <v>Trại giam An Điềm (C10)</v>
      </c>
      <c r="AH1390" s="1" t="str">
        <f>TRIM(RIGHT(L1390, LEN(L1390) - FIND("-", L1390)))</f>
        <v>Duy Xuyên</v>
      </c>
      <c r="AJ1390">
        <f t="shared" si="108"/>
        <v>5.1920000000000001E-2</v>
      </c>
      <c r="AK1390">
        <f t="shared" si="109"/>
        <v>2.4917600000000002</v>
      </c>
      <c r="AL1390">
        <f>VLOOKUP(L1390,'[1]Tuyến cáp H04'!$B:$E,3,0)/1000</f>
        <v>48.999000000000002</v>
      </c>
      <c r="AM1390" t="str">
        <f>VLOOKUP(L1390,'[1]Tuyến cáp H04'!$B:$E,4,0)</f>
        <v>Mạng cấp 3</v>
      </c>
    </row>
    <row r="1391" spans="1:39" x14ac:dyDescent="0.25">
      <c r="A1391" s="1" t="s">
        <v>13310</v>
      </c>
      <c r="B1391" s="1" t="s">
        <v>13168</v>
      </c>
      <c r="C1391" s="1" t="s">
        <v>13169</v>
      </c>
      <c r="D1391" s="1" t="s">
        <v>13311</v>
      </c>
      <c r="E1391" s="1" t="s">
        <v>13312</v>
      </c>
      <c r="F1391" s="1" t="s">
        <v>13313</v>
      </c>
      <c r="G1391" s="1" t="s">
        <v>14281</v>
      </c>
      <c r="H1391" s="1" t="s">
        <v>14282</v>
      </c>
      <c r="I1391" s="1" t="s">
        <v>15483</v>
      </c>
      <c r="J1391" s="1" t="s">
        <v>23</v>
      </c>
      <c r="K1391" s="1"/>
      <c r="L1391" s="1" t="s">
        <v>13294</v>
      </c>
      <c r="M1391" s="1" t="s">
        <v>13294</v>
      </c>
      <c r="N1391" s="12" t="b">
        <f t="shared" si="105"/>
        <v>1</v>
      </c>
      <c r="O1391" s="1" t="s">
        <v>13314</v>
      </c>
      <c r="P1391" s="1" t="s">
        <v>9792</v>
      </c>
      <c r="Q1391" s="1" t="s">
        <v>13296</v>
      </c>
      <c r="R1391" s="1" t="s">
        <v>13297</v>
      </c>
      <c r="S1391" s="1" t="s">
        <v>13315</v>
      </c>
      <c r="T1391" s="1" t="s">
        <v>13316</v>
      </c>
      <c r="U1391" s="1" t="s">
        <v>13317</v>
      </c>
      <c r="V1391" s="13">
        <f>COUNTIF(L1391:$M$1659,L1391)</f>
        <v>6</v>
      </c>
      <c r="W1391" s="1" t="s">
        <v>13301</v>
      </c>
      <c r="X1391">
        <v>238.93</v>
      </c>
      <c r="Y1391">
        <v>53.71</v>
      </c>
      <c r="Z1391">
        <v>15.822854</v>
      </c>
      <c r="AA1391">
        <v>108.24686</v>
      </c>
      <c r="AB1391">
        <v>185.23</v>
      </c>
      <c r="AC1391">
        <v>15.826288</v>
      </c>
      <c r="AD1391">
        <v>108.232608</v>
      </c>
      <c r="AE1391" s="5">
        <f t="shared" si="106"/>
        <v>8.0564999999999998E-2</v>
      </c>
      <c r="AF1391" s="5">
        <f t="shared" si="107"/>
        <v>0.27784499999999995</v>
      </c>
      <c r="AG1391" s="1" t="str">
        <f>TRIM(LEFT(L1391,FIND("-",L1391)-1))</f>
        <v>Phú Thuận</v>
      </c>
      <c r="AH1391" s="1" t="str">
        <f>TRIM(RIGHT(L1391, LEN(L1391) - FIND("-", L1391)))</f>
        <v>Duy Xuyên</v>
      </c>
      <c r="AJ1391">
        <f t="shared" si="108"/>
        <v>5.3710000000000001E-2</v>
      </c>
      <c r="AK1391">
        <f t="shared" si="109"/>
        <v>0.18522999999999998</v>
      </c>
      <c r="AL1391">
        <f>VLOOKUP(L1391,'[1]Tuyến cáp H04'!$B:$E,3,0)/1000</f>
        <v>30.079000000000001</v>
      </c>
      <c r="AM1391" t="str">
        <f>VLOOKUP(L1391,'[1]Tuyến cáp H04'!$B:$E,4,0)</f>
        <v>Mạng cấp 4</v>
      </c>
    </row>
    <row r="1392" spans="1:39" x14ac:dyDescent="0.25">
      <c r="A1392" s="1" t="s">
        <v>13318</v>
      </c>
      <c r="B1392" s="1" t="s">
        <v>13168</v>
      </c>
      <c r="C1392" s="1" t="s">
        <v>13169</v>
      </c>
      <c r="D1392" s="1" t="s">
        <v>13319</v>
      </c>
      <c r="E1392" s="1" t="s">
        <v>13320</v>
      </c>
      <c r="F1392" s="1" t="s">
        <v>13321</v>
      </c>
      <c r="G1392" s="1" t="s">
        <v>14281</v>
      </c>
      <c r="H1392" s="1" t="s">
        <v>14282</v>
      </c>
      <c r="I1392" s="1" t="s">
        <v>15484</v>
      </c>
      <c r="J1392" s="1" t="s">
        <v>23</v>
      </c>
      <c r="K1392" s="1"/>
      <c r="L1392" s="1" t="s">
        <v>133</v>
      </c>
      <c r="M1392" s="1" t="s">
        <v>133</v>
      </c>
      <c r="N1392" s="12" t="b">
        <f t="shared" si="105"/>
        <v>1</v>
      </c>
      <c r="O1392" s="1" t="s">
        <v>13322</v>
      </c>
      <c r="P1392" s="1" t="s">
        <v>13175</v>
      </c>
      <c r="Q1392" s="1" t="s">
        <v>139</v>
      </c>
      <c r="R1392" s="1" t="s">
        <v>140</v>
      </c>
      <c r="S1392" s="1" t="s">
        <v>13323</v>
      </c>
      <c r="T1392" s="1" t="s">
        <v>13324</v>
      </c>
      <c r="U1392" s="1" t="s">
        <v>13325</v>
      </c>
      <c r="V1392" s="13">
        <f>COUNTIF(L1392:$M$1659,L1392)</f>
        <v>14</v>
      </c>
      <c r="W1392" s="1" t="s">
        <v>141</v>
      </c>
      <c r="X1392">
        <v>2279.56</v>
      </c>
      <c r="Y1392">
        <v>51.92</v>
      </c>
      <c r="Z1392">
        <v>15.822844</v>
      </c>
      <c r="AA1392">
        <v>108.24684600000001</v>
      </c>
      <c r="AB1392">
        <v>2227.63</v>
      </c>
      <c r="AC1392">
        <v>15.828367</v>
      </c>
      <c r="AD1392">
        <v>108.218264</v>
      </c>
      <c r="AE1392" s="5">
        <f t="shared" si="106"/>
        <v>7.7879999999999991E-2</v>
      </c>
      <c r="AF1392" s="5">
        <f t="shared" si="107"/>
        <v>3.3414450000000002</v>
      </c>
      <c r="AG1392" s="1" t="str">
        <f>TRIM(LEFT(L1392,FIND("-",L1392)-1))</f>
        <v>Trại giam An Điềm (C10)</v>
      </c>
      <c r="AH1392" s="1" t="str">
        <f>TRIM(RIGHT(L1392, LEN(L1392) - FIND("-", L1392)))</f>
        <v>Duy Xuyên</v>
      </c>
      <c r="AJ1392">
        <f t="shared" si="108"/>
        <v>5.1920000000000001E-2</v>
      </c>
      <c r="AK1392">
        <f t="shared" si="109"/>
        <v>2.22763</v>
      </c>
      <c r="AL1392">
        <f>VLOOKUP(L1392,'[1]Tuyến cáp H04'!$B:$E,3,0)/1000</f>
        <v>48.999000000000002</v>
      </c>
      <c r="AM1392" t="str">
        <f>VLOOKUP(L1392,'[1]Tuyến cáp H04'!$B:$E,4,0)</f>
        <v>Mạng cấp 3</v>
      </c>
    </row>
    <row r="1393" spans="1:39" x14ac:dyDescent="0.25">
      <c r="A1393" s="1" t="s">
        <v>13326</v>
      </c>
      <c r="B1393" s="1" t="s">
        <v>13168</v>
      </c>
      <c r="C1393" s="1" t="s">
        <v>13169</v>
      </c>
      <c r="D1393" s="1" t="s">
        <v>13327</v>
      </c>
      <c r="E1393" s="1" t="s">
        <v>13328</v>
      </c>
      <c r="F1393" s="1" t="s">
        <v>13329</v>
      </c>
      <c r="G1393" s="1" t="s">
        <v>14281</v>
      </c>
      <c r="H1393" s="1" t="s">
        <v>14282</v>
      </c>
      <c r="I1393" s="1" t="s">
        <v>15485</v>
      </c>
      <c r="J1393" s="1" t="s">
        <v>23</v>
      </c>
      <c r="K1393" s="1"/>
      <c r="L1393" s="1" t="s">
        <v>133</v>
      </c>
      <c r="M1393" s="1" t="s">
        <v>133</v>
      </c>
      <c r="N1393" s="12" t="b">
        <f t="shared" si="105"/>
        <v>1</v>
      </c>
      <c r="O1393" s="1" t="s">
        <v>13330</v>
      </c>
      <c r="P1393" s="1" t="s">
        <v>13175</v>
      </c>
      <c r="Q1393" s="1" t="s">
        <v>139</v>
      </c>
      <c r="R1393" s="1" t="s">
        <v>140</v>
      </c>
      <c r="S1393" s="1" t="s">
        <v>13331</v>
      </c>
      <c r="T1393" s="1" t="s">
        <v>13332</v>
      </c>
      <c r="U1393" s="1" t="s">
        <v>13333</v>
      </c>
      <c r="V1393" s="13">
        <f>COUNTIF(L1393:$M$1659,L1393)</f>
        <v>12</v>
      </c>
      <c r="W1393" s="1" t="s">
        <v>141</v>
      </c>
      <c r="X1393">
        <v>955.02</v>
      </c>
      <c r="Y1393">
        <v>51.92</v>
      </c>
      <c r="Z1393">
        <v>15.822844</v>
      </c>
      <c r="AA1393">
        <v>108.24684600000001</v>
      </c>
      <c r="AB1393">
        <v>903.1</v>
      </c>
      <c r="AC1393">
        <v>15.826549</v>
      </c>
      <c r="AD1393">
        <v>108.23194100000001</v>
      </c>
      <c r="AE1393" s="5">
        <f t="shared" si="106"/>
        <v>7.7879999999999991E-2</v>
      </c>
      <c r="AF1393" s="5">
        <f t="shared" si="107"/>
        <v>1.3546500000000001</v>
      </c>
      <c r="AG1393" s="1" t="str">
        <f>TRIM(LEFT(L1393,FIND("-",L1393)-1))</f>
        <v>Trại giam An Điềm (C10)</v>
      </c>
      <c r="AH1393" s="1" t="str">
        <f>TRIM(RIGHT(L1393, LEN(L1393) - FIND("-", L1393)))</f>
        <v>Duy Xuyên</v>
      </c>
      <c r="AJ1393">
        <f t="shared" si="108"/>
        <v>5.1920000000000001E-2</v>
      </c>
      <c r="AK1393">
        <f t="shared" si="109"/>
        <v>0.90310000000000001</v>
      </c>
      <c r="AL1393">
        <f>VLOOKUP(L1393,'[1]Tuyến cáp H04'!$B:$E,3,0)/1000</f>
        <v>48.999000000000002</v>
      </c>
      <c r="AM1393" t="str">
        <f>VLOOKUP(L1393,'[1]Tuyến cáp H04'!$B:$E,4,0)</f>
        <v>Mạng cấp 3</v>
      </c>
    </row>
    <row r="1394" spans="1:39" x14ac:dyDescent="0.25">
      <c r="A1394" s="1" t="s">
        <v>13334</v>
      </c>
      <c r="B1394" s="1" t="s">
        <v>13168</v>
      </c>
      <c r="C1394" s="1" t="s">
        <v>13169</v>
      </c>
      <c r="D1394" s="1" t="s">
        <v>13335</v>
      </c>
      <c r="E1394" s="1" t="s">
        <v>13336</v>
      </c>
      <c r="F1394" s="1" t="s">
        <v>13337</v>
      </c>
      <c r="G1394" s="1" t="s">
        <v>14281</v>
      </c>
      <c r="H1394" s="1" t="s">
        <v>14282</v>
      </c>
      <c r="I1394" s="1" t="s">
        <v>15486</v>
      </c>
      <c r="J1394" s="1" t="s">
        <v>23</v>
      </c>
      <c r="K1394" s="1"/>
      <c r="L1394" s="1" t="s">
        <v>133</v>
      </c>
      <c r="M1394" s="1" t="s">
        <v>133</v>
      </c>
      <c r="N1394" s="12" t="b">
        <f t="shared" si="105"/>
        <v>1</v>
      </c>
      <c r="O1394" s="1" t="s">
        <v>13338</v>
      </c>
      <c r="P1394" s="1" t="s">
        <v>13175</v>
      </c>
      <c r="Q1394" s="1" t="s">
        <v>139</v>
      </c>
      <c r="R1394" s="1" t="s">
        <v>140</v>
      </c>
      <c r="S1394" s="1" t="s">
        <v>13339</v>
      </c>
      <c r="T1394" s="1" t="s">
        <v>13340</v>
      </c>
      <c r="U1394" s="1" t="s">
        <v>13341</v>
      </c>
      <c r="V1394" s="13">
        <f>COUNTIF(L1394:$M$1659,L1394)</f>
        <v>10</v>
      </c>
      <c r="W1394" s="1" t="s">
        <v>141</v>
      </c>
      <c r="X1394">
        <v>357.17</v>
      </c>
      <c r="Y1394">
        <v>51.92</v>
      </c>
      <c r="Z1394">
        <v>15.822844</v>
      </c>
      <c r="AA1394">
        <v>108.24684600000001</v>
      </c>
      <c r="AB1394">
        <v>305.25</v>
      </c>
      <c r="AC1394">
        <v>15.827368999999999</v>
      </c>
      <c r="AD1394">
        <v>108.180673</v>
      </c>
      <c r="AE1394" s="5">
        <f t="shared" si="106"/>
        <v>7.7879999999999991E-2</v>
      </c>
      <c r="AF1394" s="5">
        <f t="shared" si="107"/>
        <v>0.45787499999999998</v>
      </c>
      <c r="AG1394" s="1" t="str">
        <f>TRIM(LEFT(L1394,FIND("-",L1394)-1))</f>
        <v>Trại giam An Điềm (C10)</v>
      </c>
      <c r="AH1394" s="1" t="str">
        <f>TRIM(RIGHT(L1394, LEN(L1394) - FIND("-", L1394)))</f>
        <v>Duy Xuyên</v>
      </c>
      <c r="AJ1394">
        <f t="shared" si="108"/>
        <v>5.1920000000000001E-2</v>
      </c>
      <c r="AK1394">
        <f t="shared" si="109"/>
        <v>0.30525000000000002</v>
      </c>
      <c r="AL1394">
        <f>VLOOKUP(L1394,'[1]Tuyến cáp H04'!$B:$E,3,0)/1000</f>
        <v>48.999000000000002</v>
      </c>
      <c r="AM1394" t="str">
        <f>VLOOKUP(L1394,'[1]Tuyến cáp H04'!$B:$E,4,0)</f>
        <v>Mạng cấp 3</v>
      </c>
    </row>
    <row r="1395" spans="1:39" x14ac:dyDescent="0.25">
      <c r="A1395" s="1" t="s">
        <v>13342</v>
      </c>
      <c r="B1395" s="1" t="s">
        <v>11289</v>
      </c>
      <c r="C1395" s="1" t="s">
        <v>11290</v>
      </c>
      <c r="D1395" s="1" t="s">
        <v>12287</v>
      </c>
      <c r="E1395" s="1" t="s">
        <v>12288</v>
      </c>
      <c r="F1395" s="1" t="s">
        <v>13343</v>
      </c>
      <c r="G1395" s="1" t="s">
        <v>14281</v>
      </c>
      <c r="H1395" s="1" t="s">
        <v>14282</v>
      </c>
      <c r="I1395" s="1" t="s">
        <v>15487</v>
      </c>
      <c r="J1395" s="1" t="s">
        <v>23</v>
      </c>
      <c r="K1395" s="1"/>
      <c r="L1395" s="1" t="s">
        <v>12290</v>
      </c>
      <c r="M1395" s="1" t="s">
        <v>12290</v>
      </c>
      <c r="N1395" s="12" t="b">
        <f t="shared" si="105"/>
        <v>1</v>
      </c>
      <c r="O1395" s="1" t="s">
        <v>13344</v>
      </c>
      <c r="P1395" s="1" t="s">
        <v>13345</v>
      </c>
      <c r="Q1395" s="1" t="s">
        <v>13346</v>
      </c>
      <c r="R1395" s="1" t="s">
        <v>13347</v>
      </c>
      <c r="S1395" s="1" t="s">
        <v>12293</v>
      </c>
      <c r="T1395" s="1" t="s">
        <v>12294</v>
      </c>
      <c r="U1395" s="1" t="s">
        <v>12295</v>
      </c>
      <c r="V1395" s="13">
        <f>COUNTIF(L1395:$M$1659,L1395)</f>
        <v>2</v>
      </c>
      <c r="W1395" s="1" t="s">
        <v>12296</v>
      </c>
      <c r="X1395">
        <v>1430.15</v>
      </c>
      <c r="Y1395">
        <v>50.89</v>
      </c>
      <c r="Z1395">
        <v>15.881015</v>
      </c>
      <c r="AA1395">
        <v>108.33228</v>
      </c>
      <c r="AB1395">
        <v>1379.26</v>
      </c>
      <c r="AC1395">
        <v>15.890886</v>
      </c>
      <c r="AD1395">
        <v>108.359292</v>
      </c>
      <c r="AE1395" s="5">
        <f t="shared" si="106"/>
        <v>7.6335000000000014E-2</v>
      </c>
      <c r="AF1395" s="5">
        <f t="shared" si="107"/>
        <v>2.0688899999999997</v>
      </c>
      <c r="AG1395" s="1" t="str">
        <f>TRIM(LEFT(L1395,FIND("-",L1395)-1))</f>
        <v>Hội An Đông</v>
      </c>
      <c r="AH1395" s="1" t="str">
        <f>TRIM(RIGHT(L1395, LEN(L1395) - FIND("-", L1395)))</f>
        <v>TTCMKV Hội An</v>
      </c>
      <c r="AJ1395">
        <f t="shared" si="108"/>
        <v>5.0889999999999998E-2</v>
      </c>
      <c r="AK1395">
        <f t="shared" si="109"/>
        <v>1.3792599999999999</v>
      </c>
      <c r="AL1395">
        <f>VLOOKUP(L1395,'[1]Tuyến cáp H04'!$B:$E,3,0)/1000</f>
        <v>5.12</v>
      </c>
      <c r="AM1395" t="str">
        <f>VLOOKUP(L1395,'[1]Tuyến cáp H04'!$B:$E,4,0)</f>
        <v>Mạng cấp 4</v>
      </c>
    </row>
    <row r="1396" spans="1:39" x14ac:dyDescent="0.25">
      <c r="A1396" s="1" t="s">
        <v>13348</v>
      </c>
      <c r="B1396" s="1" t="s">
        <v>11289</v>
      </c>
      <c r="C1396" s="1" t="s">
        <v>11290</v>
      </c>
      <c r="D1396" s="1" t="s">
        <v>13349</v>
      </c>
      <c r="E1396" s="1" t="s">
        <v>13350</v>
      </c>
      <c r="F1396" s="1" t="s">
        <v>13351</v>
      </c>
      <c r="G1396" s="1" t="s">
        <v>14281</v>
      </c>
      <c r="H1396" s="1" t="s">
        <v>14282</v>
      </c>
      <c r="I1396" s="1" t="s">
        <v>15488</v>
      </c>
      <c r="J1396" s="1" t="s">
        <v>23</v>
      </c>
      <c r="K1396" s="1"/>
      <c r="L1396" s="1" t="s">
        <v>11306</v>
      </c>
      <c r="M1396" s="1" t="s">
        <v>11306</v>
      </c>
      <c r="N1396" s="12" t="b">
        <f t="shared" si="105"/>
        <v>1</v>
      </c>
      <c r="O1396" s="1" t="s">
        <v>13352</v>
      </c>
      <c r="P1396" s="1" t="s">
        <v>11308</v>
      </c>
      <c r="Q1396" s="1" t="s">
        <v>11309</v>
      </c>
      <c r="R1396" s="1" t="s">
        <v>11310</v>
      </c>
      <c r="S1396" s="1" t="s">
        <v>13353</v>
      </c>
      <c r="T1396" s="1" t="s">
        <v>13354</v>
      </c>
      <c r="U1396" s="1" t="s">
        <v>13355</v>
      </c>
      <c r="V1396" s="13">
        <f>COUNTIF(L1396:$M$1659,L1396)</f>
        <v>2</v>
      </c>
      <c r="W1396" s="1" t="s">
        <v>11314</v>
      </c>
      <c r="X1396">
        <v>1430.12</v>
      </c>
      <c r="Y1396">
        <v>30.36</v>
      </c>
      <c r="Z1396">
        <v>15.880701999999999</v>
      </c>
      <c r="AA1396">
        <v>108.33218100000001</v>
      </c>
      <c r="AB1396">
        <v>1399.76</v>
      </c>
      <c r="AC1396">
        <v>15.889308</v>
      </c>
      <c r="AD1396">
        <v>108.25611000000001</v>
      </c>
      <c r="AE1396" s="5">
        <f t="shared" si="106"/>
        <v>4.5539999999999997E-2</v>
      </c>
      <c r="AF1396" s="5">
        <f t="shared" si="107"/>
        <v>2.09964</v>
      </c>
      <c r="AG1396" s="1" t="str">
        <f>TRIM(LEFT(L1396,FIND("-",L1396)-1))</f>
        <v>điện bàn</v>
      </c>
      <c r="AH1396" s="1" t="str">
        <f>TRIM(RIGHT(L1396, LEN(L1396) - FIND("-", L1396)))</f>
        <v>Hội An</v>
      </c>
      <c r="AJ1396">
        <f t="shared" si="108"/>
        <v>3.0359999999999998E-2</v>
      </c>
      <c r="AK1396">
        <f t="shared" si="109"/>
        <v>1.3997599999999999</v>
      </c>
      <c r="AL1396" t="e">
        <f>VLOOKUP(L1396,'[1]Tuyến cáp H04'!$B:$E,3,0)/1000</f>
        <v>#N/A</v>
      </c>
      <c r="AM1396" t="e">
        <f>VLOOKUP(L1396,'[1]Tuyến cáp H04'!$B:$E,4,0)</f>
        <v>#N/A</v>
      </c>
    </row>
    <row r="1397" spans="1:39" x14ac:dyDescent="0.25">
      <c r="A1397" s="1" t="s">
        <v>13356</v>
      </c>
      <c r="B1397" s="1" t="s">
        <v>11289</v>
      </c>
      <c r="C1397" s="1" t="s">
        <v>11290</v>
      </c>
      <c r="D1397" s="1" t="e">
        <v>#N/A</v>
      </c>
      <c r="E1397" s="1" t="e">
        <v>#N/A</v>
      </c>
      <c r="F1397" s="1" t="s">
        <v>13357</v>
      </c>
      <c r="G1397" s="1" t="s">
        <v>14281</v>
      </c>
      <c r="H1397" s="1" t="s">
        <v>14282</v>
      </c>
      <c r="I1397" s="1" t="s">
        <v>15489</v>
      </c>
      <c r="J1397" s="1" t="s">
        <v>5166</v>
      </c>
      <c r="K1397" s="1" t="s">
        <v>11893</v>
      </c>
      <c r="L1397" s="1"/>
      <c r="M1397" s="1"/>
      <c r="N1397" s="12" t="b">
        <f t="shared" si="105"/>
        <v>1</v>
      </c>
      <c r="O1397" s="1"/>
      <c r="P1397" s="1"/>
      <c r="Q1397" s="1"/>
      <c r="R1397" s="1"/>
      <c r="S1397" s="1"/>
      <c r="T1397" s="1"/>
      <c r="U1397" s="1"/>
      <c r="V1397" s="13">
        <f>COUNTIF(L1397:$M$1659,L1397)</f>
        <v>0</v>
      </c>
      <c r="W1397" s="1"/>
      <c r="AE1397" s="5"/>
      <c r="AF1397" s="5"/>
      <c r="AG1397" s="1"/>
      <c r="AH1397" s="1"/>
      <c r="AL1397" t="e">
        <f>VLOOKUP(L1397,'[1]Tuyến cáp H04'!$B:$E,3,0)/1000</f>
        <v>#N/A</v>
      </c>
      <c r="AM1397" t="e">
        <f>VLOOKUP(L1397,'[1]Tuyến cáp H04'!$B:$E,4,0)</f>
        <v>#N/A</v>
      </c>
    </row>
    <row r="1398" spans="1:39" x14ac:dyDescent="0.25">
      <c r="A1398" s="1" t="s">
        <v>13358</v>
      </c>
      <c r="B1398" s="1" t="s">
        <v>11340</v>
      </c>
      <c r="C1398" s="1" t="s">
        <v>11341</v>
      </c>
      <c r="D1398" s="1" t="s">
        <v>13359</v>
      </c>
      <c r="E1398" s="1" t="s">
        <v>13360</v>
      </c>
      <c r="F1398" s="1" t="s">
        <v>13361</v>
      </c>
      <c r="G1398" s="1" t="s">
        <v>14281</v>
      </c>
      <c r="H1398" s="1" t="s">
        <v>14282</v>
      </c>
      <c r="I1398" s="1" t="s">
        <v>15490</v>
      </c>
      <c r="J1398" s="1" t="s">
        <v>23</v>
      </c>
      <c r="K1398" s="1"/>
      <c r="L1398" s="1" t="s">
        <v>11345</v>
      </c>
      <c r="M1398" s="1" t="s">
        <v>11345</v>
      </c>
      <c r="N1398" s="12" t="b">
        <f t="shared" si="105"/>
        <v>1</v>
      </c>
      <c r="O1398" s="1" t="s">
        <v>13362</v>
      </c>
      <c r="P1398" s="1" t="s">
        <v>13363</v>
      </c>
      <c r="Q1398" s="1" t="s">
        <v>13364</v>
      </c>
      <c r="R1398" s="1" t="s">
        <v>13365</v>
      </c>
      <c r="S1398" s="1" t="s">
        <v>13366</v>
      </c>
      <c r="T1398" s="1" t="s">
        <v>13367</v>
      </c>
      <c r="U1398" s="1" t="s">
        <v>13368</v>
      </c>
      <c r="V1398" s="13">
        <f>COUNTIF(L1398:$M$1659,L1398)</f>
        <v>10</v>
      </c>
      <c r="W1398" s="1" t="s">
        <v>13369</v>
      </c>
      <c r="X1398">
        <v>151.55000000000001</v>
      </c>
      <c r="Y1398">
        <v>35.22</v>
      </c>
      <c r="Z1398">
        <v>15.432839</v>
      </c>
      <c r="AA1398">
        <v>108.660348</v>
      </c>
      <c r="AB1398">
        <v>116.34</v>
      </c>
      <c r="AC1398">
        <v>15.460558000000001</v>
      </c>
      <c r="AD1398">
        <v>108.60286600000001</v>
      </c>
      <c r="AE1398" s="5">
        <f t="shared" si="106"/>
        <v>5.2829999999999995E-2</v>
      </c>
      <c r="AF1398" s="5">
        <f t="shared" si="107"/>
        <v>0.17451</v>
      </c>
      <c r="AG1398" s="1" t="str">
        <f>TRIM(LEFT(L1398,FIND("-",L1398)-1))</f>
        <v>Tam Anh</v>
      </c>
      <c r="AH1398" s="1" t="str">
        <f>TRIM(RIGHT(L1398, LEN(L1398) - FIND("-", L1398)))</f>
        <v>Núi Thành</v>
      </c>
      <c r="AJ1398">
        <f t="shared" si="108"/>
        <v>3.5220000000000001E-2</v>
      </c>
      <c r="AK1398">
        <f t="shared" si="109"/>
        <v>0.11634</v>
      </c>
      <c r="AL1398">
        <f>VLOOKUP(L1398,'[1]Tuyến cáp H04'!$B:$E,3,0)/1000</f>
        <v>14.798</v>
      </c>
      <c r="AM1398" t="str">
        <f>VLOOKUP(L1398,'[1]Tuyến cáp H04'!$B:$E,4,0)</f>
        <v>Mạng cấp 4</v>
      </c>
    </row>
    <row r="1399" spans="1:39" x14ac:dyDescent="0.25">
      <c r="A1399" s="1" t="s">
        <v>13370</v>
      </c>
      <c r="B1399" s="1" t="s">
        <v>11340</v>
      </c>
      <c r="C1399" s="1" t="s">
        <v>11341</v>
      </c>
      <c r="D1399" s="1" t="s">
        <v>11560</v>
      </c>
      <c r="E1399" s="1" t="s">
        <v>11561</v>
      </c>
      <c r="F1399" s="1" t="s">
        <v>13371</v>
      </c>
      <c r="G1399" s="1" t="s">
        <v>14281</v>
      </c>
      <c r="H1399" s="1" t="s">
        <v>14282</v>
      </c>
      <c r="I1399" s="1" t="s">
        <v>15491</v>
      </c>
      <c r="J1399" s="1" t="s">
        <v>23</v>
      </c>
      <c r="K1399" s="1"/>
      <c r="L1399" s="1" t="s">
        <v>12354</v>
      </c>
      <c r="M1399" s="1" t="s">
        <v>12354</v>
      </c>
      <c r="N1399" s="12" t="b">
        <f t="shared" si="105"/>
        <v>1</v>
      </c>
      <c r="O1399" s="1" t="s">
        <v>13372</v>
      </c>
      <c r="P1399" s="1" t="s">
        <v>13373</v>
      </c>
      <c r="Q1399" s="1" t="s">
        <v>13374</v>
      </c>
      <c r="R1399" s="1" t="s">
        <v>13375</v>
      </c>
      <c r="S1399" s="1" t="s">
        <v>13376</v>
      </c>
      <c r="T1399" s="1" t="s">
        <v>13377</v>
      </c>
      <c r="U1399" s="1" t="s">
        <v>13378</v>
      </c>
      <c r="V1399" s="13">
        <f>COUNTIF(L1399:$M$1659,L1399)</f>
        <v>2</v>
      </c>
      <c r="W1399" s="1" t="s">
        <v>12362</v>
      </c>
      <c r="X1399">
        <v>11891.46</v>
      </c>
      <c r="Y1399">
        <v>8872.81</v>
      </c>
      <c r="Z1399">
        <v>15.446864</v>
      </c>
      <c r="AA1399">
        <v>108.578954</v>
      </c>
      <c r="AB1399">
        <v>3018.65</v>
      </c>
      <c r="AC1399">
        <v>15.553322</v>
      </c>
      <c r="AD1399">
        <v>108.48165400000001</v>
      </c>
      <c r="AE1399" s="5">
        <f t="shared" si="106"/>
        <v>13.309215</v>
      </c>
      <c r="AF1399" s="5">
        <f t="shared" si="107"/>
        <v>4.5279750000000005</v>
      </c>
      <c r="AG1399" s="1" t="str">
        <f>TRIM(LEFT(L1399,FIND("-",L1399)-1))</f>
        <v>Đức phú</v>
      </c>
      <c r="AH1399" s="1" t="str">
        <f>TRIM(RIGHT(L1399, LEN(L1399) - FIND("-", L1399)))</f>
        <v>Phú Ninh</v>
      </c>
      <c r="AJ1399">
        <f t="shared" si="108"/>
        <v>8.8728099999999994</v>
      </c>
      <c r="AK1399">
        <f t="shared" si="109"/>
        <v>3.0186500000000001</v>
      </c>
      <c r="AL1399" t="e">
        <f>VLOOKUP(L1399,'[1]Tuyến cáp H04'!$B:$E,3,0)/1000</f>
        <v>#N/A</v>
      </c>
      <c r="AM1399" t="e">
        <f>VLOOKUP(L1399,'[1]Tuyến cáp H04'!$B:$E,4,0)</f>
        <v>#N/A</v>
      </c>
    </row>
    <row r="1400" spans="1:39" x14ac:dyDescent="0.25">
      <c r="A1400" s="1" t="s">
        <v>13379</v>
      </c>
      <c r="B1400" s="1" t="s">
        <v>11340</v>
      </c>
      <c r="C1400" s="1" t="s">
        <v>11341</v>
      </c>
      <c r="D1400" s="1" t="s">
        <v>13380</v>
      </c>
      <c r="E1400" s="1" t="s">
        <v>13381</v>
      </c>
      <c r="F1400" s="1" t="s">
        <v>13382</v>
      </c>
      <c r="G1400" s="1" t="s">
        <v>14281</v>
      </c>
      <c r="H1400" s="1" t="s">
        <v>14282</v>
      </c>
      <c r="I1400" s="1" t="s">
        <v>15492</v>
      </c>
      <c r="J1400" s="1" t="s">
        <v>23</v>
      </c>
      <c r="K1400" s="1"/>
      <c r="L1400" s="1" t="s">
        <v>11345</v>
      </c>
      <c r="M1400" s="1" t="s">
        <v>11345</v>
      </c>
      <c r="N1400" s="12" t="b">
        <f t="shared" si="105"/>
        <v>1</v>
      </c>
      <c r="O1400" s="1" t="s">
        <v>13383</v>
      </c>
      <c r="P1400" s="1" t="s">
        <v>13363</v>
      </c>
      <c r="Q1400" s="1" t="s">
        <v>13364</v>
      </c>
      <c r="R1400" s="1" t="s">
        <v>13365</v>
      </c>
      <c r="S1400" s="1" t="s">
        <v>13384</v>
      </c>
      <c r="T1400" s="1" t="s">
        <v>13385</v>
      </c>
      <c r="U1400" s="1" t="s">
        <v>13386</v>
      </c>
      <c r="V1400" s="13">
        <f>COUNTIF(L1400:$M$1659,L1400)</f>
        <v>8</v>
      </c>
      <c r="W1400" s="1" t="s">
        <v>13369</v>
      </c>
      <c r="X1400">
        <v>326.87</v>
      </c>
      <c r="Y1400">
        <v>35.22</v>
      </c>
      <c r="Z1400">
        <v>15.432839</v>
      </c>
      <c r="AA1400">
        <v>108.660348</v>
      </c>
      <c r="AB1400">
        <v>291.66000000000003</v>
      </c>
      <c r="AC1400">
        <v>15.432786</v>
      </c>
      <c r="AD1400">
        <v>108.651911</v>
      </c>
      <c r="AE1400" s="5">
        <f t="shared" si="106"/>
        <v>5.2829999999999995E-2</v>
      </c>
      <c r="AF1400" s="5">
        <f t="shared" si="107"/>
        <v>0.43748999999999999</v>
      </c>
      <c r="AG1400" s="1" t="str">
        <f>TRIM(LEFT(L1400,FIND("-",L1400)-1))</f>
        <v>Tam Anh</v>
      </c>
      <c r="AH1400" s="1" t="str">
        <f>TRIM(RIGHT(L1400, LEN(L1400) - FIND("-", L1400)))</f>
        <v>Núi Thành</v>
      </c>
      <c r="AJ1400">
        <f t="shared" si="108"/>
        <v>3.5220000000000001E-2</v>
      </c>
      <c r="AK1400">
        <f t="shared" si="109"/>
        <v>0.29166000000000003</v>
      </c>
      <c r="AL1400">
        <f>VLOOKUP(L1400,'[1]Tuyến cáp H04'!$B:$E,3,0)/1000</f>
        <v>14.798</v>
      </c>
      <c r="AM1400" t="str">
        <f>VLOOKUP(L1400,'[1]Tuyến cáp H04'!$B:$E,4,0)</f>
        <v>Mạng cấp 4</v>
      </c>
    </row>
    <row r="1401" spans="1:39" x14ac:dyDescent="0.25">
      <c r="A1401" s="1" t="s">
        <v>13387</v>
      </c>
      <c r="B1401" s="1" t="s">
        <v>11340</v>
      </c>
      <c r="C1401" s="1" t="s">
        <v>11341</v>
      </c>
      <c r="D1401" s="1" t="s">
        <v>13388</v>
      </c>
      <c r="E1401" s="1" t="s">
        <v>13389</v>
      </c>
      <c r="F1401" s="1" t="s">
        <v>13390</v>
      </c>
      <c r="G1401" s="1" t="s">
        <v>14281</v>
      </c>
      <c r="H1401" s="1" t="s">
        <v>14282</v>
      </c>
      <c r="I1401" s="1" t="s">
        <v>15493</v>
      </c>
      <c r="J1401" s="1" t="s">
        <v>23</v>
      </c>
      <c r="K1401" s="1"/>
      <c r="L1401" s="1" t="s">
        <v>11345</v>
      </c>
      <c r="M1401" s="1" t="s">
        <v>11345</v>
      </c>
      <c r="N1401" s="12" t="b">
        <f t="shared" si="105"/>
        <v>1</v>
      </c>
      <c r="O1401" s="1" t="s">
        <v>13391</v>
      </c>
      <c r="P1401" s="1" t="s">
        <v>11347</v>
      </c>
      <c r="Q1401" s="1" t="s">
        <v>11348</v>
      </c>
      <c r="R1401" s="1" t="s">
        <v>11349</v>
      </c>
      <c r="S1401" s="1" t="s">
        <v>13392</v>
      </c>
      <c r="T1401" s="1" t="s">
        <v>11348</v>
      </c>
      <c r="U1401" s="1" t="s">
        <v>11349</v>
      </c>
      <c r="V1401" s="13">
        <f>COUNTIF(L1401:$M$1659,L1401)</f>
        <v>6</v>
      </c>
      <c r="W1401" s="1" t="s">
        <v>11353</v>
      </c>
      <c r="X1401">
        <v>2923.33</v>
      </c>
      <c r="Y1401">
        <v>3.91</v>
      </c>
      <c r="Z1401">
        <v>15.433142</v>
      </c>
      <c r="AA1401">
        <v>108.660472</v>
      </c>
      <c r="AB1401">
        <v>2919.42</v>
      </c>
      <c r="AC1401">
        <v>15.433142</v>
      </c>
      <c r="AD1401">
        <v>108.660472</v>
      </c>
      <c r="AE1401" s="5">
        <f t="shared" si="106"/>
        <v>5.8650000000000004E-3</v>
      </c>
      <c r="AF1401" s="5">
        <f t="shared" si="107"/>
        <v>4.37913</v>
      </c>
      <c r="AG1401" s="1" t="str">
        <f>TRIM(LEFT(L1401,FIND("-",L1401)-1))</f>
        <v>Tam Anh</v>
      </c>
      <c r="AH1401" s="1" t="str">
        <f>TRIM(RIGHT(L1401, LEN(L1401) - FIND("-", L1401)))</f>
        <v>Núi Thành</v>
      </c>
      <c r="AJ1401">
        <f t="shared" si="108"/>
        <v>3.9100000000000003E-3</v>
      </c>
      <c r="AK1401">
        <f t="shared" si="109"/>
        <v>2.9194200000000001</v>
      </c>
      <c r="AL1401">
        <f>VLOOKUP(L1401,'[1]Tuyến cáp H04'!$B:$E,3,0)/1000</f>
        <v>14.798</v>
      </c>
      <c r="AM1401" t="str">
        <f>VLOOKUP(L1401,'[1]Tuyến cáp H04'!$B:$E,4,0)</f>
        <v>Mạng cấp 4</v>
      </c>
    </row>
    <row r="1402" spans="1:39" x14ac:dyDescent="0.25">
      <c r="A1402" s="1" t="s">
        <v>13393</v>
      </c>
      <c r="B1402" s="1" t="s">
        <v>11340</v>
      </c>
      <c r="C1402" s="1" t="s">
        <v>11341</v>
      </c>
      <c r="D1402" s="1" t="s">
        <v>13394</v>
      </c>
      <c r="E1402" s="1" t="s">
        <v>13395</v>
      </c>
      <c r="F1402" s="1" t="s">
        <v>13396</v>
      </c>
      <c r="G1402" s="1" t="s">
        <v>14281</v>
      </c>
      <c r="H1402" s="1" t="s">
        <v>14282</v>
      </c>
      <c r="I1402" s="1" t="s">
        <v>15494</v>
      </c>
      <c r="J1402" s="1" t="s">
        <v>23</v>
      </c>
      <c r="K1402" s="1"/>
      <c r="L1402" s="1" t="s">
        <v>11345</v>
      </c>
      <c r="M1402" s="1" t="s">
        <v>11345</v>
      </c>
      <c r="N1402" s="12" t="b">
        <f t="shared" si="105"/>
        <v>1</v>
      </c>
      <c r="O1402" s="1" t="s">
        <v>13397</v>
      </c>
      <c r="P1402" s="1" t="s">
        <v>11347</v>
      </c>
      <c r="Q1402" s="1" t="s">
        <v>11348</v>
      </c>
      <c r="R1402" s="1" t="s">
        <v>11349</v>
      </c>
      <c r="S1402" s="1" t="s">
        <v>13398</v>
      </c>
      <c r="T1402" s="1" t="s">
        <v>11348</v>
      </c>
      <c r="U1402" s="1" t="s">
        <v>11349</v>
      </c>
      <c r="V1402" s="13">
        <f>COUNTIF(L1402:$M$1659,L1402)</f>
        <v>4</v>
      </c>
      <c r="W1402" s="1" t="s">
        <v>11353</v>
      </c>
      <c r="X1402">
        <v>2814.25</v>
      </c>
      <c r="Y1402">
        <v>3.91</v>
      </c>
      <c r="Z1402">
        <v>15.433142</v>
      </c>
      <c r="AA1402">
        <v>108.660472</v>
      </c>
      <c r="AB1402">
        <v>2810.34</v>
      </c>
      <c r="AC1402">
        <v>15.433142</v>
      </c>
      <c r="AD1402">
        <v>108.660472</v>
      </c>
      <c r="AE1402" s="5">
        <f t="shared" si="106"/>
        <v>5.8650000000000004E-3</v>
      </c>
      <c r="AF1402" s="5">
        <f t="shared" si="107"/>
        <v>4.2155100000000001</v>
      </c>
      <c r="AG1402" s="1" t="str">
        <f>TRIM(LEFT(L1402,FIND("-",L1402)-1))</f>
        <v>Tam Anh</v>
      </c>
      <c r="AH1402" s="1" t="str">
        <f>TRIM(RIGHT(L1402, LEN(L1402) - FIND("-", L1402)))</f>
        <v>Núi Thành</v>
      </c>
      <c r="AJ1402">
        <f t="shared" si="108"/>
        <v>3.9100000000000003E-3</v>
      </c>
      <c r="AK1402">
        <f t="shared" si="109"/>
        <v>2.8103400000000001</v>
      </c>
      <c r="AL1402">
        <f>VLOOKUP(L1402,'[1]Tuyến cáp H04'!$B:$E,3,0)/1000</f>
        <v>14.798</v>
      </c>
      <c r="AM1402" t="str">
        <f>VLOOKUP(L1402,'[1]Tuyến cáp H04'!$B:$E,4,0)</f>
        <v>Mạng cấp 4</v>
      </c>
    </row>
    <row r="1403" spans="1:39" x14ac:dyDescent="0.25">
      <c r="A1403" s="1" t="s">
        <v>13399</v>
      </c>
      <c r="B1403" s="1" t="s">
        <v>11340</v>
      </c>
      <c r="C1403" s="1" t="s">
        <v>11341</v>
      </c>
      <c r="D1403" s="1" t="s">
        <v>13400</v>
      </c>
      <c r="E1403" s="1" t="s">
        <v>13401</v>
      </c>
      <c r="F1403" s="1" t="s">
        <v>13402</v>
      </c>
      <c r="G1403" s="1" t="s">
        <v>14281</v>
      </c>
      <c r="H1403" s="1" t="s">
        <v>14282</v>
      </c>
      <c r="I1403" s="1" t="s">
        <v>15495</v>
      </c>
      <c r="J1403" s="1" t="s">
        <v>23</v>
      </c>
      <c r="K1403" s="1"/>
      <c r="L1403" s="1" t="s">
        <v>11345</v>
      </c>
      <c r="M1403" s="1" t="s">
        <v>11345</v>
      </c>
      <c r="N1403" s="12" t="b">
        <f t="shared" si="105"/>
        <v>1</v>
      </c>
      <c r="O1403" s="1" t="s">
        <v>13403</v>
      </c>
      <c r="P1403" s="1" t="s">
        <v>11347</v>
      </c>
      <c r="Q1403" s="1" t="s">
        <v>11348</v>
      </c>
      <c r="R1403" s="1" t="s">
        <v>11349</v>
      </c>
      <c r="S1403" s="1" t="s">
        <v>13404</v>
      </c>
      <c r="T1403" s="1" t="s">
        <v>11351</v>
      </c>
      <c r="U1403" s="1" t="s">
        <v>11352</v>
      </c>
      <c r="V1403" s="13">
        <f>COUNTIF(L1403:$M$1659,L1403)</f>
        <v>2</v>
      </c>
      <c r="W1403" s="1" t="s">
        <v>11353</v>
      </c>
      <c r="X1403">
        <v>4574.96</v>
      </c>
      <c r="Y1403">
        <v>3.91</v>
      </c>
      <c r="Z1403">
        <v>15.433142</v>
      </c>
      <c r="AA1403">
        <v>108.660472</v>
      </c>
      <c r="AB1403">
        <v>4571.05</v>
      </c>
      <c r="AC1403">
        <v>15.432864</v>
      </c>
      <c r="AD1403">
        <v>108.66029</v>
      </c>
      <c r="AE1403" s="5">
        <f t="shared" si="106"/>
        <v>5.8650000000000004E-3</v>
      </c>
      <c r="AF1403" s="5">
        <f t="shared" si="107"/>
        <v>6.8565750000000003</v>
      </c>
      <c r="AG1403" s="1" t="str">
        <f>TRIM(LEFT(L1403,FIND("-",L1403)-1))</f>
        <v>Tam Anh</v>
      </c>
      <c r="AH1403" s="1" t="str">
        <f>TRIM(RIGHT(L1403, LEN(L1403) - FIND("-", L1403)))</f>
        <v>Núi Thành</v>
      </c>
      <c r="AJ1403">
        <f t="shared" si="108"/>
        <v>3.9100000000000003E-3</v>
      </c>
      <c r="AK1403">
        <f t="shared" si="109"/>
        <v>4.5710500000000005</v>
      </c>
      <c r="AL1403">
        <f>VLOOKUP(L1403,'[1]Tuyến cáp H04'!$B:$E,3,0)/1000</f>
        <v>14.798</v>
      </c>
      <c r="AM1403" t="str">
        <f>VLOOKUP(L1403,'[1]Tuyến cáp H04'!$B:$E,4,0)</f>
        <v>Mạng cấp 4</v>
      </c>
    </row>
    <row r="1404" spans="1:39" x14ac:dyDescent="0.25">
      <c r="A1404" s="1" t="s">
        <v>13405</v>
      </c>
      <c r="B1404" s="1" t="s">
        <v>11355</v>
      </c>
      <c r="C1404" s="1" t="s">
        <v>11356</v>
      </c>
      <c r="D1404" s="1" t="s">
        <v>11552</v>
      </c>
      <c r="E1404" s="1" t="s">
        <v>11553</v>
      </c>
      <c r="F1404" s="1" t="s">
        <v>13406</v>
      </c>
      <c r="G1404" s="1" t="s">
        <v>14281</v>
      </c>
      <c r="H1404" s="1" t="s">
        <v>14282</v>
      </c>
      <c r="I1404" s="1" t="s">
        <v>15496</v>
      </c>
      <c r="J1404" s="1" t="s">
        <v>23</v>
      </c>
      <c r="K1404" s="1"/>
      <c r="L1404" s="1" t="s">
        <v>11373</v>
      </c>
      <c r="M1404" s="1" t="s">
        <v>11373</v>
      </c>
      <c r="N1404" s="12" t="b">
        <f t="shared" si="105"/>
        <v>1</v>
      </c>
      <c r="O1404" s="1" t="s">
        <v>13407</v>
      </c>
      <c r="P1404" s="1" t="s">
        <v>11375</v>
      </c>
      <c r="Q1404" s="1" t="s">
        <v>11376</v>
      </c>
      <c r="R1404" s="1" t="s">
        <v>11377</v>
      </c>
      <c r="S1404" s="1" t="s">
        <v>13408</v>
      </c>
      <c r="T1404" s="1" t="s">
        <v>13409</v>
      </c>
      <c r="U1404" s="1" t="s">
        <v>13410</v>
      </c>
      <c r="V1404" s="13">
        <f>COUNTIF(L1404:$M$1659,L1404)</f>
        <v>4</v>
      </c>
      <c r="W1404" s="1" t="s">
        <v>11381</v>
      </c>
      <c r="X1404">
        <v>895.37</v>
      </c>
      <c r="Y1404">
        <v>813.22</v>
      </c>
      <c r="Z1404">
        <v>15.741393</v>
      </c>
      <c r="AA1404">
        <v>108.35662000000001</v>
      </c>
      <c r="AB1404">
        <v>82.15</v>
      </c>
      <c r="AC1404">
        <v>15.788897</v>
      </c>
      <c r="AD1404">
        <v>108.321879</v>
      </c>
      <c r="AE1404" s="5">
        <f t="shared" si="106"/>
        <v>1.21983</v>
      </c>
      <c r="AF1404" s="5">
        <f t="shared" si="107"/>
        <v>0.12322500000000002</v>
      </c>
      <c r="AG1404" s="1" t="str">
        <f>TRIM(LEFT(L1404,FIND("-",L1404)-1))</f>
        <v>Duy Xuyên</v>
      </c>
      <c r="AH1404" s="1" t="str">
        <f>TRIM(RIGHT(L1404, LEN(L1404) - FIND("-", L1404)))</f>
        <v>TT2 Tam Kỳ</v>
      </c>
      <c r="AJ1404">
        <f t="shared" si="108"/>
        <v>0.81322000000000005</v>
      </c>
      <c r="AK1404">
        <f t="shared" si="109"/>
        <v>8.2150000000000001E-2</v>
      </c>
      <c r="AL1404">
        <f>VLOOKUP(L1404,'[1]Tuyến cáp H04'!$B:$E,3,0)/1000</f>
        <v>44.616</v>
      </c>
      <c r="AM1404" t="str">
        <f>VLOOKUP(L1404,'[1]Tuyến cáp H04'!$B:$E,4,0)</f>
        <v>Mạng cấp 3</v>
      </c>
    </row>
    <row r="1405" spans="1:39" x14ac:dyDescent="0.25">
      <c r="A1405" s="1" t="s">
        <v>13411</v>
      </c>
      <c r="B1405" s="1" t="s">
        <v>11355</v>
      </c>
      <c r="C1405" s="1" t="s">
        <v>11356</v>
      </c>
      <c r="D1405" s="1" t="s">
        <v>11492</v>
      </c>
      <c r="E1405" s="1" t="s">
        <v>11493</v>
      </c>
      <c r="F1405" s="1" t="s">
        <v>13412</v>
      </c>
      <c r="G1405" s="1" t="s">
        <v>14281</v>
      </c>
      <c r="H1405" s="1" t="s">
        <v>14282</v>
      </c>
      <c r="I1405" s="1" t="s">
        <v>15497</v>
      </c>
      <c r="J1405" s="1" t="s">
        <v>23</v>
      </c>
      <c r="K1405" s="1"/>
      <c r="L1405" s="1" t="s">
        <v>11429</v>
      </c>
      <c r="M1405" s="1" t="s">
        <v>11429</v>
      </c>
      <c r="N1405" s="12" t="b">
        <f t="shared" si="105"/>
        <v>1</v>
      </c>
      <c r="O1405" s="1" t="s">
        <v>13413</v>
      </c>
      <c r="P1405" s="1" t="s">
        <v>11431</v>
      </c>
      <c r="Q1405" s="1" t="s">
        <v>11432</v>
      </c>
      <c r="R1405" s="1" t="s">
        <v>11433</v>
      </c>
      <c r="S1405" s="1" t="s">
        <v>13414</v>
      </c>
      <c r="T1405" s="1" t="s">
        <v>13415</v>
      </c>
      <c r="U1405" s="1" t="s">
        <v>13416</v>
      </c>
      <c r="V1405" s="13">
        <f>COUNTIF(L1405:$M$1659,L1405)</f>
        <v>2</v>
      </c>
      <c r="W1405" s="1" t="s">
        <v>11437</v>
      </c>
      <c r="X1405">
        <v>4729.3999999999996</v>
      </c>
      <c r="Y1405">
        <v>1063.79</v>
      </c>
      <c r="Z1405">
        <v>15.742058</v>
      </c>
      <c r="AA1405">
        <v>108.359236</v>
      </c>
      <c r="AB1405">
        <v>3665.6</v>
      </c>
      <c r="AC1405">
        <v>15.759016000000001</v>
      </c>
      <c r="AD1405">
        <v>108.393829</v>
      </c>
      <c r="AE1405" s="5">
        <f t="shared" si="106"/>
        <v>1.595685</v>
      </c>
      <c r="AF1405" s="5">
        <f t="shared" si="107"/>
        <v>5.4983999999999993</v>
      </c>
      <c r="AG1405" s="1" t="str">
        <f>TRIM(LEFT(L1405,FIND("-",L1405)-1))</f>
        <v>E28</v>
      </c>
      <c r="AH1405" s="1" t="str">
        <f>TRIM(RIGHT(L1405, LEN(L1405) - FIND("-", L1405)))</f>
        <v>Thăng An</v>
      </c>
      <c r="AJ1405">
        <f t="shared" si="108"/>
        <v>1.06379</v>
      </c>
      <c r="AK1405">
        <f t="shared" si="109"/>
        <v>3.6656</v>
      </c>
      <c r="AL1405">
        <f>VLOOKUP(L1405,'[1]Tuyến cáp H04'!$B:$E,3,0)/1000</f>
        <v>7.88</v>
      </c>
      <c r="AM1405" t="str">
        <f>VLOOKUP(L1405,'[1]Tuyến cáp H04'!$B:$E,4,0)</f>
        <v>Mạng cấp 4</v>
      </c>
    </row>
    <row r="1406" spans="1:39" x14ac:dyDescent="0.25">
      <c r="A1406" s="1" t="s">
        <v>13417</v>
      </c>
      <c r="B1406" s="1" t="s">
        <v>11355</v>
      </c>
      <c r="C1406" s="1" t="s">
        <v>11356</v>
      </c>
      <c r="D1406" s="1" t="e">
        <v>#N/A</v>
      </c>
      <c r="E1406" s="1" t="e">
        <v>#N/A</v>
      </c>
      <c r="F1406" s="1" t="s">
        <v>13418</v>
      </c>
      <c r="G1406" s="1" t="s">
        <v>14281</v>
      </c>
      <c r="H1406" s="1" t="s">
        <v>14282</v>
      </c>
      <c r="I1406" s="1" t="s">
        <v>15498</v>
      </c>
      <c r="J1406" s="1" t="s">
        <v>5166</v>
      </c>
      <c r="K1406" s="1" t="s">
        <v>11893</v>
      </c>
      <c r="L1406" s="1"/>
      <c r="M1406" s="1"/>
      <c r="N1406" s="12" t="b">
        <f t="shared" si="105"/>
        <v>1</v>
      </c>
      <c r="O1406" s="1"/>
      <c r="P1406" s="1"/>
      <c r="Q1406" s="1"/>
      <c r="R1406" s="1"/>
      <c r="S1406" s="1"/>
      <c r="T1406" s="1"/>
      <c r="U1406" s="1"/>
      <c r="V1406" s="13">
        <f>COUNTIF(L1406:$M$1659,L1406)</f>
        <v>0</v>
      </c>
      <c r="W1406" s="1"/>
      <c r="AE1406" s="5"/>
      <c r="AF1406" s="5"/>
      <c r="AG1406" s="1"/>
      <c r="AH1406" s="1"/>
      <c r="AL1406" t="e">
        <f>VLOOKUP(L1406,'[1]Tuyến cáp H04'!$B:$E,3,0)/1000</f>
        <v>#N/A</v>
      </c>
      <c r="AM1406" t="e">
        <f>VLOOKUP(L1406,'[1]Tuyến cáp H04'!$B:$E,4,0)</f>
        <v>#N/A</v>
      </c>
    </row>
    <row r="1407" spans="1:39" x14ac:dyDescent="0.25">
      <c r="A1407" s="1" t="s">
        <v>13419</v>
      </c>
      <c r="B1407" s="1" t="s">
        <v>11355</v>
      </c>
      <c r="C1407" s="1" t="s">
        <v>11356</v>
      </c>
      <c r="D1407" s="1" t="s">
        <v>13420</v>
      </c>
      <c r="E1407" s="1" t="s">
        <v>13421</v>
      </c>
      <c r="F1407" s="1" t="s">
        <v>13422</v>
      </c>
      <c r="G1407" s="1" t="s">
        <v>14281</v>
      </c>
      <c r="H1407" s="1" t="s">
        <v>14282</v>
      </c>
      <c r="I1407" s="1" t="s">
        <v>15499</v>
      </c>
      <c r="J1407" s="1" t="s">
        <v>23</v>
      </c>
      <c r="K1407" s="1"/>
      <c r="L1407" s="1" t="s">
        <v>11360</v>
      </c>
      <c r="M1407" s="1" t="s">
        <v>11360</v>
      </c>
      <c r="N1407" s="12" t="b">
        <f t="shared" si="105"/>
        <v>1</v>
      </c>
      <c r="O1407" s="1" t="s">
        <v>13423</v>
      </c>
      <c r="P1407" s="1" t="s">
        <v>13424</v>
      </c>
      <c r="Q1407" s="1" t="s">
        <v>13425</v>
      </c>
      <c r="R1407" s="1" t="s">
        <v>13426</v>
      </c>
      <c r="S1407" s="1" t="s">
        <v>13427</v>
      </c>
      <c r="T1407" s="1" t="s">
        <v>13428</v>
      </c>
      <c r="U1407" s="1" t="s">
        <v>13429</v>
      </c>
      <c r="V1407" s="13">
        <f>COUNTIF(L1407:$M$1659,L1407)</f>
        <v>2</v>
      </c>
      <c r="W1407" s="1" t="s">
        <v>13430</v>
      </c>
      <c r="X1407">
        <v>899.3</v>
      </c>
      <c r="Y1407">
        <v>4.6900000000000004</v>
      </c>
      <c r="Z1407">
        <v>15.735823999999999</v>
      </c>
      <c r="AA1407">
        <v>108.351744</v>
      </c>
      <c r="AB1407">
        <v>894.61</v>
      </c>
      <c r="AC1407">
        <v>15.736126000000001</v>
      </c>
      <c r="AD1407">
        <v>108.35212799999999</v>
      </c>
      <c r="AE1407" s="5">
        <f t="shared" si="106"/>
        <v>7.0350000000000005E-3</v>
      </c>
      <c r="AF1407" s="5">
        <f t="shared" si="107"/>
        <v>1.341915</v>
      </c>
      <c r="AG1407" s="1" t="str">
        <f>TRIM(LEFT(L1407,FIND("-",L1407)-1))</f>
        <v>Thăng Bình</v>
      </c>
      <c r="AH1407" s="1" t="str">
        <f>TRIM(RIGHT(L1407, LEN(L1407) - FIND("-", L1407)))</f>
        <v>Quế Sơn</v>
      </c>
      <c r="AJ1407">
        <f t="shared" si="108"/>
        <v>4.6900000000000006E-3</v>
      </c>
      <c r="AK1407">
        <f t="shared" si="109"/>
        <v>0.89461000000000002</v>
      </c>
      <c r="AL1407">
        <f>VLOOKUP(L1407,'[1]Tuyến cáp H04'!$B:$E,3,0)/1000</f>
        <v>20.538</v>
      </c>
      <c r="AM1407" t="str">
        <f>VLOOKUP(L1407,'[1]Tuyến cáp H04'!$B:$E,4,0)</f>
        <v>Mạng cấp 3</v>
      </c>
    </row>
    <row r="1408" spans="1:39" x14ac:dyDescent="0.25">
      <c r="A1408" s="1" t="s">
        <v>11491</v>
      </c>
      <c r="B1408" s="1" t="s">
        <v>11439</v>
      </c>
      <c r="C1408" s="1" t="s">
        <v>11440</v>
      </c>
      <c r="D1408" s="1" t="s">
        <v>11492</v>
      </c>
      <c r="E1408" s="1" t="s">
        <v>11493</v>
      </c>
      <c r="F1408" s="1" t="s">
        <v>13431</v>
      </c>
      <c r="G1408" s="1" t="s">
        <v>14281</v>
      </c>
      <c r="H1408" s="1" t="s">
        <v>14282</v>
      </c>
      <c r="I1408" s="1" t="s">
        <v>15297</v>
      </c>
      <c r="J1408" s="1" t="s">
        <v>23</v>
      </c>
      <c r="K1408" s="1"/>
      <c r="L1408" s="1" t="s">
        <v>11457</v>
      </c>
      <c r="M1408" s="1" t="s">
        <v>11457</v>
      </c>
      <c r="N1408" s="12" t="b">
        <f t="shared" si="105"/>
        <v>1</v>
      </c>
      <c r="O1408" s="1" t="s">
        <v>11495</v>
      </c>
      <c r="P1408" s="1" t="s">
        <v>11484</v>
      </c>
      <c r="Q1408" s="1" t="s">
        <v>11485</v>
      </c>
      <c r="R1408" s="1" t="s">
        <v>11486</v>
      </c>
      <c r="S1408" s="1" t="s">
        <v>11496</v>
      </c>
      <c r="T1408" s="1" t="s">
        <v>11497</v>
      </c>
      <c r="U1408" s="1" t="s">
        <v>11498</v>
      </c>
      <c r="V1408" s="13">
        <f>COUNTIF(L1408:$M$1659,L1408)</f>
        <v>4</v>
      </c>
      <c r="W1408" s="1" t="s">
        <v>11490</v>
      </c>
      <c r="X1408">
        <v>11307.44</v>
      </c>
      <c r="Y1408">
        <v>2543.98</v>
      </c>
      <c r="Z1408">
        <v>15.646300999999999</v>
      </c>
      <c r="AA1408">
        <v>108.462339</v>
      </c>
      <c r="AB1408">
        <v>8763.4599999999991</v>
      </c>
      <c r="AC1408">
        <v>15.706669</v>
      </c>
      <c r="AD1408">
        <v>108.386088</v>
      </c>
      <c r="AE1408" s="5">
        <f t="shared" si="106"/>
        <v>3.8159700000000001</v>
      </c>
      <c r="AF1408" s="5">
        <f t="shared" si="107"/>
        <v>13.145189999999999</v>
      </c>
      <c r="AG1408" s="1" t="str">
        <f>TRIM(LEFT(L1408,FIND("-",L1408)-1))</f>
        <v>TTCMKV Thăng Bình</v>
      </c>
      <c r="AH1408" s="1" t="str">
        <f>TRIM(RIGHT(L1408, LEN(L1408) - FIND("-", L1408)))</f>
        <v>Thăng
Trường</v>
      </c>
      <c r="AJ1408">
        <f t="shared" si="108"/>
        <v>2.5439799999999999</v>
      </c>
      <c r="AK1408">
        <f t="shared" si="109"/>
        <v>8.7634599999999985</v>
      </c>
      <c r="AL1408">
        <f>VLOOKUP(L1408,'[1]Tuyến cáp H04'!$B:$E,3,0)/1000</f>
        <v>20.260999999999999</v>
      </c>
      <c r="AM1408" t="str">
        <f>VLOOKUP(L1408,'[1]Tuyến cáp H04'!$B:$E,4,0)</f>
        <v>Mạng cấp 4</v>
      </c>
    </row>
    <row r="1409" spans="1:39" x14ac:dyDescent="0.25">
      <c r="A1409" s="1" t="s">
        <v>13432</v>
      </c>
      <c r="B1409" s="1" t="s">
        <v>11439</v>
      </c>
      <c r="C1409" s="1" t="s">
        <v>11440</v>
      </c>
      <c r="D1409" s="1" t="e">
        <v>#N/A</v>
      </c>
      <c r="E1409" s="1" t="e">
        <v>#N/A</v>
      </c>
      <c r="F1409" s="1" t="s">
        <v>13433</v>
      </c>
      <c r="G1409" s="1" t="s">
        <v>14281</v>
      </c>
      <c r="H1409" s="1" t="s">
        <v>14282</v>
      </c>
      <c r="I1409" s="1" t="s">
        <v>15500</v>
      </c>
      <c r="J1409" s="1" t="s">
        <v>5166</v>
      </c>
      <c r="K1409" s="1" t="s">
        <v>11893</v>
      </c>
      <c r="L1409" s="1"/>
      <c r="M1409" s="1"/>
      <c r="N1409" s="12" t="b">
        <f t="shared" si="105"/>
        <v>1</v>
      </c>
      <c r="O1409" s="1"/>
      <c r="P1409" s="1"/>
      <c r="Q1409" s="1"/>
      <c r="R1409" s="1"/>
      <c r="S1409" s="1"/>
      <c r="T1409" s="1"/>
      <c r="U1409" s="1"/>
      <c r="V1409" s="13">
        <f>COUNTIF(L1409:$M$1659,L1409)</f>
        <v>0</v>
      </c>
      <c r="W1409" s="1"/>
      <c r="AE1409" s="5"/>
      <c r="AF1409" s="5"/>
      <c r="AG1409" s="1"/>
      <c r="AH1409" s="1"/>
      <c r="AL1409" t="e">
        <f>VLOOKUP(L1409,'[1]Tuyến cáp H04'!$B:$E,3,0)/1000</f>
        <v>#N/A</v>
      </c>
      <c r="AM1409" t="e">
        <f>VLOOKUP(L1409,'[1]Tuyến cáp H04'!$B:$E,4,0)</f>
        <v>#N/A</v>
      </c>
    </row>
    <row r="1410" spans="1:39" x14ac:dyDescent="0.25">
      <c r="A1410" s="1" t="s">
        <v>13434</v>
      </c>
      <c r="B1410" s="1" t="s">
        <v>11439</v>
      </c>
      <c r="C1410" s="1" t="s">
        <v>11440</v>
      </c>
      <c r="D1410" s="1" t="s">
        <v>13435</v>
      </c>
      <c r="E1410" s="1" t="s">
        <v>13436</v>
      </c>
      <c r="F1410" s="1" t="s">
        <v>13437</v>
      </c>
      <c r="G1410" s="1" t="s">
        <v>14281</v>
      </c>
      <c r="H1410" s="1" t="s">
        <v>14282</v>
      </c>
      <c r="I1410" s="1" t="s">
        <v>15501</v>
      </c>
      <c r="J1410" s="1" t="s">
        <v>23</v>
      </c>
      <c r="K1410" s="1"/>
      <c r="L1410" s="1" t="s">
        <v>11444</v>
      </c>
      <c r="M1410" s="1" t="s">
        <v>11444</v>
      </c>
      <c r="N1410" s="12" t="b">
        <f t="shared" si="105"/>
        <v>1</v>
      </c>
      <c r="O1410" s="1" t="s">
        <v>13438</v>
      </c>
      <c r="P1410" s="1" t="s">
        <v>13439</v>
      </c>
      <c r="Q1410" s="1" t="s">
        <v>13440</v>
      </c>
      <c r="R1410" s="1" t="s">
        <v>13441</v>
      </c>
      <c r="S1410" s="1" t="s">
        <v>13442</v>
      </c>
      <c r="T1410" s="1" t="s">
        <v>13443</v>
      </c>
      <c r="U1410" s="1" t="s">
        <v>13444</v>
      </c>
      <c r="V1410" s="13">
        <f>COUNTIF(L1410:$M$1659,L1410)</f>
        <v>4</v>
      </c>
      <c r="W1410" s="1" t="s">
        <v>13445</v>
      </c>
      <c r="X1410">
        <v>4102.84</v>
      </c>
      <c r="Y1410">
        <v>9</v>
      </c>
      <c r="Z1410">
        <v>15.650879</v>
      </c>
      <c r="AA1410">
        <v>108.485607</v>
      </c>
      <c r="AB1410">
        <v>4093.84</v>
      </c>
      <c r="AC1410">
        <v>15.651888</v>
      </c>
      <c r="AD1410">
        <v>108.48739500000001</v>
      </c>
      <c r="AE1410" s="5">
        <f t="shared" si="106"/>
        <v>1.35E-2</v>
      </c>
      <c r="AF1410" s="5">
        <f t="shared" si="107"/>
        <v>6.1407600000000002</v>
      </c>
      <c r="AG1410" s="1" t="str">
        <f>TRIM(LEFT(L1410,FIND("-",L1410)-1))</f>
        <v>Thăng Trường</v>
      </c>
      <c r="AH1410" s="1" t="str">
        <f>TRIM(RIGHT(L1410, LEN(L1410) - FIND("-", L1410)))</f>
        <v>Quảng Phú</v>
      </c>
      <c r="AJ1410">
        <f t="shared" si="108"/>
        <v>8.9999999999999993E-3</v>
      </c>
      <c r="AK1410">
        <f t="shared" si="109"/>
        <v>4.0938400000000001</v>
      </c>
      <c r="AL1410">
        <f>VLOOKUP(L1410,'[1]Tuyến cáp H04'!$B:$E,3,0)/1000</f>
        <v>9.484</v>
      </c>
      <c r="AM1410" t="str">
        <f>VLOOKUP(L1410,'[1]Tuyến cáp H04'!$B:$E,4,0)</f>
        <v>Mạng cấp 4</v>
      </c>
    </row>
    <row r="1411" spans="1:39" x14ac:dyDescent="0.25">
      <c r="A1411" s="1" t="s">
        <v>13446</v>
      </c>
      <c r="B1411" s="1" t="s">
        <v>11439</v>
      </c>
      <c r="C1411" s="1" t="s">
        <v>11440</v>
      </c>
      <c r="D1411" s="1" t="s">
        <v>13447</v>
      </c>
      <c r="E1411" s="1" t="s">
        <v>13448</v>
      </c>
      <c r="F1411" s="1" t="s">
        <v>13449</v>
      </c>
      <c r="G1411" s="1" t="s">
        <v>14281</v>
      </c>
      <c r="H1411" s="1" t="s">
        <v>14282</v>
      </c>
      <c r="I1411" s="1" t="s">
        <v>15502</v>
      </c>
      <c r="J1411" s="1" t="s">
        <v>23</v>
      </c>
      <c r="K1411" s="1"/>
      <c r="L1411" s="1" t="s">
        <v>11444</v>
      </c>
      <c r="M1411" s="1" t="s">
        <v>11444</v>
      </c>
      <c r="N1411" s="12" t="b">
        <f t="shared" ref="N1411:N1474" si="110">L1411=M1411</f>
        <v>1</v>
      </c>
      <c r="O1411" s="1" t="s">
        <v>13450</v>
      </c>
      <c r="P1411" s="1" t="s">
        <v>13451</v>
      </c>
      <c r="Q1411" s="1" t="s">
        <v>13452</v>
      </c>
      <c r="R1411" s="1" t="s">
        <v>13453</v>
      </c>
      <c r="S1411" s="1" t="s">
        <v>13454</v>
      </c>
      <c r="T1411" s="1" t="s">
        <v>13455</v>
      </c>
      <c r="U1411" s="1" t="s">
        <v>13456</v>
      </c>
      <c r="V1411" s="13">
        <f>COUNTIF(L1411:$M$1659,L1411)</f>
        <v>2</v>
      </c>
      <c r="W1411" s="1" t="s">
        <v>13457</v>
      </c>
      <c r="X1411">
        <v>2608.59</v>
      </c>
      <c r="Y1411">
        <v>1745.63</v>
      </c>
      <c r="Z1411">
        <v>15.658690999999999</v>
      </c>
      <c r="AA1411">
        <v>108.49979</v>
      </c>
      <c r="AB1411">
        <v>862.96</v>
      </c>
      <c r="AC1411">
        <v>15.643542</v>
      </c>
      <c r="AD1411">
        <v>108.51123800000001</v>
      </c>
      <c r="AE1411" s="5">
        <f t="shared" ref="AE1411:AE1474" si="111">Y1411*1.5/1000</f>
        <v>2.6184450000000004</v>
      </c>
      <c r="AF1411" s="5">
        <f t="shared" ref="AF1411:AF1474" si="112">AB1411*1.5/1000</f>
        <v>1.29444</v>
      </c>
      <c r="AG1411" s="1" t="str">
        <f>TRIM(LEFT(L1411,FIND("-",L1411)-1))</f>
        <v>Thăng Trường</v>
      </c>
      <c r="AH1411" s="1" t="str">
        <f>TRIM(RIGHT(L1411, LEN(L1411) - FIND("-", L1411)))</f>
        <v>Quảng Phú</v>
      </c>
      <c r="AJ1411">
        <f t="shared" ref="AJ1411:AJ1474" si="113">Y1411/1000</f>
        <v>1.74563</v>
      </c>
      <c r="AK1411">
        <f t="shared" ref="AK1411:AK1474" si="114">AB1411/1000</f>
        <v>0.86296000000000006</v>
      </c>
      <c r="AL1411">
        <f>VLOOKUP(L1411,'[1]Tuyến cáp H04'!$B:$E,3,0)/1000</f>
        <v>9.484</v>
      </c>
      <c r="AM1411" t="str">
        <f>VLOOKUP(L1411,'[1]Tuyến cáp H04'!$B:$E,4,0)</f>
        <v>Mạng cấp 4</v>
      </c>
    </row>
    <row r="1412" spans="1:39" x14ac:dyDescent="0.25">
      <c r="A1412" s="1" t="s">
        <v>13458</v>
      </c>
      <c r="B1412" s="1" t="s">
        <v>11439</v>
      </c>
      <c r="C1412" s="1" t="s">
        <v>11440</v>
      </c>
      <c r="D1412" s="1" t="e">
        <v>#N/A</v>
      </c>
      <c r="E1412" s="1" t="e">
        <v>#N/A</v>
      </c>
      <c r="F1412" s="1" t="s">
        <v>13459</v>
      </c>
      <c r="G1412" s="1" t="s">
        <v>14281</v>
      </c>
      <c r="H1412" s="1" t="s">
        <v>14282</v>
      </c>
      <c r="I1412" s="1" t="s">
        <v>15503</v>
      </c>
      <c r="J1412" s="1" t="s">
        <v>5166</v>
      </c>
      <c r="K1412" s="1" t="s">
        <v>11893</v>
      </c>
      <c r="L1412" s="1"/>
      <c r="M1412" s="1"/>
      <c r="N1412" s="12" t="b">
        <f t="shared" si="110"/>
        <v>1</v>
      </c>
      <c r="O1412" s="1"/>
      <c r="P1412" s="1"/>
      <c r="Q1412" s="1"/>
      <c r="R1412" s="1"/>
      <c r="S1412" s="1"/>
      <c r="T1412" s="1"/>
      <c r="U1412" s="1"/>
      <c r="V1412" s="13">
        <f>COUNTIF(L1412:$M$1659,L1412)</f>
        <v>0</v>
      </c>
      <c r="W1412" s="1"/>
      <c r="AE1412" s="5"/>
      <c r="AF1412" s="5"/>
      <c r="AG1412" s="1"/>
      <c r="AH1412" s="1"/>
      <c r="AL1412" t="e">
        <f>VLOOKUP(L1412,'[1]Tuyến cáp H04'!$B:$E,3,0)/1000</f>
        <v>#N/A</v>
      </c>
      <c r="AM1412" t="e">
        <f>VLOOKUP(L1412,'[1]Tuyến cáp H04'!$B:$E,4,0)</f>
        <v>#N/A</v>
      </c>
    </row>
    <row r="1413" spans="1:39" x14ac:dyDescent="0.25">
      <c r="A1413" s="1" t="s">
        <v>13460</v>
      </c>
      <c r="B1413" s="1" t="s">
        <v>11439</v>
      </c>
      <c r="C1413" s="1" t="s">
        <v>11440</v>
      </c>
      <c r="D1413" s="1" t="e">
        <v>#N/A</v>
      </c>
      <c r="E1413" s="1" t="e">
        <v>#N/A</v>
      </c>
      <c r="F1413" s="1" t="s">
        <v>13461</v>
      </c>
      <c r="G1413" s="1" t="s">
        <v>14281</v>
      </c>
      <c r="H1413" s="1" t="s">
        <v>14282</v>
      </c>
      <c r="I1413" s="1" t="s">
        <v>15504</v>
      </c>
      <c r="J1413" s="1" t="s">
        <v>5166</v>
      </c>
      <c r="K1413" s="1" t="s">
        <v>11893</v>
      </c>
      <c r="L1413" s="1"/>
      <c r="M1413" s="1"/>
      <c r="N1413" s="12" t="b">
        <f t="shared" si="110"/>
        <v>1</v>
      </c>
      <c r="O1413" s="1"/>
      <c r="P1413" s="1"/>
      <c r="Q1413" s="1"/>
      <c r="R1413" s="1"/>
      <c r="S1413" s="1"/>
      <c r="T1413" s="1"/>
      <c r="U1413" s="1"/>
      <c r="V1413" s="13">
        <f>COUNTIF(L1413:$M$1659,L1413)</f>
        <v>0</v>
      </c>
      <c r="W1413" s="1"/>
      <c r="AE1413" s="5"/>
      <c r="AF1413" s="5"/>
      <c r="AG1413" s="1"/>
      <c r="AH1413" s="1"/>
      <c r="AL1413" t="e">
        <f>VLOOKUP(L1413,'[1]Tuyến cáp H04'!$B:$E,3,0)/1000</f>
        <v>#N/A</v>
      </c>
      <c r="AM1413" t="e">
        <f>VLOOKUP(L1413,'[1]Tuyến cáp H04'!$B:$E,4,0)</f>
        <v>#N/A</v>
      </c>
    </row>
    <row r="1414" spans="1:39" x14ac:dyDescent="0.25">
      <c r="A1414" s="1" t="s">
        <v>13462</v>
      </c>
      <c r="B1414" s="1" t="s">
        <v>11500</v>
      </c>
      <c r="C1414" s="1" t="s">
        <v>11501</v>
      </c>
      <c r="D1414" s="1" t="s">
        <v>13265</v>
      </c>
      <c r="E1414" s="1" t="s">
        <v>13266</v>
      </c>
      <c r="F1414" s="1" t="s">
        <v>13463</v>
      </c>
      <c r="G1414" s="1" t="s">
        <v>14281</v>
      </c>
      <c r="H1414" s="1" t="s">
        <v>14282</v>
      </c>
      <c r="I1414" s="1" t="s">
        <v>15505</v>
      </c>
      <c r="J1414" s="1" t="s">
        <v>23</v>
      </c>
      <c r="K1414" s="1"/>
      <c r="L1414" s="1" t="s">
        <v>11470</v>
      </c>
      <c r="M1414" s="1" t="s">
        <v>11470</v>
      </c>
      <c r="N1414" s="12" t="b">
        <f t="shared" si="110"/>
        <v>1</v>
      </c>
      <c r="O1414" s="1" t="s">
        <v>13464</v>
      </c>
      <c r="P1414" s="1" t="s">
        <v>11506</v>
      </c>
      <c r="Q1414" s="1" t="s">
        <v>11507</v>
      </c>
      <c r="R1414" s="1" t="s">
        <v>11508</v>
      </c>
      <c r="S1414" s="1" t="s">
        <v>13465</v>
      </c>
      <c r="T1414" s="1" t="s">
        <v>11557</v>
      </c>
      <c r="U1414" s="1" t="s">
        <v>11558</v>
      </c>
      <c r="V1414" s="13">
        <f>COUNTIF(L1414:$M$1659,L1414)</f>
        <v>4</v>
      </c>
      <c r="W1414" s="1" t="s">
        <v>11478</v>
      </c>
      <c r="X1414">
        <v>12173.8</v>
      </c>
      <c r="Y1414">
        <v>569.96</v>
      </c>
      <c r="Z1414">
        <v>15.6469</v>
      </c>
      <c r="AA1414">
        <v>108.43017</v>
      </c>
      <c r="AB1414">
        <v>11603.84</v>
      </c>
      <c r="AC1414">
        <v>15.736011</v>
      </c>
      <c r="AD1414">
        <v>108.352346</v>
      </c>
      <c r="AE1414" s="5">
        <f t="shared" si="111"/>
        <v>0.85494000000000003</v>
      </c>
      <c r="AF1414" s="5">
        <f t="shared" si="112"/>
        <v>17.405760000000001</v>
      </c>
      <c r="AG1414" s="1" t="str">
        <f>TRIM(LEFT(L1414,FIND("-",L1414)-1))</f>
        <v>TT2 Tam Kỳ</v>
      </c>
      <c r="AH1414" s="1" t="str">
        <f>TRIM(RIGHT(L1414, LEN(L1414) - FIND("-", L1414)))</f>
        <v>Thăng Bình</v>
      </c>
      <c r="AJ1414">
        <f t="shared" si="113"/>
        <v>0.56996000000000002</v>
      </c>
      <c r="AK1414">
        <f t="shared" si="114"/>
        <v>11.60384</v>
      </c>
      <c r="AL1414">
        <f>VLOOKUP(L1414,'[1]Tuyến cáp H04'!$B:$E,3,0)/1000</f>
        <v>24.648</v>
      </c>
      <c r="AM1414" t="str">
        <f>VLOOKUP(L1414,'[1]Tuyến cáp H04'!$B:$E,4,0)</f>
        <v>Mạng cấp 3</v>
      </c>
    </row>
    <row r="1415" spans="1:39" x14ac:dyDescent="0.25">
      <c r="A1415" s="1" t="s">
        <v>11559</v>
      </c>
      <c r="B1415" s="1" t="s">
        <v>11500</v>
      </c>
      <c r="C1415" s="1" t="s">
        <v>11501</v>
      </c>
      <c r="D1415" s="1" t="s">
        <v>11560</v>
      </c>
      <c r="E1415" s="1" t="s">
        <v>11561</v>
      </c>
      <c r="F1415" s="1" t="s">
        <v>13466</v>
      </c>
      <c r="G1415" s="1" t="s">
        <v>14281</v>
      </c>
      <c r="H1415" s="1" t="s">
        <v>14282</v>
      </c>
      <c r="I1415" s="1" t="s">
        <v>15506</v>
      </c>
      <c r="J1415" s="1" t="s">
        <v>23</v>
      </c>
      <c r="K1415" s="1"/>
      <c r="L1415" s="1" t="s">
        <v>11470</v>
      </c>
      <c r="M1415" s="1" t="s">
        <v>11470</v>
      </c>
      <c r="N1415" s="12" t="b">
        <f t="shared" si="110"/>
        <v>1</v>
      </c>
      <c r="O1415" s="1" t="s">
        <v>11563</v>
      </c>
      <c r="P1415" s="1" t="s">
        <v>11506</v>
      </c>
      <c r="Q1415" s="1" t="s">
        <v>11507</v>
      </c>
      <c r="R1415" s="1" t="s">
        <v>11508</v>
      </c>
      <c r="S1415" s="1" t="s">
        <v>11564</v>
      </c>
      <c r="T1415" s="1" t="s">
        <v>11565</v>
      </c>
      <c r="U1415" s="1" t="s">
        <v>11566</v>
      </c>
      <c r="V1415" s="13">
        <f>COUNTIF(L1415:$M$1659,L1415)</f>
        <v>2</v>
      </c>
      <c r="W1415" s="1" t="s">
        <v>11478</v>
      </c>
      <c r="X1415">
        <v>605.12</v>
      </c>
      <c r="Y1415">
        <v>569.96</v>
      </c>
      <c r="Z1415">
        <v>15.6469</v>
      </c>
      <c r="AA1415">
        <v>108.43017</v>
      </c>
      <c r="AB1415">
        <v>35.17</v>
      </c>
      <c r="AC1415">
        <v>15.579651999999999</v>
      </c>
      <c r="AD1415">
        <v>108.473956</v>
      </c>
      <c r="AE1415" s="5">
        <f t="shared" si="111"/>
        <v>0.85494000000000003</v>
      </c>
      <c r="AF1415" s="5">
        <f t="shared" si="112"/>
        <v>5.2755000000000003E-2</v>
      </c>
      <c r="AG1415" s="1" t="str">
        <f>TRIM(LEFT(L1415,FIND("-",L1415)-1))</f>
        <v>TT2 Tam Kỳ</v>
      </c>
      <c r="AH1415" s="1" t="str">
        <f>TRIM(RIGHT(L1415, LEN(L1415) - FIND("-", L1415)))</f>
        <v>Thăng Bình</v>
      </c>
      <c r="AJ1415">
        <f t="shared" si="113"/>
        <v>0.56996000000000002</v>
      </c>
      <c r="AK1415">
        <f t="shared" si="114"/>
        <v>3.517E-2</v>
      </c>
      <c r="AL1415">
        <f>VLOOKUP(L1415,'[1]Tuyến cáp H04'!$B:$E,3,0)/1000</f>
        <v>24.648</v>
      </c>
      <c r="AM1415" t="str">
        <f>VLOOKUP(L1415,'[1]Tuyến cáp H04'!$B:$E,4,0)</f>
        <v>Mạng cấp 3</v>
      </c>
    </row>
    <row r="1416" spans="1:39" x14ac:dyDescent="0.25">
      <c r="A1416" s="1" t="s">
        <v>11512</v>
      </c>
      <c r="B1416" s="1" t="s">
        <v>11500</v>
      </c>
      <c r="C1416" s="1" t="s">
        <v>11501</v>
      </c>
      <c r="D1416" s="1" t="s">
        <v>11513</v>
      </c>
      <c r="E1416" s="1" t="s">
        <v>11514</v>
      </c>
      <c r="F1416" s="1" t="s">
        <v>13467</v>
      </c>
      <c r="G1416" s="1" t="s">
        <v>14281</v>
      </c>
      <c r="H1416" s="1" t="s">
        <v>14282</v>
      </c>
      <c r="I1416" s="1" t="s">
        <v>15299</v>
      </c>
      <c r="J1416" s="1" t="s">
        <v>23</v>
      </c>
      <c r="K1416" s="1"/>
      <c r="L1416" s="1" t="s">
        <v>11457</v>
      </c>
      <c r="M1416" s="1" t="s">
        <v>11457</v>
      </c>
      <c r="N1416" s="12" t="b">
        <f t="shared" si="110"/>
        <v>1</v>
      </c>
      <c r="O1416" s="1" t="s">
        <v>11516</v>
      </c>
      <c r="P1416" s="1" t="s">
        <v>11517</v>
      </c>
      <c r="Q1416" s="1" t="s">
        <v>11518</v>
      </c>
      <c r="R1416" s="1" t="s">
        <v>11519</v>
      </c>
      <c r="S1416" s="1" t="s">
        <v>11520</v>
      </c>
      <c r="T1416" s="1" t="s">
        <v>11521</v>
      </c>
      <c r="U1416" s="1" t="s">
        <v>11522</v>
      </c>
      <c r="V1416" s="13">
        <f>COUNTIF(L1416:$M$1659,L1416)</f>
        <v>2</v>
      </c>
      <c r="W1416" s="1" t="s">
        <v>11490</v>
      </c>
      <c r="X1416">
        <v>1333.52</v>
      </c>
      <c r="Y1416">
        <v>709.57</v>
      </c>
      <c r="Z1416">
        <v>15.650188</v>
      </c>
      <c r="AA1416">
        <v>108.428378</v>
      </c>
      <c r="AB1416">
        <v>623.95000000000005</v>
      </c>
      <c r="AC1416">
        <v>15.647589</v>
      </c>
      <c r="AD1416">
        <v>108.43842100000001</v>
      </c>
      <c r="AE1416" s="5">
        <f t="shared" si="111"/>
        <v>1.0643549999999999</v>
      </c>
      <c r="AF1416" s="5">
        <f t="shared" si="112"/>
        <v>0.93592500000000012</v>
      </c>
      <c r="AG1416" s="1" t="str">
        <f>TRIM(LEFT(L1416,FIND("-",L1416)-1))</f>
        <v>TTCMKV Thăng Bình</v>
      </c>
      <c r="AH1416" s="1" t="str">
        <f>TRIM(RIGHT(L1416, LEN(L1416) - FIND("-", L1416)))</f>
        <v>Thăng
Trường</v>
      </c>
      <c r="AJ1416">
        <f t="shared" si="113"/>
        <v>0.70957000000000003</v>
      </c>
      <c r="AK1416">
        <f t="shared" si="114"/>
        <v>0.62395</v>
      </c>
      <c r="AL1416">
        <f>VLOOKUP(L1416,'[1]Tuyến cáp H04'!$B:$E,3,0)/1000</f>
        <v>20.260999999999999</v>
      </c>
      <c r="AM1416" t="str">
        <f>VLOOKUP(L1416,'[1]Tuyến cáp H04'!$B:$E,4,0)</f>
        <v>Mạng cấp 4</v>
      </c>
    </row>
    <row r="1417" spans="1:39" x14ac:dyDescent="0.25">
      <c r="A1417" s="1" t="s">
        <v>13468</v>
      </c>
      <c r="B1417" s="1" t="s">
        <v>11652</v>
      </c>
      <c r="C1417" s="1" t="s">
        <v>11653</v>
      </c>
      <c r="D1417" s="1" t="s">
        <v>13469</v>
      </c>
      <c r="E1417" s="1" t="s">
        <v>13470</v>
      </c>
      <c r="F1417" s="1" t="s">
        <v>13471</v>
      </c>
      <c r="G1417" s="1" t="s">
        <v>14281</v>
      </c>
      <c r="H1417" s="1" t="s">
        <v>14282</v>
      </c>
      <c r="I1417" s="1" t="s">
        <v>15507</v>
      </c>
      <c r="J1417" s="1" t="s">
        <v>23</v>
      </c>
      <c r="K1417" s="1"/>
      <c r="L1417" s="1" t="s">
        <v>11657</v>
      </c>
      <c r="M1417" s="1" t="s">
        <v>11657</v>
      </c>
      <c r="N1417" s="12" t="b">
        <f t="shared" si="110"/>
        <v>1</v>
      </c>
      <c r="O1417" s="1" t="s">
        <v>13472</v>
      </c>
      <c r="P1417" s="1" t="s">
        <v>11659</v>
      </c>
      <c r="Q1417" s="1" t="s">
        <v>11660</v>
      </c>
      <c r="R1417" s="1" t="s">
        <v>11661</v>
      </c>
      <c r="S1417" s="1" t="s">
        <v>13473</v>
      </c>
      <c r="T1417" s="1" t="s">
        <v>13474</v>
      </c>
      <c r="U1417" s="1" t="s">
        <v>13475</v>
      </c>
      <c r="V1417" s="13">
        <f>COUNTIF(L1417:$M$1659,L1417)</f>
        <v>6</v>
      </c>
      <c r="W1417" s="1" t="s">
        <v>11663</v>
      </c>
      <c r="X1417">
        <v>201.4</v>
      </c>
      <c r="Y1417">
        <v>37.74</v>
      </c>
      <c r="Z1417">
        <v>16.035793000000002</v>
      </c>
      <c r="AA1417">
        <v>108.212664</v>
      </c>
      <c r="AB1417">
        <v>163.66</v>
      </c>
      <c r="AC1417">
        <v>16.035914999999999</v>
      </c>
      <c r="AD1417">
        <v>108.214187</v>
      </c>
      <c r="AE1417" s="5">
        <f t="shared" si="111"/>
        <v>5.6610000000000001E-2</v>
      </c>
      <c r="AF1417" s="5">
        <f t="shared" si="112"/>
        <v>0.24549000000000001</v>
      </c>
      <c r="AG1417" s="1" t="str">
        <f>TRIM(LEFT(L1417,FIND("-",L1417)-1))</f>
        <v>PC08</v>
      </c>
      <c r="AH1417" s="1" t="str">
        <f>TRIM(RIGHT(L1417, LEN(L1417) - FIND("-", L1417)))</f>
        <v>PC07</v>
      </c>
      <c r="AJ1417">
        <f t="shared" si="113"/>
        <v>3.7740000000000003E-2</v>
      </c>
      <c r="AK1417">
        <f t="shared" si="114"/>
        <v>0.16366</v>
      </c>
      <c r="AL1417" t="e">
        <f>VLOOKUP(L1417,'[1]Tuyến cáp H04'!$B:$E,3,0)/1000</f>
        <v>#N/A</v>
      </c>
      <c r="AM1417" t="e">
        <f>VLOOKUP(L1417,'[1]Tuyến cáp H04'!$B:$E,4,0)</f>
        <v>#N/A</v>
      </c>
    </row>
    <row r="1418" spans="1:39" x14ac:dyDescent="0.25">
      <c r="A1418" s="1" t="s">
        <v>13476</v>
      </c>
      <c r="B1418" s="1" t="s">
        <v>11652</v>
      </c>
      <c r="C1418" s="1" t="s">
        <v>11653</v>
      </c>
      <c r="D1418" s="1" t="s">
        <v>13477</v>
      </c>
      <c r="E1418" s="1" t="s">
        <v>13478</v>
      </c>
      <c r="F1418" s="1" t="s">
        <v>13479</v>
      </c>
      <c r="G1418" s="1" t="s">
        <v>14281</v>
      </c>
      <c r="H1418" s="1" t="s">
        <v>14282</v>
      </c>
      <c r="I1418" s="1" t="s">
        <v>15508</v>
      </c>
      <c r="J1418" s="1" t="s">
        <v>23</v>
      </c>
      <c r="K1418" s="1"/>
      <c r="L1418" s="1" t="s">
        <v>11657</v>
      </c>
      <c r="M1418" s="1" t="s">
        <v>11657</v>
      </c>
      <c r="N1418" s="12" t="b">
        <f t="shared" si="110"/>
        <v>1</v>
      </c>
      <c r="O1418" s="1" t="s">
        <v>13480</v>
      </c>
      <c r="P1418" s="1" t="s">
        <v>11659</v>
      </c>
      <c r="Q1418" s="1" t="s">
        <v>11660</v>
      </c>
      <c r="R1418" s="1" t="s">
        <v>11661</v>
      </c>
      <c r="S1418" s="1" t="s">
        <v>13481</v>
      </c>
      <c r="T1418" s="1" t="s">
        <v>13482</v>
      </c>
      <c r="U1418" s="1" t="s">
        <v>13483</v>
      </c>
      <c r="V1418" s="13">
        <f>COUNTIF(L1418:$M$1659,L1418)</f>
        <v>4</v>
      </c>
      <c r="W1418" s="1" t="s">
        <v>11663</v>
      </c>
      <c r="X1418">
        <v>392.31</v>
      </c>
      <c r="Y1418">
        <v>37.74</v>
      </c>
      <c r="Z1418">
        <v>16.035793000000002</v>
      </c>
      <c r="AA1418">
        <v>108.212664</v>
      </c>
      <c r="AB1418">
        <v>354.57</v>
      </c>
      <c r="AC1418">
        <v>16.033328000000001</v>
      </c>
      <c r="AD1418">
        <v>108.21453099999999</v>
      </c>
      <c r="AE1418" s="5">
        <f t="shared" si="111"/>
        <v>5.6610000000000001E-2</v>
      </c>
      <c r="AF1418" s="5">
        <f t="shared" si="112"/>
        <v>0.53185499999999997</v>
      </c>
      <c r="AG1418" s="1" t="str">
        <f>TRIM(LEFT(L1418,FIND("-",L1418)-1))</f>
        <v>PC08</v>
      </c>
      <c r="AH1418" s="1" t="str">
        <f>TRIM(RIGHT(L1418, LEN(L1418) - FIND("-", L1418)))</f>
        <v>PC07</v>
      </c>
      <c r="AJ1418">
        <f t="shared" si="113"/>
        <v>3.7740000000000003E-2</v>
      </c>
      <c r="AK1418">
        <f t="shared" si="114"/>
        <v>0.35457</v>
      </c>
      <c r="AL1418" t="e">
        <f>VLOOKUP(L1418,'[1]Tuyến cáp H04'!$B:$E,3,0)/1000</f>
        <v>#N/A</v>
      </c>
      <c r="AM1418" t="e">
        <f>VLOOKUP(L1418,'[1]Tuyến cáp H04'!$B:$E,4,0)</f>
        <v>#N/A</v>
      </c>
    </row>
    <row r="1419" spans="1:39" x14ac:dyDescent="0.25">
      <c r="A1419" s="1" t="s">
        <v>13484</v>
      </c>
      <c r="B1419" s="1" t="s">
        <v>11652</v>
      </c>
      <c r="C1419" s="1" t="s">
        <v>11653</v>
      </c>
      <c r="D1419" s="1" t="s">
        <v>11006</v>
      </c>
      <c r="E1419" s="1" t="s">
        <v>11007</v>
      </c>
      <c r="F1419" s="1" t="s">
        <v>13485</v>
      </c>
      <c r="G1419" s="1" t="s">
        <v>14281</v>
      </c>
      <c r="H1419" s="1" t="s">
        <v>14282</v>
      </c>
      <c r="I1419" s="1" t="s">
        <v>15509</v>
      </c>
      <c r="J1419" s="1" t="s">
        <v>23</v>
      </c>
      <c r="K1419" s="1"/>
      <c r="L1419" s="1" t="s">
        <v>13486</v>
      </c>
      <c r="M1419" s="1" t="s">
        <v>13486</v>
      </c>
      <c r="N1419" s="12" t="b">
        <f t="shared" si="110"/>
        <v>1</v>
      </c>
      <c r="O1419" s="1" t="s">
        <v>13487</v>
      </c>
      <c r="P1419" s="1" t="s">
        <v>13488</v>
      </c>
      <c r="Q1419" s="1" t="s">
        <v>13489</v>
      </c>
      <c r="R1419" s="1" t="s">
        <v>13490</v>
      </c>
      <c r="S1419" s="1" t="s">
        <v>13491</v>
      </c>
      <c r="T1419" s="1" t="s">
        <v>13492</v>
      </c>
      <c r="U1419" s="1" t="s">
        <v>13493</v>
      </c>
      <c r="V1419" s="13">
        <f>COUNTIF(L1419:$M$1659,L1419)</f>
        <v>2</v>
      </c>
      <c r="W1419" s="1" t="s">
        <v>13494</v>
      </c>
      <c r="X1419">
        <v>114.96</v>
      </c>
      <c r="Y1419">
        <v>39.99</v>
      </c>
      <c r="Z1419">
        <v>16.035855000000002</v>
      </c>
      <c r="AA1419">
        <v>108.21266799999999</v>
      </c>
      <c r="AB1419">
        <v>74.97</v>
      </c>
      <c r="AC1419">
        <v>16.036909999999999</v>
      </c>
      <c r="AD1419">
        <v>108.209838</v>
      </c>
      <c r="AE1419" s="5">
        <f t="shared" si="111"/>
        <v>5.9984999999999997E-2</v>
      </c>
      <c r="AF1419" s="5">
        <f t="shared" si="112"/>
        <v>0.112455</v>
      </c>
      <c r="AG1419" s="1" t="str">
        <f>TRIM(LEFT(L1419,FIND("-",L1419)-1))</f>
        <v>PC07</v>
      </c>
      <c r="AH1419" s="1" t="str">
        <f>TRIM(RIGHT(L1419, LEN(L1419) - FIND("-", L1419)))</f>
        <v>PX04</v>
      </c>
      <c r="AJ1419">
        <f t="shared" si="113"/>
        <v>3.9990000000000005E-2</v>
      </c>
      <c r="AK1419">
        <f t="shared" si="114"/>
        <v>7.4969999999999995E-2</v>
      </c>
      <c r="AL1419">
        <f>VLOOKUP(L1419,'[1]Tuyến cáp H04'!$B:$E,3,0)/1000</f>
        <v>4.2309999999999999</v>
      </c>
      <c r="AM1419" t="str">
        <f>VLOOKUP(L1419,'[1]Tuyến cáp H04'!$B:$E,4,0)</f>
        <v>Mạng cấp 3</v>
      </c>
    </row>
    <row r="1420" spans="1:39" x14ac:dyDescent="0.25">
      <c r="A1420" s="1" t="s">
        <v>13495</v>
      </c>
      <c r="B1420" s="1" t="s">
        <v>11665</v>
      </c>
      <c r="C1420" s="1" t="s">
        <v>11666</v>
      </c>
      <c r="D1420" s="1" t="s">
        <v>13496</v>
      </c>
      <c r="E1420" s="1" t="s">
        <v>13497</v>
      </c>
      <c r="F1420" s="1" t="s">
        <v>13498</v>
      </c>
      <c r="G1420" s="1" t="s">
        <v>14281</v>
      </c>
      <c r="H1420" s="1" t="s">
        <v>14282</v>
      </c>
      <c r="I1420" s="1" t="s">
        <v>15510</v>
      </c>
      <c r="J1420" s="1" t="s">
        <v>23</v>
      </c>
      <c r="K1420" s="1"/>
      <c r="L1420" s="1" t="s">
        <v>11022</v>
      </c>
      <c r="M1420" s="1" t="s">
        <v>11022</v>
      </c>
      <c r="N1420" s="12" t="b">
        <f t="shared" si="110"/>
        <v>1</v>
      </c>
      <c r="O1420" s="1" t="s">
        <v>13499</v>
      </c>
      <c r="P1420" s="1" t="s">
        <v>11684</v>
      </c>
      <c r="Q1420" s="1" t="s">
        <v>11685</v>
      </c>
      <c r="R1420" s="1" t="s">
        <v>11686</v>
      </c>
      <c r="S1420" s="1" t="s">
        <v>13500</v>
      </c>
      <c r="T1420" s="1" t="s">
        <v>13501</v>
      </c>
      <c r="U1420" s="1" t="s">
        <v>13502</v>
      </c>
      <c r="V1420" s="13">
        <f>COUNTIF(L1420:$M$1659,L1420)</f>
        <v>4</v>
      </c>
      <c r="W1420" s="1" t="s">
        <v>11030</v>
      </c>
      <c r="X1420">
        <v>694.83</v>
      </c>
      <c r="Y1420">
        <v>33.950000000000003</v>
      </c>
      <c r="Z1420">
        <v>16.011571</v>
      </c>
      <c r="AA1420">
        <v>108.197464</v>
      </c>
      <c r="AB1420">
        <v>660.88</v>
      </c>
      <c r="AC1420">
        <v>16.007458</v>
      </c>
      <c r="AD1420">
        <v>108.192159</v>
      </c>
      <c r="AE1420" s="5">
        <f t="shared" si="111"/>
        <v>5.0925000000000005E-2</v>
      </c>
      <c r="AF1420" s="5">
        <f t="shared" si="112"/>
        <v>0.99131999999999998</v>
      </c>
      <c r="AG1420" s="1" t="str">
        <f>TRIM(LEFT(L1420,FIND("-",L1420)-1))</f>
        <v>Hòa Xuân</v>
      </c>
      <c r="AH1420" s="1" t="str">
        <f>TRIM(RIGHT(L1420, LEN(L1420) - FIND("-", L1420)))</f>
        <v>TTKV Cẩm Lệ</v>
      </c>
      <c r="AJ1420">
        <f t="shared" si="113"/>
        <v>3.3950000000000001E-2</v>
      </c>
      <c r="AK1420">
        <f t="shared" si="114"/>
        <v>0.66088000000000002</v>
      </c>
      <c r="AL1420" t="e">
        <f>VLOOKUP(L1420,'[1]Tuyến cáp H04'!$B:$E,3,0)/1000</f>
        <v>#N/A</v>
      </c>
      <c r="AM1420" t="e">
        <f>VLOOKUP(L1420,'[1]Tuyến cáp H04'!$B:$E,4,0)</f>
        <v>#N/A</v>
      </c>
    </row>
    <row r="1421" spans="1:39" x14ac:dyDescent="0.25">
      <c r="A1421" s="1" t="s">
        <v>13503</v>
      </c>
      <c r="B1421" s="1" t="s">
        <v>11665</v>
      </c>
      <c r="C1421" s="1" t="s">
        <v>11666</v>
      </c>
      <c r="D1421" s="1" t="s">
        <v>10991</v>
      </c>
      <c r="E1421" s="1" t="s">
        <v>10992</v>
      </c>
      <c r="F1421" s="1" t="s">
        <v>12735</v>
      </c>
      <c r="G1421" s="1"/>
      <c r="H1421" s="1" t="s">
        <v>14282</v>
      </c>
      <c r="I1421" s="1" t="s">
        <v>15421</v>
      </c>
      <c r="J1421" s="1" t="s">
        <v>23</v>
      </c>
      <c r="K1421" s="1"/>
      <c r="L1421" s="1" t="s">
        <v>11022</v>
      </c>
      <c r="M1421" s="1" t="s">
        <v>11022</v>
      </c>
      <c r="N1421" s="12" t="b">
        <f t="shared" si="110"/>
        <v>1</v>
      </c>
      <c r="O1421" s="1" t="s">
        <v>12736</v>
      </c>
      <c r="P1421" s="1" t="s">
        <v>11684</v>
      </c>
      <c r="Q1421" s="1" t="s">
        <v>11685</v>
      </c>
      <c r="R1421" s="1" t="s">
        <v>11686</v>
      </c>
      <c r="S1421" s="1" t="s">
        <v>11024</v>
      </c>
      <c r="T1421" s="1" t="s">
        <v>11025</v>
      </c>
      <c r="U1421" s="1" t="s">
        <v>11026</v>
      </c>
      <c r="V1421" s="13">
        <f>COUNTIF(L1421:$M$1659,L1421)</f>
        <v>2</v>
      </c>
      <c r="W1421" s="1" t="s">
        <v>11030</v>
      </c>
      <c r="X1421">
        <v>36.11</v>
      </c>
      <c r="Y1421">
        <v>33.950000000000003</v>
      </c>
      <c r="Z1421">
        <v>16.011571</v>
      </c>
      <c r="AA1421">
        <v>108.197464</v>
      </c>
      <c r="AB1421">
        <v>2.15</v>
      </c>
      <c r="AC1421">
        <v>16.016921</v>
      </c>
      <c r="AD1421">
        <v>108.20348</v>
      </c>
      <c r="AE1421" s="5">
        <f t="shared" si="111"/>
        <v>5.0925000000000005E-2</v>
      </c>
      <c r="AF1421" s="5">
        <f t="shared" si="112"/>
        <v>3.2249999999999996E-3</v>
      </c>
      <c r="AG1421" s="1" t="str">
        <f>TRIM(LEFT(L1421,FIND("-",L1421)-1))</f>
        <v>Hòa Xuân</v>
      </c>
      <c r="AH1421" s="1" t="str">
        <f>TRIM(RIGHT(L1421, LEN(L1421) - FIND("-", L1421)))</f>
        <v>TTKV Cẩm Lệ</v>
      </c>
      <c r="AJ1421">
        <f t="shared" si="113"/>
        <v>3.3950000000000001E-2</v>
      </c>
      <c r="AK1421">
        <f t="shared" si="114"/>
        <v>2.15E-3</v>
      </c>
      <c r="AL1421" t="e">
        <f>VLOOKUP(L1421,'[1]Tuyến cáp H04'!$B:$E,3,0)/1000</f>
        <v>#N/A</v>
      </c>
      <c r="AM1421" t="e">
        <f>VLOOKUP(L1421,'[1]Tuyến cáp H04'!$B:$E,4,0)</f>
        <v>#N/A</v>
      </c>
    </row>
    <row r="1422" spans="1:39" x14ac:dyDescent="0.25">
      <c r="A1422" s="1" t="s">
        <v>13504</v>
      </c>
      <c r="B1422" s="1" t="s">
        <v>11665</v>
      </c>
      <c r="C1422" s="1" t="s">
        <v>11666</v>
      </c>
      <c r="D1422" s="1" t="s">
        <v>13505</v>
      </c>
      <c r="E1422" s="1" t="s">
        <v>13506</v>
      </c>
      <c r="F1422" s="1" t="s">
        <v>13507</v>
      </c>
      <c r="G1422" s="1" t="s">
        <v>14281</v>
      </c>
      <c r="H1422" s="1" t="s">
        <v>14282</v>
      </c>
      <c r="I1422" s="1" t="s">
        <v>15511</v>
      </c>
      <c r="J1422" s="1" t="s">
        <v>23</v>
      </c>
      <c r="K1422" s="1"/>
      <c r="L1422" s="1" t="s">
        <v>11670</v>
      </c>
      <c r="M1422" s="1" t="s">
        <v>11670</v>
      </c>
      <c r="N1422" s="12" t="b">
        <f t="shared" si="110"/>
        <v>1</v>
      </c>
      <c r="O1422" s="1" t="s">
        <v>13508</v>
      </c>
      <c r="P1422" s="1" t="s">
        <v>13509</v>
      </c>
      <c r="Q1422" s="1" t="s">
        <v>13510</v>
      </c>
      <c r="R1422" s="1" t="s">
        <v>13511</v>
      </c>
      <c r="S1422" s="1" t="s">
        <v>13512</v>
      </c>
      <c r="T1422" s="1" t="s">
        <v>13513</v>
      </c>
      <c r="U1422" s="1" t="s">
        <v>13514</v>
      </c>
      <c r="V1422" s="13">
        <f>COUNTIF(L1422:$M$1659,L1422)</f>
        <v>2</v>
      </c>
      <c r="W1422" s="1" t="s">
        <v>13515</v>
      </c>
      <c r="X1422">
        <v>672.37</v>
      </c>
      <c r="Y1422">
        <v>36.42</v>
      </c>
      <c r="Z1422">
        <v>16.011545999999999</v>
      </c>
      <c r="AA1422">
        <v>108.197452</v>
      </c>
      <c r="AB1422">
        <v>635.96</v>
      </c>
      <c r="AC1422">
        <v>16.019794000000001</v>
      </c>
      <c r="AD1422">
        <v>108.21015800000001</v>
      </c>
      <c r="AE1422" s="5">
        <f t="shared" si="111"/>
        <v>5.4630000000000005E-2</v>
      </c>
      <c r="AF1422" s="5">
        <f t="shared" si="112"/>
        <v>0.95394000000000001</v>
      </c>
      <c r="AG1422" s="1" t="str">
        <f>TRIM(LEFT(L1422,FIND("-",L1422)-1))</f>
        <v>Ngũ Hành Sơn</v>
      </c>
      <c r="AH1422" s="1" t="str">
        <f>TRIM(RIGHT(L1422, LEN(L1422) - FIND("-", L1422)))</f>
        <v>Cẩm Lệ</v>
      </c>
      <c r="AJ1422">
        <f t="shared" si="113"/>
        <v>3.6420000000000001E-2</v>
      </c>
      <c r="AK1422">
        <f t="shared" si="114"/>
        <v>0.63596000000000008</v>
      </c>
      <c r="AL1422" t="e">
        <f>VLOOKUP(L1422,'[1]Tuyến cáp H04'!$B:$E,3,0)/1000</f>
        <v>#N/A</v>
      </c>
      <c r="AM1422" t="e">
        <f>VLOOKUP(L1422,'[1]Tuyến cáp H04'!$B:$E,4,0)</f>
        <v>#N/A</v>
      </c>
    </row>
    <row r="1423" spans="1:39" x14ac:dyDescent="0.25">
      <c r="A1423" s="1" t="s">
        <v>13516</v>
      </c>
      <c r="B1423" s="1" t="s">
        <v>4738</v>
      </c>
      <c r="C1423" s="1" t="s">
        <v>4739</v>
      </c>
      <c r="D1423" s="1" t="s">
        <v>13517</v>
      </c>
      <c r="E1423" s="1" t="s">
        <v>13518</v>
      </c>
      <c r="F1423" s="1" t="s">
        <v>13519</v>
      </c>
      <c r="G1423" s="1" t="s">
        <v>14281</v>
      </c>
      <c r="H1423" s="1" t="s">
        <v>14282</v>
      </c>
      <c r="I1423" s="1" t="s">
        <v>15512</v>
      </c>
      <c r="J1423" s="1" t="s">
        <v>23</v>
      </c>
      <c r="K1423" s="1"/>
      <c r="L1423" s="1" t="s">
        <v>11657</v>
      </c>
      <c r="M1423" s="1" t="s">
        <v>11657</v>
      </c>
      <c r="N1423" s="12" t="b">
        <f t="shared" si="110"/>
        <v>1</v>
      </c>
      <c r="O1423" s="1" t="s">
        <v>13520</v>
      </c>
      <c r="P1423" s="1" t="s">
        <v>11703</v>
      </c>
      <c r="Q1423" s="1" t="s">
        <v>11704</v>
      </c>
      <c r="R1423" s="1" t="s">
        <v>11705</v>
      </c>
      <c r="S1423" s="1" t="s">
        <v>13521</v>
      </c>
      <c r="T1423" s="1" t="s">
        <v>11722</v>
      </c>
      <c r="U1423" s="1" t="s">
        <v>11723</v>
      </c>
      <c r="V1423" s="13">
        <f>COUNTIF(L1423:$M$1659,L1423)</f>
        <v>2</v>
      </c>
      <c r="W1423" s="1" t="s">
        <v>11709</v>
      </c>
      <c r="X1423">
        <v>688.74</v>
      </c>
      <c r="Y1423">
        <v>18.12</v>
      </c>
      <c r="Z1423">
        <v>16.007725000000001</v>
      </c>
      <c r="AA1423">
        <v>108.217546</v>
      </c>
      <c r="AB1423">
        <v>670.62</v>
      </c>
      <c r="AC1423">
        <v>16.008358000000001</v>
      </c>
      <c r="AD1423">
        <v>108.218391</v>
      </c>
      <c r="AE1423" s="5">
        <f t="shared" si="111"/>
        <v>2.7179999999999999E-2</v>
      </c>
      <c r="AF1423" s="5">
        <f t="shared" si="112"/>
        <v>1.00593</v>
      </c>
      <c r="AG1423" s="1" t="str">
        <f>TRIM(LEFT(L1423,FIND("-",L1423)-1))</f>
        <v>PC08</v>
      </c>
      <c r="AH1423" s="1" t="str">
        <f>TRIM(RIGHT(L1423, LEN(L1423) - FIND("-", L1423)))</f>
        <v>PC07</v>
      </c>
      <c r="AJ1423">
        <f t="shared" si="113"/>
        <v>1.8120000000000001E-2</v>
      </c>
      <c r="AK1423">
        <f t="shared" si="114"/>
        <v>0.67061999999999999</v>
      </c>
      <c r="AL1423" t="e">
        <f>VLOOKUP(L1423,'[1]Tuyến cáp H04'!$B:$E,3,0)/1000</f>
        <v>#N/A</v>
      </c>
      <c r="AM1423" t="e">
        <f>VLOOKUP(L1423,'[1]Tuyến cáp H04'!$B:$E,4,0)</f>
        <v>#N/A</v>
      </c>
    </row>
    <row r="1424" spans="1:39" x14ac:dyDescent="0.25">
      <c r="A1424" s="1" t="s">
        <v>13522</v>
      </c>
      <c r="B1424" s="1" t="s">
        <v>4738</v>
      </c>
      <c r="C1424" s="1" t="s">
        <v>4739</v>
      </c>
      <c r="D1424" s="1" t="s">
        <v>13523</v>
      </c>
      <c r="E1424" s="1" t="s">
        <v>13524</v>
      </c>
      <c r="F1424" s="1" t="s">
        <v>13525</v>
      </c>
      <c r="G1424" s="1" t="s">
        <v>14281</v>
      </c>
      <c r="H1424" s="1" t="s">
        <v>14282</v>
      </c>
      <c r="I1424" s="1" t="s">
        <v>15513</v>
      </c>
      <c r="J1424" s="1" t="s">
        <v>23</v>
      </c>
      <c r="K1424" s="1"/>
      <c r="L1424" s="1" t="s">
        <v>11878</v>
      </c>
      <c r="M1424" s="1" t="s">
        <v>11878</v>
      </c>
      <c r="N1424" s="12" t="b">
        <f t="shared" si="110"/>
        <v>1</v>
      </c>
      <c r="O1424" s="1" t="s">
        <v>13526</v>
      </c>
      <c r="P1424" s="1" t="s">
        <v>13527</v>
      </c>
      <c r="Q1424" s="1" t="s">
        <v>13528</v>
      </c>
      <c r="R1424" s="1" t="s">
        <v>13529</v>
      </c>
      <c r="S1424" s="1" t="s">
        <v>13530</v>
      </c>
      <c r="T1424" s="1" t="s">
        <v>13531</v>
      </c>
      <c r="U1424" s="1" t="s">
        <v>13532</v>
      </c>
      <c r="V1424" s="13">
        <f>COUNTIF(L1424:$M$1659,L1424)</f>
        <v>6</v>
      </c>
      <c r="W1424" s="1" t="s">
        <v>12972</v>
      </c>
      <c r="X1424">
        <v>795.77</v>
      </c>
      <c r="Y1424">
        <v>702.61</v>
      </c>
      <c r="Z1424">
        <v>16.004118999999999</v>
      </c>
      <c r="AA1424">
        <v>108.223106</v>
      </c>
      <c r="AB1424">
        <v>93.15</v>
      </c>
      <c r="AC1424">
        <v>16.002381</v>
      </c>
      <c r="AD1424">
        <v>108.22750499999999</v>
      </c>
      <c r="AE1424" s="5">
        <f t="shared" si="111"/>
        <v>1.0539149999999999</v>
      </c>
      <c r="AF1424" s="5">
        <f t="shared" si="112"/>
        <v>0.13972500000000002</v>
      </c>
      <c r="AG1424" s="1" t="str">
        <f>TRIM(LEFT(L1424,FIND("-",L1424)-1))</f>
        <v>TTKV Ngũ Hành Sơn</v>
      </c>
      <c r="AH1424" s="1" t="str">
        <f>TRIM(RIGHT(L1424, LEN(L1424) - FIND("-", L1424)))</f>
        <v>Hòa Xuân</v>
      </c>
      <c r="AJ1424">
        <f t="shared" si="113"/>
        <v>0.70261000000000007</v>
      </c>
      <c r="AK1424">
        <f t="shared" si="114"/>
        <v>9.3150000000000011E-2</v>
      </c>
      <c r="AL1424" t="e">
        <f>VLOOKUP(L1424,'[1]Tuyến cáp H04'!$B:$E,3,0)/1000</f>
        <v>#N/A</v>
      </c>
      <c r="AM1424" t="e">
        <f>VLOOKUP(L1424,'[1]Tuyến cáp H04'!$B:$E,4,0)</f>
        <v>#N/A</v>
      </c>
    </row>
    <row r="1425" spans="1:39" x14ac:dyDescent="0.25">
      <c r="A1425" s="1" t="s">
        <v>13533</v>
      </c>
      <c r="B1425" s="1" t="s">
        <v>4738</v>
      </c>
      <c r="C1425" s="1" t="s">
        <v>4739</v>
      </c>
      <c r="D1425" s="1" t="s">
        <v>13534</v>
      </c>
      <c r="E1425" s="1" t="s">
        <v>13535</v>
      </c>
      <c r="F1425" s="1" t="s">
        <v>13536</v>
      </c>
      <c r="G1425" s="1" t="s">
        <v>14281</v>
      </c>
      <c r="H1425" s="1" t="s">
        <v>14282</v>
      </c>
      <c r="I1425" s="1" t="s">
        <v>15514</v>
      </c>
      <c r="J1425" s="1" t="s">
        <v>23</v>
      </c>
      <c r="K1425" s="1"/>
      <c r="L1425" s="1" t="s">
        <v>11844</v>
      </c>
      <c r="M1425" s="1" t="s">
        <v>11844</v>
      </c>
      <c r="N1425" s="12" t="b">
        <f t="shared" si="110"/>
        <v>1</v>
      </c>
      <c r="O1425" s="1" t="s">
        <v>13537</v>
      </c>
      <c r="P1425" s="1" t="s">
        <v>13538</v>
      </c>
      <c r="Q1425" s="1" t="s">
        <v>13539</v>
      </c>
      <c r="R1425" s="1" t="s">
        <v>13540</v>
      </c>
      <c r="S1425" s="1" t="s">
        <v>13541</v>
      </c>
      <c r="T1425" s="1" t="s">
        <v>13542</v>
      </c>
      <c r="U1425" s="1" t="s">
        <v>13543</v>
      </c>
      <c r="V1425" s="13">
        <f>COUNTIF(L1425:$M$1659,L1425)</f>
        <v>2</v>
      </c>
      <c r="W1425" s="1" t="s">
        <v>13544</v>
      </c>
      <c r="X1425">
        <v>1109.73</v>
      </c>
      <c r="Y1425">
        <v>706.37</v>
      </c>
      <c r="Z1425">
        <v>16.004256000000002</v>
      </c>
      <c r="AA1425">
        <v>108.22323799999999</v>
      </c>
      <c r="AB1425">
        <v>403.36</v>
      </c>
      <c r="AC1425">
        <v>15.993741</v>
      </c>
      <c r="AD1425">
        <v>108.235771</v>
      </c>
      <c r="AE1425" s="5">
        <f t="shared" si="111"/>
        <v>1.059555</v>
      </c>
      <c r="AF1425" s="5">
        <f t="shared" si="112"/>
        <v>0.60503999999999991</v>
      </c>
      <c r="AG1425" s="1" t="str">
        <f>TRIM(LEFT(L1425,FIND("-",L1425)-1))</f>
        <v>C09</v>
      </c>
      <c r="AH1425" s="1" t="str">
        <f>TRIM(RIGHT(L1425, LEN(L1425) - FIND("-", L1425)))</f>
        <v>A06</v>
      </c>
      <c r="AJ1425">
        <f t="shared" si="113"/>
        <v>0.70637000000000005</v>
      </c>
      <c r="AK1425">
        <f t="shared" si="114"/>
        <v>0.40336</v>
      </c>
      <c r="AL1425" t="e">
        <f>VLOOKUP(L1425,'[1]Tuyến cáp H04'!$B:$E,3,0)/1000</f>
        <v>#N/A</v>
      </c>
      <c r="AM1425" t="e">
        <f>VLOOKUP(L1425,'[1]Tuyến cáp H04'!$B:$E,4,0)</f>
        <v>#N/A</v>
      </c>
    </row>
    <row r="1426" spans="1:39" x14ac:dyDescent="0.25">
      <c r="A1426" s="1" t="s">
        <v>13545</v>
      </c>
      <c r="B1426" s="1" t="s">
        <v>4738</v>
      </c>
      <c r="C1426" s="1" t="s">
        <v>4739</v>
      </c>
      <c r="D1426" s="1" t="s">
        <v>13546</v>
      </c>
      <c r="E1426" s="1" t="s">
        <v>13547</v>
      </c>
      <c r="F1426" s="1" t="s">
        <v>13548</v>
      </c>
      <c r="G1426" s="1" t="s">
        <v>14281</v>
      </c>
      <c r="H1426" s="1" t="s">
        <v>14282</v>
      </c>
      <c r="I1426" s="1" t="s">
        <v>15515</v>
      </c>
      <c r="J1426" s="1" t="s">
        <v>23</v>
      </c>
      <c r="K1426" s="1"/>
      <c r="L1426" s="1" t="s">
        <v>13549</v>
      </c>
      <c r="M1426" s="1" t="s">
        <v>13549</v>
      </c>
      <c r="N1426" s="12" t="b">
        <f t="shared" si="110"/>
        <v>1</v>
      </c>
      <c r="O1426" s="1" t="s">
        <v>13550</v>
      </c>
      <c r="P1426" s="1" t="s">
        <v>13551</v>
      </c>
      <c r="Q1426" s="1" t="s">
        <v>13552</v>
      </c>
      <c r="R1426" s="1" t="s">
        <v>13553</v>
      </c>
      <c r="S1426" s="1" t="s">
        <v>13554</v>
      </c>
      <c r="T1426" s="1" t="s">
        <v>13555</v>
      </c>
      <c r="U1426" s="1" t="s">
        <v>13556</v>
      </c>
      <c r="V1426" s="13">
        <f>COUNTIF(L1426:$M$1659,L1426)</f>
        <v>2</v>
      </c>
      <c r="W1426" s="1" t="s">
        <v>13557</v>
      </c>
      <c r="X1426">
        <v>328.06</v>
      </c>
      <c r="Y1426">
        <v>3.42</v>
      </c>
      <c r="Z1426">
        <v>16.007584000000001</v>
      </c>
      <c r="AA1426">
        <v>108.217628</v>
      </c>
      <c r="AB1426">
        <v>324.64</v>
      </c>
      <c r="AC1426">
        <v>16.004861999999999</v>
      </c>
      <c r="AD1426">
        <v>108.21193700000001</v>
      </c>
      <c r="AE1426" s="5">
        <f t="shared" si="111"/>
        <v>5.13E-3</v>
      </c>
      <c r="AF1426" s="5">
        <f t="shared" si="112"/>
        <v>0.48696</v>
      </c>
      <c r="AG1426" s="1" t="str">
        <f>TRIM(LEFT(L1426,FIND("-",L1426)-1))</f>
        <v>Trạm CSGT Hòa Nhơn</v>
      </c>
      <c r="AH1426" s="1" t="str">
        <f>TRIM(RIGHT(L1426, LEN(L1426) - FIND("-", L1426)))</f>
        <v>PC08</v>
      </c>
      <c r="AJ1426">
        <f t="shared" si="113"/>
        <v>3.4199999999999999E-3</v>
      </c>
      <c r="AK1426">
        <f t="shared" si="114"/>
        <v>0.32463999999999998</v>
      </c>
      <c r="AL1426">
        <f>VLOOKUP(L1426,'[1]Tuyến cáp H04'!$B:$E,3,0)/1000</f>
        <v>10.692</v>
      </c>
      <c r="AM1426" t="str">
        <f>VLOOKUP(L1426,'[1]Tuyến cáp H04'!$B:$E,4,0)</f>
        <v>Mạng cấp 3</v>
      </c>
    </row>
    <row r="1427" spans="1:39" x14ac:dyDescent="0.25">
      <c r="A1427" s="1" t="s">
        <v>13558</v>
      </c>
      <c r="B1427" s="1" t="s">
        <v>4948</v>
      </c>
      <c r="C1427" s="1" t="s">
        <v>4949</v>
      </c>
      <c r="D1427" s="1" t="e">
        <v>#N/A</v>
      </c>
      <c r="E1427" s="1" t="e">
        <v>#N/A</v>
      </c>
      <c r="F1427" s="1" t="s">
        <v>13559</v>
      </c>
      <c r="G1427" s="1" t="s">
        <v>14281</v>
      </c>
      <c r="H1427" s="1" t="s">
        <v>14282</v>
      </c>
      <c r="I1427" s="1" t="s">
        <v>15516</v>
      </c>
      <c r="J1427" s="1" t="s">
        <v>5166</v>
      </c>
      <c r="K1427" s="1" t="s">
        <v>11893</v>
      </c>
      <c r="L1427" s="1"/>
      <c r="M1427" s="1"/>
      <c r="N1427" s="12" t="b">
        <f t="shared" si="110"/>
        <v>1</v>
      </c>
      <c r="O1427" s="1"/>
      <c r="P1427" s="1"/>
      <c r="Q1427" s="1"/>
      <c r="R1427" s="1"/>
      <c r="S1427" s="1"/>
      <c r="T1427" s="1"/>
      <c r="U1427" s="1"/>
      <c r="V1427" s="13">
        <f>COUNTIF(L1427:$M$1659,L1427)</f>
        <v>0</v>
      </c>
      <c r="W1427" s="1"/>
      <c r="AE1427" s="5"/>
      <c r="AF1427" s="5"/>
      <c r="AG1427" s="1"/>
      <c r="AH1427" s="1"/>
      <c r="AL1427" t="e">
        <f>VLOOKUP(L1427,'[1]Tuyến cáp H04'!$B:$E,3,0)/1000</f>
        <v>#N/A</v>
      </c>
      <c r="AM1427" t="e">
        <f>VLOOKUP(L1427,'[1]Tuyến cáp H04'!$B:$E,4,0)</f>
        <v>#N/A</v>
      </c>
    </row>
    <row r="1428" spans="1:39" x14ac:dyDescent="0.25">
      <c r="A1428" s="1" t="s">
        <v>13560</v>
      </c>
      <c r="B1428" s="1" t="s">
        <v>4948</v>
      </c>
      <c r="C1428" s="1" t="s">
        <v>4949</v>
      </c>
      <c r="D1428" s="1" t="e">
        <v>#N/A</v>
      </c>
      <c r="E1428" s="1" t="e">
        <v>#N/A</v>
      </c>
      <c r="F1428" s="1" t="s">
        <v>13561</v>
      </c>
      <c r="G1428" s="1" t="s">
        <v>14281</v>
      </c>
      <c r="H1428" s="1" t="s">
        <v>14282</v>
      </c>
      <c r="I1428" s="1" t="s">
        <v>15517</v>
      </c>
      <c r="J1428" s="1" t="s">
        <v>5166</v>
      </c>
      <c r="K1428" s="1" t="s">
        <v>11893</v>
      </c>
      <c r="L1428" s="1"/>
      <c r="M1428" s="1"/>
      <c r="N1428" s="12" t="b">
        <f t="shared" si="110"/>
        <v>1</v>
      </c>
      <c r="O1428" s="1"/>
      <c r="P1428" s="1"/>
      <c r="Q1428" s="1"/>
      <c r="R1428" s="1"/>
      <c r="S1428" s="1"/>
      <c r="T1428" s="1"/>
      <c r="U1428" s="1"/>
      <c r="V1428" s="13">
        <f>COUNTIF(L1428:$M$1659,L1428)</f>
        <v>0</v>
      </c>
      <c r="W1428" s="1"/>
      <c r="AE1428" s="5"/>
      <c r="AF1428" s="5"/>
      <c r="AG1428" s="1"/>
      <c r="AH1428" s="1"/>
      <c r="AL1428" t="e">
        <f>VLOOKUP(L1428,'[1]Tuyến cáp H04'!$B:$E,3,0)/1000</f>
        <v>#N/A</v>
      </c>
      <c r="AM1428" t="e">
        <f>VLOOKUP(L1428,'[1]Tuyến cáp H04'!$B:$E,4,0)</f>
        <v>#N/A</v>
      </c>
    </row>
    <row r="1429" spans="1:39" x14ac:dyDescent="0.25">
      <c r="A1429" s="1" t="s">
        <v>11756</v>
      </c>
      <c r="B1429" s="1" t="s">
        <v>4948</v>
      </c>
      <c r="C1429" s="1" t="s">
        <v>4949</v>
      </c>
      <c r="D1429" s="1" t="s">
        <v>11757</v>
      </c>
      <c r="E1429" s="1" t="s">
        <v>11758</v>
      </c>
      <c r="F1429" s="1" t="s">
        <v>13562</v>
      </c>
      <c r="G1429" s="1" t="s">
        <v>14281</v>
      </c>
      <c r="H1429" s="1" t="s">
        <v>14282</v>
      </c>
      <c r="I1429" s="1" t="s">
        <v>15324</v>
      </c>
      <c r="J1429" s="1" t="s">
        <v>23</v>
      </c>
      <c r="K1429" s="1"/>
      <c r="L1429" s="1" t="s">
        <v>11760</v>
      </c>
      <c r="M1429" s="1" t="s">
        <v>11760</v>
      </c>
      <c r="N1429" s="12" t="b">
        <f t="shared" si="110"/>
        <v>1</v>
      </c>
      <c r="O1429" s="1" t="s">
        <v>11761</v>
      </c>
      <c r="P1429" s="1" t="s">
        <v>11762</v>
      </c>
      <c r="Q1429" s="1" t="s">
        <v>11763</v>
      </c>
      <c r="R1429" s="1" t="s">
        <v>11764</v>
      </c>
      <c r="S1429" s="1" t="s">
        <v>11765</v>
      </c>
      <c r="T1429" s="1" t="s">
        <v>11766</v>
      </c>
      <c r="U1429" s="1" t="s">
        <v>11767</v>
      </c>
      <c r="V1429" s="13">
        <f>COUNTIF(L1429:$M$1659,L1429)</f>
        <v>8</v>
      </c>
      <c r="W1429" s="1" t="s">
        <v>11768</v>
      </c>
      <c r="X1429">
        <v>273.16000000000003</v>
      </c>
      <c r="Y1429">
        <v>70.849999999999994</v>
      </c>
      <c r="Z1429">
        <v>16.065805999999998</v>
      </c>
      <c r="AA1429">
        <v>108.222388</v>
      </c>
      <c r="AB1429">
        <v>202.32</v>
      </c>
      <c r="AC1429">
        <v>16.062224000000001</v>
      </c>
      <c r="AD1429">
        <v>108.21966</v>
      </c>
      <c r="AE1429" s="5">
        <f t="shared" si="111"/>
        <v>0.10627499999999999</v>
      </c>
      <c r="AF1429" s="5">
        <f t="shared" si="112"/>
        <v>0.30348000000000003</v>
      </c>
      <c r="AG1429" s="1" t="str">
        <f>TRIM(LEFT(L1429,FIND("-",L1429)-1))</f>
        <v>Hải Châu</v>
      </c>
      <c r="AH1429" s="1" t="str">
        <f>TRIM(RIGHT(L1429, LEN(L1429) - FIND("-", L1429)))</f>
        <v>Hòa Cường</v>
      </c>
      <c r="AJ1429">
        <f t="shared" si="113"/>
        <v>7.0849999999999996E-2</v>
      </c>
      <c r="AK1429">
        <f t="shared" si="114"/>
        <v>0.20232</v>
      </c>
      <c r="AL1429" t="e">
        <f>VLOOKUP(L1429,'[1]Tuyến cáp H04'!$B:$E,3,0)/1000</f>
        <v>#N/A</v>
      </c>
      <c r="AM1429" t="e">
        <f>VLOOKUP(L1429,'[1]Tuyến cáp H04'!$B:$E,4,0)</f>
        <v>#N/A</v>
      </c>
    </row>
    <row r="1430" spans="1:39" x14ac:dyDescent="0.25">
      <c r="A1430" s="1" t="s">
        <v>11769</v>
      </c>
      <c r="B1430" s="1" t="s">
        <v>4948</v>
      </c>
      <c r="C1430" s="1" t="s">
        <v>4949</v>
      </c>
      <c r="D1430" s="1" t="s">
        <v>11770</v>
      </c>
      <c r="E1430" s="1" t="s">
        <v>11771</v>
      </c>
      <c r="F1430" s="1" t="s">
        <v>13563</v>
      </c>
      <c r="G1430" s="1" t="s">
        <v>14281</v>
      </c>
      <c r="H1430" s="1" t="s">
        <v>14282</v>
      </c>
      <c r="I1430" s="1" t="s">
        <v>15518</v>
      </c>
      <c r="J1430" s="1" t="s">
        <v>23</v>
      </c>
      <c r="K1430" s="1"/>
      <c r="L1430" s="1" t="s">
        <v>11760</v>
      </c>
      <c r="M1430" s="1" t="s">
        <v>11760</v>
      </c>
      <c r="N1430" s="12" t="b">
        <f t="shared" si="110"/>
        <v>1</v>
      </c>
      <c r="O1430" s="1" t="s">
        <v>11773</v>
      </c>
      <c r="P1430" s="1" t="s">
        <v>11762</v>
      </c>
      <c r="Q1430" s="1" t="s">
        <v>11763</v>
      </c>
      <c r="R1430" s="1" t="s">
        <v>11764</v>
      </c>
      <c r="S1430" s="1" t="s">
        <v>11774</v>
      </c>
      <c r="T1430" s="1" t="s">
        <v>11775</v>
      </c>
      <c r="U1430" s="1" t="s">
        <v>11776</v>
      </c>
      <c r="V1430" s="13">
        <f>COUNTIF(L1430:$M$1659,L1430)</f>
        <v>6</v>
      </c>
      <c r="W1430" s="1" t="s">
        <v>11768</v>
      </c>
      <c r="X1430">
        <v>90.31</v>
      </c>
      <c r="Y1430">
        <v>70.849999999999994</v>
      </c>
      <c r="Z1430">
        <v>16.065805999999998</v>
      </c>
      <c r="AA1430">
        <v>108.222388</v>
      </c>
      <c r="AB1430">
        <v>19.47</v>
      </c>
      <c r="AC1430">
        <v>16.071145999999999</v>
      </c>
      <c r="AD1430">
        <v>108.22106100000001</v>
      </c>
      <c r="AE1430" s="5">
        <f t="shared" si="111"/>
        <v>0.10627499999999999</v>
      </c>
      <c r="AF1430" s="5">
        <f t="shared" si="112"/>
        <v>2.9204999999999998E-2</v>
      </c>
      <c r="AG1430" s="1" t="str">
        <f>TRIM(LEFT(L1430,FIND("-",L1430)-1))</f>
        <v>Hải Châu</v>
      </c>
      <c r="AH1430" s="1" t="str">
        <f>TRIM(RIGHT(L1430, LEN(L1430) - FIND("-", L1430)))</f>
        <v>Hòa Cường</v>
      </c>
      <c r="AJ1430">
        <f t="shared" si="113"/>
        <v>7.0849999999999996E-2</v>
      </c>
      <c r="AK1430">
        <f t="shared" si="114"/>
        <v>1.9469999999999998E-2</v>
      </c>
      <c r="AL1430" t="e">
        <f>VLOOKUP(L1430,'[1]Tuyến cáp H04'!$B:$E,3,0)/1000</f>
        <v>#N/A</v>
      </c>
      <c r="AM1430" t="e">
        <f>VLOOKUP(L1430,'[1]Tuyến cáp H04'!$B:$E,4,0)</f>
        <v>#N/A</v>
      </c>
    </row>
    <row r="1431" spans="1:39" x14ac:dyDescent="0.25">
      <c r="A1431" s="1" t="s">
        <v>13564</v>
      </c>
      <c r="B1431" s="1" t="s">
        <v>4948</v>
      </c>
      <c r="C1431" s="1" t="s">
        <v>4949</v>
      </c>
      <c r="D1431" s="1" t="s">
        <v>13565</v>
      </c>
      <c r="E1431" s="1" t="s">
        <v>13566</v>
      </c>
      <c r="F1431" s="1" t="s">
        <v>13567</v>
      </c>
      <c r="G1431" s="1" t="s">
        <v>14281</v>
      </c>
      <c r="H1431" s="1" t="s">
        <v>14282</v>
      </c>
      <c r="I1431" s="1" t="s">
        <v>15519</v>
      </c>
      <c r="J1431" s="1" t="s">
        <v>23</v>
      </c>
      <c r="K1431" s="1"/>
      <c r="L1431" s="1" t="s">
        <v>11734</v>
      </c>
      <c r="M1431" s="1" t="s">
        <v>11734</v>
      </c>
      <c r="N1431" s="12" t="b">
        <f t="shared" si="110"/>
        <v>1</v>
      </c>
      <c r="O1431" s="1" t="s">
        <v>13568</v>
      </c>
      <c r="P1431" s="1" t="s">
        <v>3684</v>
      </c>
      <c r="Q1431" s="1" t="s">
        <v>11736</v>
      </c>
      <c r="R1431" s="1" t="s">
        <v>11737</v>
      </c>
      <c r="S1431" s="1" t="s">
        <v>13569</v>
      </c>
      <c r="T1431" s="1" t="s">
        <v>11748</v>
      </c>
      <c r="U1431" s="1" t="s">
        <v>11749</v>
      </c>
      <c r="V1431" s="13">
        <f>COUNTIF(L1431:$M$1659,L1431)</f>
        <v>2</v>
      </c>
      <c r="W1431" s="1" t="s">
        <v>11741</v>
      </c>
      <c r="X1431">
        <v>90.06</v>
      </c>
      <c r="Y1431">
        <v>16.7</v>
      </c>
      <c r="Z1431">
        <v>16.066120000000002</v>
      </c>
      <c r="AA1431">
        <v>108.221645</v>
      </c>
      <c r="AB1431">
        <v>73.36</v>
      </c>
      <c r="AC1431">
        <v>16.066134000000002</v>
      </c>
      <c r="AD1431">
        <v>108.223629</v>
      </c>
      <c r="AE1431" s="5">
        <f t="shared" si="111"/>
        <v>2.5049999999999996E-2</v>
      </c>
      <c r="AF1431" s="5">
        <f t="shared" si="112"/>
        <v>0.11004</v>
      </c>
      <c r="AG1431" s="1" t="str">
        <f>TRIM(LEFT(L1431,FIND("-",L1431)-1))</f>
        <v>PA07</v>
      </c>
      <c r="AH1431" s="1" t="str">
        <f>TRIM(RIGHT(L1431, LEN(L1431) - FIND("-", L1431)))</f>
        <v>PA06</v>
      </c>
      <c r="AJ1431">
        <f t="shared" si="113"/>
        <v>1.67E-2</v>
      </c>
      <c r="AK1431">
        <f t="shared" si="114"/>
        <v>7.3359999999999995E-2</v>
      </c>
      <c r="AL1431">
        <f>VLOOKUP(L1431,'[1]Tuyến cáp H04'!$B:$E,3,0)/1000</f>
        <v>1.2589999999999999</v>
      </c>
      <c r="AM1431" t="str">
        <f>VLOOKUP(L1431,'[1]Tuyến cáp H04'!$B:$E,4,0)</f>
        <v>Mạng cấp 3</v>
      </c>
    </row>
    <row r="1432" spans="1:39" x14ac:dyDescent="0.25">
      <c r="A1432" s="1" t="s">
        <v>13570</v>
      </c>
      <c r="B1432" s="1" t="s">
        <v>11778</v>
      </c>
      <c r="C1432" s="1" t="s">
        <v>11779</v>
      </c>
      <c r="D1432" s="1" t="s">
        <v>13571</v>
      </c>
      <c r="E1432" s="1" t="s">
        <v>13572</v>
      </c>
      <c r="F1432" s="1" t="s">
        <v>13573</v>
      </c>
      <c r="G1432" s="1" t="s">
        <v>14281</v>
      </c>
      <c r="H1432" s="1" t="s">
        <v>14282</v>
      </c>
      <c r="I1432" s="1" t="s">
        <v>15520</v>
      </c>
      <c r="J1432" s="1" t="s">
        <v>23</v>
      </c>
      <c r="K1432" s="1"/>
      <c r="L1432" s="1" t="s">
        <v>11071</v>
      </c>
      <c r="M1432" s="1" t="s">
        <v>11071</v>
      </c>
      <c r="N1432" s="12" t="b">
        <f t="shared" si="110"/>
        <v>1</v>
      </c>
      <c r="O1432" s="1" t="s">
        <v>13574</v>
      </c>
      <c r="P1432" s="1" t="s">
        <v>13575</v>
      </c>
      <c r="Q1432" s="1" t="s">
        <v>13576</v>
      </c>
      <c r="R1432" s="1" t="s">
        <v>13577</v>
      </c>
      <c r="S1432" s="1" t="s">
        <v>13578</v>
      </c>
      <c r="T1432" s="1" t="s">
        <v>13576</v>
      </c>
      <c r="U1432" s="1" t="s">
        <v>13577</v>
      </c>
      <c r="V1432" s="13">
        <f>COUNTIF(L1432:$M$1659,L1432)</f>
        <v>2</v>
      </c>
      <c r="W1432" s="1" t="s">
        <v>13579</v>
      </c>
      <c r="X1432">
        <v>245.68</v>
      </c>
      <c r="Y1432">
        <v>2.8</v>
      </c>
      <c r="Z1432">
        <v>16.078945000000001</v>
      </c>
      <c r="AA1432">
        <v>108.222221</v>
      </c>
      <c r="AB1432">
        <v>242.88</v>
      </c>
      <c r="AC1432">
        <v>16.078945000000001</v>
      </c>
      <c r="AD1432">
        <v>108.222221</v>
      </c>
      <c r="AE1432" s="5">
        <f t="shared" si="111"/>
        <v>4.1999999999999989E-3</v>
      </c>
      <c r="AF1432" s="5">
        <f t="shared" si="112"/>
        <v>0.36431999999999998</v>
      </c>
      <c r="AG1432" s="1" t="str">
        <f>TRIM(LEFT(L1432,FIND("-",L1432)-1))</f>
        <v>TT1 Đà Nẵng</v>
      </c>
      <c r="AH1432" s="1" t="str">
        <f>TRIM(RIGHT(L1432, LEN(L1432) - FIND("-", L1432)))</f>
        <v>Hải Châu</v>
      </c>
      <c r="AJ1432">
        <f t="shared" si="113"/>
        <v>2.8E-3</v>
      </c>
      <c r="AK1432">
        <f t="shared" si="114"/>
        <v>0.24287999999999998</v>
      </c>
      <c r="AL1432" t="e">
        <f>VLOOKUP(L1432,'[1]Tuyến cáp H04'!$B:$E,3,0)/1000</f>
        <v>#N/A</v>
      </c>
      <c r="AM1432" t="e">
        <f>VLOOKUP(L1432,'[1]Tuyến cáp H04'!$B:$E,4,0)</f>
        <v>#N/A</v>
      </c>
    </row>
    <row r="1433" spans="1:39" x14ac:dyDescent="0.25">
      <c r="A1433" s="1" t="s">
        <v>13580</v>
      </c>
      <c r="B1433" s="1" t="s">
        <v>11778</v>
      </c>
      <c r="C1433" s="1" t="s">
        <v>11779</v>
      </c>
      <c r="D1433" s="1" t="s">
        <v>12800</v>
      </c>
      <c r="E1433" s="1" t="s">
        <v>12801</v>
      </c>
      <c r="F1433" s="1" t="s">
        <v>13581</v>
      </c>
      <c r="G1433" s="1" t="s">
        <v>14281</v>
      </c>
      <c r="H1433" s="1" t="s">
        <v>14282</v>
      </c>
      <c r="I1433" s="1" t="s">
        <v>15521</v>
      </c>
      <c r="J1433" s="1" t="s">
        <v>23</v>
      </c>
      <c r="K1433" s="1"/>
      <c r="L1433" s="1" t="s">
        <v>11146</v>
      </c>
      <c r="M1433" s="1" t="s">
        <v>11146</v>
      </c>
      <c r="N1433" s="12" t="b">
        <f t="shared" si="110"/>
        <v>1</v>
      </c>
      <c r="O1433" s="1" t="s">
        <v>13582</v>
      </c>
      <c r="P1433" s="1" t="s">
        <v>13583</v>
      </c>
      <c r="Q1433" s="1" t="s">
        <v>12805</v>
      </c>
      <c r="R1433" s="1" t="s">
        <v>12806</v>
      </c>
      <c r="S1433" s="1" t="s">
        <v>12807</v>
      </c>
      <c r="T1433" s="1" t="s">
        <v>12808</v>
      </c>
      <c r="U1433" s="1" t="s">
        <v>12809</v>
      </c>
      <c r="V1433" s="13">
        <f>COUNTIF(L1433:$M$1659,L1433)</f>
        <v>4</v>
      </c>
      <c r="W1433" s="1" t="s">
        <v>12168</v>
      </c>
      <c r="X1433">
        <v>639.96</v>
      </c>
      <c r="Y1433">
        <v>330.46</v>
      </c>
      <c r="Z1433">
        <v>16.077608999999999</v>
      </c>
      <c r="AA1433">
        <v>108.21944499999999</v>
      </c>
      <c r="AB1433">
        <v>309.5</v>
      </c>
      <c r="AC1433">
        <v>16.079284000000001</v>
      </c>
      <c r="AD1433">
        <v>108.212947</v>
      </c>
      <c r="AE1433" s="5">
        <f t="shared" si="111"/>
        <v>0.49568999999999996</v>
      </c>
      <c r="AF1433" s="5">
        <f t="shared" si="112"/>
        <v>0.46425</v>
      </c>
      <c r="AG1433" s="1" t="str">
        <f>TRIM(LEFT(L1433,FIND("-",L1433)-1))</f>
        <v>TT1 Đà Nẵng</v>
      </c>
      <c r="AH1433" s="1" t="str">
        <f>TRIM(RIGHT(L1433, LEN(L1433) - FIND("-", L1433)))</f>
        <v>Liên Chiểu</v>
      </c>
      <c r="AJ1433">
        <f t="shared" si="113"/>
        <v>0.33045999999999998</v>
      </c>
      <c r="AK1433">
        <f t="shared" si="114"/>
        <v>0.3095</v>
      </c>
      <c r="AL1433">
        <f>VLOOKUP(L1433,'[1]Tuyến cáp H04'!$B:$E,3,0)/1000</f>
        <v>9.8698999999999995</v>
      </c>
      <c r="AM1433" t="str">
        <f>VLOOKUP(L1433,'[1]Tuyến cáp H04'!$B:$E,4,0)</f>
        <v>Mạng cấp 3</v>
      </c>
    </row>
    <row r="1434" spans="1:39" x14ac:dyDescent="0.25">
      <c r="A1434" s="1" t="s">
        <v>13584</v>
      </c>
      <c r="B1434" s="1" t="s">
        <v>11778</v>
      </c>
      <c r="C1434" s="1" t="s">
        <v>11779</v>
      </c>
      <c r="D1434" s="1" t="s">
        <v>12746</v>
      </c>
      <c r="E1434" s="1" t="s">
        <v>12747</v>
      </c>
      <c r="F1434" s="1" t="s">
        <v>13585</v>
      </c>
      <c r="G1434" s="1" t="s">
        <v>14281</v>
      </c>
      <c r="H1434" s="1" t="s">
        <v>14282</v>
      </c>
      <c r="I1434" s="1" t="s">
        <v>15522</v>
      </c>
      <c r="J1434" s="1" t="s">
        <v>23</v>
      </c>
      <c r="K1434" s="1"/>
      <c r="L1434" s="1" t="s">
        <v>11098</v>
      </c>
      <c r="M1434" s="1" t="s">
        <v>11098</v>
      </c>
      <c r="N1434" s="12" t="b">
        <f t="shared" si="110"/>
        <v>1</v>
      </c>
      <c r="O1434" s="1" t="s">
        <v>13586</v>
      </c>
      <c r="P1434" s="1" t="s">
        <v>13587</v>
      </c>
      <c r="Q1434" s="1" t="s">
        <v>13588</v>
      </c>
      <c r="R1434" s="1" t="s">
        <v>13589</v>
      </c>
      <c r="S1434" s="1" t="s">
        <v>12753</v>
      </c>
      <c r="T1434" s="1" t="s">
        <v>12754</v>
      </c>
      <c r="U1434" s="1" t="s">
        <v>12755</v>
      </c>
      <c r="V1434" s="13">
        <f>COUNTIF(L1434:$M$1659,L1434)</f>
        <v>2</v>
      </c>
      <c r="W1434" s="1" t="s">
        <v>12756</v>
      </c>
      <c r="X1434">
        <v>747.73</v>
      </c>
      <c r="Y1434">
        <v>331.23</v>
      </c>
      <c r="Z1434">
        <v>16.077589</v>
      </c>
      <c r="AA1434">
        <v>108.219448</v>
      </c>
      <c r="AB1434">
        <v>416.5</v>
      </c>
      <c r="AC1434">
        <v>16.061254000000002</v>
      </c>
      <c r="AD1434">
        <v>108.21955699999999</v>
      </c>
      <c r="AE1434" s="5">
        <f t="shared" si="111"/>
        <v>0.49684500000000004</v>
      </c>
      <c r="AF1434" s="5">
        <f t="shared" si="112"/>
        <v>0.62475000000000003</v>
      </c>
      <c r="AG1434" s="1" t="str">
        <f>TRIM(LEFT(L1434,FIND("-",L1434)-1))</f>
        <v>Hòa Vang</v>
      </c>
      <c r="AH1434" s="1" t="str">
        <f>TRIM(RIGHT(L1434, LEN(L1434) - FIND("-", L1434)))</f>
        <v>TT1 Đà Nẵng</v>
      </c>
      <c r="AJ1434">
        <f t="shared" si="113"/>
        <v>0.33123000000000002</v>
      </c>
      <c r="AK1434">
        <f t="shared" si="114"/>
        <v>0.41649999999999998</v>
      </c>
      <c r="AL1434">
        <f>VLOOKUP(L1434,'[1]Tuyến cáp H04'!$B:$E,3,0)/1000</f>
        <v>17.654</v>
      </c>
      <c r="AM1434" t="str">
        <f>VLOOKUP(L1434,'[1]Tuyến cáp H04'!$B:$E,4,0)</f>
        <v>Mạng cấp 3</v>
      </c>
    </row>
    <row r="1435" spans="1:39" x14ac:dyDescent="0.25">
      <c r="A1435" s="1" t="s">
        <v>13590</v>
      </c>
      <c r="B1435" s="1" t="s">
        <v>11778</v>
      </c>
      <c r="C1435" s="1" t="s">
        <v>11779</v>
      </c>
      <c r="D1435" s="1" t="s">
        <v>13591</v>
      </c>
      <c r="E1435" s="1" t="s">
        <v>13592</v>
      </c>
      <c r="F1435" s="1" t="s">
        <v>13593</v>
      </c>
      <c r="G1435" s="1" t="s">
        <v>14281</v>
      </c>
      <c r="H1435" s="1" t="s">
        <v>14282</v>
      </c>
      <c r="I1435" s="1" t="s">
        <v>15523</v>
      </c>
      <c r="J1435" s="1" t="s">
        <v>23</v>
      </c>
      <c r="K1435" s="1"/>
      <c r="L1435" s="1" t="s">
        <v>13594</v>
      </c>
      <c r="M1435" s="1" t="s">
        <v>13594</v>
      </c>
      <c r="N1435" s="12" t="b">
        <f t="shared" si="110"/>
        <v>1</v>
      </c>
      <c r="O1435" s="1" t="s">
        <v>13595</v>
      </c>
      <c r="P1435" s="1" t="s">
        <v>13596</v>
      </c>
      <c r="Q1435" s="1" t="s">
        <v>13597</v>
      </c>
      <c r="R1435" s="1" t="s">
        <v>13598</v>
      </c>
      <c r="S1435" s="1" t="s">
        <v>13599</v>
      </c>
      <c r="T1435" s="1" t="s">
        <v>13600</v>
      </c>
      <c r="U1435" s="1" t="s">
        <v>13601</v>
      </c>
      <c r="V1435" s="13">
        <f>COUNTIF(L1435:$M$1659,L1435)</f>
        <v>2</v>
      </c>
      <c r="W1435" s="1" t="s">
        <v>13602</v>
      </c>
      <c r="X1435">
        <v>343.98</v>
      </c>
      <c r="Y1435">
        <v>267.55</v>
      </c>
      <c r="Z1435">
        <v>16.081336</v>
      </c>
      <c r="AA1435">
        <v>108.221802</v>
      </c>
      <c r="AB1435">
        <v>76.430000000000007</v>
      </c>
      <c r="AC1435">
        <v>16.081187</v>
      </c>
      <c r="AD1435">
        <v>108.219967</v>
      </c>
      <c r="AE1435" s="5">
        <f t="shared" si="111"/>
        <v>0.40132500000000004</v>
      </c>
      <c r="AF1435" s="5">
        <f t="shared" si="112"/>
        <v>0.11464500000000001</v>
      </c>
      <c r="AG1435" s="1" t="str">
        <f>TRIM(LEFT(L1435,FIND("-",L1435)-1))</f>
        <v>TTV 2</v>
      </c>
      <c r="AH1435" s="1" t="str">
        <f>TRIM(RIGHT(L1435, LEN(L1435) - FIND("-", L1435)))</f>
        <v>K01 (CS2) - ok</v>
      </c>
      <c r="AJ1435">
        <f t="shared" si="113"/>
        <v>0.26755000000000001</v>
      </c>
      <c r="AK1435">
        <f t="shared" si="114"/>
        <v>7.6430000000000012E-2</v>
      </c>
      <c r="AL1435" t="e">
        <f>VLOOKUP(L1435,'[1]Tuyến cáp H04'!$B:$E,3,0)/1000</f>
        <v>#N/A</v>
      </c>
      <c r="AM1435" t="e">
        <f>VLOOKUP(L1435,'[1]Tuyến cáp H04'!$B:$E,4,0)</f>
        <v>#N/A</v>
      </c>
    </row>
    <row r="1436" spans="1:39" x14ac:dyDescent="0.25">
      <c r="A1436" s="1" t="s">
        <v>13603</v>
      </c>
      <c r="B1436" s="1" t="s">
        <v>11791</v>
      </c>
      <c r="C1436" s="1" t="s">
        <v>11792</v>
      </c>
      <c r="D1436" s="1" t="s">
        <v>13604</v>
      </c>
      <c r="E1436" s="1" t="s">
        <v>13605</v>
      </c>
      <c r="F1436" s="1" t="s">
        <v>13606</v>
      </c>
      <c r="G1436" s="1" t="s">
        <v>14281</v>
      </c>
      <c r="H1436" s="1" t="s">
        <v>14282</v>
      </c>
      <c r="I1436" s="1" t="s">
        <v>15524</v>
      </c>
      <c r="J1436" s="1" t="s">
        <v>23</v>
      </c>
      <c r="K1436" s="1"/>
      <c r="L1436" s="1" t="s">
        <v>11760</v>
      </c>
      <c r="M1436" s="1" t="s">
        <v>11760</v>
      </c>
      <c r="N1436" s="12" t="b">
        <f t="shared" si="110"/>
        <v>1</v>
      </c>
      <c r="O1436" s="1" t="s">
        <v>13607</v>
      </c>
      <c r="P1436" s="1" t="s">
        <v>11810</v>
      </c>
      <c r="Q1436" s="1" t="s">
        <v>11811</v>
      </c>
      <c r="R1436" s="1" t="s">
        <v>11812</v>
      </c>
      <c r="S1436" s="1" t="s">
        <v>13608</v>
      </c>
      <c r="T1436" s="1" t="s">
        <v>13609</v>
      </c>
      <c r="U1436" s="1" t="s">
        <v>13610</v>
      </c>
      <c r="V1436" s="13">
        <f>COUNTIF(L1436:$M$1659,L1436)</f>
        <v>4</v>
      </c>
      <c r="W1436" s="1" t="s">
        <v>11768</v>
      </c>
      <c r="X1436">
        <v>494.42</v>
      </c>
      <c r="Y1436">
        <v>7.13</v>
      </c>
      <c r="Z1436">
        <v>16.037737</v>
      </c>
      <c r="AA1436">
        <v>108.215386</v>
      </c>
      <c r="AB1436">
        <v>487.29</v>
      </c>
      <c r="AC1436">
        <v>16.039113</v>
      </c>
      <c r="AD1436">
        <v>108.215276</v>
      </c>
      <c r="AE1436" s="5">
        <f t="shared" si="111"/>
        <v>1.0695E-2</v>
      </c>
      <c r="AF1436" s="5">
        <f t="shared" si="112"/>
        <v>0.73093500000000011</v>
      </c>
      <c r="AG1436" s="1" t="str">
        <f>TRIM(LEFT(L1436,FIND("-",L1436)-1))</f>
        <v>Hải Châu</v>
      </c>
      <c r="AH1436" s="1" t="str">
        <f>TRIM(RIGHT(L1436, LEN(L1436) - FIND("-", L1436)))</f>
        <v>Hòa Cường</v>
      </c>
      <c r="AJ1436">
        <f t="shared" si="113"/>
        <v>7.1300000000000001E-3</v>
      </c>
      <c r="AK1436">
        <f t="shared" si="114"/>
        <v>0.48729</v>
      </c>
      <c r="AL1436" t="e">
        <f>VLOOKUP(L1436,'[1]Tuyến cáp H04'!$B:$E,3,0)/1000</f>
        <v>#N/A</v>
      </c>
      <c r="AM1436" t="e">
        <f>VLOOKUP(L1436,'[1]Tuyến cáp H04'!$B:$E,4,0)</f>
        <v>#N/A</v>
      </c>
    </row>
    <row r="1437" spans="1:39" x14ac:dyDescent="0.25">
      <c r="A1437" s="1" t="s">
        <v>13611</v>
      </c>
      <c r="B1437" s="1" t="s">
        <v>11791</v>
      </c>
      <c r="C1437" s="1" t="s">
        <v>11792</v>
      </c>
      <c r="D1437" s="1" t="s">
        <v>13612</v>
      </c>
      <c r="E1437" s="1" t="s">
        <v>13613</v>
      </c>
      <c r="F1437" s="1" t="s">
        <v>13614</v>
      </c>
      <c r="G1437" s="1" t="s">
        <v>14281</v>
      </c>
      <c r="H1437" s="1" t="s">
        <v>14282</v>
      </c>
      <c r="I1437" s="1" t="s">
        <v>15525</v>
      </c>
      <c r="J1437" s="1" t="s">
        <v>23</v>
      </c>
      <c r="K1437" s="1"/>
      <c r="L1437" s="1" t="s">
        <v>11760</v>
      </c>
      <c r="M1437" s="1" t="s">
        <v>11760</v>
      </c>
      <c r="N1437" s="12" t="b">
        <f t="shared" si="110"/>
        <v>1</v>
      </c>
      <c r="O1437" s="1" t="s">
        <v>13615</v>
      </c>
      <c r="P1437" s="1" t="s">
        <v>11810</v>
      </c>
      <c r="Q1437" s="1" t="s">
        <v>11811</v>
      </c>
      <c r="R1437" s="1" t="s">
        <v>11812</v>
      </c>
      <c r="S1437" s="1" t="s">
        <v>13616</v>
      </c>
      <c r="T1437" s="1" t="s">
        <v>13617</v>
      </c>
      <c r="U1437" s="1" t="s">
        <v>13618</v>
      </c>
      <c r="V1437" s="13">
        <f>COUNTIF(L1437:$M$1659,L1437)</f>
        <v>2</v>
      </c>
      <c r="W1437" s="1" t="s">
        <v>11768</v>
      </c>
      <c r="X1437">
        <v>309.77999999999997</v>
      </c>
      <c r="Y1437">
        <v>7.13</v>
      </c>
      <c r="Z1437">
        <v>16.037737</v>
      </c>
      <c r="AA1437">
        <v>108.215386</v>
      </c>
      <c r="AB1437">
        <v>302.64</v>
      </c>
      <c r="AC1437">
        <v>16.039200000000001</v>
      </c>
      <c r="AD1437">
        <v>108.213795</v>
      </c>
      <c r="AE1437" s="5">
        <f t="shared" si="111"/>
        <v>1.0695E-2</v>
      </c>
      <c r="AF1437" s="5">
        <f t="shared" si="112"/>
        <v>0.45395999999999997</v>
      </c>
      <c r="AG1437" s="1" t="str">
        <f>TRIM(LEFT(L1437,FIND("-",L1437)-1))</f>
        <v>Hải Châu</v>
      </c>
      <c r="AH1437" s="1" t="str">
        <f>TRIM(RIGHT(L1437, LEN(L1437) - FIND("-", L1437)))</f>
        <v>Hòa Cường</v>
      </c>
      <c r="AJ1437">
        <f t="shared" si="113"/>
        <v>7.1300000000000001E-3</v>
      </c>
      <c r="AK1437">
        <f t="shared" si="114"/>
        <v>0.30263999999999996</v>
      </c>
      <c r="AL1437" t="e">
        <f>VLOOKUP(L1437,'[1]Tuyến cáp H04'!$B:$E,3,0)/1000</f>
        <v>#N/A</v>
      </c>
      <c r="AM1437" t="e">
        <f>VLOOKUP(L1437,'[1]Tuyến cáp H04'!$B:$E,4,0)</f>
        <v>#N/A</v>
      </c>
    </row>
    <row r="1438" spans="1:39" x14ac:dyDescent="0.25">
      <c r="A1438" s="1" t="s">
        <v>13619</v>
      </c>
      <c r="B1438" s="1" t="s">
        <v>11818</v>
      </c>
      <c r="C1438" s="1" t="s">
        <v>11819</v>
      </c>
      <c r="D1438" s="1" t="s">
        <v>13620</v>
      </c>
      <c r="E1438" s="1" t="s">
        <v>13621</v>
      </c>
      <c r="F1438" s="1" t="s">
        <v>13622</v>
      </c>
      <c r="G1438" s="1" t="s">
        <v>14281</v>
      </c>
      <c r="H1438" s="1" t="s">
        <v>14282</v>
      </c>
      <c r="I1438" s="1" t="s">
        <v>15526</v>
      </c>
      <c r="J1438" s="1" t="s">
        <v>23</v>
      </c>
      <c r="K1438" s="1"/>
      <c r="L1438" s="1" t="s">
        <v>11045</v>
      </c>
      <c r="M1438" s="1" t="s">
        <v>11045</v>
      </c>
      <c r="N1438" s="12" t="b">
        <f t="shared" si="110"/>
        <v>1</v>
      </c>
      <c r="O1438" s="1" t="s">
        <v>13623</v>
      </c>
      <c r="P1438" s="1" t="s">
        <v>319</v>
      </c>
      <c r="Q1438" s="1" t="s">
        <v>11824</v>
      </c>
      <c r="R1438" s="1" t="s">
        <v>11825</v>
      </c>
      <c r="S1438" s="1" t="s">
        <v>13624</v>
      </c>
      <c r="T1438" s="1" t="s">
        <v>13625</v>
      </c>
      <c r="U1438" s="1" t="s">
        <v>13626</v>
      </c>
      <c r="V1438" s="13">
        <f>COUNTIF(L1438:$M$1659,L1438)</f>
        <v>8</v>
      </c>
      <c r="W1438" s="1" t="s">
        <v>11829</v>
      </c>
      <c r="X1438">
        <v>547.77</v>
      </c>
      <c r="Y1438">
        <v>7.22</v>
      </c>
      <c r="Z1438">
        <v>16.052781</v>
      </c>
      <c r="AA1438">
        <v>108.203267</v>
      </c>
      <c r="AB1438">
        <v>540.54999999999995</v>
      </c>
      <c r="AC1438">
        <v>16.050823999999999</v>
      </c>
      <c r="AD1438">
        <v>108.208978</v>
      </c>
      <c r="AE1438" s="5">
        <f t="shared" si="111"/>
        <v>1.0829999999999999E-2</v>
      </c>
      <c r="AF1438" s="5">
        <f t="shared" si="112"/>
        <v>0.81082499999999991</v>
      </c>
      <c r="AG1438" s="1" t="e">
        <f>TRIM(LEFT(L1438,FIND("-",L1438)-1))</f>
        <v>#VALUE!</v>
      </c>
      <c r="AH1438" s="1" t="e">
        <f>TRIM(RIGHT(L1438, LEN(L1438) - FIND("-", L1438)))</f>
        <v>#VALUE!</v>
      </c>
      <c r="AJ1438">
        <f t="shared" si="113"/>
        <v>7.2199999999999999E-3</v>
      </c>
      <c r="AK1438">
        <f t="shared" si="114"/>
        <v>0.54054999999999997</v>
      </c>
      <c r="AL1438" t="e">
        <f>VLOOKUP(L1438,'[1]Tuyến cáp H04'!$B:$E,3,0)/1000</f>
        <v>#N/A</v>
      </c>
      <c r="AM1438" t="e">
        <f>VLOOKUP(L1438,'[1]Tuyến cáp H04'!$B:$E,4,0)</f>
        <v>#N/A</v>
      </c>
    </row>
    <row r="1439" spans="1:39" x14ac:dyDescent="0.25">
      <c r="A1439" s="1" t="s">
        <v>13627</v>
      </c>
      <c r="B1439" s="1" t="s">
        <v>11818</v>
      </c>
      <c r="C1439" s="1" t="s">
        <v>11819</v>
      </c>
      <c r="D1439" s="1" t="s">
        <v>13628</v>
      </c>
      <c r="E1439" s="1" t="s">
        <v>13629</v>
      </c>
      <c r="F1439" s="1" t="s">
        <v>13630</v>
      </c>
      <c r="G1439" s="1" t="s">
        <v>14281</v>
      </c>
      <c r="H1439" s="1" t="s">
        <v>14282</v>
      </c>
      <c r="I1439" s="1" t="s">
        <v>15527</v>
      </c>
      <c r="J1439" s="1" t="s">
        <v>23</v>
      </c>
      <c r="K1439" s="1"/>
      <c r="L1439" s="1" t="s">
        <v>11045</v>
      </c>
      <c r="M1439" s="1" t="s">
        <v>11045</v>
      </c>
      <c r="N1439" s="12" t="b">
        <f t="shared" si="110"/>
        <v>1</v>
      </c>
      <c r="O1439" s="1" t="s">
        <v>13631</v>
      </c>
      <c r="P1439" s="1" t="s">
        <v>319</v>
      </c>
      <c r="Q1439" s="1" t="s">
        <v>11824</v>
      </c>
      <c r="R1439" s="1" t="s">
        <v>11825</v>
      </c>
      <c r="S1439" s="1" t="s">
        <v>13632</v>
      </c>
      <c r="T1439" s="1" t="s">
        <v>11836</v>
      </c>
      <c r="U1439" s="1" t="s">
        <v>11837</v>
      </c>
      <c r="V1439" s="13">
        <f>COUNTIF(L1439:$M$1659,L1439)</f>
        <v>6</v>
      </c>
      <c r="W1439" s="1" t="s">
        <v>11829</v>
      </c>
      <c r="X1439">
        <v>309.83999999999997</v>
      </c>
      <c r="Y1439">
        <v>7.22</v>
      </c>
      <c r="Z1439">
        <v>16.052781</v>
      </c>
      <c r="AA1439">
        <v>108.203267</v>
      </c>
      <c r="AB1439">
        <v>302.62</v>
      </c>
      <c r="AC1439">
        <v>16.050820000000002</v>
      </c>
      <c r="AD1439">
        <v>108.20695000000001</v>
      </c>
      <c r="AE1439" s="5">
        <f t="shared" si="111"/>
        <v>1.0829999999999999E-2</v>
      </c>
      <c r="AF1439" s="5">
        <f t="shared" si="112"/>
        <v>0.45393</v>
      </c>
      <c r="AG1439" s="1" t="e">
        <f>TRIM(LEFT(L1439,FIND("-",L1439)-1))</f>
        <v>#VALUE!</v>
      </c>
      <c r="AH1439" s="1" t="e">
        <f>TRIM(RIGHT(L1439, LEN(L1439) - FIND("-", L1439)))</f>
        <v>#VALUE!</v>
      </c>
      <c r="AJ1439">
        <f t="shared" si="113"/>
        <v>7.2199999999999999E-3</v>
      </c>
      <c r="AK1439">
        <f t="shared" si="114"/>
        <v>0.30262</v>
      </c>
      <c r="AL1439" t="e">
        <f>VLOOKUP(L1439,'[1]Tuyến cáp H04'!$B:$E,3,0)/1000</f>
        <v>#N/A</v>
      </c>
      <c r="AM1439" t="e">
        <f>VLOOKUP(L1439,'[1]Tuyến cáp H04'!$B:$E,4,0)</f>
        <v>#N/A</v>
      </c>
    </row>
    <row r="1440" spans="1:39" x14ac:dyDescent="0.25">
      <c r="A1440" s="1" t="s">
        <v>13633</v>
      </c>
      <c r="B1440" s="1" t="s">
        <v>13634</v>
      </c>
      <c r="C1440" s="1" t="s">
        <v>13635</v>
      </c>
      <c r="D1440" s="1" t="s">
        <v>13636</v>
      </c>
      <c r="E1440" s="1" t="s">
        <v>13637</v>
      </c>
      <c r="F1440" s="1" t="s">
        <v>13638</v>
      </c>
      <c r="G1440" s="1" t="s">
        <v>14281</v>
      </c>
      <c r="H1440" s="1" t="s">
        <v>14282</v>
      </c>
      <c r="I1440" s="1" t="s">
        <v>15528</v>
      </c>
      <c r="J1440" s="1" t="s">
        <v>23</v>
      </c>
      <c r="K1440" s="1"/>
      <c r="L1440" s="1" t="s">
        <v>11045</v>
      </c>
      <c r="M1440" s="1" t="s">
        <v>11045</v>
      </c>
      <c r="N1440" s="12" t="b">
        <f t="shared" si="110"/>
        <v>1</v>
      </c>
      <c r="O1440" s="1" t="s">
        <v>13639</v>
      </c>
      <c r="P1440" s="1" t="s">
        <v>13640</v>
      </c>
      <c r="Q1440" s="1" t="s">
        <v>13641</v>
      </c>
      <c r="R1440" s="1" t="s">
        <v>13642</v>
      </c>
      <c r="S1440" s="1" t="s">
        <v>13643</v>
      </c>
      <c r="T1440" s="1" t="s">
        <v>11051</v>
      </c>
      <c r="U1440" s="1" t="s">
        <v>11052</v>
      </c>
      <c r="V1440" s="13">
        <f>COUNTIF(L1440:$M$1659,L1440)</f>
        <v>4</v>
      </c>
      <c r="W1440" s="1" t="s">
        <v>11053</v>
      </c>
      <c r="X1440">
        <v>600.85</v>
      </c>
      <c r="Y1440">
        <v>291.87</v>
      </c>
      <c r="Z1440">
        <v>16.068057</v>
      </c>
      <c r="AA1440">
        <v>108.217573</v>
      </c>
      <c r="AB1440">
        <v>308.98</v>
      </c>
      <c r="AC1440">
        <v>16.067585999999999</v>
      </c>
      <c r="AD1440">
        <v>108.21583800000001</v>
      </c>
      <c r="AE1440" s="5">
        <f t="shared" si="111"/>
        <v>0.437805</v>
      </c>
      <c r="AF1440" s="5">
        <f t="shared" si="112"/>
        <v>0.46347000000000005</v>
      </c>
      <c r="AG1440" s="1" t="e">
        <f>TRIM(LEFT(L1440,FIND("-",L1440)-1))</f>
        <v>#VALUE!</v>
      </c>
      <c r="AH1440" s="1" t="e">
        <f>TRIM(RIGHT(L1440, LEN(L1440) - FIND("-", L1440)))</f>
        <v>#VALUE!</v>
      </c>
      <c r="AJ1440">
        <f t="shared" si="113"/>
        <v>0.29187000000000002</v>
      </c>
      <c r="AK1440">
        <f t="shared" si="114"/>
        <v>0.30898000000000003</v>
      </c>
      <c r="AL1440" t="e">
        <f>VLOOKUP(L1440,'[1]Tuyến cáp H04'!$B:$E,3,0)/1000</f>
        <v>#N/A</v>
      </c>
      <c r="AM1440" t="e">
        <f>VLOOKUP(L1440,'[1]Tuyến cáp H04'!$B:$E,4,0)</f>
        <v>#N/A</v>
      </c>
    </row>
    <row r="1441" spans="1:39" x14ac:dyDescent="0.25">
      <c r="A1441" s="1" t="s">
        <v>13644</v>
      </c>
      <c r="B1441" s="1" t="s">
        <v>13634</v>
      </c>
      <c r="C1441" s="1" t="s">
        <v>13635</v>
      </c>
      <c r="D1441" s="1" t="s">
        <v>13645</v>
      </c>
      <c r="E1441" s="1" t="s">
        <v>13646</v>
      </c>
      <c r="F1441" s="1" t="s">
        <v>13647</v>
      </c>
      <c r="G1441" s="1" t="s">
        <v>14281</v>
      </c>
      <c r="H1441" s="1" t="s">
        <v>14282</v>
      </c>
      <c r="I1441" s="1" t="s">
        <v>15529</v>
      </c>
      <c r="J1441" s="1" t="s">
        <v>23</v>
      </c>
      <c r="K1441" s="1"/>
      <c r="L1441" s="1" t="s">
        <v>11045</v>
      </c>
      <c r="M1441" s="1" t="s">
        <v>11045</v>
      </c>
      <c r="N1441" s="12" t="b">
        <f t="shared" si="110"/>
        <v>1</v>
      </c>
      <c r="O1441" s="1" t="s">
        <v>13648</v>
      </c>
      <c r="P1441" s="1" t="s">
        <v>13640</v>
      </c>
      <c r="Q1441" s="1" t="s">
        <v>13641</v>
      </c>
      <c r="R1441" s="1" t="s">
        <v>13642</v>
      </c>
      <c r="S1441" s="1" t="s">
        <v>13649</v>
      </c>
      <c r="T1441" s="1" t="s">
        <v>13650</v>
      </c>
      <c r="U1441" s="1" t="s">
        <v>13651</v>
      </c>
      <c r="V1441" s="13">
        <f>COUNTIF(L1441:$M$1659,L1441)</f>
        <v>2</v>
      </c>
      <c r="W1441" s="1" t="s">
        <v>11053</v>
      </c>
      <c r="X1441">
        <v>558.03</v>
      </c>
      <c r="Y1441">
        <v>291.87</v>
      </c>
      <c r="Z1441">
        <v>16.068057</v>
      </c>
      <c r="AA1441">
        <v>108.217573</v>
      </c>
      <c r="AB1441">
        <v>266.16000000000003</v>
      </c>
      <c r="AC1441">
        <v>16.06401</v>
      </c>
      <c r="AD1441">
        <v>108.216691</v>
      </c>
      <c r="AE1441" s="5">
        <f t="shared" si="111"/>
        <v>0.437805</v>
      </c>
      <c r="AF1441" s="5">
        <f t="shared" si="112"/>
        <v>0.39923999999999998</v>
      </c>
      <c r="AG1441" s="1" t="e">
        <f>TRIM(LEFT(L1441,FIND("-",L1441)-1))</f>
        <v>#VALUE!</v>
      </c>
      <c r="AH1441" s="1" t="e">
        <f>TRIM(RIGHT(L1441, LEN(L1441) - FIND("-", L1441)))</f>
        <v>#VALUE!</v>
      </c>
      <c r="AJ1441">
        <f t="shared" si="113"/>
        <v>0.29187000000000002</v>
      </c>
      <c r="AK1441">
        <f t="shared" si="114"/>
        <v>0.26616000000000001</v>
      </c>
      <c r="AL1441" t="e">
        <f>VLOOKUP(L1441,'[1]Tuyến cáp H04'!$B:$E,3,0)/1000</f>
        <v>#N/A</v>
      </c>
      <c r="AM1441" t="e">
        <f>VLOOKUP(L1441,'[1]Tuyến cáp H04'!$B:$E,4,0)</f>
        <v>#N/A</v>
      </c>
    </row>
    <row r="1442" spans="1:39" x14ac:dyDescent="0.25">
      <c r="A1442" s="1" t="s">
        <v>13652</v>
      </c>
      <c r="B1442" s="1" t="s">
        <v>11839</v>
      </c>
      <c r="C1442" s="1" t="s">
        <v>11840</v>
      </c>
      <c r="D1442" s="1" t="s">
        <v>12917</v>
      </c>
      <c r="E1442" s="1" t="s">
        <v>12918</v>
      </c>
      <c r="F1442" s="1" t="s">
        <v>13653</v>
      </c>
      <c r="G1442" s="1" t="s">
        <v>14281</v>
      </c>
      <c r="H1442" s="1" t="s">
        <v>14282</v>
      </c>
      <c r="I1442" s="1" t="s">
        <v>15530</v>
      </c>
      <c r="J1442" s="1" t="s">
        <v>23</v>
      </c>
      <c r="K1442" s="1"/>
      <c r="L1442" s="1" t="s">
        <v>11878</v>
      </c>
      <c r="M1442" s="1" t="s">
        <v>11878</v>
      </c>
      <c r="N1442" s="12" t="b">
        <f t="shared" si="110"/>
        <v>1</v>
      </c>
      <c r="O1442" s="1" t="s">
        <v>13654</v>
      </c>
      <c r="P1442" s="1" t="s">
        <v>11880</v>
      </c>
      <c r="Q1442" s="1" t="s">
        <v>11881</v>
      </c>
      <c r="R1442" s="1" t="s">
        <v>11882</v>
      </c>
      <c r="S1442" s="1" t="s">
        <v>13655</v>
      </c>
      <c r="T1442" s="1" t="s">
        <v>11881</v>
      </c>
      <c r="U1442" s="1" t="s">
        <v>11882</v>
      </c>
      <c r="V1442" s="13">
        <f>COUNTIF(L1442:$M$1659,L1442)</f>
        <v>4</v>
      </c>
      <c r="W1442" s="1" t="s">
        <v>11884</v>
      </c>
      <c r="X1442">
        <v>1134.0899999999999</v>
      </c>
      <c r="Y1442">
        <v>3.69</v>
      </c>
      <c r="Z1442">
        <v>15.985678999999999</v>
      </c>
      <c r="AA1442">
        <v>108.201567</v>
      </c>
      <c r="AB1442">
        <v>1130.4000000000001</v>
      </c>
      <c r="AC1442">
        <v>15.985678999999999</v>
      </c>
      <c r="AD1442">
        <v>108.201567</v>
      </c>
      <c r="AE1442" s="5">
        <f t="shared" si="111"/>
        <v>5.535E-3</v>
      </c>
      <c r="AF1442" s="5">
        <f t="shared" si="112"/>
        <v>1.6956000000000002</v>
      </c>
      <c r="AG1442" s="1" t="str">
        <f>TRIM(LEFT(L1442,FIND("-",L1442)-1))</f>
        <v>TTKV Ngũ Hành Sơn</v>
      </c>
      <c r="AH1442" s="1" t="str">
        <f>TRIM(RIGHT(L1442, LEN(L1442) - FIND("-", L1442)))</f>
        <v>Hòa Xuân</v>
      </c>
      <c r="AJ1442">
        <f t="shared" si="113"/>
        <v>3.6900000000000001E-3</v>
      </c>
      <c r="AK1442">
        <f t="shared" si="114"/>
        <v>1.1304000000000001</v>
      </c>
      <c r="AL1442" t="e">
        <f>VLOOKUP(L1442,'[1]Tuyến cáp H04'!$B:$E,3,0)/1000</f>
        <v>#N/A</v>
      </c>
      <c r="AM1442" t="e">
        <f>VLOOKUP(L1442,'[1]Tuyến cáp H04'!$B:$E,4,0)</f>
        <v>#N/A</v>
      </c>
    </row>
    <row r="1443" spans="1:39" x14ac:dyDescent="0.25">
      <c r="A1443" s="1" t="s">
        <v>13656</v>
      </c>
      <c r="B1443" s="1" t="s">
        <v>11839</v>
      </c>
      <c r="C1443" s="1" t="s">
        <v>11840</v>
      </c>
      <c r="D1443" s="1" t="s">
        <v>12876</v>
      </c>
      <c r="E1443" s="1" t="s">
        <v>12877</v>
      </c>
      <c r="F1443" s="1" t="s">
        <v>13657</v>
      </c>
      <c r="G1443" s="1" t="s">
        <v>14281</v>
      </c>
      <c r="H1443" s="1" t="s">
        <v>14282</v>
      </c>
      <c r="I1443" s="1" t="s">
        <v>15531</v>
      </c>
      <c r="J1443" s="1" t="s">
        <v>23</v>
      </c>
      <c r="K1443" s="1"/>
      <c r="L1443" s="1" t="s">
        <v>11878</v>
      </c>
      <c r="M1443" s="1" t="s">
        <v>11878</v>
      </c>
      <c r="N1443" s="12" t="b">
        <f t="shared" si="110"/>
        <v>1</v>
      </c>
      <c r="O1443" s="1" t="s">
        <v>13658</v>
      </c>
      <c r="P1443" s="1" t="s">
        <v>11880</v>
      </c>
      <c r="Q1443" s="1" t="s">
        <v>11881</v>
      </c>
      <c r="R1443" s="1" t="s">
        <v>11882</v>
      </c>
      <c r="S1443" s="1" t="s">
        <v>13659</v>
      </c>
      <c r="T1443" s="1" t="s">
        <v>13660</v>
      </c>
      <c r="U1443" s="1" t="s">
        <v>13661</v>
      </c>
      <c r="V1443" s="13">
        <f>COUNTIF(L1443:$M$1659,L1443)</f>
        <v>2</v>
      </c>
      <c r="W1443" s="1" t="s">
        <v>11884</v>
      </c>
      <c r="X1443">
        <v>2650.34</v>
      </c>
      <c r="Y1443">
        <v>3.69</v>
      </c>
      <c r="Z1443">
        <v>15.985678999999999</v>
      </c>
      <c r="AA1443">
        <v>108.201567</v>
      </c>
      <c r="AB1443">
        <v>2646.66</v>
      </c>
      <c r="AC1443">
        <v>16.002026999999998</v>
      </c>
      <c r="AD1443">
        <v>108.22184900000001</v>
      </c>
      <c r="AE1443" s="5">
        <f t="shared" si="111"/>
        <v>5.535E-3</v>
      </c>
      <c r="AF1443" s="5">
        <f t="shared" si="112"/>
        <v>3.9699899999999997</v>
      </c>
      <c r="AG1443" s="1" t="str">
        <f>TRIM(LEFT(L1443,FIND("-",L1443)-1))</f>
        <v>TTKV Ngũ Hành Sơn</v>
      </c>
      <c r="AH1443" s="1" t="str">
        <f>TRIM(RIGHT(L1443, LEN(L1443) - FIND("-", L1443)))</f>
        <v>Hòa Xuân</v>
      </c>
      <c r="AJ1443">
        <f t="shared" si="113"/>
        <v>3.6900000000000001E-3</v>
      </c>
      <c r="AK1443">
        <f t="shared" si="114"/>
        <v>2.6466599999999998</v>
      </c>
      <c r="AL1443" t="e">
        <f>VLOOKUP(L1443,'[1]Tuyến cáp H04'!$B:$E,3,0)/1000</f>
        <v>#N/A</v>
      </c>
      <c r="AM1443" t="e">
        <f>VLOOKUP(L1443,'[1]Tuyến cáp H04'!$B:$E,4,0)</f>
        <v>#N/A</v>
      </c>
    </row>
    <row r="1444" spans="1:39" x14ac:dyDescent="0.25">
      <c r="A1444" s="1" t="s">
        <v>13662</v>
      </c>
      <c r="B1444" s="1" t="s">
        <v>11897</v>
      </c>
      <c r="C1444" s="1" t="s">
        <v>11898</v>
      </c>
      <c r="D1444" s="1" t="s">
        <v>13663</v>
      </c>
      <c r="E1444" s="1" t="s">
        <v>13664</v>
      </c>
      <c r="F1444" s="1" t="s">
        <v>13665</v>
      </c>
      <c r="G1444" s="1" t="s">
        <v>14281</v>
      </c>
      <c r="H1444" s="1" t="s">
        <v>14282</v>
      </c>
      <c r="I1444" s="1" t="s">
        <v>15532</v>
      </c>
      <c r="J1444" s="1" t="s">
        <v>23</v>
      </c>
      <c r="K1444" s="1"/>
      <c r="L1444" s="1" t="s">
        <v>13666</v>
      </c>
      <c r="M1444" s="1" t="s">
        <v>13666</v>
      </c>
      <c r="N1444" s="12" t="b">
        <f t="shared" si="110"/>
        <v>1</v>
      </c>
      <c r="O1444" s="1" t="s">
        <v>13667</v>
      </c>
      <c r="P1444" s="1" t="s">
        <v>13668</v>
      </c>
      <c r="Q1444" s="1" t="s">
        <v>13669</v>
      </c>
      <c r="R1444" s="1" t="s">
        <v>13670</v>
      </c>
      <c r="S1444" s="1" t="s">
        <v>13671</v>
      </c>
      <c r="T1444" s="1" t="s">
        <v>13672</v>
      </c>
      <c r="U1444" s="1" t="s">
        <v>13673</v>
      </c>
      <c r="V1444" s="13">
        <f>COUNTIF(L1444:$M$1659,L1444)</f>
        <v>2</v>
      </c>
      <c r="W1444" s="1" t="s">
        <v>13674</v>
      </c>
      <c r="X1444">
        <v>78.28</v>
      </c>
      <c r="Y1444">
        <v>13.44</v>
      </c>
      <c r="Z1444">
        <v>16.077966</v>
      </c>
      <c r="AA1444">
        <v>108.114974</v>
      </c>
      <c r="AB1444">
        <v>64.84</v>
      </c>
      <c r="AC1444">
        <v>16.061855000000001</v>
      </c>
      <c r="AD1444">
        <v>108.099862</v>
      </c>
      <c r="AE1444" s="5">
        <f t="shared" si="111"/>
        <v>2.0160000000000001E-2</v>
      </c>
      <c r="AF1444" s="5">
        <f t="shared" si="112"/>
        <v>9.7259999999999999E-2</v>
      </c>
      <c r="AG1444" s="1" t="str">
        <f>TRIM(LEFT(L1444,FIND("-",L1444)-1))</f>
        <v>Trại giam CATP</v>
      </c>
      <c r="AH1444" s="1" t="str">
        <f>TRIM(RIGHT(L1444, LEN(L1444) - FIND("-", L1444)))</f>
        <v>Trạm CSGT Hòa Nhơn</v>
      </c>
      <c r="AJ1444">
        <f t="shared" si="113"/>
        <v>1.3439999999999999E-2</v>
      </c>
      <c r="AK1444">
        <f t="shared" si="114"/>
        <v>6.4840000000000009E-2</v>
      </c>
      <c r="AL1444" t="e">
        <f>VLOOKUP(L1444,'[1]Tuyến cáp H04'!$B:$E,3,0)/1000</f>
        <v>#N/A</v>
      </c>
      <c r="AM1444" t="e">
        <f>VLOOKUP(L1444,'[1]Tuyến cáp H04'!$B:$E,4,0)</f>
        <v>#N/A</v>
      </c>
    </row>
    <row r="1445" spans="1:39" x14ac:dyDescent="0.25">
      <c r="A1445" s="1" t="s">
        <v>13675</v>
      </c>
      <c r="B1445" s="1" t="s">
        <v>11897</v>
      </c>
      <c r="C1445" s="1" t="s">
        <v>11898</v>
      </c>
      <c r="D1445" s="1" t="s">
        <v>13676</v>
      </c>
      <c r="E1445" s="1" t="s">
        <v>13677</v>
      </c>
      <c r="F1445" s="1" t="s">
        <v>13678</v>
      </c>
      <c r="G1445" s="1" t="s">
        <v>14281</v>
      </c>
      <c r="H1445" s="1" t="s">
        <v>14282</v>
      </c>
      <c r="I1445" s="1" t="s">
        <v>15533</v>
      </c>
      <c r="J1445" s="1" t="s">
        <v>23</v>
      </c>
      <c r="K1445" s="1"/>
      <c r="L1445" s="1" t="s">
        <v>11086</v>
      </c>
      <c r="M1445" s="1" t="s">
        <v>11086</v>
      </c>
      <c r="N1445" s="12" t="b">
        <f t="shared" si="110"/>
        <v>1</v>
      </c>
      <c r="O1445" s="1" t="s">
        <v>13679</v>
      </c>
      <c r="P1445" s="1" t="s">
        <v>13680</v>
      </c>
      <c r="Q1445" s="1" t="s">
        <v>13681</v>
      </c>
      <c r="R1445" s="1" t="s">
        <v>13682</v>
      </c>
      <c r="S1445" s="1" t="s">
        <v>13683</v>
      </c>
      <c r="T1445" s="1" t="s">
        <v>13684</v>
      </c>
      <c r="U1445" s="1" t="s">
        <v>13685</v>
      </c>
      <c r="V1445" s="13">
        <f>COUNTIF(L1445:$M$1659,L1445)</f>
        <v>2</v>
      </c>
      <c r="W1445" s="1" t="s">
        <v>13686</v>
      </c>
      <c r="X1445">
        <v>1886.83</v>
      </c>
      <c r="Y1445">
        <v>1270.8399999999999</v>
      </c>
      <c r="Z1445">
        <v>16.073208999999999</v>
      </c>
      <c r="AA1445">
        <v>108.104287</v>
      </c>
      <c r="AB1445">
        <v>616</v>
      </c>
      <c r="AC1445">
        <v>16.079284999999999</v>
      </c>
      <c r="AD1445">
        <v>108.09813200000001</v>
      </c>
      <c r="AE1445" s="5">
        <f t="shared" si="111"/>
        <v>1.9062599999999998</v>
      </c>
      <c r="AF1445" s="5">
        <f t="shared" si="112"/>
        <v>0.92400000000000004</v>
      </c>
      <c r="AG1445" s="1" t="str">
        <f>TRIM(LEFT(L1445,FIND("-",L1445)-1))</f>
        <v>"Cơ sở cai nghiện (X. Hòa Bắc, Hòa Vang)</v>
      </c>
      <c r="AH1445" s="1" t="str">
        <f>TRIM(RIGHT(L1445, LEN(L1445) - FIND("-", L1445)))</f>
        <v xml:space="preserve">
TTCMKV Hòa Vang"</v>
      </c>
      <c r="AJ1445">
        <f t="shared" si="113"/>
        <v>1.27084</v>
      </c>
      <c r="AK1445">
        <f t="shared" si="114"/>
        <v>0.61599999999999999</v>
      </c>
      <c r="AL1445" t="e">
        <f>VLOOKUP(L1445,'[1]Tuyến cáp H04'!$B:$E,3,0)/1000</f>
        <v>#N/A</v>
      </c>
      <c r="AM1445" t="e">
        <f>VLOOKUP(L1445,'[1]Tuyến cáp H04'!$B:$E,4,0)</f>
        <v>#N/A</v>
      </c>
    </row>
    <row r="1446" spans="1:39" x14ac:dyDescent="0.25">
      <c r="A1446" s="1" t="s">
        <v>13687</v>
      </c>
      <c r="B1446" s="1" t="s">
        <v>13688</v>
      </c>
      <c r="C1446" s="1" t="s">
        <v>13689</v>
      </c>
      <c r="D1446" s="1" t="s">
        <v>11163</v>
      </c>
      <c r="E1446" s="1" t="s">
        <v>11164</v>
      </c>
      <c r="F1446" s="1" t="s">
        <v>13690</v>
      </c>
      <c r="G1446" s="1" t="s">
        <v>14281</v>
      </c>
      <c r="H1446" s="1" t="s">
        <v>14282</v>
      </c>
      <c r="I1446" s="1" t="s">
        <v>15534</v>
      </c>
      <c r="J1446" s="1" t="s">
        <v>23</v>
      </c>
      <c r="K1446" s="1"/>
      <c r="L1446" s="1" t="s">
        <v>11166</v>
      </c>
      <c r="M1446" s="1" t="s">
        <v>11166</v>
      </c>
      <c r="N1446" s="12" t="b">
        <f t="shared" si="110"/>
        <v>1</v>
      </c>
      <c r="O1446" s="1" t="s">
        <v>13691</v>
      </c>
      <c r="P1446" s="1" t="s">
        <v>13692</v>
      </c>
      <c r="Q1446" s="1" t="s">
        <v>13693</v>
      </c>
      <c r="R1446" s="1" t="s">
        <v>13694</v>
      </c>
      <c r="S1446" s="1" t="s">
        <v>11171</v>
      </c>
      <c r="T1446" s="1" t="s">
        <v>11172</v>
      </c>
      <c r="U1446" s="1" t="s">
        <v>11173</v>
      </c>
      <c r="V1446" s="13">
        <f>COUNTIF(L1446:$M$1659,L1446)</f>
        <v>8</v>
      </c>
      <c r="W1446" s="1" t="s">
        <v>11174</v>
      </c>
      <c r="X1446">
        <v>1776.98</v>
      </c>
      <c r="Y1446">
        <v>1745.72</v>
      </c>
      <c r="Z1446">
        <v>16.076751000000002</v>
      </c>
      <c r="AA1446">
        <v>108.16633400000001</v>
      </c>
      <c r="AB1446">
        <v>31.26</v>
      </c>
      <c r="AC1446">
        <v>16.073207</v>
      </c>
      <c r="AD1446">
        <v>108.177558</v>
      </c>
      <c r="AE1446" s="5">
        <f t="shared" si="111"/>
        <v>2.6185800000000001</v>
      </c>
      <c r="AF1446" s="5">
        <f t="shared" si="112"/>
        <v>4.6890000000000001E-2</v>
      </c>
      <c r="AG1446" s="1" t="str">
        <f>TRIM(LEFT(L1446,FIND("-",L1446)-1))</f>
        <v>TT1 Đà Nẵng</v>
      </c>
      <c r="AH1446" s="1" t="str">
        <f>TRIM(RIGHT(L1446, LEN(L1446) - FIND("-", L1446)))</f>
        <v>Hải Vân</v>
      </c>
      <c r="AJ1446">
        <f t="shared" si="113"/>
        <v>1.7457199999999999</v>
      </c>
      <c r="AK1446">
        <f t="shared" si="114"/>
        <v>3.1260000000000003E-2</v>
      </c>
      <c r="AL1446">
        <f>VLOOKUP(L1446,'[1]Tuyến cáp H04'!$B:$E,3,0)/1000</f>
        <v>14.76</v>
      </c>
      <c r="AM1446" t="str">
        <f>VLOOKUP(L1446,'[1]Tuyến cáp H04'!$B:$E,4,0)</f>
        <v>Mạng cấp 4</v>
      </c>
    </row>
    <row r="1447" spans="1:39" x14ac:dyDescent="0.25">
      <c r="A1447" s="1" t="s">
        <v>13695</v>
      </c>
      <c r="B1447" s="1" t="s">
        <v>13688</v>
      </c>
      <c r="C1447" s="1" t="s">
        <v>13689</v>
      </c>
      <c r="D1447" s="1" t="s">
        <v>13696</v>
      </c>
      <c r="E1447" s="1" t="s">
        <v>13697</v>
      </c>
      <c r="F1447" s="1" t="s">
        <v>13698</v>
      </c>
      <c r="G1447" s="1" t="s">
        <v>14281</v>
      </c>
      <c r="H1447" s="1" t="s">
        <v>14282</v>
      </c>
      <c r="I1447" s="1" t="s">
        <v>15535</v>
      </c>
      <c r="J1447" s="1" t="s">
        <v>23</v>
      </c>
      <c r="K1447" s="1"/>
      <c r="L1447" s="1" t="s">
        <v>13699</v>
      </c>
      <c r="M1447" s="1" t="s">
        <v>13699</v>
      </c>
      <c r="N1447" s="12" t="b">
        <f t="shared" si="110"/>
        <v>1</v>
      </c>
      <c r="O1447" s="1" t="s">
        <v>13700</v>
      </c>
      <c r="P1447" s="1" t="s">
        <v>13701</v>
      </c>
      <c r="Q1447" s="1" t="s">
        <v>13702</v>
      </c>
      <c r="R1447" s="1" t="s">
        <v>13703</v>
      </c>
      <c r="S1447" s="1" t="s">
        <v>13704</v>
      </c>
      <c r="T1447" s="1" t="s">
        <v>13705</v>
      </c>
      <c r="U1447" s="1" t="s">
        <v>13706</v>
      </c>
      <c r="V1447" s="13">
        <f>COUNTIF(L1447:$M$1659,L1447)</f>
        <v>2</v>
      </c>
      <c r="W1447" s="1" t="s">
        <v>13707</v>
      </c>
      <c r="X1447">
        <v>263.72000000000003</v>
      </c>
      <c r="Y1447">
        <v>14.24</v>
      </c>
      <c r="Z1447">
        <v>16.063763999999999</v>
      </c>
      <c r="AA1447">
        <v>108.157391</v>
      </c>
      <c r="AB1447">
        <v>249.49</v>
      </c>
      <c r="AC1447">
        <v>16.065524</v>
      </c>
      <c r="AD1447">
        <v>108.154652</v>
      </c>
      <c r="AE1447" s="5">
        <f t="shared" si="111"/>
        <v>2.1360000000000001E-2</v>
      </c>
      <c r="AF1447" s="5">
        <f t="shared" si="112"/>
        <v>0.37423500000000004</v>
      </c>
      <c r="AG1447" s="1" t="str">
        <f>TRIM(LEFT(L1447,FIND("-",L1447)-1))</f>
        <v>TTCMKV Liên Chiểu</v>
      </c>
      <c r="AH1447" s="1" t="str">
        <f>TRIM(RIGHT(L1447, LEN(L1447) - FIND("-", L1447)))</f>
        <v>Hòa Khánh</v>
      </c>
      <c r="AJ1447">
        <f t="shared" si="113"/>
        <v>1.4240000000000001E-2</v>
      </c>
      <c r="AK1447">
        <f t="shared" si="114"/>
        <v>0.24949000000000002</v>
      </c>
      <c r="AL1447">
        <f>VLOOKUP(L1447,'[1]Tuyến cáp H04'!$B:$E,3,0)/1000</f>
        <v>1.9159999999999999</v>
      </c>
      <c r="AM1447" t="str">
        <f>VLOOKUP(L1447,'[1]Tuyến cáp H04'!$B:$E,4,0)</f>
        <v>Mạng cấp 4</v>
      </c>
    </row>
    <row r="1448" spans="1:39" x14ac:dyDescent="0.25">
      <c r="A1448" s="1" t="s">
        <v>13708</v>
      </c>
      <c r="B1448" s="1" t="s">
        <v>13688</v>
      </c>
      <c r="C1448" s="1" t="s">
        <v>13689</v>
      </c>
      <c r="D1448" s="1" t="e">
        <v>#N/A</v>
      </c>
      <c r="E1448" s="1" t="e">
        <v>#N/A</v>
      </c>
      <c r="F1448" s="1" t="s">
        <v>13709</v>
      </c>
      <c r="G1448" s="1" t="s">
        <v>14281</v>
      </c>
      <c r="H1448" s="1" t="s">
        <v>14282</v>
      </c>
      <c r="I1448" s="1" t="s">
        <v>15536</v>
      </c>
      <c r="J1448" s="1" t="s">
        <v>5166</v>
      </c>
      <c r="K1448" s="1" t="s">
        <v>11893</v>
      </c>
      <c r="L1448" s="1"/>
      <c r="M1448" s="1"/>
      <c r="N1448" s="12" t="b">
        <f t="shared" si="110"/>
        <v>1</v>
      </c>
      <c r="O1448" s="1"/>
      <c r="P1448" s="1"/>
      <c r="Q1448" s="1"/>
      <c r="R1448" s="1"/>
      <c r="S1448" s="1"/>
      <c r="T1448" s="1"/>
      <c r="U1448" s="1"/>
      <c r="V1448" s="13">
        <f>COUNTIF(L1448:$M$1659,L1448)</f>
        <v>0</v>
      </c>
      <c r="W1448" s="1"/>
      <c r="AE1448" s="5"/>
      <c r="AF1448" s="5"/>
      <c r="AG1448" s="1"/>
      <c r="AH1448" s="1"/>
      <c r="AL1448" t="e">
        <f>VLOOKUP(L1448,'[1]Tuyến cáp H04'!$B:$E,3,0)/1000</f>
        <v>#N/A</v>
      </c>
      <c r="AM1448" t="e">
        <f>VLOOKUP(L1448,'[1]Tuyến cáp H04'!$B:$E,4,0)</f>
        <v>#N/A</v>
      </c>
    </row>
    <row r="1449" spans="1:39" x14ac:dyDescent="0.25">
      <c r="A1449" s="1" t="s">
        <v>13710</v>
      </c>
      <c r="B1449" s="1" t="s">
        <v>11912</v>
      </c>
      <c r="C1449" s="1" t="s">
        <v>11913</v>
      </c>
      <c r="D1449" s="1" t="s">
        <v>13711</v>
      </c>
      <c r="E1449" s="1" t="s">
        <v>13712</v>
      </c>
      <c r="F1449" s="1" t="s">
        <v>13713</v>
      </c>
      <c r="G1449" s="1" t="s">
        <v>14281</v>
      </c>
      <c r="H1449" s="1" t="s">
        <v>14282</v>
      </c>
      <c r="I1449" s="1" t="s">
        <v>15537</v>
      </c>
      <c r="J1449" s="1" t="s">
        <v>23</v>
      </c>
      <c r="K1449" s="1"/>
      <c r="L1449" s="1" t="s">
        <v>12822</v>
      </c>
      <c r="M1449" s="1" t="s">
        <v>12822</v>
      </c>
      <c r="N1449" s="12" t="b">
        <f t="shared" si="110"/>
        <v>1</v>
      </c>
      <c r="O1449" s="1" t="s">
        <v>13714</v>
      </c>
      <c r="P1449" s="1" t="s">
        <v>13715</v>
      </c>
      <c r="Q1449" s="1" t="s">
        <v>13716</v>
      </c>
      <c r="R1449" s="1" t="s">
        <v>13717</v>
      </c>
      <c r="S1449" s="1" t="s">
        <v>13718</v>
      </c>
      <c r="T1449" s="1" t="s">
        <v>13719</v>
      </c>
      <c r="U1449" s="1" t="s">
        <v>13720</v>
      </c>
      <c r="V1449" s="13">
        <f>COUNTIF(L1449:$M$1659,L1449)</f>
        <v>2</v>
      </c>
      <c r="W1449" s="1" t="s">
        <v>13721</v>
      </c>
      <c r="X1449">
        <v>778.79</v>
      </c>
      <c r="Y1449">
        <v>730.71</v>
      </c>
      <c r="Z1449">
        <v>16.053222000000002</v>
      </c>
      <c r="AA1449">
        <v>108.156038</v>
      </c>
      <c r="AB1449">
        <v>48.08</v>
      </c>
      <c r="AC1449">
        <v>16.048704000000001</v>
      </c>
      <c r="AD1449">
        <v>108.14683599999999</v>
      </c>
      <c r="AE1449" s="5">
        <f t="shared" si="111"/>
        <v>1.0960650000000001</v>
      </c>
      <c r="AF1449" s="5">
        <f t="shared" si="112"/>
        <v>7.2120000000000004E-2</v>
      </c>
      <c r="AG1449" s="1" t="str">
        <f>TRIM(LEFT(L1449,FIND("-",L1449)-1))</f>
        <v>Liên Chiểu</v>
      </c>
      <c r="AH1449" s="1" t="str">
        <f>TRIM(RIGHT(L1449, LEN(L1449) - FIND("-", L1449)))</f>
        <v>Hòa Vang</v>
      </c>
      <c r="AJ1449">
        <f t="shared" si="113"/>
        <v>0.73071000000000008</v>
      </c>
      <c r="AK1449">
        <f t="shared" si="114"/>
        <v>4.8079999999999998E-2</v>
      </c>
      <c r="AL1449">
        <f>VLOOKUP(L1449,'[1]Tuyến cáp H04'!$B:$E,3,0)/1000</f>
        <v>15.87</v>
      </c>
      <c r="AM1449" t="str">
        <f>VLOOKUP(L1449,'[1]Tuyến cáp H04'!$B:$E,4,0)</f>
        <v>Mạng cấp 3</v>
      </c>
    </row>
    <row r="1450" spans="1:39" x14ac:dyDescent="0.25">
      <c r="A1450" s="1" t="s">
        <v>13722</v>
      </c>
      <c r="B1450" s="1" t="s">
        <v>11912</v>
      </c>
      <c r="C1450" s="1" t="s">
        <v>11913</v>
      </c>
      <c r="D1450" s="1" t="s">
        <v>13723</v>
      </c>
      <c r="E1450" s="1" t="s">
        <v>13724</v>
      </c>
      <c r="F1450" s="1" t="s">
        <v>13725</v>
      </c>
      <c r="G1450" s="1" t="s">
        <v>14281</v>
      </c>
      <c r="H1450" s="1" t="s">
        <v>14282</v>
      </c>
      <c r="I1450" s="1" t="s">
        <v>15538</v>
      </c>
      <c r="J1450" s="1" t="s">
        <v>23</v>
      </c>
      <c r="K1450" s="1"/>
      <c r="L1450" s="1" t="s">
        <v>11930</v>
      </c>
      <c r="M1450" s="1" t="s">
        <v>11930</v>
      </c>
      <c r="N1450" s="12" t="b">
        <f t="shared" si="110"/>
        <v>1</v>
      </c>
      <c r="O1450" s="1" t="s">
        <v>13726</v>
      </c>
      <c r="P1450" s="1" t="s">
        <v>11932</v>
      </c>
      <c r="Q1450" s="1" t="s">
        <v>11933</v>
      </c>
      <c r="R1450" s="1" t="s">
        <v>11934</v>
      </c>
      <c r="S1450" s="1" t="s">
        <v>13727</v>
      </c>
      <c r="T1450" s="1" t="s">
        <v>13728</v>
      </c>
      <c r="U1450" s="1" t="s">
        <v>13729</v>
      </c>
      <c r="V1450" s="13">
        <f>COUNTIF(L1450:$M$1659,L1450)</f>
        <v>4</v>
      </c>
      <c r="W1450" s="1" t="s">
        <v>11938</v>
      </c>
      <c r="X1450">
        <v>80.86</v>
      </c>
      <c r="Y1450">
        <v>33.35</v>
      </c>
      <c r="Z1450">
        <v>16.046617000000001</v>
      </c>
      <c r="AA1450">
        <v>108.15738899999999</v>
      </c>
      <c r="AB1450">
        <v>47.5</v>
      </c>
      <c r="AC1450">
        <v>16.048881999999999</v>
      </c>
      <c r="AD1450">
        <v>108.158168</v>
      </c>
      <c r="AE1450" s="5">
        <f t="shared" si="111"/>
        <v>5.0025000000000007E-2</v>
      </c>
      <c r="AF1450" s="5">
        <f t="shared" si="112"/>
        <v>7.1249999999999994E-2</v>
      </c>
      <c r="AG1450" s="1" t="str">
        <f>TRIM(LEFT(L1450,FIND("-",L1450)-1))</f>
        <v>PK02</v>
      </c>
      <c r="AH1450" s="1" t="str">
        <f>TRIM(RIGHT(L1450, LEN(L1450) - FIND("-", L1450)))</f>
        <v>TTCMKV Liên Chiểu</v>
      </c>
      <c r="AJ1450">
        <f t="shared" si="113"/>
        <v>3.3350000000000005E-2</v>
      </c>
      <c r="AK1450">
        <f t="shared" si="114"/>
        <v>4.7500000000000001E-2</v>
      </c>
      <c r="AL1450">
        <f>VLOOKUP(L1450,'[1]Tuyến cáp H04'!$B:$E,3,0)/1000</f>
        <v>5.165</v>
      </c>
      <c r="AM1450" t="str">
        <f>VLOOKUP(L1450,'[1]Tuyến cáp H04'!$B:$E,4,0)</f>
        <v>Mạng cấp 3</v>
      </c>
    </row>
    <row r="1451" spans="1:39" x14ac:dyDescent="0.25">
      <c r="A1451" s="1" t="s">
        <v>11926</v>
      </c>
      <c r="B1451" s="1" t="s">
        <v>11912</v>
      </c>
      <c r="C1451" s="1" t="s">
        <v>11913</v>
      </c>
      <c r="D1451" s="1" t="s">
        <v>11927</v>
      </c>
      <c r="E1451" s="1" t="s">
        <v>11928</v>
      </c>
      <c r="F1451" s="1" t="s">
        <v>13730</v>
      </c>
      <c r="G1451" s="1" t="s">
        <v>14281</v>
      </c>
      <c r="H1451" s="1" t="s">
        <v>14282</v>
      </c>
      <c r="I1451" s="1" t="s">
        <v>15340</v>
      </c>
      <c r="J1451" s="1" t="s">
        <v>23</v>
      </c>
      <c r="K1451" s="1"/>
      <c r="L1451" s="1" t="s">
        <v>11930</v>
      </c>
      <c r="M1451" s="1" t="s">
        <v>11930</v>
      </c>
      <c r="N1451" s="12" t="b">
        <f t="shared" si="110"/>
        <v>1</v>
      </c>
      <c r="O1451" s="1" t="s">
        <v>11931</v>
      </c>
      <c r="P1451" s="1" t="s">
        <v>11932</v>
      </c>
      <c r="Q1451" s="1" t="s">
        <v>11933</v>
      </c>
      <c r="R1451" s="1" t="s">
        <v>11934</v>
      </c>
      <c r="S1451" s="1" t="s">
        <v>11935</v>
      </c>
      <c r="T1451" s="1" t="s">
        <v>11936</v>
      </c>
      <c r="U1451" s="1" t="s">
        <v>11937</v>
      </c>
      <c r="V1451" s="13">
        <f>COUNTIF(L1451:$M$1659,L1451)</f>
        <v>2</v>
      </c>
      <c r="W1451" s="1" t="s">
        <v>11938</v>
      </c>
      <c r="X1451">
        <v>121.93</v>
      </c>
      <c r="Y1451">
        <v>33.35</v>
      </c>
      <c r="Z1451">
        <v>16.046617000000001</v>
      </c>
      <c r="AA1451">
        <v>108.15738899999999</v>
      </c>
      <c r="AB1451">
        <v>88.58</v>
      </c>
      <c r="AC1451">
        <v>16.053637999999999</v>
      </c>
      <c r="AD1451">
        <v>108.157757</v>
      </c>
      <c r="AE1451" s="5">
        <f t="shared" si="111"/>
        <v>5.0025000000000007E-2</v>
      </c>
      <c r="AF1451" s="5">
        <f t="shared" si="112"/>
        <v>0.13287000000000002</v>
      </c>
      <c r="AG1451" s="1" t="str">
        <f>TRIM(LEFT(L1451,FIND("-",L1451)-1))</f>
        <v>PK02</v>
      </c>
      <c r="AH1451" s="1" t="str">
        <f>TRIM(RIGHT(L1451, LEN(L1451) - FIND("-", L1451)))</f>
        <v>TTCMKV Liên Chiểu</v>
      </c>
      <c r="AJ1451">
        <f t="shared" si="113"/>
        <v>3.3350000000000005E-2</v>
      </c>
      <c r="AK1451">
        <f t="shared" si="114"/>
        <v>8.8579999999999992E-2</v>
      </c>
      <c r="AL1451">
        <f>VLOOKUP(L1451,'[1]Tuyến cáp H04'!$B:$E,3,0)/1000</f>
        <v>5.165</v>
      </c>
      <c r="AM1451" t="str">
        <f>VLOOKUP(L1451,'[1]Tuyến cáp H04'!$B:$E,4,0)</f>
        <v>Mạng cấp 3</v>
      </c>
    </row>
    <row r="1452" spans="1:39" x14ac:dyDescent="0.25">
      <c r="A1452" s="1" t="s">
        <v>11911</v>
      </c>
      <c r="B1452" s="1" t="s">
        <v>11912</v>
      </c>
      <c r="C1452" s="1" t="s">
        <v>11913</v>
      </c>
      <c r="D1452" s="1" t="s">
        <v>11914</v>
      </c>
      <c r="E1452" s="1" t="s">
        <v>11915</v>
      </c>
      <c r="F1452" s="1" t="s">
        <v>13731</v>
      </c>
      <c r="G1452" s="1" t="s">
        <v>14281</v>
      </c>
      <c r="H1452" s="1" t="s">
        <v>14282</v>
      </c>
      <c r="I1452" s="1" t="s">
        <v>15339</v>
      </c>
      <c r="J1452" s="1" t="s">
        <v>23</v>
      </c>
      <c r="K1452" s="1"/>
      <c r="L1452" s="1" t="s">
        <v>11917</v>
      </c>
      <c r="M1452" s="1" t="s">
        <v>11917</v>
      </c>
      <c r="N1452" s="12" t="b">
        <f t="shared" si="110"/>
        <v>1</v>
      </c>
      <c r="O1452" s="1" t="s">
        <v>11918</v>
      </c>
      <c r="P1452" s="1" t="s">
        <v>11919</v>
      </c>
      <c r="Q1452" s="1" t="s">
        <v>11920</v>
      </c>
      <c r="R1452" s="1" t="s">
        <v>11921</v>
      </c>
      <c r="S1452" s="1" t="s">
        <v>11922</v>
      </c>
      <c r="T1452" s="1" t="s">
        <v>11923</v>
      </c>
      <c r="U1452" s="1" t="s">
        <v>11924</v>
      </c>
      <c r="V1452" s="13">
        <f>COUNTIF(L1452:$M$1659,L1452)</f>
        <v>2</v>
      </c>
      <c r="W1452" s="1" t="s">
        <v>11925</v>
      </c>
      <c r="X1452">
        <v>1791</v>
      </c>
      <c r="Y1452">
        <v>41.12</v>
      </c>
      <c r="Z1452">
        <v>16.046609</v>
      </c>
      <c r="AA1452">
        <v>108.15746300000001</v>
      </c>
      <c r="AB1452">
        <v>1749.89</v>
      </c>
      <c r="AC1452">
        <v>16.049126000000001</v>
      </c>
      <c r="AD1452">
        <v>108.160696</v>
      </c>
      <c r="AE1452" s="5">
        <f t="shared" si="111"/>
        <v>6.1679999999999992E-2</v>
      </c>
      <c r="AF1452" s="5">
        <f t="shared" si="112"/>
        <v>2.624835</v>
      </c>
      <c r="AG1452" s="1" t="str">
        <f>TRIM(LEFT(L1452,FIND("-",L1452)-1))</f>
        <v>TT1 Đà Nẵng</v>
      </c>
      <c r="AH1452" s="1" t="str">
        <f>TRIM(RIGHT(L1452, LEN(L1452) - FIND("-", L1452)))</f>
        <v>PK02</v>
      </c>
      <c r="AJ1452">
        <f t="shared" si="113"/>
        <v>4.1119999999999997E-2</v>
      </c>
      <c r="AK1452">
        <f t="shared" si="114"/>
        <v>1.7498900000000002</v>
      </c>
      <c r="AL1452">
        <f>VLOOKUP(L1452,'[1]Tuyến cáp H04'!$B:$E,3,0)/1000</f>
        <v>8.9160000000000004</v>
      </c>
      <c r="AM1452" t="str">
        <f>VLOOKUP(L1452,'[1]Tuyến cáp H04'!$B:$E,4,0)</f>
        <v>Mạng cấp 3</v>
      </c>
    </row>
    <row r="1453" spans="1:39" x14ac:dyDescent="0.25">
      <c r="A1453" s="1" t="s">
        <v>13732</v>
      </c>
      <c r="B1453" s="1" t="s">
        <v>11912</v>
      </c>
      <c r="C1453" s="1" t="s">
        <v>11913</v>
      </c>
      <c r="D1453" s="1" t="s">
        <v>13733</v>
      </c>
      <c r="E1453" s="1" t="s">
        <v>13734</v>
      </c>
      <c r="F1453" s="1" t="s">
        <v>13735</v>
      </c>
      <c r="G1453" s="1" t="s">
        <v>14281</v>
      </c>
      <c r="H1453" s="1" t="s">
        <v>14282</v>
      </c>
      <c r="I1453" s="1" t="s">
        <v>15539</v>
      </c>
      <c r="J1453" s="1" t="s">
        <v>23</v>
      </c>
      <c r="K1453" s="1"/>
      <c r="L1453" s="1" t="s">
        <v>13736</v>
      </c>
      <c r="M1453" s="1" t="s">
        <v>13736</v>
      </c>
      <c r="N1453" s="12" t="b">
        <f t="shared" si="110"/>
        <v>1</v>
      </c>
      <c r="O1453" s="1" t="s">
        <v>13737</v>
      </c>
      <c r="P1453" s="1" t="s">
        <v>3069</v>
      </c>
      <c r="Q1453" s="1" t="s">
        <v>13738</v>
      </c>
      <c r="R1453" s="1" t="s">
        <v>13739</v>
      </c>
      <c r="S1453" s="1" t="s">
        <v>13740</v>
      </c>
      <c r="T1453" s="1" t="s">
        <v>13738</v>
      </c>
      <c r="U1453" s="1" t="s">
        <v>13739</v>
      </c>
      <c r="V1453" s="13">
        <f>COUNTIF(L1453:$M$1659,L1453)</f>
        <v>2</v>
      </c>
      <c r="W1453" s="1" t="s">
        <v>13741</v>
      </c>
      <c r="X1453">
        <v>1122.18</v>
      </c>
      <c r="Y1453">
        <v>29.18</v>
      </c>
      <c r="Z1453">
        <v>16.046562000000002</v>
      </c>
      <c r="AA1453">
        <v>108.15731</v>
      </c>
      <c r="AB1453">
        <v>1093.01</v>
      </c>
      <c r="AC1453">
        <v>16.046562000000002</v>
      </c>
      <c r="AD1453">
        <v>108.15731</v>
      </c>
      <c r="AE1453" s="5">
        <f t="shared" si="111"/>
        <v>4.3769999999999996E-2</v>
      </c>
      <c r="AF1453" s="5">
        <f t="shared" si="112"/>
        <v>1.6395149999999998</v>
      </c>
      <c r="AG1453" s="1" t="str">
        <f>TRIM(LEFT(L1453,FIND("-",L1453)-1))</f>
        <v>Trại giam CATP</v>
      </c>
      <c r="AH1453" s="1" t="str">
        <f>TRIM(RIGHT(L1453, LEN(L1453) - FIND("-", L1453)))</f>
        <v>PK02</v>
      </c>
      <c r="AJ1453">
        <f t="shared" si="113"/>
        <v>2.9180000000000001E-2</v>
      </c>
      <c r="AK1453">
        <f t="shared" si="114"/>
        <v>1.09301</v>
      </c>
      <c r="AL1453">
        <f>VLOOKUP(L1453,'[1]Tuyến cáp H04'!$B:$E,3,0)/1000</f>
        <v>6.8789999999999996</v>
      </c>
      <c r="AM1453" t="str">
        <f>VLOOKUP(L1453,'[1]Tuyến cáp H04'!$B:$E,4,0)</f>
        <v>Mạng cấp 3</v>
      </c>
    </row>
    <row r="1454" spans="1:39" x14ac:dyDescent="0.25">
      <c r="A1454" s="1" t="s">
        <v>11977</v>
      </c>
      <c r="B1454" s="1" t="s">
        <v>11940</v>
      </c>
      <c r="C1454" s="1" t="s">
        <v>11941</v>
      </c>
      <c r="D1454" s="1" t="s">
        <v>11978</v>
      </c>
      <c r="E1454" s="1" t="s">
        <v>11979</v>
      </c>
      <c r="F1454" s="1" t="s">
        <v>13742</v>
      </c>
      <c r="G1454" s="1" t="s">
        <v>14281</v>
      </c>
      <c r="H1454" s="1" t="s">
        <v>14282</v>
      </c>
      <c r="I1454" s="1" t="s">
        <v>15345</v>
      </c>
      <c r="J1454" s="1" t="s">
        <v>23</v>
      </c>
      <c r="K1454" s="1"/>
      <c r="L1454" s="1" t="s">
        <v>11902</v>
      </c>
      <c r="M1454" s="1" t="s">
        <v>11902</v>
      </c>
      <c r="N1454" s="12" t="b">
        <f t="shared" si="110"/>
        <v>1</v>
      </c>
      <c r="O1454" s="1" t="s">
        <v>11981</v>
      </c>
      <c r="P1454" s="1" t="s">
        <v>11946</v>
      </c>
      <c r="Q1454" s="1" t="s">
        <v>11947</v>
      </c>
      <c r="R1454" s="1" t="s">
        <v>11948</v>
      </c>
      <c r="S1454" s="1" t="s">
        <v>11982</v>
      </c>
      <c r="T1454" s="1" t="s">
        <v>11950</v>
      </c>
      <c r="U1454" s="1" t="s">
        <v>11951</v>
      </c>
      <c r="V1454" s="13">
        <f>COUNTIF(L1454:$M$1659,L1454)</f>
        <v>6</v>
      </c>
      <c r="W1454" s="1" t="s">
        <v>11952</v>
      </c>
      <c r="X1454">
        <v>3483.25</v>
      </c>
      <c r="Y1454">
        <v>20.38</v>
      </c>
      <c r="Z1454">
        <v>16.140616000000001</v>
      </c>
      <c r="AA1454">
        <v>108.11979100000001</v>
      </c>
      <c r="AB1454">
        <v>3462.87</v>
      </c>
      <c r="AC1454">
        <v>16.128188999999999</v>
      </c>
      <c r="AD1454">
        <v>108.11491700000001</v>
      </c>
      <c r="AE1454" s="5">
        <f t="shared" si="111"/>
        <v>3.057E-2</v>
      </c>
      <c r="AF1454" s="5">
        <f t="shared" si="112"/>
        <v>5.1943049999999999</v>
      </c>
      <c r="AG1454" s="1" t="str">
        <f>TRIM(LEFT(L1454,FIND("-",L1454)-1))</f>
        <v>Trạm CSGT Hòa Hiệp</v>
      </c>
      <c r="AH1454" s="1" t="str">
        <f>TRIM(RIGHT(L1454, LEN(L1454) - FIND("-", L1454)))</f>
        <v>Trại giam CATP</v>
      </c>
      <c r="AJ1454">
        <f t="shared" si="113"/>
        <v>2.0379999999999999E-2</v>
      </c>
      <c r="AK1454">
        <f t="shared" si="114"/>
        <v>3.4628699999999997</v>
      </c>
      <c r="AL1454">
        <f>VLOOKUP(L1454,'[1]Tuyến cáp H04'!$B:$E,3,0)/1000</f>
        <v>9.7919999999999998</v>
      </c>
      <c r="AM1454" t="str">
        <f>VLOOKUP(L1454,'[1]Tuyến cáp H04'!$B:$E,4,0)</f>
        <v>Mạng cấp 3</v>
      </c>
    </row>
    <row r="1455" spans="1:39" x14ac:dyDescent="0.25">
      <c r="A1455" s="1" t="s">
        <v>11983</v>
      </c>
      <c r="B1455" s="1" t="s">
        <v>11940</v>
      </c>
      <c r="C1455" s="1" t="s">
        <v>11941</v>
      </c>
      <c r="D1455" s="1" t="s">
        <v>11984</v>
      </c>
      <c r="E1455" s="1" t="s">
        <v>11985</v>
      </c>
      <c r="F1455" s="1" t="s">
        <v>13743</v>
      </c>
      <c r="G1455" s="1"/>
      <c r="H1455" s="1" t="s">
        <v>14282</v>
      </c>
      <c r="I1455" s="1" t="s">
        <v>15346</v>
      </c>
      <c r="J1455" s="1" t="s">
        <v>23</v>
      </c>
      <c r="K1455" s="1"/>
      <c r="L1455" s="1" t="s">
        <v>11902</v>
      </c>
      <c r="M1455" s="1" t="s">
        <v>11902</v>
      </c>
      <c r="N1455" s="12" t="b">
        <f t="shared" si="110"/>
        <v>1</v>
      </c>
      <c r="O1455" s="1" t="s">
        <v>11987</v>
      </c>
      <c r="P1455" s="1" t="s">
        <v>11946</v>
      </c>
      <c r="Q1455" s="1" t="s">
        <v>11947</v>
      </c>
      <c r="R1455" s="1" t="s">
        <v>11948</v>
      </c>
      <c r="S1455" s="1" t="s">
        <v>11988</v>
      </c>
      <c r="T1455" s="1" t="s">
        <v>11989</v>
      </c>
      <c r="U1455" s="1" t="s">
        <v>11990</v>
      </c>
      <c r="V1455" s="13">
        <f>COUNTIF(L1455:$M$1659,L1455)</f>
        <v>4</v>
      </c>
      <c r="W1455" s="1" t="s">
        <v>11952</v>
      </c>
      <c r="X1455">
        <v>270.02999999999997</v>
      </c>
      <c r="Y1455">
        <v>20.38</v>
      </c>
      <c r="Z1455">
        <v>16.140616000000001</v>
      </c>
      <c r="AA1455">
        <v>108.11979100000001</v>
      </c>
      <c r="AB1455">
        <v>249.65</v>
      </c>
      <c r="AC1455">
        <v>16.107706</v>
      </c>
      <c r="AD1455">
        <v>108.128424</v>
      </c>
      <c r="AE1455" s="5">
        <f t="shared" si="111"/>
        <v>3.057E-2</v>
      </c>
      <c r="AF1455" s="5">
        <f t="shared" si="112"/>
        <v>0.374475</v>
      </c>
      <c r="AG1455" s="1" t="str">
        <f>TRIM(LEFT(L1455,FIND("-",L1455)-1))</f>
        <v>Trạm CSGT Hòa Hiệp</v>
      </c>
      <c r="AH1455" s="1" t="str">
        <f>TRIM(RIGHT(L1455, LEN(L1455) - FIND("-", L1455)))</f>
        <v>Trại giam CATP</v>
      </c>
      <c r="AJ1455">
        <f t="shared" si="113"/>
        <v>2.0379999999999999E-2</v>
      </c>
      <c r="AK1455">
        <f t="shared" si="114"/>
        <v>0.24965000000000001</v>
      </c>
      <c r="AL1455">
        <f>VLOOKUP(L1455,'[1]Tuyến cáp H04'!$B:$E,3,0)/1000</f>
        <v>9.7919999999999998</v>
      </c>
      <c r="AM1455" t="str">
        <f>VLOOKUP(L1455,'[1]Tuyến cáp H04'!$B:$E,4,0)</f>
        <v>Mạng cấp 3</v>
      </c>
    </row>
    <row r="1456" spans="1:39" x14ac:dyDescent="0.25">
      <c r="A1456" s="1" t="s">
        <v>12003</v>
      </c>
      <c r="B1456" s="1" t="s">
        <v>11176</v>
      </c>
      <c r="C1456" s="1" t="s">
        <v>11177</v>
      </c>
      <c r="D1456" s="1" t="s">
        <v>11141</v>
      </c>
      <c r="E1456" s="1" t="s">
        <v>11142</v>
      </c>
      <c r="F1456" s="1" t="s">
        <v>12935</v>
      </c>
      <c r="G1456" s="1"/>
      <c r="H1456" s="1" t="s">
        <v>14282</v>
      </c>
      <c r="I1456" s="1" t="s">
        <v>15268</v>
      </c>
      <c r="J1456" s="1" t="s">
        <v>23</v>
      </c>
      <c r="K1456" s="1"/>
      <c r="L1456" s="1" t="s">
        <v>11179</v>
      </c>
      <c r="M1456" s="1" t="s">
        <v>11179</v>
      </c>
      <c r="N1456" s="12" t="b">
        <f t="shared" si="110"/>
        <v>1</v>
      </c>
      <c r="O1456" s="1" t="s">
        <v>11180</v>
      </c>
      <c r="P1456" s="1" t="s">
        <v>11184</v>
      </c>
      <c r="Q1456" s="1" t="s">
        <v>11185</v>
      </c>
      <c r="R1456" s="1" t="s">
        <v>11186</v>
      </c>
      <c r="S1456" s="1" t="s">
        <v>11181</v>
      </c>
      <c r="T1456" s="1" t="s">
        <v>11182</v>
      </c>
      <c r="U1456" s="1" t="s">
        <v>11183</v>
      </c>
      <c r="V1456" s="13">
        <f>COUNTIF(L1456:$M$1659,L1456)</f>
        <v>2</v>
      </c>
      <c r="W1456" s="1" t="s">
        <v>11187</v>
      </c>
      <c r="X1456">
        <v>490.42</v>
      </c>
      <c r="Y1456">
        <v>463.11</v>
      </c>
      <c r="Z1456">
        <v>16.074614</v>
      </c>
      <c r="AA1456">
        <v>108.14948099999999</v>
      </c>
      <c r="AB1456">
        <v>27.31</v>
      </c>
      <c r="AC1456">
        <v>16.074273999999999</v>
      </c>
      <c r="AD1456">
        <v>108.158044</v>
      </c>
      <c r="AE1456" s="5">
        <f t="shared" si="111"/>
        <v>0.69466499999999998</v>
      </c>
      <c r="AF1456" s="5">
        <f t="shared" si="112"/>
        <v>4.0964999999999994E-2</v>
      </c>
      <c r="AG1456" s="1" t="str">
        <f>TRIM(LEFT(L1456,FIND("-",L1456)-1))</f>
        <v>TTCMKV Liên Chiểu</v>
      </c>
      <c r="AH1456" s="1" t="str">
        <f>TRIM(RIGHT(L1456, LEN(L1456) - FIND("-", L1456)))</f>
        <v>Trạm CSGT Hòa Hiệp</v>
      </c>
      <c r="AJ1456">
        <f t="shared" si="113"/>
        <v>0.46311000000000002</v>
      </c>
      <c r="AK1456">
        <f t="shared" si="114"/>
        <v>2.7309999999999997E-2</v>
      </c>
      <c r="AL1456">
        <f>VLOOKUP(L1456,'[1]Tuyến cáp H04'!$B:$E,3,0)/1000</f>
        <v>9.5169999999999995</v>
      </c>
      <c r="AM1456" t="str">
        <f>VLOOKUP(L1456,'[1]Tuyến cáp H04'!$B:$E,4,0)</f>
        <v>Mạng cấp 3</v>
      </c>
    </row>
    <row r="1457" spans="1:39" x14ac:dyDescent="0.25">
      <c r="A1457" s="1" t="s">
        <v>13744</v>
      </c>
      <c r="B1457" s="1" t="s">
        <v>11176</v>
      </c>
      <c r="C1457" s="1" t="s">
        <v>11177</v>
      </c>
      <c r="D1457" s="1" t="s">
        <v>13745</v>
      </c>
      <c r="E1457" s="1" t="s">
        <v>13746</v>
      </c>
      <c r="F1457" s="1" t="s">
        <v>13747</v>
      </c>
      <c r="G1457" s="1" t="s">
        <v>14281</v>
      </c>
      <c r="H1457" s="1" t="s">
        <v>14282</v>
      </c>
      <c r="I1457" s="1" t="s">
        <v>15540</v>
      </c>
      <c r="J1457" s="1" t="s">
        <v>23</v>
      </c>
      <c r="K1457" s="1"/>
      <c r="L1457" s="1" t="s">
        <v>11166</v>
      </c>
      <c r="M1457" s="1" t="s">
        <v>11166</v>
      </c>
      <c r="N1457" s="12" t="b">
        <f t="shared" si="110"/>
        <v>1</v>
      </c>
      <c r="O1457" s="1" t="s">
        <v>13748</v>
      </c>
      <c r="P1457" s="1" t="s">
        <v>13749</v>
      </c>
      <c r="Q1457" s="1" t="s">
        <v>13750</v>
      </c>
      <c r="R1457" s="1" t="s">
        <v>13751</v>
      </c>
      <c r="S1457" s="1" t="s">
        <v>13752</v>
      </c>
      <c r="T1457" s="1" t="s">
        <v>13753</v>
      </c>
      <c r="U1457" s="1" t="s">
        <v>13754</v>
      </c>
      <c r="V1457" s="13">
        <f>COUNTIF(L1457:$M$1659,L1457)</f>
        <v>6</v>
      </c>
      <c r="W1457" s="1" t="s">
        <v>12053</v>
      </c>
      <c r="X1457">
        <v>605.01</v>
      </c>
      <c r="Y1457">
        <v>492.71</v>
      </c>
      <c r="Z1457">
        <v>16.081016999999999</v>
      </c>
      <c r="AA1457">
        <v>108.146484</v>
      </c>
      <c r="AB1457">
        <v>112.31</v>
      </c>
      <c r="AC1457">
        <v>16.084243000000001</v>
      </c>
      <c r="AD1457">
        <v>108.150699</v>
      </c>
      <c r="AE1457" s="5">
        <f t="shared" si="111"/>
        <v>0.73906499999999997</v>
      </c>
      <c r="AF1457" s="5">
        <f t="shared" si="112"/>
        <v>0.168465</v>
      </c>
      <c r="AG1457" s="1" t="str">
        <f>TRIM(LEFT(L1457,FIND("-",L1457)-1))</f>
        <v>TT1 Đà Nẵng</v>
      </c>
      <c r="AH1457" s="1" t="str">
        <f>TRIM(RIGHT(L1457, LEN(L1457) - FIND("-", L1457)))</f>
        <v>Hải Vân</v>
      </c>
      <c r="AJ1457">
        <f t="shared" si="113"/>
        <v>0.49270999999999998</v>
      </c>
      <c r="AK1457">
        <f t="shared" si="114"/>
        <v>0.11231000000000001</v>
      </c>
      <c r="AL1457">
        <f>VLOOKUP(L1457,'[1]Tuyến cáp H04'!$B:$E,3,0)/1000</f>
        <v>14.76</v>
      </c>
      <c r="AM1457" t="str">
        <f>VLOOKUP(L1457,'[1]Tuyến cáp H04'!$B:$E,4,0)</f>
        <v>Mạng cấp 4</v>
      </c>
    </row>
    <row r="1458" spans="1:39" x14ac:dyDescent="0.25">
      <c r="A1458" s="1" t="s">
        <v>13755</v>
      </c>
      <c r="B1458" s="1" t="s">
        <v>11984</v>
      </c>
      <c r="C1458" s="1" t="s">
        <v>11985</v>
      </c>
      <c r="D1458" s="1" t="s">
        <v>13756</v>
      </c>
      <c r="E1458" s="1" t="s">
        <v>13757</v>
      </c>
      <c r="F1458" s="1" t="s">
        <v>13758</v>
      </c>
      <c r="G1458" s="1" t="s">
        <v>14281</v>
      </c>
      <c r="H1458" s="1" t="s">
        <v>14282</v>
      </c>
      <c r="I1458" s="1" t="s">
        <v>15541</v>
      </c>
      <c r="J1458" s="1" t="s">
        <v>23</v>
      </c>
      <c r="K1458" s="1"/>
      <c r="L1458" s="1" t="s">
        <v>11166</v>
      </c>
      <c r="M1458" s="1" t="s">
        <v>11166</v>
      </c>
      <c r="N1458" s="12" t="b">
        <f t="shared" si="110"/>
        <v>1</v>
      </c>
      <c r="O1458" s="1" t="s">
        <v>13759</v>
      </c>
      <c r="P1458" s="1" t="s">
        <v>12047</v>
      </c>
      <c r="Q1458" s="1" t="s">
        <v>12048</v>
      </c>
      <c r="R1458" s="1" t="s">
        <v>12049</v>
      </c>
      <c r="S1458" s="1" t="s">
        <v>13760</v>
      </c>
      <c r="T1458" s="1" t="s">
        <v>13761</v>
      </c>
      <c r="U1458" s="1" t="s">
        <v>13762</v>
      </c>
      <c r="V1458" s="13">
        <f>COUNTIF(L1458:$M$1659,L1458)</f>
        <v>4</v>
      </c>
      <c r="W1458" s="1" t="s">
        <v>12053</v>
      </c>
      <c r="X1458">
        <v>177.02</v>
      </c>
      <c r="Y1458">
        <v>14.62</v>
      </c>
      <c r="Z1458">
        <v>16.107544000000001</v>
      </c>
      <c r="AA1458">
        <v>108.12598699999999</v>
      </c>
      <c r="AB1458">
        <v>162.41</v>
      </c>
      <c r="AC1458">
        <v>16.105843</v>
      </c>
      <c r="AD1458">
        <v>108.13267</v>
      </c>
      <c r="AE1458" s="5">
        <f t="shared" si="111"/>
        <v>2.1929999999999998E-2</v>
      </c>
      <c r="AF1458" s="5">
        <f t="shared" si="112"/>
        <v>0.243615</v>
      </c>
      <c r="AG1458" s="1" t="str">
        <f>TRIM(LEFT(L1458,FIND("-",L1458)-1))</f>
        <v>TT1 Đà Nẵng</v>
      </c>
      <c r="AH1458" s="1" t="str">
        <f>TRIM(RIGHT(L1458, LEN(L1458) - FIND("-", L1458)))</f>
        <v>Hải Vân</v>
      </c>
      <c r="AJ1458">
        <f t="shared" si="113"/>
        <v>1.4619999999999999E-2</v>
      </c>
      <c r="AK1458">
        <f t="shared" si="114"/>
        <v>0.16241</v>
      </c>
      <c r="AL1458">
        <f>VLOOKUP(L1458,'[1]Tuyến cáp H04'!$B:$E,3,0)/1000</f>
        <v>14.76</v>
      </c>
      <c r="AM1458" t="str">
        <f>VLOOKUP(L1458,'[1]Tuyến cáp H04'!$B:$E,4,0)</f>
        <v>Mạng cấp 4</v>
      </c>
    </row>
    <row r="1459" spans="1:39" x14ac:dyDescent="0.25">
      <c r="A1459" s="1" t="s">
        <v>12041</v>
      </c>
      <c r="B1459" s="1" t="s">
        <v>11984</v>
      </c>
      <c r="C1459" s="1" t="s">
        <v>11985</v>
      </c>
      <c r="D1459" s="1" t="s">
        <v>11940</v>
      </c>
      <c r="E1459" s="1" t="s">
        <v>11941</v>
      </c>
      <c r="F1459" s="1" t="s">
        <v>13743</v>
      </c>
      <c r="G1459" s="1"/>
      <c r="H1459" s="1" t="s">
        <v>14282</v>
      </c>
      <c r="I1459" s="1" t="s">
        <v>15346</v>
      </c>
      <c r="J1459" s="1" t="s">
        <v>23</v>
      </c>
      <c r="K1459" s="1"/>
      <c r="L1459" s="1" t="s">
        <v>11902</v>
      </c>
      <c r="M1459" s="1" t="s">
        <v>11902</v>
      </c>
      <c r="N1459" s="12" t="b">
        <f t="shared" si="110"/>
        <v>1</v>
      </c>
      <c r="O1459" s="1" t="s">
        <v>11987</v>
      </c>
      <c r="P1459" s="1" t="s">
        <v>11988</v>
      </c>
      <c r="Q1459" s="1" t="s">
        <v>11989</v>
      </c>
      <c r="R1459" s="1" t="s">
        <v>11990</v>
      </c>
      <c r="S1459" s="1" t="s">
        <v>11946</v>
      </c>
      <c r="T1459" s="1" t="s">
        <v>11947</v>
      </c>
      <c r="U1459" s="1" t="s">
        <v>11948</v>
      </c>
      <c r="V1459" s="13">
        <f>COUNTIF(L1459:$M$1659,L1459)</f>
        <v>2</v>
      </c>
      <c r="W1459" s="1" t="s">
        <v>11952</v>
      </c>
      <c r="X1459">
        <v>270.02999999999997</v>
      </c>
      <c r="Y1459">
        <v>249.65</v>
      </c>
      <c r="Z1459">
        <v>16.107706</v>
      </c>
      <c r="AA1459">
        <v>108.128424</v>
      </c>
      <c r="AB1459">
        <v>20.38</v>
      </c>
      <c r="AC1459">
        <v>16.140616000000001</v>
      </c>
      <c r="AD1459">
        <v>108.11979100000001</v>
      </c>
      <c r="AE1459" s="5">
        <f t="shared" si="111"/>
        <v>0.374475</v>
      </c>
      <c r="AF1459" s="5">
        <f t="shared" si="112"/>
        <v>3.057E-2</v>
      </c>
      <c r="AG1459" s="1" t="str">
        <f>TRIM(LEFT(L1459,FIND("-",L1459)-1))</f>
        <v>Trạm CSGT Hòa Hiệp</v>
      </c>
      <c r="AH1459" s="1" t="str">
        <f>TRIM(RIGHT(L1459, LEN(L1459) - FIND("-", L1459)))</f>
        <v>Trại giam CATP</v>
      </c>
      <c r="AJ1459">
        <f t="shared" si="113"/>
        <v>0.24965000000000001</v>
      </c>
      <c r="AK1459">
        <f t="shared" si="114"/>
        <v>2.0379999999999999E-2</v>
      </c>
      <c r="AL1459">
        <f>VLOOKUP(L1459,'[1]Tuyến cáp H04'!$B:$E,3,0)/1000</f>
        <v>9.7919999999999998</v>
      </c>
      <c r="AM1459" t="str">
        <f>VLOOKUP(L1459,'[1]Tuyến cáp H04'!$B:$E,4,0)</f>
        <v>Mạng cấp 3</v>
      </c>
    </row>
    <row r="1460" spans="1:39" x14ac:dyDescent="0.25">
      <c r="A1460" s="1" t="s">
        <v>12042</v>
      </c>
      <c r="B1460" s="1" t="s">
        <v>11984</v>
      </c>
      <c r="C1460" s="1" t="s">
        <v>11985</v>
      </c>
      <c r="D1460" s="1" t="s">
        <v>12043</v>
      </c>
      <c r="E1460" s="1" t="s">
        <v>12044</v>
      </c>
      <c r="F1460" s="1" t="s">
        <v>13763</v>
      </c>
      <c r="G1460" s="1" t="s">
        <v>14281</v>
      </c>
      <c r="H1460" s="1" t="s">
        <v>14282</v>
      </c>
      <c r="I1460" s="1" t="s">
        <v>15352</v>
      </c>
      <c r="J1460" s="1" t="s">
        <v>23</v>
      </c>
      <c r="K1460" s="1"/>
      <c r="L1460" s="1" t="s">
        <v>11166</v>
      </c>
      <c r="M1460" s="1" t="s">
        <v>11166</v>
      </c>
      <c r="N1460" s="12" t="b">
        <f t="shared" si="110"/>
        <v>1</v>
      </c>
      <c r="O1460" s="1" t="s">
        <v>12046</v>
      </c>
      <c r="P1460" s="1" t="s">
        <v>12047</v>
      </c>
      <c r="Q1460" s="1" t="s">
        <v>12048</v>
      </c>
      <c r="R1460" s="1" t="s">
        <v>12049</v>
      </c>
      <c r="S1460" s="1" t="s">
        <v>12050</v>
      </c>
      <c r="T1460" s="1" t="s">
        <v>12051</v>
      </c>
      <c r="U1460" s="1" t="s">
        <v>12052</v>
      </c>
      <c r="V1460" s="13">
        <f>COUNTIF(L1460:$M$1659,L1460)</f>
        <v>2</v>
      </c>
      <c r="W1460" s="1" t="s">
        <v>12053</v>
      </c>
      <c r="X1460">
        <v>194.31</v>
      </c>
      <c r="Y1460">
        <v>14.62</v>
      </c>
      <c r="Z1460">
        <v>16.107544000000001</v>
      </c>
      <c r="AA1460">
        <v>108.12598699999999</v>
      </c>
      <c r="AB1460">
        <v>179.69</v>
      </c>
      <c r="AC1460">
        <v>16.100843999999999</v>
      </c>
      <c r="AD1460">
        <v>108.13513399999999</v>
      </c>
      <c r="AE1460" s="5">
        <f t="shared" si="111"/>
        <v>2.1929999999999998E-2</v>
      </c>
      <c r="AF1460" s="5">
        <f t="shared" si="112"/>
        <v>0.26953499999999997</v>
      </c>
      <c r="AG1460" s="1" t="str">
        <f>TRIM(LEFT(L1460,FIND("-",L1460)-1))</f>
        <v>TT1 Đà Nẵng</v>
      </c>
      <c r="AH1460" s="1" t="str">
        <f>TRIM(RIGHT(L1460, LEN(L1460) - FIND("-", L1460)))</f>
        <v>Hải Vân</v>
      </c>
      <c r="AJ1460">
        <f t="shared" si="113"/>
        <v>1.4619999999999999E-2</v>
      </c>
      <c r="AK1460">
        <f t="shared" si="114"/>
        <v>0.17968999999999999</v>
      </c>
      <c r="AL1460">
        <f>VLOOKUP(L1460,'[1]Tuyến cáp H04'!$B:$E,3,0)/1000</f>
        <v>14.76</v>
      </c>
      <c r="AM1460" t="str">
        <f>VLOOKUP(L1460,'[1]Tuyến cáp H04'!$B:$E,4,0)</f>
        <v>Mạng cấp 4</v>
      </c>
    </row>
    <row r="1461" spans="1:39" x14ac:dyDescent="0.25">
      <c r="A1461" s="1" t="s">
        <v>13764</v>
      </c>
      <c r="B1461" s="1" t="s">
        <v>12055</v>
      </c>
      <c r="C1461" s="1" t="s">
        <v>12056</v>
      </c>
      <c r="D1461" s="1" t="s">
        <v>13765</v>
      </c>
      <c r="E1461" s="1" t="s">
        <v>13766</v>
      </c>
      <c r="F1461" s="1" t="s">
        <v>13767</v>
      </c>
      <c r="G1461" s="1" t="s">
        <v>14281</v>
      </c>
      <c r="H1461" s="1" t="s">
        <v>14282</v>
      </c>
      <c r="I1461" s="1" t="s">
        <v>15542</v>
      </c>
      <c r="J1461" s="1" t="s">
        <v>23</v>
      </c>
      <c r="K1461" s="1"/>
      <c r="L1461" s="1" t="s">
        <v>12072</v>
      </c>
      <c r="M1461" s="1" t="s">
        <v>12072</v>
      </c>
      <c r="N1461" s="12" t="b">
        <f t="shared" si="110"/>
        <v>1</v>
      </c>
      <c r="O1461" s="1" t="s">
        <v>13768</v>
      </c>
      <c r="P1461" s="1" t="s">
        <v>12074</v>
      </c>
      <c r="Q1461" s="1" t="s">
        <v>12075</v>
      </c>
      <c r="R1461" s="1" t="s">
        <v>12076</v>
      </c>
      <c r="S1461" s="1" t="s">
        <v>13769</v>
      </c>
      <c r="T1461" s="1" t="s">
        <v>13770</v>
      </c>
      <c r="U1461" s="1" t="s">
        <v>13771</v>
      </c>
      <c r="V1461" s="13">
        <f>COUNTIF(L1461:$M$1659,L1461)</f>
        <v>6</v>
      </c>
      <c r="W1461" s="1" t="s">
        <v>12080</v>
      </c>
      <c r="X1461">
        <v>366.33</v>
      </c>
      <c r="Y1461">
        <v>50.98</v>
      </c>
      <c r="Z1461">
        <v>16.038461999999999</v>
      </c>
      <c r="AA1461">
        <v>108.242496</v>
      </c>
      <c r="AB1461">
        <v>315.35000000000002</v>
      </c>
      <c r="AC1461">
        <v>16.043773000000002</v>
      </c>
      <c r="AD1461">
        <v>108.24481400000001</v>
      </c>
      <c r="AE1461" s="5">
        <f t="shared" si="111"/>
        <v>7.6469999999999996E-2</v>
      </c>
      <c r="AF1461" s="5">
        <f t="shared" si="112"/>
        <v>0.47302500000000003</v>
      </c>
      <c r="AG1461" s="1" t="str">
        <f>TRIM(LEFT(L1461,FIND("-",L1461)-1))</f>
        <v>K01</v>
      </c>
      <c r="AH1461" s="1" t="str">
        <f>TRIM(RIGHT(L1461, LEN(L1461) - FIND("-", L1461)))</f>
        <v>A01</v>
      </c>
      <c r="AJ1461">
        <f t="shared" si="113"/>
        <v>5.0979999999999998E-2</v>
      </c>
      <c r="AK1461">
        <f t="shared" si="114"/>
        <v>0.31535000000000002</v>
      </c>
      <c r="AL1461" t="e">
        <f>VLOOKUP(L1461,'[1]Tuyến cáp H04'!$B:$E,3,0)/1000</f>
        <v>#N/A</v>
      </c>
      <c r="AM1461" t="e">
        <f>VLOOKUP(L1461,'[1]Tuyến cáp H04'!$B:$E,4,0)</f>
        <v>#N/A</v>
      </c>
    </row>
    <row r="1462" spans="1:39" x14ac:dyDescent="0.25">
      <c r="A1462" s="1" t="s">
        <v>13772</v>
      </c>
      <c r="B1462" s="1" t="s">
        <v>12055</v>
      </c>
      <c r="C1462" s="1" t="s">
        <v>12056</v>
      </c>
      <c r="D1462" s="1" t="s">
        <v>12956</v>
      </c>
      <c r="E1462" s="1" t="s">
        <v>12957</v>
      </c>
      <c r="F1462" s="1" t="s">
        <v>13773</v>
      </c>
      <c r="G1462" s="1" t="s">
        <v>14281</v>
      </c>
      <c r="H1462" s="1" t="s">
        <v>14282</v>
      </c>
      <c r="I1462" s="1" t="s">
        <v>15543</v>
      </c>
      <c r="J1462" s="1" t="s">
        <v>23</v>
      </c>
      <c r="K1462" s="1"/>
      <c r="L1462" s="1" t="s">
        <v>12072</v>
      </c>
      <c r="M1462" s="1" t="s">
        <v>12072</v>
      </c>
      <c r="N1462" s="12" t="b">
        <f t="shared" si="110"/>
        <v>1</v>
      </c>
      <c r="O1462" s="1" t="s">
        <v>13774</v>
      </c>
      <c r="P1462" s="1" t="s">
        <v>12074</v>
      </c>
      <c r="Q1462" s="1" t="s">
        <v>12075</v>
      </c>
      <c r="R1462" s="1" t="s">
        <v>12076</v>
      </c>
      <c r="S1462" s="1" t="s">
        <v>12962</v>
      </c>
      <c r="T1462" s="1" t="s">
        <v>12078</v>
      </c>
      <c r="U1462" s="1" t="s">
        <v>12079</v>
      </c>
      <c r="V1462" s="13">
        <f>COUNTIF(L1462:$M$1659,L1462)</f>
        <v>4</v>
      </c>
      <c r="W1462" s="1" t="s">
        <v>12080</v>
      </c>
      <c r="X1462">
        <v>103.93</v>
      </c>
      <c r="Y1462">
        <v>50.98</v>
      </c>
      <c r="Z1462">
        <v>16.038461999999999</v>
      </c>
      <c r="AA1462">
        <v>108.242496</v>
      </c>
      <c r="AB1462">
        <v>52.95</v>
      </c>
      <c r="AC1462">
        <v>16.042570000000001</v>
      </c>
      <c r="AD1462">
        <v>108.245257</v>
      </c>
      <c r="AE1462" s="5">
        <f t="shared" si="111"/>
        <v>7.6469999999999996E-2</v>
      </c>
      <c r="AF1462" s="5">
        <f t="shared" si="112"/>
        <v>7.9425000000000009E-2</v>
      </c>
      <c r="AG1462" s="1" t="str">
        <f>TRIM(LEFT(L1462,FIND("-",L1462)-1))</f>
        <v>K01</v>
      </c>
      <c r="AH1462" s="1" t="str">
        <f>TRIM(RIGHT(L1462, LEN(L1462) - FIND("-", L1462)))</f>
        <v>A01</v>
      </c>
      <c r="AJ1462">
        <f t="shared" si="113"/>
        <v>5.0979999999999998E-2</v>
      </c>
      <c r="AK1462">
        <f t="shared" si="114"/>
        <v>5.2950000000000004E-2</v>
      </c>
      <c r="AL1462" t="e">
        <f>VLOOKUP(L1462,'[1]Tuyến cáp H04'!$B:$E,3,0)/1000</f>
        <v>#N/A</v>
      </c>
      <c r="AM1462" t="e">
        <f>VLOOKUP(L1462,'[1]Tuyến cáp H04'!$B:$E,4,0)</f>
        <v>#N/A</v>
      </c>
    </row>
    <row r="1463" spans="1:39" x14ac:dyDescent="0.25">
      <c r="A1463" s="1" t="s">
        <v>13775</v>
      </c>
      <c r="B1463" s="1" t="s">
        <v>12055</v>
      </c>
      <c r="C1463" s="1" t="s">
        <v>12056</v>
      </c>
      <c r="D1463" s="1" t="s">
        <v>13776</v>
      </c>
      <c r="E1463" s="1" t="s">
        <v>13777</v>
      </c>
      <c r="F1463" s="1" t="s">
        <v>13778</v>
      </c>
      <c r="G1463" s="1" t="s">
        <v>14281</v>
      </c>
      <c r="H1463" s="1" t="s">
        <v>14282</v>
      </c>
      <c r="I1463" s="1" t="s">
        <v>15544</v>
      </c>
      <c r="J1463" s="1" t="s">
        <v>23</v>
      </c>
      <c r="K1463" s="1"/>
      <c r="L1463" s="1" t="s">
        <v>12072</v>
      </c>
      <c r="M1463" s="1" t="s">
        <v>12072</v>
      </c>
      <c r="N1463" s="12" t="b">
        <f t="shared" si="110"/>
        <v>1</v>
      </c>
      <c r="O1463" s="1" t="s">
        <v>13779</v>
      </c>
      <c r="P1463" s="1" t="s">
        <v>12074</v>
      </c>
      <c r="Q1463" s="1" t="s">
        <v>12075</v>
      </c>
      <c r="R1463" s="1" t="s">
        <v>12076</v>
      </c>
      <c r="S1463" s="1" t="s">
        <v>13780</v>
      </c>
      <c r="T1463" s="1" t="s">
        <v>13781</v>
      </c>
      <c r="U1463" s="1" t="s">
        <v>13782</v>
      </c>
      <c r="V1463" s="13">
        <f>COUNTIF(L1463:$M$1659,L1463)</f>
        <v>2</v>
      </c>
      <c r="W1463" s="1" t="s">
        <v>12080</v>
      </c>
      <c r="X1463">
        <v>711.92</v>
      </c>
      <c r="Y1463">
        <v>50.98</v>
      </c>
      <c r="Z1463">
        <v>16.038461999999999</v>
      </c>
      <c r="AA1463">
        <v>108.242496</v>
      </c>
      <c r="AB1463">
        <v>660.94</v>
      </c>
      <c r="AC1463">
        <v>16.026434999999999</v>
      </c>
      <c r="AD1463">
        <v>108.248806</v>
      </c>
      <c r="AE1463" s="5">
        <f t="shared" si="111"/>
        <v>7.6469999999999996E-2</v>
      </c>
      <c r="AF1463" s="5">
        <f t="shared" si="112"/>
        <v>0.99141000000000012</v>
      </c>
      <c r="AG1463" s="1" t="str">
        <f>TRIM(LEFT(L1463,FIND("-",L1463)-1))</f>
        <v>K01</v>
      </c>
      <c r="AH1463" s="1" t="str">
        <f>TRIM(RIGHT(L1463, LEN(L1463) - FIND("-", L1463)))</f>
        <v>A01</v>
      </c>
      <c r="AJ1463">
        <f t="shared" si="113"/>
        <v>5.0979999999999998E-2</v>
      </c>
      <c r="AK1463">
        <f t="shared" si="114"/>
        <v>0.66094000000000008</v>
      </c>
      <c r="AL1463" t="e">
        <f>VLOOKUP(L1463,'[1]Tuyến cáp H04'!$B:$E,3,0)/1000</f>
        <v>#N/A</v>
      </c>
      <c r="AM1463" t="e">
        <f>VLOOKUP(L1463,'[1]Tuyến cáp H04'!$B:$E,4,0)</f>
        <v>#N/A</v>
      </c>
    </row>
    <row r="1464" spans="1:39" x14ac:dyDescent="0.25">
      <c r="A1464" s="1" t="s">
        <v>13783</v>
      </c>
      <c r="B1464" s="1" t="s">
        <v>12055</v>
      </c>
      <c r="C1464" s="1" t="s">
        <v>12056</v>
      </c>
      <c r="D1464" s="1" t="e">
        <v>#N/A</v>
      </c>
      <c r="E1464" s="1" t="e">
        <v>#N/A</v>
      </c>
      <c r="F1464" s="1" t="s">
        <v>13784</v>
      </c>
      <c r="G1464" s="1" t="s">
        <v>14281</v>
      </c>
      <c r="H1464" s="1" t="s">
        <v>14282</v>
      </c>
      <c r="I1464" s="1" t="s">
        <v>15545</v>
      </c>
      <c r="J1464" s="1" t="s">
        <v>5166</v>
      </c>
      <c r="K1464" s="1" t="s">
        <v>11893</v>
      </c>
      <c r="L1464" s="1"/>
      <c r="M1464" s="1"/>
      <c r="N1464" s="12" t="b">
        <f t="shared" si="110"/>
        <v>1</v>
      </c>
      <c r="O1464" s="1"/>
      <c r="P1464" s="1"/>
      <c r="Q1464" s="1"/>
      <c r="R1464" s="1"/>
      <c r="S1464" s="1"/>
      <c r="T1464" s="1"/>
      <c r="U1464" s="1"/>
      <c r="V1464" s="13">
        <f>COUNTIF(L1464:$M$1659,L1464)</f>
        <v>0</v>
      </c>
      <c r="W1464" s="1"/>
      <c r="AE1464" s="5"/>
      <c r="AF1464" s="5"/>
      <c r="AG1464" s="1"/>
      <c r="AH1464" s="1"/>
      <c r="AL1464" t="e">
        <f>VLOOKUP(L1464,'[1]Tuyến cáp H04'!$B:$E,3,0)/1000</f>
        <v>#N/A</v>
      </c>
      <c r="AM1464" t="e">
        <f>VLOOKUP(L1464,'[1]Tuyến cáp H04'!$B:$E,4,0)</f>
        <v>#N/A</v>
      </c>
    </row>
    <row r="1465" spans="1:39" x14ac:dyDescent="0.25">
      <c r="A1465" s="1" t="s">
        <v>13785</v>
      </c>
      <c r="B1465" s="1" t="s">
        <v>13786</v>
      </c>
      <c r="C1465" s="1" t="s">
        <v>13787</v>
      </c>
      <c r="D1465" s="1" t="s">
        <v>13788</v>
      </c>
      <c r="E1465" s="1" t="s">
        <v>13789</v>
      </c>
      <c r="F1465" s="1" t="s">
        <v>13790</v>
      </c>
      <c r="G1465" s="1" t="s">
        <v>14281</v>
      </c>
      <c r="H1465" s="1" t="s">
        <v>14282</v>
      </c>
      <c r="I1465" s="1" t="s">
        <v>15546</v>
      </c>
      <c r="J1465" s="1" t="s">
        <v>23</v>
      </c>
      <c r="K1465" s="1"/>
      <c r="L1465" s="1" t="s">
        <v>11225</v>
      </c>
      <c r="M1465" s="1" t="s">
        <v>11225</v>
      </c>
      <c r="N1465" s="12" t="b">
        <f t="shared" si="110"/>
        <v>1</v>
      </c>
      <c r="O1465" s="1" t="s">
        <v>13791</v>
      </c>
      <c r="P1465" s="1" t="s">
        <v>13792</v>
      </c>
      <c r="Q1465" s="1" t="s">
        <v>13793</v>
      </c>
      <c r="R1465" s="1" t="s">
        <v>13794</v>
      </c>
      <c r="S1465" s="1" t="s">
        <v>13795</v>
      </c>
      <c r="T1465" s="1" t="s">
        <v>13796</v>
      </c>
      <c r="U1465" s="1" t="s">
        <v>13797</v>
      </c>
      <c r="V1465" s="13">
        <f>COUNTIF(L1465:$M$1659,L1465)</f>
        <v>6</v>
      </c>
      <c r="W1465" s="1" t="s">
        <v>13798</v>
      </c>
      <c r="X1465">
        <v>45.28</v>
      </c>
      <c r="Y1465">
        <v>22.93</v>
      </c>
      <c r="Z1465">
        <v>16.082996999999999</v>
      </c>
      <c r="AA1465">
        <v>108.22931</v>
      </c>
      <c r="AB1465">
        <v>22.35</v>
      </c>
      <c r="AC1465">
        <v>16.080313</v>
      </c>
      <c r="AD1465">
        <v>108.231584</v>
      </c>
      <c r="AE1465" s="5">
        <f t="shared" si="111"/>
        <v>3.4394999999999995E-2</v>
      </c>
      <c r="AF1465" s="5">
        <f t="shared" si="112"/>
        <v>3.3525000000000006E-2</v>
      </c>
      <c r="AG1465" s="1" t="str">
        <f>TRIM(LEFT(L1465,FIND("-",L1465)-1))</f>
        <v>An Hải</v>
      </c>
      <c r="AH1465" s="1" t="str">
        <f>TRIM(RIGHT(L1465, LEN(L1465) - FIND("-", L1465)))</f>
        <v>Sơn Trà</v>
      </c>
      <c r="AJ1465">
        <f t="shared" si="113"/>
        <v>2.2929999999999999E-2</v>
      </c>
      <c r="AK1465">
        <f t="shared" si="114"/>
        <v>2.2350000000000002E-2</v>
      </c>
      <c r="AL1465" t="e">
        <f>VLOOKUP(L1465,'[1]Tuyến cáp H04'!$B:$E,3,0)/1000</f>
        <v>#N/A</v>
      </c>
      <c r="AM1465" t="e">
        <f>VLOOKUP(L1465,'[1]Tuyến cáp H04'!$B:$E,4,0)</f>
        <v>#N/A</v>
      </c>
    </row>
    <row r="1466" spans="1:39" x14ac:dyDescent="0.25">
      <c r="A1466" s="1" t="s">
        <v>13799</v>
      </c>
      <c r="B1466" s="1" t="s">
        <v>13786</v>
      </c>
      <c r="C1466" s="1" t="s">
        <v>13787</v>
      </c>
      <c r="D1466" s="1" t="s">
        <v>13800</v>
      </c>
      <c r="E1466" s="1" t="s">
        <v>13801</v>
      </c>
      <c r="F1466" s="1" t="s">
        <v>13802</v>
      </c>
      <c r="G1466" s="1" t="s">
        <v>14281</v>
      </c>
      <c r="H1466" s="1" t="s">
        <v>14282</v>
      </c>
      <c r="I1466" s="1" t="s">
        <v>15547</v>
      </c>
      <c r="J1466" s="1" t="s">
        <v>23</v>
      </c>
      <c r="K1466" s="1"/>
      <c r="L1466" s="1" t="s">
        <v>13803</v>
      </c>
      <c r="M1466" s="1" t="s">
        <v>13803</v>
      </c>
      <c r="N1466" s="12" t="b">
        <f t="shared" si="110"/>
        <v>1</v>
      </c>
      <c r="O1466" s="1" t="s">
        <v>13804</v>
      </c>
      <c r="P1466" s="1" t="s">
        <v>13805</v>
      </c>
      <c r="Q1466" s="1" t="s">
        <v>13806</v>
      </c>
      <c r="R1466" s="1" t="s">
        <v>13807</v>
      </c>
      <c r="S1466" s="1" t="s">
        <v>13808</v>
      </c>
      <c r="T1466" s="1" t="s">
        <v>13809</v>
      </c>
      <c r="U1466" s="1" t="s">
        <v>13810</v>
      </c>
      <c r="V1466" s="13">
        <f>COUNTIF(L1466:$M$1659,L1466)</f>
        <v>2</v>
      </c>
      <c r="W1466" s="1" t="s">
        <v>13811</v>
      </c>
      <c r="X1466">
        <v>85.23</v>
      </c>
      <c r="Y1466">
        <v>12.83</v>
      </c>
      <c r="Z1466">
        <v>16.082982000000001</v>
      </c>
      <c r="AA1466">
        <v>108.228996</v>
      </c>
      <c r="AB1466">
        <v>72.39</v>
      </c>
      <c r="AC1466">
        <v>16.078887999999999</v>
      </c>
      <c r="AD1466">
        <v>108.22897399999999</v>
      </c>
      <c r="AE1466" s="5">
        <f t="shared" si="111"/>
        <v>1.9245000000000002E-2</v>
      </c>
      <c r="AF1466" s="5">
        <f t="shared" si="112"/>
        <v>0.10858500000000001</v>
      </c>
      <c r="AG1466" s="1" t="str">
        <f>TRIM(LEFT(L1466,FIND("-",L1466)-1))</f>
        <v>Sơn Trà</v>
      </c>
      <c r="AH1466" s="1" t="str">
        <f>TRIM(RIGHT(L1466, LEN(L1466) - FIND("-", L1466)))</f>
        <v>TT1 Đà Nẵng - check ngầm</v>
      </c>
      <c r="AJ1466">
        <f t="shared" si="113"/>
        <v>1.2829999999999999E-2</v>
      </c>
      <c r="AK1466">
        <f t="shared" si="114"/>
        <v>7.2389999999999996E-2</v>
      </c>
      <c r="AL1466" t="e">
        <f>VLOOKUP(L1466,'[1]Tuyến cáp H04'!$B:$E,3,0)/1000</f>
        <v>#N/A</v>
      </c>
      <c r="AM1466" t="e">
        <f>VLOOKUP(L1466,'[1]Tuyến cáp H04'!$B:$E,4,0)</f>
        <v>#N/A</v>
      </c>
    </row>
    <row r="1467" spans="1:39" x14ac:dyDescent="0.25">
      <c r="A1467" s="1" t="s">
        <v>13812</v>
      </c>
      <c r="B1467" s="1" t="s">
        <v>13786</v>
      </c>
      <c r="C1467" s="1" t="s">
        <v>13787</v>
      </c>
      <c r="D1467" s="1" t="s">
        <v>13813</v>
      </c>
      <c r="E1467" s="1" t="s">
        <v>13814</v>
      </c>
      <c r="F1467" s="1" t="s">
        <v>13815</v>
      </c>
      <c r="G1467" s="1" t="s">
        <v>14281</v>
      </c>
      <c r="H1467" s="1" t="s">
        <v>14282</v>
      </c>
      <c r="I1467" s="1" t="s">
        <v>15548</v>
      </c>
      <c r="J1467" s="1" t="s">
        <v>23</v>
      </c>
      <c r="K1467" s="1"/>
      <c r="L1467" s="1" t="s">
        <v>11225</v>
      </c>
      <c r="M1467" s="1" t="s">
        <v>11225</v>
      </c>
      <c r="N1467" s="12" t="b">
        <f t="shared" si="110"/>
        <v>1</v>
      </c>
      <c r="O1467" s="1" t="s">
        <v>13816</v>
      </c>
      <c r="P1467" s="1" t="s">
        <v>13792</v>
      </c>
      <c r="Q1467" s="1" t="s">
        <v>13793</v>
      </c>
      <c r="R1467" s="1" t="s">
        <v>13794</v>
      </c>
      <c r="S1467" s="1" t="s">
        <v>13817</v>
      </c>
      <c r="T1467" s="1" t="s">
        <v>13818</v>
      </c>
      <c r="U1467" s="1" t="s">
        <v>13819</v>
      </c>
      <c r="V1467" s="13">
        <f>COUNTIF(L1467:$M$1659,L1467)</f>
        <v>4</v>
      </c>
      <c r="W1467" s="1" t="s">
        <v>13798</v>
      </c>
      <c r="X1467">
        <v>398.28</v>
      </c>
      <c r="Y1467">
        <v>22.93</v>
      </c>
      <c r="Z1467">
        <v>16.082996999999999</v>
      </c>
      <c r="AA1467">
        <v>108.22931</v>
      </c>
      <c r="AB1467">
        <v>375.36</v>
      </c>
      <c r="AC1467">
        <v>16.078872</v>
      </c>
      <c r="AD1467">
        <v>108.23279700000001</v>
      </c>
      <c r="AE1467" s="5">
        <f t="shared" si="111"/>
        <v>3.4394999999999995E-2</v>
      </c>
      <c r="AF1467" s="5">
        <f t="shared" si="112"/>
        <v>0.56303999999999998</v>
      </c>
      <c r="AG1467" s="1" t="str">
        <f>TRIM(LEFT(L1467,FIND("-",L1467)-1))</f>
        <v>An Hải</v>
      </c>
      <c r="AH1467" s="1" t="str">
        <f>TRIM(RIGHT(L1467, LEN(L1467) - FIND("-", L1467)))</f>
        <v>Sơn Trà</v>
      </c>
      <c r="AJ1467">
        <f t="shared" si="113"/>
        <v>2.2929999999999999E-2</v>
      </c>
      <c r="AK1467">
        <f t="shared" si="114"/>
        <v>0.37536000000000003</v>
      </c>
      <c r="AL1467" t="e">
        <f>VLOOKUP(L1467,'[1]Tuyến cáp H04'!$B:$E,3,0)/1000</f>
        <v>#N/A</v>
      </c>
      <c r="AM1467" t="e">
        <f>VLOOKUP(L1467,'[1]Tuyến cáp H04'!$B:$E,4,0)</f>
        <v>#N/A</v>
      </c>
    </row>
    <row r="1468" spans="1:39" x14ac:dyDescent="0.25">
      <c r="A1468" s="1" t="s">
        <v>13820</v>
      </c>
      <c r="B1468" s="1" t="s">
        <v>13786</v>
      </c>
      <c r="C1468" s="1" t="s">
        <v>13787</v>
      </c>
      <c r="D1468" s="1" t="s">
        <v>13821</v>
      </c>
      <c r="E1468" s="1" t="s">
        <v>13822</v>
      </c>
      <c r="F1468" s="1" t="s">
        <v>13823</v>
      </c>
      <c r="G1468" s="1" t="s">
        <v>14281</v>
      </c>
      <c r="H1468" s="1" t="s">
        <v>14282</v>
      </c>
      <c r="I1468" s="1" t="s">
        <v>15549</v>
      </c>
      <c r="J1468" s="1" t="s">
        <v>23</v>
      </c>
      <c r="K1468" s="1"/>
      <c r="L1468" s="1" t="s">
        <v>11225</v>
      </c>
      <c r="M1468" s="1" t="s">
        <v>11225</v>
      </c>
      <c r="N1468" s="12" t="b">
        <f t="shared" si="110"/>
        <v>1</v>
      </c>
      <c r="O1468" s="1" t="s">
        <v>13824</v>
      </c>
      <c r="P1468" s="1" t="s">
        <v>13825</v>
      </c>
      <c r="Q1468" s="1" t="s">
        <v>13826</v>
      </c>
      <c r="R1468" s="1" t="s">
        <v>13827</v>
      </c>
      <c r="S1468" s="1" t="s">
        <v>13828</v>
      </c>
      <c r="T1468" s="1" t="s">
        <v>13829</v>
      </c>
      <c r="U1468" s="1" t="s">
        <v>13830</v>
      </c>
      <c r="V1468" s="13">
        <f>COUNTIF(L1468:$M$1659,L1468)</f>
        <v>2</v>
      </c>
      <c r="W1468" s="1" t="s">
        <v>13831</v>
      </c>
      <c r="X1468">
        <v>297.76</v>
      </c>
      <c r="Y1468">
        <v>2.3199999999999998</v>
      </c>
      <c r="Z1468">
        <v>16.083034999999999</v>
      </c>
      <c r="AA1468">
        <v>108.229079</v>
      </c>
      <c r="AB1468">
        <v>295.44</v>
      </c>
      <c r="AC1468">
        <v>16.083126</v>
      </c>
      <c r="AD1468">
        <v>108.229298</v>
      </c>
      <c r="AE1468" s="5">
        <f t="shared" si="111"/>
        <v>3.4799999999999996E-3</v>
      </c>
      <c r="AF1468" s="5">
        <f t="shared" si="112"/>
        <v>0.44315999999999994</v>
      </c>
      <c r="AG1468" s="1" t="str">
        <f>TRIM(LEFT(L1468,FIND("-",L1468)-1))</f>
        <v>An Hải</v>
      </c>
      <c r="AH1468" s="1" t="str">
        <f>TRIM(RIGHT(L1468, LEN(L1468) - FIND("-", L1468)))</f>
        <v>Sơn Trà</v>
      </c>
      <c r="AJ1468">
        <f t="shared" si="113"/>
        <v>2.32E-3</v>
      </c>
      <c r="AK1468">
        <f t="shared" si="114"/>
        <v>0.29543999999999998</v>
      </c>
      <c r="AL1468" t="e">
        <f>VLOOKUP(L1468,'[1]Tuyến cáp H04'!$B:$E,3,0)/1000</f>
        <v>#N/A</v>
      </c>
      <c r="AM1468" t="e">
        <f>VLOOKUP(L1468,'[1]Tuyến cáp H04'!$B:$E,4,0)</f>
        <v>#N/A</v>
      </c>
    </row>
    <row r="1469" spans="1:39" x14ac:dyDescent="0.25">
      <c r="A1469" s="1" t="s">
        <v>13832</v>
      </c>
      <c r="B1469" s="1" t="s">
        <v>12119</v>
      </c>
      <c r="C1469" s="1" t="s">
        <v>12120</v>
      </c>
      <c r="D1469" s="1" t="s">
        <v>13833</v>
      </c>
      <c r="E1469" s="1" t="s">
        <v>13834</v>
      </c>
      <c r="F1469" s="1" t="s">
        <v>13835</v>
      </c>
      <c r="G1469" s="1" t="s">
        <v>14281</v>
      </c>
      <c r="H1469" s="1" t="s">
        <v>14282</v>
      </c>
      <c r="I1469" s="1" t="s">
        <v>15550</v>
      </c>
      <c r="J1469" s="1" t="s">
        <v>23</v>
      </c>
      <c r="K1469" s="1"/>
      <c r="L1469" s="1" t="s">
        <v>12124</v>
      </c>
      <c r="M1469" s="1" t="s">
        <v>12124</v>
      </c>
      <c r="N1469" s="12" t="b">
        <f t="shared" si="110"/>
        <v>1</v>
      </c>
      <c r="O1469" s="1" t="s">
        <v>13836</v>
      </c>
      <c r="P1469" s="1" t="s">
        <v>12126</v>
      </c>
      <c r="Q1469" s="1" t="s">
        <v>12127</v>
      </c>
      <c r="R1469" s="1" t="s">
        <v>12128</v>
      </c>
      <c r="S1469" s="1" t="s">
        <v>13837</v>
      </c>
      <c r="T1469" s="1" t="s">
        <v>13838</v>
      </c>
      <c r="U1469" s="1" t="s">
        <v>13839</v>
      </c>
      <c r="V1469" s="13">
        <f>COUNTIF(L1469:$M$1659,L1469)</f>
        <v>4</v>
      </c>
      <c r="W1469" s="1" t="s">
        <v>12132</v>
      </c>
      <c r="X1469">
        <v>449.92</v>
      </c>
      <c r="Y1469">
        <v>6.41</v>
      </c>
      <c r="Z1469">
        <v>16.057247</v>
      </c>
      <c r="AA1469">
        <v>108.181504</v>
      </c>
      <c r="AB1469">
        <v>443.51</v>
      </c>
      <c r="AC1469">
        <v>16.056746</v>
      </c>
      <c r="AD1469">
        <v>108.180753</v>
      </c>
      <c r="AE1469" s="5">
        <f t="shared" si="111"/>
        <v>9.6150000000000003E-3</v>
      </c>
      <c r="AF1469" s="5">
        <f t="shared" si="112"/>
        <v>0.665265</v>
      </c>
      <c r="AG1469" s="1" t="str">
        <f>TRIM(LEFT(L1469,FIND("-",L1469)-1))</f>
        <v>Hòa Khánh</v>
      </c>
      <c r="AH1469" s="1" t="str">
        <f>TRIM(RIGHT(L1469, LEN(L1469) - FIND("-", L1469)))</f>
        <v>An Khê</v>
      </c>
      <c r="AJ1469">
        <f t="shared" si="113"/>
        <v>6.4099999999999999E-3</v>
      </c>
      <c r="AK1469">
        <f t="shared" si="114"/>
        <v>0.44351000000000002</v>
      </c>
      <c r="AL1469" t="e">
        <f>VLOOKUP(L1469,'[1]Tuyến cáp H04'!$B:$E,3,0)/1000</f>
        <v>#N/A</v>
      </c>
      <c r="AM1469" t="e">
        <f>VLOOKUP(L1469,'[1]Tuyến cáp H04'!$B:$E,4,0)</f>
        <v>#N/A</v>
      </c>
    </row>
    <row r="1470" spans="1:39" x14ac:dyDescent="0.25">
      <c r="A1470" s="1" t="s">
        <v>13840</v>
      </c>
      <c r="B1470" s="1" t="s">
        <v>12119</v>
      </c>
      <c r="C1470" s="1" t="s">
        <v>12120</v>
      </c>
      <c r="D1470" s="1" t="s">
        <v>13841</v>
      </c>
      <c r="E1470" s="1" t="s">
        <v>13842</v>
      </c>
      <c r="F1470" s="1" t="s">
        <v>13843</v>
      </c>
      <c r="G1470" s="1" t="s">
        <v>14281</v>
      </c>
      <c r="H1470" s="1" t="s">
        <v>14282</v>
      </c>
      <c r="I1470" s="1" t="s">
        <v>15551</v>
      </c>
      <c r="J1470" s="1" t="s">
        <v>23</v>
      </c>
      <c r="K1470" s="1"/>
      <c r="L1470" s="1" t="s">
        <v>12124</v>
      </c>
      <c r="M1470" s="1" t="s">
        <v>12124</v>
      </c>
      <c r="N1470" s="12" t="b">
        <f t="shared" si="110"/>
        <v>1</v>
      </c>
      <c r="O1470" s="1" t="s">
        <v>13844</v>
      </c>
      <c r="P1470" s="1" t="s">
        <v>12126</v>
      </c>
      <c r="Q1470" s="1" t="s">
        <v>12127</v>
      </c>
      <c r="R1470" s="1" t="s">
        <v>12128</v>
      </c>
      <c r="S1470" s="1" t="s">
        <v>13845</v>
      </c>
      <c r="T1470" s="1" t="s">
        <v>13846</v>
      </c>
      <c r="U1470" s="1" t="s">
        <v>13847</v>
      </c>
      <c r="V1470" s="13">
        <f>COUNTIF(L1470:$M$1659,L1470)</f>
        <v>2</v>
      </c>
      <c r="W1470" s="1" t="s">
        <v>12132</v>
      </c>
      <c r="X1470">
        <v>558.79</v>
      </c>
      <c r="Y1470">
        <v>6.41</v>
      </c>
      <c r="Z1470">
        <v>16.057247</v>
      </c>
      <c r="AA1470">
        <v>108.181504</v>
      </c>
      <c r="AB1470">
        <v>552.39</v>
      </c>
      <c r="AC1470">
        <v>16.058513000000001</v>
      </c>
      <c r="AD1470">
        <v>108.18014700000001</v>
      </c>
      <c r="AE1470" s="5">
        <f t="shared" si="111"/>
        <v>9.6150000000000003E-3</v>
      </c>
      <c r="AF1470" s="5">
        <f t="shared" si="112"/>
        <v>0.82858500000000002</v>
      </c>
      <c r="AG1470" s="1" t="str">
        <f>TRIM(LEFT(L1470,FIND("-",L1470)-1))</f>
        <v>Hòa Khánh</v>
      </c>
      <c r="AH1470" s="1" t="str">
        <f>TRIM(RIGHT(L1470, LEN(L1470) - FIND("-", L1470)))</f>
        <v>An Khê</v>
      </c>
      <c r="AJ1470">
        <f t="shared" si="113"/>
        <v>6.4099999999999999E-3</v>
      </c>
      <c r="AK1470">
        <f t="shared" si="114"/>
        <v>0.55238999999999994</v>
      </c>
      <c r="AL1470" t="e">
        <f>VLOOKUP(L1470,'[1]Tuyến cáp H04'!$B:$E,3,0)/1000</f>
        <v>#N/A</v>
      </c>
      <c r="AM1470" t="e">
        <f>VLOOKUP(L1470,'[1]Tuyến cáp H04'!$B:$E,4,0)</f>
        <v>#N/A</v>
      </c>
    </row>
    <row r="1471" spans="1:39" x14ac:dyDescent="0.25">
      <c r="A1471" s="1" t="s">
        <v>13848</v>
      </c>
      <c r="B1471" s="1" t="s">
        <v>12119</v>
      </c>
      <c r="C1471" s="1" t="s">
        <v>12120</v>
      </c>
      <c r="D1471" s="1" t="s">
        <v>13849</v>
      </c>
      <c r="E1471" s="1" t="s">
        <v>13850</v>
      </c>
      <c r="F1471" s="1" t="s">
        <v>13851</v>
      </c>
      <c r="G1471" s="1" t="s">
        <v>14281</v>
      </c>
      <c r="H1471" s="1" t="s">
        <v>14282</v>
      </c>
      <c r="I1471" s="1" t="s">
        <v>15552</v>
      </c>
      <c r="J1471" s="1" t="s">
        <v>23</v>
      </c>
      <c r="K1471" s="1"/>
      <c r="L1471" s="1" t="s">
        <v>12148</v>
      </c>
      <c r="M1471" s="1" t="s">
        <v>12148</v>
      </c>
      <c r="N1471" s="12" t="b">
        <f t="shared" si="110"/>
        <v>1</v>
      </c>
      <c r="O1471" s="1" t="s">
        <v>13852</v>
      </c>
      <c r="P1471" s="1" t="s">
        <v>13853</v>
      </c>
      <c r="Q1471" s="1" t="s">
        <v>13854</v>
      </c>
      <c r="R1471" s="1" t="s">
        <v>13855</v>
      </c>
      <c r="S1471" s="1" t="s">
        <v>13856</v>
      </c>
      <c r="T1471" s="1" t="s">
        <v>13857</v>
      </c>
      <c r="U1471" s="1" t="s">
        <v>13858</v>
      </c>
      <c r="V1471" s="13">
        <f>COUNTIF(L1471:$M$1659,L1471)</f>
        <v>4</v>
      </c>
      <c r="W1471" s="1" t="s">
        <v>12156</v>
      </c>
      <c r="X1471">
        <v>786.67</v>
      </c>
      <c r="Y1471">
        <v>4.51</v>
      </c>
      <c r="Z1471">
        <v>16.057227999999999</v>
      </c>
      <c r="AA1471">
        <v>108.181516</v>
      </c>
      <c r="AB1471">
        <v>782.16</v>
      </c>
      <c r="AC1471">
        <v>16.057034000000002</v>
      </c>
      <c r="AD1471">
        <v>108.181619</v>
      </c>
      <c r="AE1471" s="5">
        <f t="shared" si="111"/>
        <v>6.7649999999999993E-3</v>
      </c>
      <c r="AF1471" s="5">
        <f t="shared" si="112"/>
        <v>1.1732400000000001</v>
      </c>
      <c r="AG1471" s="1" t="str">
        <f>TRIM(LEFT(L1471,FIND("-",L1471)-1))</f>
        <v>An Khê</v>
      </c>
      <c r="AH1471" s="1" t="str">
        <f>TRIM(RIGHT(L1471, LEN(L1471) - FIND("-", L1471)))</f>
        <v>Thanh Khê</v>
      </c>
      <c r="AJ1471">
        <f t="shared" si="113"/>
        <v>4.5100000000000001E-3</v>
      </c>
      <c r="AK1471">
        <f t="shared" si="114"/>
        <v>0.78215999999999997</v>
      </c>
      <c r="AL1471" t="e">
        <f>VLOOKUP(L1471,'[1]Tuyến cáp H04'!$B:$E,3,0)/1000</f>
        <v>#N/A</v>
      </c>
      <c r="AM1471" t="e">
        <f>VLOOKUP(L1471,'[1]Tuyến cáp H04'!$B:$E,4,0)</f>
        <v>#N/A</v>
      </c>
    </row>
    <row r="1472" spans="1:39" x14ac:dyDescent="0.25">
      <c r="A1472" s="1" t="s">
        <v>13859</v>
      </c>
      <c r="B1472" s="1" t="s">
        <v>12134</v>
      </c>
      <c r="C1472" s="1" t="s">
        <v>12135</v>
      </c>
      <c r="D1472" s="1" t="s">
        <v>13860</v>
      </c>
      <c r="E1472" s="1" t="s">
        <v>13861</v>
      </c>
      <c r="F1472" s="1" t="s">
        <v>13862</v>
      </c>
      <c r="G1472" s="1" t="s">
        <v>14281</v>
      </c>
      <c r="H1472" s="1" t="s">
        <v>14282</v>
      </c>
      <c r="I1472" s="1" t="s">
        <v>15553</v>
      </c>
      <c r="J1472" s="1" t="s">
        <v>23</v>
      </c>
      <c r="K1472" s="1"/>
      <c r="L1472" s="1" t="s">
        <v>12148</v>
      </c>
      <c r="M1472" s="1" t="s">
        <v>12148</v>
      </c>
      <c r="N1472" s="12" t="b">
        <f t="shared" si="110"/>
        <v>1</v>
      </c>
      <c r="O1472" s="1" t="s">
        <v>13863</v>
      </c>
      <c r="P1472" s="1" t="s">
        <v>12150</v>
      </c>
      <c r="Q1472" s="1" t="s">
        <v>12151</v>
      </c>
      <c r="R1472" s="1" t="s">
        <v>12152</v>
      </c>
      <c r="S1472" s="1" t="s">
        <v>13864</v>
      </c>
      <c r="T1472" s="1" t="s">
        <v>13865</v>
      </c>
      <c r="U1472" s="1" t="s">
        <v>13866</v>
      </c>
      <c r="V1472" s="13">
        <f>COUNTIF(L1472:$M$1659,L1472)</f>
        <v>2</v>
      </c>
      <c r="W1472" s="1" t="s">
        <v>12156</v>
      </c>
      <c r="X1472">
        <v>191.85</v>
      </c>
      <c r="Y1472">
        <v>10.87</v>
      </c>
      <c r="Z1472">
        <v>16.070730000000001</v>
      </c>
      <c r="AA1472">
        <v>108.192493</v>
      </c>
      <c r="AB1472">
        <v>180.97</v>
      </c>
      <c r="AC1472">
        <v>16.071200999999999</v>
      </c>
      <c r="AD1472">
        <v>108.19170800000001</v>
      </c>
      <c r="AE1472" s="5">
        <f t="shared" si="111"/>
        <v>1.6305E-2</v>
      </c>
      <c r="AF1472" s="5">
        <f t="shared" si="112"/>
        <v>0.271455</v>
      </c>
      <c r="AG1472" s="1" t="str">
        <f>TRIM(LEFT(L1472,FIND("-",L1472)-1))</f>
        <v>An Khê</v>
      </c>
      <c r="AH1472" s="1" t="str">
        <f>TRIM(RIGHT(L1472, LEN(L1472) - FIND("-", L1472)))</f>
        <v>Thanh Khê</v>
      </c>
      <c r="AJ1472">
        <f t="shared" si="113"/>
        <v>1.0869999999999999E-2</v>
      </c>
      <c r="AK1472">
        <f t="shared" si="114"/>
        <v>0.18096999999999999</v>
      </c>
      <c r="AL1472" t="e">
        <f>VLOOKUP(L1472,'[1]Tuyến cáp H04'!$B:$E,3,0)/1000</f>
        <v>#N/A</v>
      </c>
      <c r="AM1472" t="e">
        <f>VLOOKUP(L1472,'[1]Tuyến cáp H04'!$B:$E,4,0)</f>
        <v>#N/A</v>
      </c>
    </row>
    <row r="1473" spans="1:39" x14ac:dyDescent="0.25">
      <c r="A1473" s="1" t="s">
        <v>13867</v>
      </c>
      <c r="B1473" s="1" t="s">
        <v>12134</v>
      </c>
      <c r="C1473" s="1" t="s">
        <v>12135</v>
      </c>
      <c r="D1473" s="1" t="s">
        <v>13868</v>
      </c>
      <c r="E1473" s="1" t="s">
        <v>13869</v>
      </c>
      <c r="F1473" s="1" t="s">
        <v>13870</v>
      </c>
      <c r="G1473" s="1" t="s">
        <v>14281</v>
      </c>
      <c r="H1473" s="1" t="s">
        <v>14282</v>
      </c>
      <c r="I1473" s="1" t="s">
        <v>15554</v>
      </c>
      <c r="J1473" s="1" t="s">
        <v>23</v>
      </c>
      <c r="K1473" s="1"/>
      <c r="L1473" s="1" t="s">
        <v>11146</v>
      </c>
      <c r="M1473" s="1" t="s">
        <v>11146</v>
      </c>
      <c r="N1473" s="12" t="b">
        <f t="shared" si="110"/>
        <v>1</v>
      </c>
      <c r="O1473" s="1" t="s">
        <v>13871</v>
      </c>
      <c r="P1473" s="1" t="s">
        <v>12162</v>
      </c>
      <c r="Q1473" s="1" t="s">
        <v>12163</v>
      </c>
      <c r="R1473" s="1" t="s">
        <v>12164</v>
      </c>
      <c r="S1473" s="1" t="s">
        <v>13872</v>
      </c>
      <c r="T1473" s="1" t="s">
        <v>13873</v>
      </c>
      <c r="U1473" s="1" t="s">
        <v>13874</v>
      </c>
      <c r="V1473" s="13">
        <f>COUNTIF(L1473:$M$1659,L1473)</f>
        <v>2</v>
      </c>
      <c r="W1473" s="1" t="s">
        <v>12168</v>
      </c>
      <c r="X1473">
        <v>226.88</v>
      </c>
      <c r="Y1473">
        <v>195.19</v>
      </c>
      <c r="Z1473">
        <v>16.072437000000001</v>
      </c>
      <c r="AA1473">
        <v>108.19182600000001</v>
      </c>
      <c r="AB1473">
        <v>31.69</v>
      </c>
      <c r="AC1473">
        <v>16.073625</v>
      </c>
      <c r="AD1473">
        <v>108.185683</v>
      </c>
      <c r="AE1473" s="5">
        <f t="shared" si="111"/>
        <v>0.29278499999999996</v>
      </c>
      <c r="AF1473" s="5">
        <f t="shared" si="112"/>
        <v>4.7535000000000001E-2</v>
      </c>
      <c r="AG1473" s="1" t="str">
        <f>TRIM(LEFT(L1473,FIND("-",L1473)-1))</f>
        <v>TT1 Đà Nẵng</v>
      </c>
      <c r="AH1473" s="1" t="str">
        <f>TRIM(RIGHT(L1473, LEN(L1473) - FIND("-", L1473)))</f>
        <v>Liên Chiểu</v>
      </c>
      <c r="AJ1473">
        <f t="shared" si="113"/>
        <v>0.19519</v>
      </c>
      <c r="AK1473">
        <f t="shared" si="114"/>
        <v>3.1690000000000003E-2</v>
      </c>
      <c r="AL1473">
        <f>VLOOKUP(L1473,'[1]Tuyến cáp H04'!$B:$E,3,0)/1000</f>
        <v>9.8698999999999995</v>
      </c>
      <c r="AM1473" t="str">
        <f>VLOOKUP(L1473,'[1]Tuyến cáp H04'!$B:$E,4,0)</f>
        <v>Mạng cấp 3</v>
      </c>
    </row>
    <row r="1474" spans="1:39" x14ac:dyDescent="0.25">
      <c r="A1474" s="1" t="s">
        <v>12169</v>
      </c>
      <c r="B1474" s="1" t="s">
        <v>12134</v>
      </c>
      <c r="C1474" s="1" t="s">
        <v>12135</v>
      </c>
      <c r="D1474" s="1" t="s">
        <v>12170</v>
      </c>
      <c r="E1474" s="1" t="s">
        <v>12171</v>
      </c>
      <c r="F1474" s="1" t="s">
        <v>13875</v>
      </c>
      <c r="G1474" s="1" t="s">
        <v>14281</v>
      </c>
      <c r="H1474" s="1" t="s">
        <v>14282</v>
      </c>
      <c r="I1474" s="1" t="s">
        <v>15364</v>
      </c>
      <c r="J1474" s="1" t="s">
        <v>23</v>
      </c>
      <c r="K1474" s="1"/>
      <c r="L1474" s="1" t="s">
        <v>12173</v>
      </c>
      <c r="M1474" s="1" t="s">
        <v>12173</v>
      </c>
      <c r="N1474" s="12" t="b">
        <f t="shared" si="110"/>
        <v>1</v>
      </c>
      <c r="O1474" s="1" t="s">
        <v>12174</v>
      </c>
      <c r="P1474" s="1" t="s">
        <v>12175</v>
      </c>
      <c r="Q1474" s="1" t="s">
        <v>12176</v>
      </c>
      <c r="R1474" s="1" t="s">
        <v>12177</v>
      </c>
      <c r="S1474" s="1" t="s">
        <v>12178</v>
      </c>
      <c r="T1474" s="1" t="s">
        <v>12179</v>
      </c>
      <c r="U1474" s="1" t="s">
        <v>12180</v>
      </c>
      <c r="V1474" s="13">
        <f>COUNTIF(L1474:$M$1659,L1474)</f>
        <v>4</v>
      </c>
      <c r="W1474" s="1" t="s">
        <v>12181</v>
      </c>
      <c r="X1474">
        <v>69.67</v>
      </c>
      <c r="Y1474">
        <v>11.25</v>
      </c>
      <c r="Z1474">
        <v>16.070743</v>
      </c>
      <c r="AA1474">
        <v>108.192502</v>
      </c>
      <c r="AB1474">
        <v>58.42</v>
      </c>
      <c r="AC1474">
        <v>16.071003999999999</v>
      </c>
      <c r="AD1474">
        <v>108.200844</v>
      </c>
      <c r="AE1474" s="5">
        <f t="shared" si="111"/>
        <v>1.6875000000000001E-2</v>
      </c>
      <c r="AF1474" s="5">
        <f t="shared" si="112"/>
        <v>8.763E-2</v>
      </c>
      <c r="AG1474" s="1" t="str">
        <f>TRIM(LEFT(L1474,FIND("-",L1474)-1))</f>
        <v>Thanh Khê</v>
      </c>
      <c r="AH1474" s="1" t="str">
        <f>TRIM(RIGHT(L1474, LEN(L1474) - FIND("-", L1474)))</f>
        <v>TT1 Đà Nẵng</v>
      </c>
      <c r="AJ1474">
        <f t="shared" si="113"/>
        <v>1.125E-2</v>
      </c>
      <c r="AK1474">
        <f t="shared" si="114"/>
        <v>5.842E-2</v>
      </c>
      <c r="AL1474" t="e">
        <f>VLOOKUP(L1474,'[1]Tuyến cáp H04'!$B:$E,3,0)/1000</f>
        <v>#N/A</v>
      </c>
      <c r="AM1474" t="e">
        <f>VLOOKUP(L1474,'[1]Tuyến cáp H04'!$B:$E,4,0)</f>
        <v>#N/A</v>
      </c>
    </row>
    <row r="1475" spans="1:39" x14ac:dyDescent="0.25">
      <c r="A1475" s="1" t="s">
        <v>12182</v>
      </c>
      <c r="B1475" s="1" t="s">
        <v>12134</v>
      </c>
      <c r="C1475" s="1" t="s">
        <v>12135</v>
      </c>
      <c r="D1475" s="1" t="s">
        <v>12183</v>
      </c>
      <c r="E1475" s="1" t="s">
        <v>12184</v>
      </c>
      <c r="F1475" s="1" t="s">
        <v>13876</v>
      </c>
      <c r="G1475" s="1" t="s">
        <v>14281</v>
      </c>
      <c r="H1475" s="1" t="s">
        <v>14282</v>
      </c>
      <c r="I1475" s="1" t="s">
        <v>15555</v>
      </c>
      <c r="J1475" s="1" t="s">
        <v>23</v>
      </c>
      <c r="K1475" s="1"/>
      <c r="L1475" s="1" t="s">
        <v>12173</v>
      </c>
      <c r="M1475" s="1" t="s">
        <v>12173</v>
      </c>
      <c r="N1475" s="12" t="b">
        <f t="shared" ref="N1475:N1507" si="115">L1475=M1475</f>
        <v>1</v>
      </c>
      <c r="O1475" s="1" t="s">
        <v>12186</v>
      </c>
      <c r="P1475" s="1" t="s">
        <v>12175</v>
      </c>
      <c r="Q1475" s="1" t="s">
        <v>12176</v>
      </c>
      <c r="R1475" s="1" t="s">
        <v>12177</v>
      </c>
      <c r="S1475" s="1" t="s">
        <v>12187</v>
      </c>
      <c r="T1475" s="1" t="s">
        <v>12179</v>
      </c>
      <c r="U1475" s="1" t="s">
        <v>12180</v>
      </c>
      <c r="V1475" s="13">
        <f>COUNTIF(L1475:$M$1659,L1475)</f>
        <v>2</v>
      </c>
      <c r="W1475" s="1" t="s">
        <v>12181</v>
      </c>
      <c r="X1475">
        <v>644.79999999999995</v>
      </c>
      <c r="Y1475">
        <v>11.25</v>
      </c>
      <c r="Z1475">
        <v>16.070743</v>
      </c>
      <c r="AA1475">
        <v>108.192502</v>
      </c>
      <c r="AB1475">
        <v>633.54</v>
      </c>
      <c r="AC1475">
        <v>16.071003999999999</v>
      </c>
      <c r="AD1475">
        <v>108.200844</v>
      </c>
      <c r="AE1475" s="5">
        <f t="shared" ref="AE1475:AE1507" si="116">Y1475*1.5/1000</f>
        <v>1.6875000000000001E-2</v>
      </c>
      <c r="AF1475" s="5">
        <f t="shared" ref="AF1475:AF1507" si="117">AB1475*1.5/1000</f>
        <v>0.95030999999999999</v>
      </c>
      <c r="AG1475" s="1" t="str">
        <f>TRIM(LEFT(L1475,FIND("-",L1475)-1))</f>
        <v>Thanh Khê</v>
      </c>
      <c r="AH1475" s="1" t="str">
        <f>TRIM(RIGHT(L1475, LEN(L1475) - FIND("-", L1475)))</f>
        <v>TT1 Đà Nẵng</v>
      </c>
      <c r="AJ1475">
        <f t="shared" ref="AJ1475:AJ1507" si="118">Y1475/1000</f>
        <v>1.125E-2</v>
      </c>
      <c r="AK1475">
        <f t="shared" ref="AK1475:AK1507" si="119">AB1475/1000</f>
        <v>0.63353999999999999</v>
      </c>
      <c r="AL1475" t="e">
        <f>VLOOKUP(L1475,'[1]Tuyến cáp H04'!$B:$E,3,0)/1000</f>
        <v>#N/A</v>
      </c>
      <c r="AM1475" t="e">
        <f>VLOOKUP(L1475,'[1]Tuyến cáp H04'!$B:$E,4,0)</f>
        <v>#N/A</v>
      </c>
    </row>
    <row r="1476" spans="1:39" x14ac:dyDescent="0.25">
      <c r="A1476" s="1" t="s">
        <v>13877</v>
      </c>
      <c r="B1476" s="1" t="s">
        <v>12189</v>
      </c>
      <c r="C1476" s="1" t="s">
        <v>12190</v>
      </c>
      <c r="D1476" s="1" t="s">
        <v>13878</v>
      </c>
      <c r="E1476" s="1" t="s">
        <v>13879</v>
      </c>
      <c r="F1476" s="1" t="s">
        <v>13880</v>
      </c>
      <c r="G1476" s="1" t="s">
        <v>14281</v>
      </c>
      <c r="H1476" s="1" t="s">
        <v>14282</v>
      </c>
      <c r="I1476" s="1" t="s">
        <v>15556</v>
      </c>
      <c r="J1476" s="1" t="s">
        <v>23</v>
      </c>
      <c r="K1476" s="1"/>
      <c r="L1476" s="1" t="s">
        <v>12206</v>
      </c>
      <c r="M1476" s="1" t="s">
        <v>12206</v>
      </c>
      <c r="N1476" s="12" t="b">
        <f t="shared" si="115"/>
        <v>1</v>
      </c>
      <c r="O1476" s="1" t="s">
        <v>13881</v>
      </c>
      <c r="P1476" s="1" t="s">
        <v>12227</v>
      </c>
      <c r="Q1476" s="1" t="s">
        <v>12228</v>
      </c>
      <c r="R1476" s="1" t="s">
        <v>12229</v>
      </c>
      <c r="S1476" s="1" t="s">
        <v>13882</v>
      </c>
      <c r="T1476" s="1" t="s">
        <v>12228</v>
      </c>
      <c r="U1476" s="1" t="s">
        <v>12229</v>
      </c>
      <c r="V1476" s="13">
        <f>COUNTIF(L1476:$M$1659,L1476)</f>
        <v>2</v>
      </c>
      <c r="W1476" s="1" t="s">
        <v>12231</v>
      </c>
      <c r="X1476">
        <v>274.68</v>
      </c>
      <c r="Y1476">
        <v>1.42</v>
      </c>
      <c r="Z1476">
        <v>15.949006000000001</v>
      </c>
      <c r="AA1476">
        <v>108.254912</v>
      </c>
      <c r="AB1476">
        <v>273.26</v>
      </c>
      <c r="AC1476">
        <v>15.949006000000001</v>
      </c>
      <c r="AD1476">
        <v>108.254912</v>
      </c>
      <c r="AE1476" s="5">
        <f t="shared" si="116"/>
        <v>2.1299999999999999E-3</v>
      </c>
      <c r="AF1476" s="5">
        <f t="shared" si="117"/>
        <v>0.40988999999999998</v>
      </c>
      <c r="AG1476" s="1" t="str">
        <f>TRIM(LEFT(L1476,FIND("-",L1476)-1))</f>
        <v>Điện Bàn Đông</v>
      </c>
      <c r="AH1476" s="1" t="str">
        <f>TRIM(RIGHT(L1476, LEN(L1476) - FIND("-", L1476)))</f>
        <v>Hội An Tây</v>
      </c>
      <c r="AJ1476">
        <f t="shared" si="118"/>
        <v>1.4199999999999998E-3</v>
      </c>
      <c r="AK1476">
        <f t="shared" si="119"/>
        <v>0.27326</v>
      </c>
      <c r="AL1476">
        <f>VLOOKUP(L1476,'[1]Tuyến cáp H04'!$B:$E,3,0)/1000</f>
        <v>11.548</v>
      </c>
      <c r="AM1476" t="str">
        <f>VLOOKUP(L1476,'[1]Tuyến cáp H04'!$B:$E,4,0)</f>
        <v>Mạng cấp 4</v>
      </c>
    </row>
    <row r="1477" spans="1:39" x14ac:dyDescent="0.25">
      <c r="A1477" s="1" t="s">
        <v>13883</v>
      </c>
      <c r="B1477" s="1" t="s">
        <v>13088</v>
      </c>
      <c r="C1477" s="1" t="s">
        <v>13089</v>
      </c>
      <c r="D1477" s="1" t="s">
        <v>13064</v>
      </c>
      <c r="E1477" s="1" t="s">
        <v>13065</v>
      </c>
      <c r="F1477" s="1" t="s">
        <v>13090</v>
      </c>
      <c r="G1477" s="1"/>
      <c r="H1477" s="1" t="s">
        <v>14282</v>
      </c>
      <c r="I1477" s="1" t="s">
        <v>15461</v>
      </c>
      <c r="J1477" s="1" t="s">
        <v>23</v>
      </c>
      <c r="K1477" s="1"/>
      <c r="L1477" s="1" t="s">
        <v>13091</v>
      </c>
      <c r="M1477" s="1" t="s">
        <v>13091</v>
      </c>
      <c r="N1477" s="12" t="b">
        <f t="shared" si="115"/>
        <v>1</v>
      </c>
      <c r="O1477" s="1" t="s">
        <v>13092</v>
      </c>
      <c r="P1477" s="1" t="s">
        <v>13096</v>
      </c>
      <c r="Q1477" s="1" t="s">
        <v>13097</v>
      </c>
      <c r="R1477" s="1" t="s">
        <v>13098</v>
      </c>
      <c r="S1477" s="1" t="s">
        <v>13093</v>
      </c>
      <c r="T1477" s="1" t="s">
        <v>13094</v>
      </c>
      <c r="U1477" s="1" t="s">
        <v>13095</v>
      </c>
      <c r="V1477" s="13">
        <f>COUNTIF(L1477:$M$1659,L1477)</f>
        <v>2</v>
      </c>
      <c r="W1477" s="1" t="s">
        <v>13099</v>
      </c>
      <c r="X1477">
        <v>312.47000000000003</v>
      </c>
      <c r="Y1477">
        <v>18.02</v>
      </c>
      <c r="Z1477">
        <v>15.919997</v>
      </c>
      <c r="AA1477">
        <v>108.221555</v>
      </c>
      <c r="AB1477">
        <v>294.45</v>
      </c>
      <c r="AC1477">
        <v>15.889352000000001</v>
      </c>
      <c r="AD1477">
        <v>108.256027</v>
      </c>
      <c r="AE1477" s="5">
        <f t="shared" si="116"/>
        <v>2.7030000000000002E-2</v>
      </c>
      <c r="AF1477" s="5">
        <f t="shared" si="117"/>
        <v>0.44167499999999993</v>
      </c>
      <c r="AG1477" s="1" t="str">
        <f>TRIM(LEFT(L1477,FIND("-",L1477)-1))</f>
        <v>TTCMKV Điện Bàn</v>
      </c>
      <c r="AH1477" s="1" t="str">
        <f>TRIM(RIGHT(L1477, LEN(L1477) - FIND("-", L1477)))</f>
        <v>An Thắng</v>
      </c>
      <c r="AJ1477">
        <f t="shared" si="118"/>
        <v>1.8020000000000001E-2</v>
      </c>
      <c r="AK1477">
        <f t="shared" si="119"/>
        <v>0.29444999999999999</v>
      </c>
      <c r="AL1477">
        <f>VLOOKUP(L1477,'[1]Tuyến cáp H04'!$B:$E,3,0)/1000</f>
        <v>8.1240000000000006</v>
      </c>
      <c r="AM1477" t="str">
        <f>VLOOKUP(L1477,'[1]Tuyến cáp H04'!$B:$E,4,0)</f>
        <v>Mạng cấp 4</v>
      </c>
    </row>
    <row r="1478" spans="1:39" x14ac:dyDescent="0.25">
      <c r="A1478" s="1" t="s">
        <v>13884</v>
      </c>
      <c r="B1478" s="1" t="s">
        <v>13088</v>
      </c>
      <c r="C1478" s="1" t="s">
        <v>13089</v>
      </c>
      <c r="D1478" s="1" t="s">
        <v>13885</v>
      </c>
      <c r="E1478" s="1" t="s">
        <v>13886</v>
      </c>
      <c r="F1478" s="1" t="s">
        <v>13887</v>
      </c>
      <c r="G1478" s="1" t="s">
        <v>14281</v>
      </c>
      <c r="H1478" s="1" t="s">
        <v>14282</v>
      </c>
      <c r="I1478" s="1" t="s">
        <v>15557</v>
      </c>
      <c r="J1478" s="1" t="s">
        <v>23</v>
      </c>
      <c r="K1478" s="1"/>
      <c r="L1478" s="1" t="s">
        <v>12250</v>
      </c>
      <c r="M1478" s="1" t="s">
        <v>12250</v>
      </c>
      <c r="N1478" s="12" t="b">
        <f t="shared" si="115"/>
        <v>1</v>
      </c>
      <c r="O1478" s="1" t="s">
        <v>13888</v>
      </c>
      <c r="P1478" s="1" t="s">
        <v>13889</v>
      </c>
      <c r="Q1478" s="1" t="s">
        <v>13890</v>
      </c>
      <c r="R1478" s="1" t="s">
        <v>13891</v>
      </c>
      <c r="S1478" s="1" t="s">
        <v>13892</v>
      </c>
      <c r="T1478" s="1" t="s">
        <v>13893</v>
      </c>
      <c r="U1478" s="1" t="s">
        <v>13894</v>
      </c>
      <c r="V1478" s="13">
        <f>COUNTIF(L1478:$M$1659,L1478)</f>
        <v>2</v>
      </c>
      <c r="W1478" s="1" t="s">
        <v>13895</v>
      </c>
      <c r="X1478">
        <v>2005.71</v>
      </c>
      <c r="Y1478">
        <v>1342.73</v>
      </c>
      <c r="Z1478">
        <v>15.932121</v>
      </c>
      <c r="AA1478">
        <v>108.22315</v>
      </c>
      <c r="AB1478">
        <v>662.98</v>
      </c>
      <c r="AC1478">
        <v>15.933014</v>
      </c>
      <c r="AD1478">
        <v>108.208342</v>
      </c>
      <c r="AE1478" s="5">
        <f t="shared" si="116"/>
        <v>2.0140950000000002</v>
      </c>
      <c r="AF1478" s="5">
        <f t="shared" si="117"/>
        <v>0.99447000000000008</v>
      </c>
      <c r="AG1478" s="1" t="str">
        <f>TRIM(LEFT(L1478,FIND("-",L1478)-1))</f>
        <v>Điện Bàn Bắc</v>
      </c>
      <c r="AH1478" s="1" t="str">
        <f>TRIM(RIGHT(L1478, LEN(L1478) - FIND("-", L1478)))</f>
        <v>TTCMKV Hội An</v>
      </c>
      <c r="AJ1478">
        <f t="shared" si="118"/>
        <v>1.34273</v>
      </c>
      <c r="AK1478">
        <f t="shared" si="119"/>
        <v>0.66298000000000001</v>
      </c>
      <c r="AL1478">
        <f>VLOOKUP(L1478,'[1]Tuyến cáp H04'!$B:$E,3,0)/1000</f>
        <v>31.427</v>
      </c>
      <c r="AM1478" t="str">
        <f>VLOOKUP(L1478,'[1]Tuyến cáp H04'!$B:$E,4,0)</f>
        <v>Mạng cấp 4</v>
      </c>
    </row>
    <row r="1479" spans="1:39" x14ac:dyDescent="0.25">
      <c r="A1479" s="1" t="s">
        <v>13896</v>
      </c>
      <c r="B1479" s="1" t="s">
        <v>13897</v>
      </c>
      <c r="C1479" s="1" t="s">
        <v>13689</v>
      </c>
      <c r="D1479" s="1" t="s">
        <v>13075</v>
      </c>
      <c r="E1479" s="1" t="s">
        <v>13076</v>
      </c>
      <c r="F1479" s="1" t="s">
        <v>13898</v>
      </c>
      <c r="G1479" s="1" t="s">
        <v>14281</v>
      </c>
      <c r="H1479" s="1" t="s">
        <v>14282</v>
      </c>
      <c r="I1479" s="1" t="s">
        <v>15558</v>
      </c>
      <c r="J1479" s="1" t="s">
        <v>23</v>
      </c>
      <c r="K1479" s="1"/>
      <c r="L1479" s="1" t="s">
        <v>13899</v>
      </c>
      <c r="M1479" s="1" t="s">
        <v>13899</v>
      </c>
      <c r="N1479" s="12" t="b">
        <f t="shared" si="115"/>
        <v>1</v>
      </c>
      <c r="O1479" s="1" t="s">
        <v>13900</v>
      </c>
      <c r="P1479" s="1" t="s">
        <v>13901</v>
      </c>
      <c r="Q1479" s="1" t="s">
        <v>13902</v>
      </c>
      <c r="R1479" s="1" t="s">
        <v>13903</v>
      </c>
      <c r="S1479" s="1" t="s">
        <v>13904</v>
      </c>
      <c r="T1479" s="1" t="s">
        <v>13905</v>
      </c>
      <c r="U1479" s="1" t="s">
        <v>13906</v>
      </c>
      <c r="V1479" s="13">
        <f>COUNTIF(L1479:$M$1659,L1479)</f>
        <v>6</v>
      </c>
      <c r="W1479" s="1" t="s">
        <v>13907</v>
      </c>
      <c r="X1479">
        <v>3162.64</v>
      </c>
      <c r="Y1479">
        <v>40.380000000000003</v>
      </c>
      <c r="Z1479">
        <v>15.923458999999999</v>
      </c>
      <c r="AA1479">
        <v>108.157512</v>
      </c>
      <c r="AB1479">
        <v>3122.25</v>
      </c>
      <c r="AC1479">
        <v>15.909742</v>
      </c>
      <c r="AD1479">
        <v>108.16077</v>
      </c>
      <c r="AE1479" s="5">
        <f t="shared" si="116"/>
        <v>6.0570000000000006E-2</v>
      </c>
      <c r="AF1479" s="5">
        <f t="shared" si="117"/>
        <v>4.6833749999999998</v>
      </c>
      <c r="AG1479" s="1" t="str">
        <f>TRIM(LEFT(L1479,FIND("-",L1479)-1))</f>
        <v>Điện Bàn Tây</v>
      </c>
      <c r="AH1479" s="1" t="str">
        <f>TRIM(RIGHT(L1479, LEN(L1479) - FIND("-", L1479)))</f>
        <v>Điện Bàn Bắc</v>
      </c>
      <c r="AJ1479">
        <f t="shared" si="118"/>
        <v>4.0379999999999999E-2</v>
      </c>
      <c r="AK1479">
        <f t="shared" si="119"/>
        <v>3.1222500000000002</v>
      </c>
      <c r="AL1479">
        <f>VLOOKUP(L1479,'[1]Tuyến cáp H04'!$B:$E,3,0)/1000</f>
        <v>6.2690000000000001</v>
      </c>
      <c r="AM1479" t="str">
        <f>VLOOKUP(L1479,'[1]Tuyến cáp H04'!$B:$E,4,0)</f>
        <v>Mạng cấp 4</v>
      </c>
    </row>
    <row r="1480" spans="1:39" x14ac:dyDescent="0.25">
      <c r="A1480" s="1" t="s">
        <v>13908</v>
      </c>
      <c r="B1480" s="1" t="s">
        <v>13897</v>
      </c>
      <c r="C1480" s="1" t="s">
        <v>13689</v>
      </c>
      <c r="D1480" s="1" t="s">
        <v>13909</v>
      </c>
      <c r="E1480" s="1" t="s">
        <v>13910</v>
      </c>
      <c r="F1480" s="1" t="s">
        <v>13911</v>
      </c>
      <c r="G1480" s="1" t="s">
        <v>14281</v>
      </c>
      <c r="H1480" s="1" t="s">
        <v>14282</v>
      </c>
      <c r="I1480" s="1" t="s">
        <v>15559</v>
      </c>
      <c r="J1480" s="1" t="s">
        <v>23</v>
      </c>
      <c r="K1480" s="1"/>
      <c r="L1480" s="1" t="s">
        <v>13899</v>
      </c>
      <c r="M1480" s="1" t="s">
        <v>13899</v>
      </c>
      <c r="N1480" s="12" t="b">
        <f t="shared" si="115"/>
        <v>1</v>
      </c>
      <c r="O1480" s="1" t="s">
        <v>13912</v>
      </c>
      <c r="P1480" s="1" t="s">
        <v>13901</v>
      </c>
      <c r="Q1480" s="1" t="s">
        <v>13902</v>
      </c>
      <c r="R1480" s="1" t="s">
        <v>13903</v>
      </c>
      <c r="S1480" s="1" t="s">
        <v>13913</v>
      </c>
      <c r="T1480" s="1" t="s">
        <v>13914</v>
      </c>
      <c r="U1480" s="1" t="s">
        <v>13915</v>
      </c>
      <c r="V1480" s="13">
        <f>COUNTIF(L1480:$M$1659,L1480)</f>
        <v>4</v>
      </c>
      <c r="W1480" s="1" t="s">
        <v>13907</v>
      </c>
      <c r="X1480">
        <v>2587.9299999999998</v>
      </c>
      <c r="Y1480">
        <v>40.380000000000003</v>
      </c>
      <c r="Z1480">
        <v>15.923458999999999</v>
      </c>
      <c r="AA1480">
        <v>108.157512</v>
      </c>
      <c r="AB1480">
        <v>2547.5500000000002</v>
      </c>
      <c r="AC1480">
        <v>15.921165</v>
      </c>
      <c r="AD1480">
        <v>108.156412</v>
      </c>
      <c r="AE1480" s="5">
        <f t="shared" si="116"/>
        <v>6.0570000000000006E-2</v>
      </c>
      <c r="AF1480" s="5">
        <f t="shared" si="117"/>
        <v>3.8213250000000003</v>
      </c>
      <c r="AG1480" s="1" t="str">
        <f>TRIM(LEFT(L1480,FIND("-",L1480)-1))</f>
        <v>Điện Bàn Tây</v>
      </c>
      <c r="AH1480" s="1" t="str">
        <f>TRIM(RIGHT(L1480, LEN(L1480) - FIND("-", L1480)))</f>
        <v>Điện Bàn Bắc</v>
      </c>
      <c r="AJ1480">
        <f t="shared" si="118"/>
        <v>4.0379999999999999E-2</v>
      </c>
      <c r="AK1480">
        <f t="shared" si="119"/>
        <v>2.5475500000000002</v>
      </c>
      <c r="AL1480">
        <f>VLOOKUP(L1480,'[1]Tuyến cáp H04'!$B:$E,3,0)/1000</f>
        <v>6.2690000000000001</v>
      </c>
      <c r="AM1480" t="str">
        <f>VLOOKUP(L1480,'[1]Tuyến cáp H04'!$B:$E,4,0)</f>
        <v>Mạng cấp 4</v>
      </c>
    </row>
    <row r="1481" spans="1:39" x14ac:dyDescent="0.25">
      <c r="A1481" s="1" t="s">
        <v>13916</v>
      </c>
      <c r="B1481" s="1" t="s">
        <v>13897</v>
      </c>
      <c r="C1481" s="1" t="s">
        <v>13689</v>
      </c>
      <c r="D1481" s="1" t="s">
        <v>13917</v>
      </c>
      <c r="E1481" s="1" t="s">
        <v>13918</v>
      </c>
      <c r="F1481" s="1" t="s">
        <v>13919</v>
      </c>
      <c r="G1481" s="1" t="s">
        <v>14281</v>
      </c>
      <c r="H1481" s="1" t="s">
        <v>14282</v>
      </c>
      <c r="I1481" s="1" t="s">
        <v>15560</v>
      </c>
      <c r="J1481" s="1" t="s">
        <v>23</v>
      </c>
      <c r="K1481" s="1"/>
      <c r="L1481" s="1" t="s">
        <v>13899</v>
      </c>
      <c r="M1481" s="1" t="s">
        <v>13899</v>
      </c>
      <c r="N1481" s="12" t="b">
        <f t="shared" si="115"/>
        <v>1</v>
      </c>
      <c r="O1481" s="1" t="s">
        <v>13920</v>
      </c>
      <c r="P1481" s="1" t="s">
        <v>13901</v>
      </c>
      <c r="Q1481" s="1" t="s">
        <v>13902</v>
      </c>
      <c r="R1481" s="1" t="s">
        <v>13903</v>
      </c>
      <c r="S1481" s="1" t="s">
        <v>13921</v>
      </c>
      <c r="T1481" s="1" t="s">
        <v>13914</v>
      </c>
      <c r="U1481" s="1" t="s">
        <v>13915</v>
      </c>
      <c r="V1481" s="13">
        <f>COUNTIF(L1481:$M$1659,L1481)</f>
        <v>2</v>
      </c>
      <c r="W1481" s="1" t="s">
        <v>13907</v>
      </c>
      <c r="X1481">
        <v>87.58</v>
      </c>
      <c r="Y1481">
        <v>40.380000000000003</v>
      </c>
      <c r="Z1481">
        <v>15.923458999999999</v>
      </c>
      <c r="AA1481">
        <v>108.157512</v>
      </c>
      <c r="AB1481">
        <v>47.2</v>
      </c>
      <c r="AC1481">
        <v>15.921165</v>
      </c>
      <c r="AD1481">
        <v>108.156412</v>
      </c>
      <c r="AE1481" s="5">
        <f t="shared" si="116"/>
        <v>6.0570000000000006E-2</v>
      </c>
      <c r="AF1481" s="5">
        <f t="shared" si="117"/>
        <v>7.0800000000000016E-2</v>
      </c>
      <c r="AG1481" s="1" t="str">
        <f>TRIM(LEFT(L1481,FIND("-",L1481)-1))</f>
        <v>Điện Bàn Tây</v>
      </c>
      <c r="AH1481" s="1" t="str">
        <f>TRIM(RIGHT(L1481, LEN(L1481) - FIND("-", L1481)))</f>
        <v>Điện Bàn Bắc</v>
      </c>
      <c r="AJ1481">
        <f t="shared" si="118"/>
        <v>4.0379999999999999E-2</v>
      </c>
      <c r="AK1481">
        <f t="shared" si="119"/>
        <v>4.7200000000000006E-2</v>
      </c>
      <c r="AL1481">
        <f>VLOOKUP(L1481,'[1]Tuyến cáp H04'!$B:$E,3,0)/1000</f>
        <v>6.2690000000000001</v>
      </c>
      <c r="AM1481" t="str">
        <f>VLOOKUP(L1481,'[1]Tuyến cáp H04'!$B:$E,4,0)</f>
        <v>Mạng cấp 4</v>
      </c>
    </row>
    <row r="1482" spans="1:39" x14ac:dyDescent="0.25">
      <c r="A1482" s="1" t="s">
        <v>13922</v>
      </c>
      <c r="B1482" s="1" t="s">
        <v>13923</v>
      </c>
      <c r="C1482" s="1" t="s">
        <v>13924</v>
      </c>
      <c r="D1482" s="1" t="s">
        <v>13925</v>
      </c>
      <c r="E1482" s="1" t="s">
        <v>13926</v>
      </c>
      <c r="F1482" s="1" t="s">
        <v>13927</v>
      </c>
      <c r="G1482" s="1" t="s">
        <v>14281</v>
      </c>
      <c r="H1482" s="1" t="s">
        <v>14282</v>
      </c>
      <c r="I1482" s="1" t="s">
        <v>15561</v>
      </c>
      <c r="J1482" s="1" t="s">
        <v>23</v>
      </c>
      <c r="K1482" s="1"/>
      <c r="L1482" s="1" t="s">
        <v>133</v>
      </c>
      <c r="M1482" s="1" t="s">
        <v>133</v>
      </c>
      <c r="N1482" s="12" t="b">
        <f t="shared" si="115"/>
        <v>1</v>
      </c>
      <c r="O1482" s="1" t="s">
        <v>13928</v>
      </c>
      <c r="P1482" s="1" t="s">
        <v>13929</v>
      </c>
      <c r="Q1482" s="1" t="s">
        <v>13930</v>
      </c>
      <c r="R1482" s="1" t="s">
        <v>13931</v>
      </c>
      <c r="S1482" s="1" t="s">
        <v>13932</v>
      </c>
      <c r="T1482" s="1" t="s">
        <v>13933</v>
      </c>
      <c r="U1482" s="1" t="s">
        <v>13934</v>
      </c>
      <c r="V1482" s="13">
        <f>COUNTIF(L1482:$M$1659,L1482)</f>
        <v>8</v>
      </c>
      <c r="W1482" s="1" t="s">
        <v>141</v>
      </c>
      <c r="X1482">
        <v>863.95</v>
      </c>
      <c r="Y1482">
        <v>556.94000000000005</v>
      </c>
      <c r="Z1482">
        <v>15.846783</v>
      </c>
      <c r="AA1482">
        <v>108.09189600000001</v>
      </c>
      <c r="AB1482">
        <v>307.02</v>
      </c>
      <c r="AC1482">
        <v>15.851334</v>
      </c>
      <c r="AD1482">
        <v>107.94514100000001</v>
      </c>
      <c r="AE1482" s="5">
        <f t="shared" si="116"/>
        <v>0.8354100000000001</v>
      </c>
      <c r="AF1482" s="5">
        <f t="shared" si="117"/>
        <v>0.46052999999999999</v>
      </c>
      <c r="AG1482" s="1" t="str">
        <f>TRIM(LEFT(L1482,FIND("-",L1482)-1))</f>
        <v>Trại giam An Điềm (C10)</v>
      </c>
      <c r="AH1482" s="1" t="str">
        <f>TRIM(RIGHT(L1482, LEN(L1482) - FIND("-", L1482)))</f>
        <v>Duy Xuyên</v>
      </c>
      <c r="AJ1482">
        <f t="shared" si="118"/>
        <v>0.5569400000000001</v>
      </c>
      <c r="AK1482">
        <f t="shared" si="119"/>
        <v>0.30701999999999996</v>
      </c>
      <c r="AL1482">
        <f>VLOOKUP(L1482,'[1]Tuyến cáp H04'!$B:$E,3,0)/1000</f>
        <v>48.999000000000002</v>
      </c>
      <c r="AM1482" t="str">
        <f>VLOOKUP(L1482,'[1]Tuyến cáp H04'!$B:$E,4,0)</f>
        <v>Mạng cấp 3</v>
      </c>
    </row>
    <row r="1483" spans="1:39" x14ac:dyDescent="0.25">
      <c r="A1483" s="1" t="s">
        <v>13935</v>
      </c>
      <c r="B1483" s="1" t="s">
        <v>13923</v>
      </c>
      <c r="C1483" s="1" t="s">
        <v>13924</v>
      </c>
      <c r="D1483" s="1" t="s">
        <v>13285</v>
      </c>
      <c r="E1483" s="1" t="s">
        <v>13286</v>
      </c>
      <c r="F1483" s="1" t="s">
        <v>13936</v>
      </c>
      <c r="G1483" s="1" t="s">
        <v>14281</v>
      </c>
      <c r="H1483" s="1" t="s">
        <v>14282</v>
      </c>
      <c r="I1483" s="1" t="s">
        <v>15562</v>
      </c>
      <c r="J1483" s="1" t="s">
        <v>23</v>
      </c>
      <c r="K1483" s="1"/>
      <c r="L1483" s="1" t="s">
        <v>133</v>
      </c>
      <c r="M1483" s="1" t="s">
        <v>133</v>
      </c>
      <c r="N1483" s="12" t="b">
        <f t="shared" si="115"/>
        <v>1</v>
      </c>
      <c r="O1483" s="1" t="s">
        <v>13937</v>
      </c>
      <c r="P1483" s="1" t="s">
        <v>13929</v>
      </c>
      <c r="Q1483" s="1" t="s">
        <v>13930</v>
      </c>
      <c r="R1483" s="1" t="s">
        <v>13931</v>
      </c>
      <c r="S1483" s="1" t="s">
        <v>13289</v>
      </c>
      <c r="T1483" s="1" t="s">
        <v>13290</v>
      </c>
      <c r="U1483" s="1" t="s">
        <v>13291</v>
      </c>
      <c r="V1483" s="13">
        <f>COUNTIF(L1483:$M$1659,L1483)</f>
        <v>6</v>
      </c>
      <c r="W1483" s="1" t="s">
        <v>141</v>
      </c>
      <c r="X1483">
        <v>1264.6500000000001</v>
      </c>
      <c r="Y1483">
        <v>556.94000000000005</v>
      </c>
      <c r="Z1483">
        <v>15.846783</v>
      </c>
      <c r="AA1483">
        <v>108.09189600000001</v>
      </c>
      <c r="AB1483">
        <v>707.71</v>
      </c>
      <c r="AC1483">
        <v>15.829067999999999</v>
      </c>
      <c r="AD1483">
        <v>108.202787</v>
      </c>
      <c r="AE1483" s="5">
        <f t="shared" si="116"/>
        <v>0.8354100000000001</v>
      </c>
      <c r="AF1483" s="5">
        <f t="shared" si="117"/>
        <v>1.0615650000000001</v>
      </c>
      <c r="AG1483" s="1" t="str">
        <f>TRIM(LEFT(L1483,FIND("-",L1483)-1))</f>
        <v>Trại giam An Điềm (C10)</v>
      </c>
      <c r="AH1483" s="1" t="str">
        <f>TRIM(RIGHT(L1483, LEN(L1483) - FIND("-", L1483)))</f>
        <v>Duy Xuyên</v>
      </c>
      <c r="AJ1483">
        <f t="shared" si="118"/>
        <v>0.5569400000000001</v>
      </c>
      <c r="AK1483">
        <f t="shared" si="119"/>
        <v>0.70771000000000006</v>
      </c>
      <c r="AL1483">
        <f>VLOOKUP(L1483,'[1]Tuyến cáp H04'!$B:$E,3,0)/1000</f>
        <v>48.999000000000002</v>
      </c>
      <c r="AM1483" t="str">
        <f>VLOOKUP(L1483,'[1]Tuyến cáp H04'!$B:$E,4,0)</f>
        <v>Mạng cấp 3</v>
      </c>
    </row>
    <row r="1484" spans="1:39" x14ac:dyDescent="0.25">
      <c r="A1484" s="1" t="s">
        <v>13938</v>
      </c>
      <c r="B1484" s="1" t="s">
        <v>13923</v>
      </c>
      <c r="C1484" s="1" t="s">
        <v>13924</v>
      </c>
      <c r="D1484" s="1" t="s">
        <v>13939</v>
      </c>
      <c r="E1484" s="1" t="s">
        <v>13940</v>
      </c>
      <c r="F1484" s="1" t="s">
        <v>13941</v>
      </c>
      <c r="G1484" s="1" t="s">
        <v>14281</v>
      </c>
      <c r="H1484" s="1" t="s">
        <v>14282</v>
      </c>
      <c r="I1484" s="1" t="s">
        <v>15563</v>
      </c>
      <c r="J1484" s="1" t="s">
        <v>23</v>
      </c>
      <c r="K1484" s="1"/>
      <c r="L1484" s="1" t="s">
        <v>13942</v>
      </c>
      <c r="M1484" s="1" t="s">
        <v>13942</v>
      </c>
      <c r="N1484" s="12" t="b">
        <f t="shared" si="115"/>
        <v>1</v>
      </c>
      <c r="O1484" s="1" t="s">
        <v>13943</v>
      </c>
      <c r="P1484" s="1" t="s">
        <v>13944</v>
      </c>
      <c r="Q1484" s="1" t="s">
        <v>13945</v>
      </c>
      <c r="R1484" s="1" t="s">
        <v>13946</v>
      </c>
      <c r="S1484" s="1" t="s">
        <v>13947</v>
      </c>
      <c r="T1484" s="1" t="s">
        <v>13948</v>
      </c>
      <c r="U1484" s="1" t="s">
        <v>13949</v>
      </c>
      <c r="V1484" s="13">
        <f>COUNTIF(L1484:$M$1659,L1484)</f>
        <v>2</v>
      </c>
      <c r="W1484" s="1" t="s">
        <v>13950</v>
      </c>
      <c r="X1484">
        <v>1160.95</v>
      </c>
      <c r="Y1484">
        <v>54.34</v>
      </c>
      <c r="Z1484">
        <v>15.846954</v>
      </c>
      <c r="AA1484">
        <v>108.086629</v>
      </c>
      <c r="AB1484">
        <v>1106.6099999999999</v>
      </c>
      <c r="AC1484">
        <v>15.846133999999999</v>
      </c>
      <c r="AD1484">
        <v>108.106295</v>
      </c>
      <c r="AE1484" s="5">
        <f t="shared" si="116"/>
        <v>8.1509999999999999E-2</v>
      </c>
      <c r="AF1484" s="5">
        <f t="shared" si="117"/>
        <v>1.659915</v>
      </c>
      <c r="AG1484" s="1" t="str">
        <f>TRIM(LEFT(L1484,FIND("-",L1484)-1))</f>
        <v>TTCMKV Đại Lộc</v>
      </c>
      <c r="AH1484" s="1" t="str">
        <f>TRIM(RIGHT(L1484, LEN(L1484) - FIND("-", L1484)))</f>
        <v>Vu Gia</v>
      </c>
      <c r="AJ1484">
        <f t="shared" si="118"/>
        <v>5.4340000000000006E-2</v>
      </c>
      <c r="AK1484">
        <f t="shared" si="119"/>
        <v>1.1066099999999999</v>
      </c>
      <c r="AL1484">
        <f>VLOOKUP(L1484,'[1]Tuyến cáp H04'!$B:$E,3,0)/1000</f>
        <v>8.6300000000000008</v>
      </c>
      <c r="AM1484" t="str">
        <f>VLOOKUP(L1484,'[1]Tuyến cáp H04'!$B:$E,4,0)</f>
        <v>Mạng cấp 4</v>
      </c>
    </row>
    <row r="1485" spans="1:39" x14ac:dyDescent="0.25">
      <c r="A1485" s="1" t="s">
        <v>13951</v>
      </c>
      <c r="B1485" s="1" t="s">
        <v>13923</v>
      </c>
      <c r="C1485" s="1" t="s">
        <v>13924</v>
      </c>
      <c r="D1485" s="1" t="s">
        <v>13952</v>
      </c>
      <c r="E1485" s="1" t="s">
        <v>13953</v>
      </c>
      <c r="F1485" s="1" t="s">
        <v>13954</v>
      </c>
      <c r="G1485" s="1" t="s">
        <v>14281</v>
      </c>
      <c r="H1485" s="1" t="s">
        <v>14282</v>
      </c>
      <c r="I1485" s="1" t="s">
        <v>15564</v>
      </c>
      <c r="J1485" s="1" t="s">
        <v>23</v>
      </c>
      <c r="K1485" s="1"/>
      <c r="L1485" s="1" t="s">
        <v>13294</v>
      </c>
      <c r="M1485" s="1" t="s">
        <v>13294</v>
      </c>
      <c r="N1485" s="12" t="b">
        <f t="shared" si="115"/>
        <v>1</v>
      </c>
      <c r="O1485" s="1" t="s">
        <v>13955</v>
      </c>
      <c r="P1485" s="1" t="s">
        <v>13956</v>
      </c>
      <c r="Q1485" s="1" t="s">
        <v>13957</v>
      </c>
      <c r="R1485" s="1" t="s">
        <v>13958</v>
      </c>
      <c r="S1485" s="1" t="s">
        <v>13959</v>
      </c>
      <c r="T1485" s="1" t="s">
        <v>13960</v>
      </c>
      <c r="U1485" s="1" t="s">
        <v>13961</v>
      </c>
      <c r="V1485" s="13">
        <f>COUNTIF(L1485:$M$1659,L1485)</f>
        <v>4</v>
      </c>
      <c r="W1485" s="1" t="s">
        <v>13962</v>
      </c>
      <c r="X1485">
        <v>1245.0899999999999</v>
      </c>
      <c r="Y1485">
        <v>1026.3699999999999</v>
      </c>
      <c r="Z1485">
        <v>15.837248000000001</v>
      </c>
      <c r="AA1485">
        <v>108.086302</v>
      </c>
      <c r="AB1485">
        <v>218.72</v>
      </c>
      <c r="AC1485">
        <v>15.830484999999999</v>
      </c>
      <c r="AD1485">
        <v>108.084808</v>
      </c>
      <c r="AE1485" s="5">
        <f t="shared" si="116"/>
        <v>1.5395549999999998</v>
      </c>
      <c r="AF1485" s="5">
        <f t="shared" si="117"/>
        <v>0.32807999999999998</v>
      </c>
      <c r="AG1485" s="1" t="str">
        <f>TRIM(LEFT(L1485,FIND("-",L1485)-1))</f>
        <v>Phú Thuận</v>
      </c>
      <c r="AH1485" s="1" t="str">
        <f>TRIM(RIGHT(L1485, LEN(L1485) - FIND("-", L1485)))</f>
        <v>Duy Xuyên</v>
      </c>
      <c r="AJ1485">
        <f t="shared" si="118"/>
        <v>1.0263699999999998</v>
      </c>
      <c r="AK1485">
        <f t="shared" si="119"/>
        <v>0.21872</v>
      </c>
      <c r="AL1485">
        <f>VLOOKUP(L1485,'[1]Tuyến cáp H04'!$B:$E,3,0)/1000</f>
        <v>30.079000000000001</v>
      </c>
      <c r="AM1485" t="str">
        <f>VLOOKUP(L1485,'[1]Tuyến cáp H04'!$B:$E,4,0)</f>
        <v>Mạng cấp 4</v>
      </c>
    </row>
    <row r="1486" spans="1:39" x14ac:dyDescent="0.25">
      <c r="A1486" s="1" t="s">
        <v>13963</v>
      </c>
      <c r="B1486" s="1" t="s">
        <v>13923</v>
      </c>
      <c r="C1486" s="1" t="s">
        <v>13924</v>
      </c>
      <c r="D1486" s="1" t="s">
        <v>13964</v>
      </c>
      <c r="E1486" s="1" t="s">
        <v>13965</v>
      </c>
      <c r="F1486" s="1" t="s">
        <v>13966</v>
      </c>
      <c r="G1486" s="1" t="s">
        <v>14281</v>
      </c>
      <c r="H1486" s="1" t="s">
        <v>14282</v>
      </c>
      <c r="I1486" s="1" t="s">
        <v>15565</v>
      </c>
      <c r="J1486" s="1" t="s">
        <v>23</v>
      </c>
      <c r="K1486" s="1"/>
      <c r="L1486" s="1" t="s">
        <v>133</v>
      </c>
      <c r="M1486" s="1" t="s">
        <v>133</v>
      </c>
      <c r="N1486" s="12" t="b">
        <f t="shared" si="115"/>
        <v>1</v>
      </c>
      <c r="O1486" s="1" t="s">
        <v>13967</v>
      </c>
      <c r="P1486" s="1" t="s">
        <v>13929</v>
      </c>
      <c r="Q1486" s="1" t="s">
        <v>13930</v>
      </c>
      <c r="R1486" s="1" t="s">
        <v>13931</v>
      </c>
      <c r="S1486" s="1" t="s">
        <v>13968</v>
      </c>
      <c r="T1486" s="1" t="s">
        <v>13969</v>
      </c>
      <c r="U1486" s="1" t="s">
        <v>13970</v>
      </c>
      <c r="V1486" s="13">
        <f>COUNTIF(L1486:$M$1659,L1486)</f>
        <v>4</v>
      </c>
      <c r="W1486" s="1" t="s">
        <v>141</v>
      </c>
      <c r="X1486">
        <v>751.85</v>
      </c>
      <c r="Y1486">
        <v>556.94000000000005</v>
      </c>
      <c r="Z1486">
        <v>15.846783</v>
      </c>
      <c r="AA1486">
        <v>108.09189600000001</v>
      </c>
      <c r="AB1486">
        <v>194.91</v>
      </c>
      <c r="AC1486">
        <v>15.857137</v>
      </c>
      <c r="AD1486">
        <v>108.083394</v>
      </c>
      <c r="AE1486" s="5">
        <f t="shared" si="116"/>
        <v>0.8354100000000001</v>
      </c>
      <c r="AF1486" s="5">
        <f t="shared" si="117"/>
        <v>0.29236499999999999</v>
      </c>
      <c r="AG1486" s="1" t="str">
        <f>TRIM(LEFT(L1486,FIND("-",L1486)-1))</f>
        <v>Trại giam An Điềm (C10)</v>
      </c>
      <c r="AH1486" s="1" t="str">
        <f>TRIM(RIGHT(L1486, LEN(L1486) - FIND("-", L1486)))</f>
        <v>Duy Xuyên</v>
      </c>
      <c r="AJ1486">
        <f t="shared" si="118"/>
        <v>0.5569400000000001</v>
      </c>
      <c r="AK1486">
        <f t="shared" si="119"/>
        <v>0.19491</v>
      </c>
      <c r="AL1486">
        <f>VLOOKUP(L1486,'[1]Tuyến cáp H04'!$B:$E,3,0)/1000</f>
        <v>48.999000000000002</v>
      </c>
      <c r="AM1486" t="str">
        <f>VLOOKUP(L1486,'[1]Tuyến cáp H04'!$B:$E,4,0)</f>
        <v>Mạng cấp 3</v>
      </c>
    </row>
    <row r="1487" spans="1:39" x14ac:dyDescent="0.25">
      <c r="A1487" s="1" t="s">
        <v>13971</v>
      </c>
      <c r="B1487" s="1" t="s">
        <v>12270</v>
      </c>
      <c r="C1487" s="1" t="s">
        <v>12271</v>
      </c>
      <c r="D1487" s="1" t="s">
        <v>13972</v>
      </c>
      <c r="E1487" s="1" t="s">
        <v>13973</v>
      </c>
      <c r="F1487" s="1" t="s">
        <v>13974</v>
      </c>
      <c r="G1487" s="1" t="s">
        <v>14281</v>
      </c>
      <c r="H1487" s="1" t="s">
        <v>14282</v>
      </c>
      <c r="I1487" s="1" t="s">
        <v>15566</v>
      </c>
      <c r="J1487" s="1" t="s">
        <v>23</v>
      </c>
      <c r="K1487" s="1"/>
      <c r="L1487" s="1" t="s">
        <v>133</v>
      </c>
      <c r="M1487" s="1" t="s">
        <v>133</v>
      </c>
      <c r="N1487" s="12" t="b">
        <f t="shared" si="115"/>
        <v>1</v>
      </c>
      <c r="O1487" s="1" t="s">
        <v>13975</v>
      </c>
      <c r="P1487" s="1" t="s">
        <v>13976</v>
      </c>
      <c r="Q1487" s="1" t="s">
        <v>13977</v>
      </c>
      <c r="R1487" s="1" t="s">
        <v>13978</v>
      </c>
      <c r="S1487" s="1" t="s">
        <v>13979</v>
      </c>
      <c r="T1487" s="1" t="s">
        <v>13980</v>
      </c>
      <c r="U1487" s="1" t="s">
        <v>13981</v>
      </c>
      <c r="V1487" s="13">
        <f>COUNTIF(L1487:$M$1659,L1487)</f>
        <v>2</v>
      </c>
      <c r="W1487" s="1" t="s">
        <v>141</v>
      </c>
      <c r="X1487">
        <v>1436.57</v>
      </c>
      <c r="Y1487">
        <v>784.84</v>
      </c>
      <c r="Z1487">
        <v>15.837038</v>
      </c>
      <c r="AA1487">
        <v>108.12441</v>
      </c>
      <c r="AB1487">
        <v>651.74</v>
      </c>
      <c r="AC1487">
        <v>15.859436000000001</v>
      </c>
      <c r="AD1487">
        <v>108.002516</v>
      </c>
      <c r="AE1487" s="5">
        <f t="shared" si="116"/>
        <v>1.17726</v>
      </c>
      <c r="AF1487" s="5">
        <f t="shared" si="117"/>
        <v>0.97760999999999998</v>
      </c>
      <c r="AG1487" s="1" t="str">
        <f>TRIM(LEFT(L1487,FIND("-",L1487)-1))</f>
        <v>Trại giam An Điềm (C10)</v>
      </c>
      <c r="AH1487" s="1" t="str">
        <f>TRIM(RIGHT(L1487, LEN(L1487) - FIND("-", L1487)))</f>
        <v>Duy Xuyên</v>
      </c>
      <c r="AJ1487">
        <f t="shared" si="118"/>
        <v>0.78483999999999998</v>
      </c>
      <c r="AK1487">
        <f t="shared" si="119"/>
        <v>0.65173999999999999</v>
      </c>
      <c r="AL1487">
        <f>VLOOKUP(L1487,'[1]Tuyến cáp H04'!$B:$E,3,0)/1000</f>
        <v>48.999000000000002</v>
      </c>
      <c r="AM1487" t="str">
        <f>VLOOKUP(L1487,'[1]Tuyến cáp H04'!$B:$E,4,0)</f>
        <v>Mạng cấp 3</v>
      </c>
    </row>
    <row r="1488" spans="1:39" x14ac:dyDescent="0.25">
      <c r="A1488" s="1" t="s">
        <v>13982</v>
      </c>
      <c r="B1488" s="1" t="s">
        <v>12270</v>
      </c>
      <c r="C1488" s="1" t="s">
        <v>12271</v>
      </c>
      <c r="D1488" s="1" t="s">
        <v>13168</v>
      </c>
      <c r="E1488" s="1" t="s">
        <v>13169</v>
      </c>
      <c r="F1488" s="1" t="s">
        <v>13293</v>
      </c>
      <c r="G1488" s="1"/>
      <c r="H1488" s="1" t="s">
        <v>14282</v>
      </c>
      <c r="I1488" s="1" t="s">
        <v>15481</v>
      </c>
      <c r="J1488" s="1" t="s">
        <v>23</v>
      </c>
      <c r="K1488" s="1"/>
      <c r="L1488" s="1" t="s">
        <v>13294</v>
      </c>
      <c r="M1488" s="1" t="s">
        <v>13294</v>
      </c>
      <c r="N1488" s="12" t="b">
        <f t="shared" si="115"/>
        <v>1</v>
      </c>
      <c r="O1488" s="1" t="s">
        <v>13295</v>
      </c>
      <c r="P1488" s="1" t="s">
        <v>13298</v>
      </c>
      <c r="Q1488" s="1" t="s">
        <v>13299</v>
      </c>
      <c r="R1488" s="1" t="s">
        <v>13300</v>
      </c>
      <c r="S1488" s="1" t="s">
        <v>9792</v>
      </c>
      <c r="T1488" s="1" t="s">
        <v>13296</v>
      </c>
      <c r="U1488" s="1" t="s">
        <v>13297</v>
      </c>
      <c r="V1488" s="13">
        <f>COUNTIF(L1488:$M$1659,L1488)</f>
        <v>2</v>
      </c>
      <c r="W1488" s="1" t="s">
        <v>13301</v>
      </c>
      <c r="X1488">
        <v>799.31</v>
      </c>
      <c r="Y1488">
        <v>745.6</v>
      </c>
      <c r="Z1488">
        <v>15.836684999999999</v>
      </c>
      <c r="AA1488">
        <v>108.124303</v>
      </c>
      <c r="AB1488">
        <v>53.71</v>
      </c>
      <c r="AC1488">
        <v>15.822854</v>
      </c>
      <c r="AD1488">
        <v>108.24686</v>
      </c>
      <c r="AE1488" s="5">
        <f t="shared" si="116"/>
        <v>1.1184000000000001</v>
      </c>
      <c r="AF1488" s="5">
        <f t="shared" si="117"/>
        <v>8.0564999999999998E-2</v>
      </c>
      <c r="AG1488" s="1" t="str">
        <f>TRIM(LEFT(L1488,FIND("-",L1488)-1))</f>
        <v>Phú Thuận</v>
      </c>
      <c r="AH1488" s="1" t="str">
        <f>TRIM(RIGHT(L1488, LEN(L1488) - FIND("-", L1488)))</f>
        <v>Duy Xuyên</v>
      </c>
      <c r="AJ1488">
        <f t="shared" si="118"/>
        <v>0.74560000000000004</v>
      </c>
      <c r="AK1488">
        <f t="shared" si="119"/>
        <v>5.3710000000000001E-2</v>
      </c>
      <c r="AL1488">
        <f>VLOOKUP(L1488,'[1]Tuyến cáp H04'!$B:$E,3,0)/1000</f>
        <v>30.079000000000001</v>
      </c>
      <c r="AM1488" t="str">
        <f>VLOOKUP(L1488,'[1]Tuyến cáp H04'!$B:$E,4,0)</f>
        <v>Mạng cấp 4</v>
      </c>
    </row>
    <row r="1489" spans="1:39" x14ac:dyDescent="0.25">
      <c r="A1489" s="1" t="s">
        <v>13983</v>
      </c>
      <c r="B1489" s="1" t="s">
        <v>13984</v>
      </c>
      <c r="C1489" s="1" t="s">
        <v>13985</v>
      </c>
      <c r="D1489" s="1" t="s">
        <v>13986</v>
      </c>
      <c r="E1489" s="1" t="s">
        <v>13987</v>
      </c>
      <c r="F1489" s="1" t="s">
        <v>13988</v>
      </c>
      <c r="G1489" s="1" t="s">
        <v>14281</v>
      </c>
      <c r="H1489" s="1" t="s">
        <v>14282</v>
      </c>
      <c r="I1489" s="1" t="s">
        <v>15567</v>
      </c>
      <c r="J1489" s="1" t="s">
        <v>23</v>
      </c>
      <c r="K1489" s="1"/>
      <c r="L1489" s="1" t="s">
        <v>13268</v>
      </c>
      <c r="M1489" s="1" t="s">
        <v>13268</v>
      </c>
      <c r="N1489" s="12" t="b">
        <f t="shared" si="115"/>
        <v>1</v>
      </c>
      <c r="O1489" s="1" t="s">
        <v>13989</v>
      </c>
      <c r="P1489" s="1" t="s">
        <v>13990</v>
      </c>
      <c r="Q1489" s="1" t="s">
        <v>13991</v>
      </c>
      <c r="R1489" s="1" t="s">
        <v>13992</v>
      </c>
      <c r="S1489" s="1" t="s">
        <v>13993</v>
      </c>
      <c r="T1489" s="1" t="s">
        <v>13271</v>
      </c>
      <c r="U1489" s="1" t="s">
        <v>13272</v>
      </c>
      <c r="V1489" s="13">
        <f>COUNTIF(L1489:$M$1659,L1489)</f>
        <v>8</v>
      </c>
      <c r="W1489" s="1" t="s">
        <v>13276</v>
      </c>
      <c r="X1489">
        <v>664.09</v>
      </c>
      <c r="Y1489">
        <v>207.58</v>
      </c>
      <c r="Z1489">
        <v>15.82856</v>
      </c>
      <c r="AA1489">
        <v>108.271935</v>
      </c>
      <c r="AB1489">
        <v>456.51</v>
      </c>
      <c r="AC1489">
        <v>15.822770999999999</v>
      </c>
      <c r="AD1489">
        <v>108.246752</v>
      </c>
      <c r="AE1489" s="5">
        <f t="shared" si="116"/>
        <v>0.31136999999999998</v>
      </c>
      <c r="AF1489" s="5">
        <f t="shared" si="117"/>
        <v>0.68476499999999996</v>
      </c>
      <c r="AG1489" s="1" t="str">
        <f>TRIM(LEFT(L1489,FIND("-",L1489)-1))</f>
        <v>"Đội CSĐT (X. Duy Nghĩa, Duyên Xuyên)</v>
      </c>
      <c r="AH1489" s="1" t="str">
        <f>TRIM(RIGHT(L1489, LEN(L1489) - FIND("-", L1489)))</f>
        <v xml:space="preserve">
TTCMKV Duy Xuyên"</v>
      </c>
      <c r="AJ1489">
        <f t="shared" si="118"/>
        <v>0.20758000000000001</v>
      </c>
      <c r="AK1489">
        <f t="shared" si="119"/>
        <v>0.45650999999999997</v>
      </c>
      <c r="AL1489" t="e">
        <f>VLOOKUP(L1489,'[1]Tuyến cáp H04'!$B:$E,3,0)/1000</f>
        <v>#N/A</v>
      </c>
      <c r="AM1489" t="e">
        <f>VLOOKUP(L1489,'[1]Tuyến cáp H04'!$B:$E,4,0)</f>
        <v>#N/A</v>
      </c>
    </row>
    <row r="1490" spans="1:39" x14ac:dyDescent="0.25">
      <c r="A1490" s="1" t="s">
        <v>13994</v>
      </c>
      <c r="B1490" s="1" t="s">
        <v>13984</v>
      </c>
      <c r="C1490" s="1" t="s">
        <v>13985</v>
      </c>
      <c r="D1490" s="1" t="s">
        <v>13265</v>
      </c>
      <c r="E1490" s="1" t="s">
        <v>13266</v>
      </c>
      <c r="F1490" s="1" t="s">
        <v>13995</v>
      </c>
      <c r="G1490" s="1" t="s">
        <v>14281</v>
      </c>
      <c r="H1490" s="1" t="s">
        <v>14282</v>
      </c>
      <c r="I1490" s="1" t="s">
        <v>15568</v>
      </c>
      <c r="J1490" s="1" t="s">
        <v>23</v>
      </c>
      <c r="K1490" s="1"/>
      <c r="L1490" s="1" t="s">
        <v>13268</v>
      </c>
      <c r="M1490" s="1" t="s">
        <v>13268</v>
      </c>
      <c r="N1490" s="12" t="b">
        <f t="shared" si="115"/>
        <v>1</v>
      </c>
      <c r="O1490" s="1" t="s">
        <v>13996</v>
      </c>
      <c r="P1490" s="1" t="s">
        <v>13990</v>
      </c>
      <c r="Q1490" s="1" t="s">
        <v>13991</v>
      </c>
      <c r="R1490" s="1" t="s">
        <v>13992</v>
      </c>
      <c r="S1490" s="1" t="s">
        <v>13273</v>
      </c>
      <c r="T1490" s="1" t="s">
        <v>13274</v>
      </c>
      <c r="U1490" s="1" t="s">
        <v>13275</v>
      </c>
      <c r="V1490" s="13">
        <f>COUNTIF(L1490:$M$1659,L1490)</f>
        <v>6</v>
      </c>
      <c r="W1490" s="1" t="s">
        <v>13276</v>
      </c>
      <c r="X1490">
        <v>1034.3699999999999</v>
      </c>
      <c r="Y1490">
        <v>207.58</v>
      </c>
      <c r="Z1490">
        <v>15.82856</v>
      </c>
      <c r="AA1490">
        <v>108.271935</v>
      </c>
      <c r="AB1490">
        <v>826.79</v>
      </c>
      <c r="AC1490">
        <v>15.830394999999999</v>
      </c>
      <c r="AD1490">
        <v>108.29240799999999</v>
      </c>
      <c r="AE1490" s="5">
        <f t="shared" si="116"/>
        <v>0.31136999999999998</v>
      </c>
      <c r="AF1490" s="5">
        <f t="shared" si="117"/>
        <v>1.2401849999999999</v>
      </c>
      <c r="AG1490" s="1" t="str">
        <f>TRIM(LEFT(L1490,FIND("-",L1490)-1))</f>
        <v>"Đội CSĐT (X. Duy Nghĩa, Duyên Xuyên)</v>
      </c>
      <c r="AH1490" s="1" t="str">
        <f>TRIM(RIGHT(L1490, LEN(L1490) - FIND("-", L1490)))</f>
        <v xml:space="preserve">
TTCMKV Duy Xuyên"</v>
      </c>
      <c r="AJ1490">
        <f t="shared" si="118"/>
        <v>0.20758000000000001</v>
      </c>
      <c r="AK1490">
        <f t="shared" si="119"/>
        <v>0.82678999999999991</v>
      </c>
      <c r="AL1490" t="e">
        <f>VLOOKUP(L1490,'[1]Tuyến cáp H04'!$B:$E,3,0)/1000</f>
        <v>#N/A</v>
      </c>
      <c r="AM1490" t="e">
        <f>VLOOKUP(L1490,'[1]Tuyến cáp H04'!$B:$E,4,0)</f>
        <v>#N/A</v>
      </c>
    </row>
    <row r="1491" spans="1:39" x14ac:dyDescent="0.25">
      <c r="A1491" s="1" t="s">
        <v>13997</v>
      </c>
      <c r="B1491" s="1" t="s">
        <v>13984</v>
      </c>
      <c r="C1491" s="1" t="s">
        <v>13985</v>
      </c>
      <c r="D1491" s="1" t="s">
        <v>13998</v>
      </c>
      <c r="E1491" s="1" t="s">
        <v>13999</v>
      </c>
      <c r="F1491" s="1" t="s">
        <v>14000</v>
      </c>
      <c r="G1491" s="1" t="s">
        <v>14281</v>
      </c>
      <c r="H1491" s="1" t="s">
        <v>14282</v>
      </c>
      <c r="I1491" s="1" t="s">
        <v>15569</v>
      </c>
      <c r="J1491" s="1" t="s">
        <v>23</v>
      </c>
      <c r="K1491" s="1"/>
      <c r="L1491" s="1" t="s">
        <v>13268</v>
      </c>
      <c r="M1491" s="1" t="s">
        <v>13268</v>
      </c>
      <c r="N1491" s="12" t="b">
        <f t="shared" si="115"/>
        <v>1</v>
      </c>
      <c r="O1491" s="1" t="s">
        <v>14001</v>
      </c>
      <c r="P1491" s="1" t="s">
        <v>13990</v>
      </c>
      <c r="Q1491" s="1" t="s">
        <v>13991</v>
      </c>
      <c r="R1491" s="1" t="s">
        <v>13992</v>
      </c>
      <c r="S1491" s="1" t="s">
        <v>14002</v>
      </c>
      <c r="T1491" s="1" t="s">
        <v>14003</v>
      </c>
      <c r="U1491" s="1" t="s">
        <v>14004</v>
      </c>
      <c r="V1491" s="13">
        <f>COUNTIF(L1491:$M$1659,L1491)</f>
        <v>4</v>
      </c>
      <c r="W1491" s="1" t="s">
        <v>13276</v>
      </c>
      <c r="X1491">
        <v>1318.25</v>
      </c>
      <c r="Y1491">
        <v>207.58</v>
      </c>
      <c r="Z1491">
        <v>15.82856</v>
      </c>
      <c r="AA1491">
        <v>108.271935</v>
      </c>
      <c r="AB1491">
        <v>1110.67</v>
      </c>
      <c r="AC1491">
        <v>15.826947000000001</v>
      </c>
      <c r="AD1491">
        <v>108.25846300000001</v>
      </c>
      <c r="AE1491" s="5">
        <f t="shared" si="116"/>
        <v>0.31136999999999998</v>
      </c>
      <c r="AF1491" s="5">
        <f t="shared" si="117"/>
        <v>1.6660050000000002</v>
      </c>
      <c r="AG1491" s="1" t="str">
        <f>TRIM(LEFT(L1491,FIND("-",L1491)-1))</f>
        <v>"Đội CSĐT (X. Duy Nghĩa, Duyên Xuyên)</v>
      </c>
      <c r="AH1491" s="1" t="str">
        <f>TRIM(RIGHT(L1491, LEN(L1491) - FIND("-", L1491)))</f>
        <v xml:space="preserve">
TTCMKV Duy Xuyên"</v>
      </c>
      <c r="AJ1491">
        <f t="shared" si="118"/>
        <v>0.20758000000000001</v>
      </c>
      <c r="AK1491">
        <f t="shared" si="119"/>
        <v>1.11067</v>
      </c>
      <c r="AL1491" t="e">
        <f>VLOOKUP(L1491,'[1]Tuyến cáp H04'!$B:$E,3,0)/1000</f>
        <v>#N/A</v>
      </c>
      <c r="AM1491" t="e">
        <f>VLOOKUP(L1491,'[1]Tuyến cáp H04'!$B:$E,4,0)</f>
        <v>#N/A</v>
      </c>
    </row>
    <row r="1492" spans="1:39" x14ac:dyDescent="0.25">
      <c r="A1492" s="1" t="s">
        <v>14005</v>
      </c>
      <c r="B1492" s="1" t="s">
        <v>13984</v>
      </c>
      <c r="C1492" s="1" t="s">
        <v>13985</v>
      </c>
      <c r="D1492" s="1" t="s">
        <v>14006</v>
      </c>
      <c r="E1492" s="1" t="s">
        <v>14007</v>
      </c>
      <c r="F1492" s="1" t="s">
        <v>14008</v>
      </c>
      <c r="G1492" s="1" t="s">
        <v>14281</v>
      </c>
      <c r="H1492" s="1" t="s">
        <v>14282</v>
      </c>
      <c r="I1492" s="1" t="s">
        <v>15570</v>
      </c>
      <c r="J1492" s="1" t="s">
        <v>23</v>
      </c>
      <c r="K1492" s="1"/>
      <c r="L1492" s="1" t="s">
        <v>13268</v>
      </c>
      <c r="M1492" s="1" t="s">
        <v>13268</v>
      </c>
      <c r="N1492" s="12" t="b">
        <f t="shared" si="115"/>
        <v>1</v>
      </c>
      <c r="O1492" s="1" t="s">
        <v>14009</v>
      </c>
      <c r="P1492" s="1" t="s">
        <v>13990</v>
      </c>
      <c r="Q1492" s="1" t="s">
        <v>13991</v>
      </c>
      <c r="R1492" s="1" t="s">
        <v>13992</v>
      </c>
      <c r="S1492" s="1" t="s">
        <v>14010</v>
      </c>
      <c r="T1492" s="1" t="s">
        <v>14011</v>
      </c>
      <c r="U1492" s="1" t="s">
        <v>14012</v>
      </c>
      <c r="V1492" s="13">
        <f>COUNTIF(L1492:$M$1659,L1492)</f>
        <v>2</v>
      </c>
      <c r="W1492" s="1" t="s">
        <v>13276</v>
      </c>
      <c r="X1492">
        <v>802.75</v>
      </c>
      <c r="Y1492">
        <v>207.58</v>
      </c>
      <c r="Z1492">
        <v>15.82856</v>
      </c>
      <c r="AA1492">
        <v>108.271935</v>
      </c>
      <c r="AB1492">
        <v>595.16999999999996</v>
      </c>
      <c r="AC1492">
        <v>15.823722999999999</v>
      </c>
      <c r="AD1492">
        <v>108.255015</v>
      </c>
      <c r="AE1492" s="5">
        <f t="shared" si="116"/>
        <v>0.31136999999999998</v>
      </c>
      <c r="AF1492" s="5">
        <f t="shared" si="117"/>
        <v>0.89275499999999985</v>
      </c>
      <c r="AG1492" s="1" t="str">
        <f>TRIM(LEFT(L1492,FIND("-",L1492)-1))</f>
        <v>"Đội CSĐT (X. Duy Nghĩa, Duyên Xuyên)</v>
      </c>
      <c r="AH1492" s="1" t="str">
        <f>TRIM(RIGHT(L1492, LEN(L1492) - FIND("-", L1492)))</f>
        <v xml:space="preserve">
TTCMKV Duy Xuyên"</v>
      </c>
      <c r="AJ1492">
        <f t="shared" si="118"/>
        <v>0.20758000000000001</v>
      </c>
      <c r="AK1492">
        <f t="shared" si="119"/>
        <v>0.59516999999999998</v>
      </c>
      <c r="AL1492" t="e">
        <f>VLOOKUP(L1492,'[1]Tuyến cáp H04'!$B:$E,3,0)/1000</f>
        <v>#N/A</v>
      </c>
      <c r="AM1492" t="e">
        <f>VLOOKUP(L1492,'[1]Tuyến cáp H04'!$B:$E,4,0)</f>
        <v>#N/A</v>
      </c>
    </row>
    <row r="1493" spans="1:39" x14ac:dyDescent="0.25">
      <c r="A1493" s="1" t="s">
        <v>14013</v>
      </c>
      <c r="B1493" s="1" t="s">
        <v>12285</v>
      </c>
      <c r="C1493" s="1" t="s">
        <v>12286</v>
      </c>
      <c r="D1493" s="1" t="e">
        <v>#N/A</v>
      </c>
      <c r="E1493" s="1" t="e">
        <v>#N/A</v>
      </c>
      <c r="F1493" s="1" t="s">
        <v>14014</v>
      </c>
      <c r="G1493" s="1" t="s">
        <v>14281</v>
      </c>
      <c r="H1493" s="1" t="s">
        <v>14282</v>
      </c>
      <c r="I1493" s="1" t="s">
        <v>15571</v>
      </c>
      <c r="J1493" s="1" t="s">
        <v>5166</v>
      </c>
      <c r="K1493" s="1" t="s">
        <v>11893</v>
      </c>
      <c r="L1493" s="1"/>
      <c r="M1493" s="1"/>
      <c r="N1493" s="12" t="b">
        <f t="shared" si="115"/>
        <v>1</v>
      </c>
      <c r="O1493" s="1"/>
      <c r="P1493" s="1"/>
      <c r="Q1493" s="1"/>
      <c r="R1493" s="1"/>
      <c r="S1493" s="1"/>
      <c r="T1493" s="1"/>
      <c r="U1493" s="1"/>
      <c r="V1493" s="13">
        <f>COUNTIF(L1493:$M$1659,L1493)</f>
        <v>0</v>
      </c>
      <c r="W1493" s="1"/>
      <c r="AE1493" s="5"/>
      <c r="AF1493" s="5"/>
      <c r="AG1493" s="1"/>
      <c r="AH1493" s="1"/>
      <c r="AL1493" t="e">
        <f>VLOOKUP(L1493,'[1]Tuyến cáp H04'!$B:$E,3,0)/1000</f>
        <v>#N/A</v>
      </c>
      <c r="AM1493" t="e">
        <f>VLOOKUP(L1493,'[1]Tuyến cáp H04'!$B:$E,4,0)</f>
        <v>#N/A</v>
      </c>
    </row>
    <row r="1494" spans="1:39" x14ac:dyDescent="0.25">
      <c r="A1494" s="1" t="s">
        <v>14015</v>
      </c>
      <c r="B1494" s="1" t="s">
        <v>14016</v>
      </c>
      <c r="C1494" s="1" t="s">
        <v>14017</v>
      </c>
      <c r="D1494" s="1" t="s">
        <v>14018</v>
      </c>
      <c r="E1494" s="1" t="s">
        <v>14019</v>
      </c>
      <c r="F1494" s="1" t="s">
        <v>14020</v>
      </c>
      <c r="G1494" s="1" t="s">
        <v>14281</v>
      </c>
      <c r="H1494" s="1" t="s">
        <v>14282</v>
      </c>
      <c r="I1494" s="1" t="s">
        <v>15572</v>
      </c>
      <c r="J1494" s="1" t="s">
        <v>23</v>
      </c>
      <c r="K1494" s="1"/>
      <c r="L1494" s="1" t="s">
        <v>11571</v>
      </c>
      <c r="M1494" s="1" t="s">
        <v>11571</v>
      </c>
      <c r="N1494" s="12" t="b">
        <f t="shared" si="115"/>
        <v>1</v>
      </c>
      <c r="O1494" s="1" t="s">
        <v>14021</v>
      </c>
      <c r="P1494" s="1" t="s">
        <v>14022</v>
      </c>
      <c r="Q1494" s="1" t="s">
        <v>14023</v>
      </c>
      <c r="R1494" s="1" t="s">
        <v>14024</v>
      </c>
      <c r="S1494" s="1" t="s">
        <v>14025</v>
      </c>
      <c r="T1494" s="1" t="s">
        <v>14026</v>
      </c>
      <c r="U1494" s="1" t="s">
        <v>14027</v>
      </c>
      <c r="V1494" s="13">
        <f>COUNTIF(L1494:$M$1659,L1494)</f>
        <v>2</v>
      </c>
      <c r="W1494" s="1" t="s">
        <v>14028</v>
      </c>
      <c r="X1494">
        <v>1071.17</v>
      </c>
      <c r="Y1494">
        <v>13.48</v>
      </c>
      <c r="Z1494">
        <v>15.545696</v>
      </c>
      <c r="AA1494">
        <v>108.521484</v>
      </c>
      <c r="AB1494">
        <v>1057.68</v>
      </c>
      <c r="AC1494">
        <v>15.55298</v>
      </c>
      <c r="AD1494">
        <v>108.50616100000001</v>
      </c>
      <c r="AE1494" s="5">
        <f t="shared" si="116"/>
        <v>2.0219999999999998E-2</v>
      </c>
      <c r="AF1494" s="5">
        <f t="shared" si="117"/>
        <v>1.5865199999999999</v>
      </c>
      <c r="AG1494" s="1" t="str">
        <f>TRIM(LEFT(L1494,FIND("-",L1494)-1))</f>
        <v>TT2 Tam Kỳ</v>
      </c>
      <c r="AH1494" s="1" t="str">
        <f>TRIM(RIGHT(L1494, LEN(L1494) - FIND("-", L1494)))</f>
        <v>Tam Xuân</v>
      </c>
      <c r="AJ1494">
        <f t="shared" si="118"/>
        <v>1.3480000000000001E-2</v>
      </c>
      <c r="AK1494">
        <f t="shared" si="119"/>
        <v>1.05768</v>
      </c>
      <c r="AL1494" t="e">
        <f>VLOOKUP(L1494,'[1]Tuyến cáp H04'!$B:$E,3,0)/1000</f>
        <v>#N/A</v>
      </c>
      <c r="AM1494" t="e">
        <f>VLOOKUP(L1494,'[1]Tuyến cáp H04'!$B:$E,4,0)</f>
        <v>#N/A</v>
      </c>
    </row>
    <row r="1495" spans="1:39" x14ac:dyDescent="0.25">
      <c r="A1495" s="1" t="s">
        <v>14029</v>
      </c>
      <c r="B1495" s="1" t="s">
        <v>14016</v>
      </c>
      <c r="C1495" s="1" t="s">
        <v>14017</v>
      </c>
      <c r="D1495" s="1" t="s">
        <v>14030</v>
      </c>
      <c r="E1495" s="1" t="s">
        <v>14031</v>
      </c>
      <c r="F1495" s="1" t="s">
        <v>14032</v>
      </c>
      <c r="G1495" s="1" t="s">
        <v>14281</v>
      </c>
      <c r="H1495" s="1" t="s">
        <v>14282</v>
      </c>
      <c r="I1495" s="1" t="s">
        <v>15573</v>
      </c>
      <c r="J1495" s="1" t="s">
        <v>23</v>
      </c>
      <c r="K1495" s="1"/>
      <c r="L1495" s="1" t="s">
        <v>14033</v>
      </c>
      <c r="M1495" s="1" t="s">
        <v>14033</v>
      </c>
      <c r="N1495" s="12" t="b">
        <f t="shared" si="115"/>
        <v>1</v>
      </c>
      <c r="O1495" s="1" t="s">
        <v>14034</v>
      </c>
      <c r="P1495" s="1" t="s">
        <v>14035</v>
      </c>
      <c r="Q1495" s="1" t="s">
        <v>14036</v>
      </c>
      <c r="R1495" s="1" t="s">
        <v>14037</v>
      </c>
      <c r="S1495" s="1" t="s">
        <v>14038</v>
      </c>
      <c r="T1495" s="1" t="s">
        <v>14039</v>
      </c>
      <c r="U1495" s="1" t="s">
        <v>14040</v>
      </c>
      <c r="V1495" s="13">
        <f>COUNTIF(L1495:$M$1659,L1495)</f>
        <v>4</v>
      </c>
      <c r="W1495" s="1" t="s">
        <v>14041</v>
      </c>
      <c r="X1495">
        <v>1092.49</v>
      </c>
      <c r="Y1495">
        <v>755.06</v>
      </c>
      <c r="Z1495">
        <v>15.541767</v>
      </c>
      <c r="AA1495">
        <v>108.527382</v>
      </c>
      <c r="AB1495">
        <v>337.43</v>
      </c>
      <c r="AC1495">
        <v>15.513627</v>
      </c>
      <c r="AD1495">
        <v>108.557365</v>
      </c>
      <c r="AE1495" s="5">
        <f t="shared" si="116"/>
        <v>1.13259</v>
      </c>
      <c r="AF1495" s="5">
        <f t="shared" si="117"/>
        <v>0.50614499999999996</v>
      </c>
      <c r="AG1495" s="1" t="str">
        <f>TRIM(LEFT(L1495,FIND("-",L1495)-1))</f>
        <v>Tam Xuân</v>
      </c>
      <c r="AH1495" s="1" t="str">
        <f>TRIM(RIGHT(L1495, LEN(L1495) - FIND("-", L1495)))</f>
        <v>Tam Anh</v>
      </c>
      <c r="AJ1495">
        <f t="shared" si="118"/>
        <v>0.75505999999999995</v>
      </c>
      <c r="AK1495">
        <f t="shared" si="119"/>
        <v>0.33743000000000001</v>
      </c>
      <c r="AL1495">
        <f>VLOOKUP(L1495,'[1]Tuyến cáp H04'!$B:$E,3,0)/1000</f>
        <v>15.099</v>
      </c>
      <c r="AM1495" t="str">
        <f>VLOOKUP(L1495,'[1]Tuyến cáp H04'!$B:$E,4,0)</f>
        <v>Mạng cấp 4</v>
      </c>
    </row>
    <row r="1496" spans="1:39" x14ac:dyDescent="0.25">
      <c r="A1496" s="1" t="s">
        <v>14042</v>
      </c>
      <c r="B1496" s="1" t="s">
        <v>14016</v>
      </c>
      <c r="C1496" s="1" t="s">
        <v>14017</v>
      </c>
      <c r="D1496" s="1" t="s">
        <v>14043</v>
      </c>
      <c r="E1496" s="1" t="s">
        <v>14044</v>
      </c>
      <c r="F1496" s="1" t="s">
        <v>14045</v>
      </c>
      <c r="G1496" s="1" t="s">
        <v>14281</v>
      </c>
      <c r="H1496" s="1" t="s">
        <v>14282</v>
      </c>
      <c r="I1496" s="1" t="s">
        <v>15574</v>
      </c>
      <c r="J1496" s="1" t="s">
        <v>23</v>
      </c>
      <c r="K1496" s="1"/>
      <c r="L1496" s="1" t="s">
        <v>14033</v>
      </c>
      <c r="M1496" s="1" t="s">
        <v>14033</v>
      </c>
      <c r="N1496" s="12" t="b">
        <f t="shared" si="115"/>
        <v>1</v>
      </c>
      <c r="O1496" s="1" t="s">
        <v>14046</v>
      </c>
      <c r="P1496" s="1" t="s">
        <v>14047</v>
      </c>
      <c r="Q1496" s="1" t="s">
        <v>14048</v>
      </c>
      <c r="R1496" s="1" t="s">
        <v>14049</v>
      </c>
      <c r="S1496" s="1" t="s">
        <v>14050</v>
      </c>
      <c r="T1496" s="1" t="s">
        <v>14051</v>
      </c>
      <c r="U1496" s="1" t="s">
        <v>14052</v>
      </c>
      <c r="V1496" s="13">
        <f>COUNTIF(L1496:$M$1659,L1496)</f>
        <v>2</v>
      </c>
      <c r="W1496" s="1" t="s">
        <v>14053</v>
      </c>
      <c r="X1496">
        <v>907.91</v>
      </c>
      <c r="Y1496">
        <v>8.84</v>
      </c>
      <c r="Z1496">
        <v>15.545572</v>
      </c>
      <c r="AA1496">
        <v>108.521613</v>
      </c>
      <c r="AB1496">
        <v>899.07</v>
      </c>
      <c r="AC1496">
        <v>15.541734999999999</v>
      </c>
      <c r="AD1496">
        <v>108.527445</v>
      </c>
      <c r="AE1496" s="5">
        <f t="shared" si="116"/>
        <v>1.3259999999999999E-2</v>
      </c>
      <c r="AF1496" s="5">
        <f t="shared" si="117"/>
        <v>1.3486050000000001</v>
      </c>
      <c r="AG1496" s="1" t="str">
        <f>TRIM(LEFT(L1496,FIND("-",L1496)-1))</f>
        <v>Tam Xuân</v>
      </c>
      <c r="AH1496" s="1" t="str">
        <f>TRIM(RIGHT(L1496, LEN(L1496) - FIND("-", L1496)))</f>
        <v>Tam Anh</v>
      </c>
      <c r="AJ1496">
        <f t="shared" si="118"/>
        <v>8.8400000000000006E-3</v>
      </c>
      <c r="AK1496">
        <f t="shared" si="119"/>
        <v>0.89907000000000004</v>
      </c>
      <c r="AL1496">
        <f>VLOOKUP(L1496,'[1]Tuyến cáp H04'!$B:$E,3,0)/1000</f>
        <v>15.099</v>
      </c>
      <c r="AM1496" t="str">
        <f>VLOOKUP(L1496,'[1]Tuyến cáp H04'!$B:$E,4,0)</f>
        <v>Mạng cấp 4</v>
      </c>
    </row>
    <row r="1497" spans="1:39" x14ac:dyDescent="0.25">
      <c r="A1497" s="1" t="s">
        <v>14054</v>
      </c>
      <c r="B1497" s="1" t="s">
        <v>12306</v>
      </c>
      <c r="C1497" s="1" t="s">
        <v>12307</v>
      </c>
      <c r="D1497" s="1" t="s">
        <v>14055</v>
      </c>
      <c r="E1497" s="1" t="s">
        <v>14056</v>
      </c>
      <c r="F1497" s="1" t="s">
        <v>14057</v>
      </c>
      <c r="G1497" s="1" t="s">
        <v>14281</v>
      </c>
      <c r="H1497" s="1" t="s">
        <v>14282</v>
      </c>
      <c r="I1497" s="1" t="s">
        <v>15575</v>
      </c>
      <c r="J1497" s="1" t="s">
        <v>23</v>
      </c>
      <c r="K1497" s="1"/>
      <c r="L1497" s="1" t="s">
        <v>12322</v>
      </c>
      <c r="M1497" s="1" t="s">
        <v>12322</v>
      </c>
      <c r="N1497" s="12" t="b">
        <f t="shared" si="115"/>
        <v>1</v>
      </c>
      <c r="O1497" s="1" t="s">
        <v>14058</v>
      </c>
      <c r="P1497" s="1" t="s">
        <v>14059</v>
      </c>
      <c r="Q1497" s="1" t="s">
        <v>14060</v>
      </c>
      <c r="R1497" s="1" t="s">
        <v>14061</v>
      </c>
      <c r="S1497" s="1" t="s">
        <v>14062</v>
      </c>
      <c r="T1497" s="1" t="s">
        <v>14063</v>
      </c>
      <c r="U1497" s="1" t="s">
        <v>14064</v>
      </c>
      <c r="V1497" s="13">
        <f>COUNTIF(L1497:$M$1659,L1497)</f>
        <v>2</v>
      </c>
      <c r="W1497" s="1" t="s">
        <v>14065</v>
      </c>
      <c r="X1497">
        <v>58.49</v>
      </c>
      <c r="Y1497">
        <v>44.16</v>
      </c>
      <c r="Z1497">
        <v>15.52319</v>
      </c>
      <c r="AA1497">
        <v>108.41952999999999</v>
      </c>
      <c r="AB1497">
        <v>14.32</v>
      </c>
      <c r="AC1497">
        <v>15.523827000000001</v>
      </c>
      <c r="AD1497">
        <v>108.420692</v>
      </c>
      <c r="AE1497" s="5">
        <f t="shared" si="116"/>
        <v>6.6239999999999993E-2</v>
      </c>
      <c r="AF1497" s="5">
        <f t="shared" si="117"/>
        <v>2.1479999999999999E-2</v>
      </c>
      <c r="AG1497" s="1" t="str">
        <f>TRIM(LEFT(L1497,FIND("-",L1497)-1))</f>
        <v>Chiên Đàn</v>
      </c>
      <c r="AH1497" s="1" t="str">
        <f>TRIM(RIGHT(L1497, LEN(L1497) - FIND("-", L1497)))</f>
        <v>Phú Ninh</v>
      </c>
      <c r="AJ1497">
        <f t="shared" si="118"/>
        <v>4.4159999999999998E-2</v>
      </c>
      <c r="AK1497">
        <f t="shared" si="119"/>
        <v>1.4320000000000001E-2</v>
      </c>
      <c r="AL1497">
        <f>VLOOKUP(L1497,'[1]Tuyến cáp H04'!$B:$E,3,0)/1000</f>
        <v>4.9809999999999999</v>
      </c>
      <c r="AM1497" t="str">
        <f>VLOOKUP(L1497,'[1]Tuyến cáp H04'!$B:$E,4,0)</f>
        <v>Mạng cấp 4</v>
      </c>
    </row>
    <row r="1498" spans="1:39" x14ac:dyDescent="0.25">
      <c r="A1498" s="1" t="s">
        <v>14066</v>
      </c>
      <c r="B1498" s="1" t="s">
        <v>12306</v>
      </c>
      <c r="C1498" s="1" t="s">
        <v>12307</v>
      </c>
      <c r="D1498" s="1" t="e">
        <v>#N/A</v>
      </c>
      <c r="E1498" s="1" t="e">
        <v>#N/A</v>
      </c>
      <c r="F1498" s="1" t="s">
        <v>14067</v>
      </c>
      <c r="G1498" s="1" t="s">
        <v>14281</v>
      </c>
      <c r="H1498" s="1" t="s">
        <v>14282</v>
      </c>
      <c r="I1498" s="1" t="s">
        <v>15576</v>
      </c>
      <c r="J1498" s="1" t="s">
        <v>5166</v>
      </c>
      <c r="K1498" s="1" t="s">
        <v>11893</v>
      </c>
      <c r="L1498" s="1"/>
      <c r="M1498" s="1"/>
      <c r="N1498" s="12" t="b">
        <f t="shared" si="115"/>
        <v>1</v>
      </c>
      <c r="O1498" s="1"/>
      <c r="P1498" s="1"/>
      <c r="Q1498" s="1"/>
      <c r="R1498" s="1"/>
      <c r="S1498" s="1"/>
      <c r="T1498" s="1"/>
      <c r="U1498" s="1"/>
      <c r="V1498" s="13">
        <f>COUNTIF(L1498:$M$1659,L1498)</f>
        <v>0</v>
      </c>
      <c r="W1498" s="1"/>
      <c r="AE1498" s="5"/>
      <c r="AF1498" s="5"/>
      <c r="AG1498" s="1"/>
      <c r="AH1498" s="1"/>
      <c r="AL1498" t="e">
        <f>VLOOKUP(L1498,'[1]Tuyến cáp H04'!$B:$E,3,0)/1000</f>
        <v>#N/A</v>
      </c>
      <c r="AM1498" t="e">
        <f>VLOOKUP(L1498,'[1]Tuyến cáp H04'!$B:$E,4,0)</f>
        <v>#N/A</v>
      </c>
    </row>
    <row r="1499" spans="1:39" x14ac:dyDescent="0.25">
      <c r="A1499" s="1" t="s">
        <v>14068</v>
      </c>
      <c r="B1499" s="1" t="s">
        <v>11396</v>
      </c>
      <c r="C1499" s="1" t="s">
        <v>11397</v>
      </c>
      <c r="D1499" s="1" t="s">
        <v>14069</v>
      </c>
      <c r="E1499" s="1" t="s">
        <v>14070</v>
      </c>
      <c r="F1499" s="1" t="s">
        <v>14071</v>
      </c>
      <c r="G1499" s="1" t="s">
        <v>14281</v>
      </c>
      <c r="H1499" s="1" t="s">
        <v>14282</v>
      </c>
      <c r="I1499" s="1" t="s">
        <v>15577</v>
      </c>
      <c r="J1499" s="1" t="s">
        <v>23</v>
      </c>
      <c r="K1499" s="1"/>
      <c r="L1499" s="1" t="s">
        <v>12410</v>
      </c>
      <c r="M1499" s="1" t="s">
        <v>12410</v>
      </c>
      <c r="N1499" s="12" t="b">
        <f t="shared" si="115"/>
        <v>1</v>
      </c>
      <c r="O1499" s="1" t="s">
        <v>14072</v>
      </c>
      <c r="P1499" s="1" t="s">
        <v>12412</v>
      </c>
      <c r="Q1499" s="1" t="s">
        <v>11389</v>
      </c>
      <c r="R1499" s="1" t="s">
        <v>12413</v>
      </c>
      <c r="S1499" s="1" t="s">
        <v>14073</v>
      </c>
      <c r="T1499" s="1" t="s">
        <v>14074</v>
      </c>
      <c r="U1499" s="1" t="s">
        <v>14075</v>
      </c>
      <c r="V1499" s="13">
        <f>COUNTIF(L1499:$M$1659,L1499)</f>
        <v>2</v>
      </c>
      <c r="W1499" s="1" t="s">
        <v>12417</v>
      </c>
      <c r="X1499">
        <v>1524.16</v>
      </c>
      <c r="Y1499">
        <v>150.32</v>
      </c>
      <c r="Z1499">
        <v>15.736057000000001</v>
      </c>
      <c r="AA1499">
        <v>108.28953</v>
      </c>
      <c r="AB1499">
        <v>1373.84</v>
      </c>
      <c r="AC1499">
        <v>15.722346</v>
      </c>
      <c r="AD1499">
        <v>108.279076</v>
      </c>
      <c r="AE1499" s="5">
        <f t="shared" si="116"/>
        <v>0.22547999999999999</v>
      </c>
      <c r="AF1499" s="5">
        <f t="shared" si="117"/>
        <v>2.0607599999999997</v>
      </c>
      <c r="AG1499" s="1" t="str">
        <f>TRIM(LEFT(L1499,FIND("-",L1499)-1))</f>
        <v>Quế Sơn</v>
      </c>
      <c r="AH1499" s="1" t="str">
        <f>TRIM(RIGHT(L1499, LEN(L1499) - FIND("-", L1499)))</f>
        <v>Đại Lộc</v>
      </c>
      <c r="AJ1499">
        <f t="shared" si="118"/>
        <v>0.15031999999999998</v>
      </c>
      <c r="AK1499">
        <f t="shared" si="119"/>
        <v>1.37384</v>
      </c>
      <c r="AL1499">
        <f>VLOOKUP(L1499,'[1]Tuyến cáp H04'!$B:$E,3,0)/1000</f>
        <v>47.832000000000001</v>
      </c>
      <c r="AM1499" t="str">
        <f>VLOOKUP(L1499,'[1]Tuyến cáp H04'!$B:$E,4,0)</f>
        <v>Mạng cấp 3</v>
      </c>
    </row>
    <row r="1500" spans="1:39" x14ac:dyDescent="0.25">
      <c r="A1500" s="1" t="s">
        <v>14076</v>
      </c>
      <c r="B1500" s="1" t="s">
        <v>12427</v>
      </c>
      <c r="C1500" s="1" t="s">
        <v>12428</v>
      </c>
      <c r="D1500" s="1" t="s">
        <v>14077</v>
      </c>
      <c r="E1500" s="1" t="s">
        <v>14078</v>
      </c>
      <c r="F1500" s="1" t="s">
        <v>14079</v>
      </c>
      <c r="G1500" s="1" t="s">
        <v>14281</v>
      </c>
      <c r="H1500" s="1" t="s">
        <v>14282</v>
      </c>
      <c r="I1500" s="1" t="s">
        <v>15578</v>
      </c>
      <c r="J1500" s="1" t="s">
        <v>23</v>
      </c>
      <c r="K1500" s="1"/>
      <c r="L1500" s="1" t="s">
        <v>11373</v>
      </c>
      <c r="M1500" s="1" t="s">
        <v>11373</v>
      </c>
      <c r="N1500" s="12" t="b">
        <f t="shared" si="115"/>
        <v>1</v>
      </c>
      <c r="O1500" s="1" t="s">
        <v>14080</v>
      </c>
      <c r="P1500" s="1" t="s">
        <v>14081</v>
      </c>
      <c r="Q1500" s="1" t="s">
        <v>14082</v>
      </c>
      <c r="R1500" s="1" t="s">
        <v>14083</v>
      </c>
      <c r="S1500" s="1" t="s">
        <v>14084</v>
      </c>
      <c r="T1500" s="1" t="s">
        <v>14085</v>
      </c>
      <c r="U1500" s="1" t="s">
        <v>14086</v>
      </c>
      <c r="V1500" s="13">
        <f>COUNTIF(L1500:$M$1659,L1500)</f>
        <v>2</v>
      </c>
      <c r="W1500" s="1" t="s">
        <v>11381</v>
      </c>
      <c r="X1500">
        <v>1489.19</v>
      </c>
      <c r="Y1500">
        <v>266.18</v>
      </c>
      <c r="Z1500">
        <v>15.775741999999999</v>
      </c>
      <c r="AA1500">
        <v>108.33300300000001</v>
      </c>
      <c r="AB1500">
        <v>1223.01</v>
      </c>
      <c r="AC1500">
        <v>15.756098</v>
      </c>
      <c r="AD1500">
        <v>108.34813699999999</v>
      </c>
      <c r="AE1500" s="5">
        <f t="shared" si="116"/>
        <v>0.39926999999999996</v>
      </c>
      <c r="AF1500" s="5">
        <f t="shared" si="117"/>
        <v>1.8345149999999999</v>
      </c>
      <c r="AG1500" s="1" t="str">
        <f>TRIM(LEFT(L1500,FIND("-",L1500)-1))</f>
        <v>Duy Xuyên</v>
      </c>
      <c r="AH1500" s="1" t="str">
        <f>TRIM(RIGHT(L1500, LEN(L1500) - FIND("-", L1500)))</f>
        <v>TT2 Tam Kỳ</v>
      </c>
      <c r="AJ1500">
        <f t="shared" si="118"/>
        <v>0.26618000000000003</v>
      </c>
      <c r="AK1500">
        <f t="shared" si="119"/>
        <v>1.2230099999999999</v>
      </c>
      <c r="AL1500">
        <f>VLOOKUP(L1500,'[1]Tuyến cáp H04'!$B:$E,3,0)/1000</f>
        <v>44.616</v>
      </c>
      <c r="AM1500" t="str">
        <f>VLOOKUP(L1500,'[1]Tuyến cáp H04'!$B:$E,4,0)</f>
        <v>Mạng cấp 3</v>
      </c>
    </row>
    <row r="1501" spans="1:39" x14ac:dyDescent="0.25">
      <c r="A1501" s="1" t="s">
        <v>14087</v>
      </c>
      <c r="B1501" s="1" t="s">
        <v>11524</v>
      </c>
      <c r="C1501" s="1" t="s">
        <v>11525</v>
      </c>
      <c r="D1501" s="1" t="e">
        <v>#N/A</v>
      </c>
      <c r="E1501" s="1" t="e">
        <v>#N/A</v>
      </c>
      <c r="F1501" s="1" t="s">
        <v>14088</v>
      </c>
      <c r="G1501" s="1" t="s">
        <v>14281</v>
      </c>
      <c r="H1501" s="1" t="s">
        <v>14282</v>
      </c>
      <c r="I1501" s="1" t="s">
        <v>15579</v>
      </c>
      <c r="J1501" s="1" t="s">
        <v>5166</v>
      </c>
      <c r="K1501" s="1" t="s">
        <v>11893</v>
      </c>
      <c r="L1501" s="1"/>
      <c r="M1501" s="1"/>
      <c r="N1501" s="12" t="b">
        <f t="shared" si="115"/>
        <v>1</v>
      </c>
      <c r="O1501" s="1"/>
      <c r="P1501" s="1"/>
      <c r="Q1501" s="1"/>
      <c r="R1501" s="1"/>
      <c r="S1501" s="1"/>
      <c r="T1501" s="1"/>
      <c r="U1501" s="1"/>
      <c r="V1501" s="13">
        <f>COUNTIF(L1501:$M$1659,L1501)</f>
        <v>0</v>
      </c>
      <c r="W1501" s="1"/>
      <c r="AE1501" s="5"/>
      <c r="AF1501" s="5"/>
      <c r="AG1501" s="1"/>
      <c r="AH1501" s="1"/>
      <c r="AL1501" t="e">
        <f>VLOOKUP(L1501,'[1]Tuyến cáp H04'!$B:$E,3,0)/1000</f>
        <v>#N/A</v>
      </c>
      <c r="AM1501" t="e">
        <f>VLOOKUP(L1501,'[1]Tuyến cáp H04'!$B:$E,4,0)</f>
        <v>#N/A</v>
      </c>
    </row>
    <row r="1502" spans="1:39" x14ac:dyDescent="0.25">
      <c r="A1502" s="1" t="s">
        <v>12489</v>
      </c>
      <c r="B1502" s="1" t="s">
        <v>12475</v>
      </c>
      <c r="C1502" s="1" t="s">
        <v>12476</v>
      </c>
      <c r="D1502" s="1" t="s">
        <v>12490</v>
      </c>
      <c r="E1502" s="1" t="s">
        <v>12491</v>
      </c>
      <c r="F1502" s="1" t="s">
        <v>14089</v>
      </c>
      <c r="G1502" s="1" t="s">
        <v>14281</v>
      </c>
      <c r="H1502" s="1" t="s">
        <v>14282</v>
      </c>
      <c r="I1502" s="1" t="s">
        <v>15396</v>
      </c>
      <c r="J1502" s="1" t="s">
        <v>23</v>
      </c>
      <c r="K1502" s="1"/>
      <c r="L1502" s="1" t="s">
        <v>12480</v>
      </c>
      <c r="M1502" s="1" t="s">
        <v>12480</v>
      </c>
      <c r="N1502" s="12" t="b">
        <f t="shared" si="115"/>
        <v>1</v>
      </c>
      <c r="O1502" s="1" t="s">
        <v>12493</v>
      </c>
      <c r="P1502" s="1" t="s">
        <v>12482</v>
      </c>
      <c r="Q1502" s="1" t="s">
        <v>12483</v>
      </c>
      <c r="R1502" s="1" t="s">
        <v>12484</v>
      </c>
      <c r="S1502" s="1" t="s">
        <v>12494</v>
      </c>
      <c r="T1502" s="1" t="s">
        <v>12495</v>
      </c>
      <c r="U1502" s="1" t="s">
        <v>12496</v>
      </c>
      <c r="V1502" s="13">
        <f>COUNTIF(L1502:$M$1659,L1502)</f>
        <v>4</v>
      </c>
      <c r="W1502" s="1" t="s">
        <v>12488</v>
      </c>
      <c r="X1502">
        <v>576.87</v>
      </c>
      <c r="Y1502">
        <v>58.91</v>
      </c>
      <c r="Z1502">
        <v>15.632675000000001</v>
      </c>
      <c r="AA1502">
        <v>108.374645</v>
      </c>
      <c r="AB1502">
        <v>517.96</v>
      </c>
      <c r="AC1502">
        <v>15.633737</v>
      </c>
      <c r="AD1502">
        <v>108.375322</v>
      </c>
      <c r="AE1502" s="5">
        <f t="shared" si="116"/>
        <v>8.8364999999999999E-2</v>
      </c>
      <c r="AF1502" s="5">
        <f t="shared" si="117"/>
        <v>0.77694000000000007</v>
      </c>
      <c r="AG1502" s="1" t="str">
        <f>TRIM(LEFT(L1502,FIND("-",L1502)-1))</f>
        <v>Thăng Phú</v>
      </c>
      <c r="AH1502" s="1" t="str">
        <f>TRIM(RIGHT(L1502, LEN(L1502) - FIND("-", L1502)))</f>
        <v>Tây Hồ</v>
      </c>
      <c r="AJ1502">
        <f t="shared" si="118"/>
        <v>5.8909999999999997E-2</v>
      </c>
      <c r="AK1502">
        <f t="shared" si="119"/>
        <v>0.51796000000000009</v>
      </c>
      <c r="AL1502">
        <f>VLOOKUP(L1502,'[1]Tuyến cáp H04'!$B:$E,3,0)/1000</f>
        <v>5.5410000000000004</v>
      </c>
      <c r="AM1502" t="str">
        <f>VLOOKUP(L1502,'[1]Tuyến cáp H04'!$B:$E,4,0)</f>
        <v>Mạng cấp 4</v>
      </c>
    </row>
    <row r="1503" spans="1:39" x14ac:dyDescent="0.25">
      <c r="A1503" s="1" t="s">
        <v>14090</v>
      </c>
      <c r="B1503" s="1" t="s">
        <v>12475</v>
      </c>
      <c r="C1503" s="1" t="s">
        <v>12476</v>
      </c>
      <c r="D1503" s="1" t="s">
        <v>14091</v>
      </c>
      <c r="E1503" s="1" t="s">
        <v>14092</v>
      </c>
      <c r="F1503" s="1" t="s">
        <v>14093</v>
      </c>
      <c r="G1503" s="1" t="s">
        <v>14281</v>
      </c>
      <c r="H1503" s="1" t="s">
        <v>14282</v>
      </c>
      <c r="I1503" s="1" t="s">
        <v>15580</v>
      </c>
      <c r="J1503" s="1" t="s">
        <v>23</v>
      </c>
      <c r="K1503" s="1"/>
      <c r="L1503" s="1" t="s">
        <v>12480</v>
      </c>
      <c r="M1503" s="1" t="s">
        <v>12480</v>
      </c>
      <c r="N1503" s="12" t="b">
        <f t="shared" si="115"/>
        <v>1</v>
      </c>
      <c r="O1503" s="1" t="s">
        <v>14094</v>
      </c>
      <c r="P1503" s="1" t="s">
        <v>14095</v>
      </c>
      <c r="Q1503" s="1" t="s">
        <v>14096</v>
      </c>
      <c r="R1503" s="1" t="s">
        <v>14097</v>
      </c>
      <c r="S1503" s="1" t="s">
        <v>14098</v>
      </c>
      <c r="T1503" s="1" t="s">
        <v>14099</v>
      </c>
      <c r="U1503" s="1" t="s">
        <v>14100</v>
      </c>
      <c r="V1503" s="13">
        <f>COUNTIF(L1503:$M$1659,L1503)</f>
        <v>2</v>
      </c>
      <c r="W1503" s="1" t="s">
        <v>14101</v>
      </c>
      <c r="X1503">
        <v>1507.93</v>
      </c>
      <c r="Y1503">
        <v>1350.84</v>
      </c>
      <c r="Z1503">
        <v>15.624055</v>
      </c>
      <c r="AA1503">
        <v>108.383067</v>
      </c>
      <c r="AB1503">
        <v>157.09</v>
      </c>
      <c r="AC1503">
        <v>15.621383</v>
      </c>
      <c r="AD1503">
        <v>108.399039</v>
      </c>
      <c r="AE1503" s="5">
        <f t="shared" si="116"/>
        <v>2.0262599999999997</v>
      </c>
      <c r="AF1503" s="5">
        <f t="shared" si="117"/>
        <v>0.23563499999999998</v>
      </c>
      <c r="AG1503" s="1" t="str">
        <f>TRIM(LEFT(L1503,FIND("-",L1503)-1))</f>
        <v>Thăng Phú</v>
      </c>
      <c r="AH1503" s="1" t="str">
        <f>TRIM(RIGHT(L1503, LEN(L1503) - FIND("-", L1503)))</f>
        <v>Tây Hồ</v>
      </c>
      <c r="AJ1503">
        <f t="shared" si="118"/>
        <v>1.3508399999999998</v>
      </c>
      <c r="AK1503">
        <f t="shared" si="119"/>
        <v>0.15709000000000001</v>
      </c>
      <c r="AL1503">
        <f>VLOOKUP(L1503,'[1]Tuyến cáp H04'!$B:$E,3,0)/1000</f>
        <v>5.5410000000000004</v>
      </c>
      <c r="AM1503" t="str">
        <f>VLOOKUP(L1503,'[1]Tuyến cáp H04'!$B:$E,4,0)</f>
        <v>Mạng cấp 4</v>
      </c>
    </row>
    <row r="1504" spans="1:39" x14ac:dyDescent="0.25">
      <c r="A1504" s="1" t="s">
        <v>14102</v>
      </c>
      <c r="B1504" s="1" t="s">
        <v>11643</v>
      </c>
      <c r="C1504" s="1" t="s">
        <v>11644</v>
      </c>
      <c r="D1504" s="1" t="s">
        <v>14103</v>
      </c>
      <c r="E1504" s="1" t="s">
        <v>14104</v>
      </c>
      <c r="F1504" s="1" t="s">
        <v>14105</v>
      </c>
      <c r="G1504" s="1" t="s">
        <v>14281</v>
      </c>
      <c r="H1504" s="1" t="s">
        <v>14282</v>
      </c>
      <c r="I1504" s="1" t="s">
        <v>15581</v>
      </c>
      <c r="J1504" s="1" t="s">
        <v>23</v>
      </c>
      <c r="K1504" s="1"/>
      <c r="L1504" s="1" t="s">
        <v>11633</v>
      </c>
      <c r="M1504" s="1" t="s">
        <v>11633</v>
      </c>
      <c r="N1504" s="12" t="b">
        <f t="shared" si="115"/>
        <v>1</v>
      </c>
      <c r="O1504" s="1" t="s">
        <v>14106</v>
      </c>
      <c r="P1504" s="1" t="s">
        <v>11647</v>
      </c>
      <c r="Q1504" s="1" t="s">
        <v>11648</v>
      </c>
      <c r="R1504" s="1" t="s">
        <v>11649</v>
      </c>
      <c r="S1504" s="1" t="s">
        <v>14107</v>
      </c>
      <c r="T1504" s="1" t="s">
        <v>14108</v>
      </c>
      <c r="U1504" s="1" t="s">
        <v>14109</v>
      </c>
      <c r="V1504" s="13">
        <f>COUNTIF(L1504:$M$1659,L1504)</f>
        <v>2</v>
      </c>
      <c r="W1504" s="1" t="s">
        <v>11641</v>
      </c>
      <c r="X1504">
        <v>1064.2</v>
      </c>
      <c r="Y1504">
        <v>429.55</v>
      </c>
      <c r="Z1504">
        <v>15.544556999999999</v>
      </c>
      <c r="AA1504">
        <v>108.488028</v>
      </c>
      <c r="AB1504">
        <v>634.65</v>
      </c>
      <c r="AC1504">
        <v>15.560665999999999</v>
      </c>
      <c r="AD1504">
        <v>108.48599900000001</v>
      </c>
      <c r="AE1504" s="5">
        <f t="shared" si="116"/>
        <v>0.64432500000000004</v>
      </c>
      <c r="AF1504" s="5">
        <f t="shared" si="117"/>
        <v>0.9519749999999999</v>
      </c>
      <c r="AG1504" s="1" t="str">
        <f>TRIM(LEFT(L1504,FIND("-",L1504)-1))</f>
        <v>Hương Trà</v>
      </c>
      <c r="AH1504" s="1" t="str">
        <f>TRIM(RIGHT(L1504, LEN(L1504) - FIND("-", L1504)))</f>
        <v>Tam Kỳ</v>
      </c>
      <c r="AJ1504">
        <f t="shared" si="118"/>
        <v>0.42954999999999999</v>
      </c>
      <c r="AK1504">
        <f t="shared" si="119"/>
        <v>0.63464999999999994</v>
      </c>
      <c r="AL1504">
        <f>VLOOKUP(L1504,'[1]Tuyến cáp H04'!$B:$E,3,0)/1000</f>
        <v>5.2249999999999996</v>
      </c>
      <c r="AM1504" t="str">
        <f>VLOOKUP(L1504,'[1]Tuyến cáp H04'!$B:$E,4,0)</f>
        <v>Mạng cấp 4</v>
      </c>
    </row>
    <row r="1505" spans="1:43" x14ac:dyDescent="0.25">
      <c r="A1505" s="1" t="s">
        <v>14110</v>
      </c>
      <c r="B1505" s="1" t="s">
        <v>12524</v>
      </c>
      <c r="C1505" s="1" t="s">
        <v>12525</v>
      </c>
      <c r="D1505" s="1" t="s">
        <v>12541</v>
      </c>
      <c r="E1505" s="1" t="s">
        <v>12542</v>
      </c>
      <c r="F1505" s="1" t="s">
        <v>14111</v>
      </c>
      <c r="G1505" s="1" t="s">
        <v>14281</v>
      </c>
      <c r="H1505" s="1" t="s">
        <v>14282</v>
      </c>
      <c r="I1505" s="1" t="s">
        <v>15582</v>
      </c>
      <c r="J1505" s="1" t="s">
        <v>23</v>
      </c>
      <c r="K1505" s="1"/>
      <c r="L1505" s="1" t="s">
        <v>12544</v>
      </c>
      <c r="M1505" s="1" t="s">
        <v>12544</v>
      </c>
      <c r="N1505" s="12" t="b">
        <f t="shared" si="115"/>
        <v>1</v>
      </c>
      <c r="O1505" s="1" t="s">
        <v>14112</v>
      </c>
      <c r="P1505" s="1" t="s">
        <v>2569</v>
      </c>
      <c r="Q1505" s="1" t="s">
        <v>14113</v>
      </c>
      <c r="R1505" s="1" t="s">
        <v>14114</v>
      </c>
      <c r="S1505" s="1" t="s">
        <v>14115</v>
      </c>
      <c r="T1505" s="1" t="s">
        <v>14116</v>
      </c>
      <c r="U1505" s="1" t="s">
        <v>14117</v>
      </c>
      <c r="V1505" s="13">
        <f>COUNTIF(L1505:$M$1659,L1505)</f>
        <v>2</v>
      </c>
      <c r="W1505" s="1" t="s">
        <v>14118</v>
      </c>
      <c r="X1505">
        <v>478.99</v>
      </c>
      <c r="Y1505">
        <v>95.74</v>
      </c>
      <c r="Z1505">
        <v>15.575647</v>
      </c>
      <c r="AA1505">
        <v>108.47656600000001</v>
      </c>
      <c r="AB1505">
        <v>383.25</v>
      </c>
      <c r="AC1505">
        <v>15.569207</v>
      </c>
      <c r="AD1505">
        <v>108.476629</v>
      </c>
      <c r="AE1505" s="5">
        <f t="shared" si="116"/>
        <v>0.14360999999999999</v>
      </c>
      <c r="AF1505" s="5">
        <f t="shared" si="117"/>
        <v>0.57487500000000002</v>
      </c>
      <c r="AG1505" s="1" t="str">
        <f>TRIM(LEFT(L1505,FIND("-",L1505)-1))</f>
        <v>PC06</v>
      </c>
      <c r="AH1505" s="1" t="str">
        <f>TRIM(RIGHT(L1505, LEN(L1505) - FIND("-", L1505)))</f>
        <v>PC07</v>
      </c>
      <c r="AJ1505">
        <f t="shared" si="118"/>
        <v>9.5739999999999992E-2</v>
      </c>
      <c r="AK1505">
        <f t="shared" si="119"/>
        <v>0.38324999999999998</v>
      </c>
      <c r="AL1505">
        <f>VLOOKUP(L1505,'[1]Tuyến cáp H04'!$B:$E,3,0)/1000</f>
        <v>2.0049999999999999</v>
      </c>
      <c r="AM1505" t="str">
        <f>VLOOKUP(L1505,'[1]Tuyến cáp H04'!$B:$E,4,0)</f>
        <v>Mạng cấp 3</v>
      </c>
    </row>
    <row r="1506" spans="1:43" x14ac:dyDescent="0.25">
      <c r="A1506" s="1" t="s">
        <v>14119</v>
      </c>
      <c r="B1506" s="1" t="s">
        <v>12524</v>
      </c>
      <c r="C1506" s="1" t="s">
        <v>12525</v>
      </c>
      <c r="D1506" s="1" t="e">
        <v>#N/A</v>
      </c>
      <c r="E1506" s="1" t="e">
        <v>#N/A</v>
      </c>
      <c r="F1506" s="1" t="s">
        <v>14120</v>
      </c>
      <c r="G1506" s="1" t="s">
        <v>14281</v>
      </c>
      <c r="H1506" s="1" t="s">
        <v>14282</v>
      </c>
      <c r="I1506" s="1" t="s">
        <v>15583</v>
      </c>
      <c r="J1506" s="1" t="s">
        <v>5166</v>
      </c>
      <c r="K1506" s="1" t="s">
        <v>11893</v>
      </c>
      <c r="L1506" s="1"/>
      <c r="M1506" s="1"/>
      <c r="N1506" s="12" t="b">
        <f t="shared" si="115"/>
        <v>1</v>
      </c>
      <c r="O1506" s="1"/>
      <c r="P1506" s="1"/>
      <c r="Q1506" s="1"/>
      <c r="R1506" s="1"/>
      <c r="S1506" s="1"/>
      <c r="T1506" s="1"/>
      <c r="U1506" s="1"/>
      <c r="V1506" s="13">
        <f>COUNTIF(L1506:$M$1659,L1506)</f>
        <v>0</v>
      </c>
      <c r="W1506" s="1"/>
      <c r="AE1506" s="5"/>
      <c r="AF1506" s="5"/>
      <c r="AG1506" s="1"/>
      <c r="AH1506" s="1"/>
      <c r="AL1506" t="e">
        <f>VLOOKUP(L1506,'[1]Tuyến cáp H04'!$B:$E,3,0)/1000</f>
        <v>#N/A</v>
      </c>
      <c r="AM1506" t="e">
        <f>VLOOKUP(L1506,'[1]Tuyến cáp H04'!$B:$E,4,0)</f>
        <v>#N/A</v>
      </c>
    </row>
    <row r="1507" spans="1:43" x14ac:dyDescent="0.25">
      <c r="A1507" s="1" t="s">
        <v>14121</v>
      </c>
      <c r="B1507" s="1" t="s">
        <v>4610</v>
      </c>
      <c r="C1507" s="1" t="s">
        <v>4611</v>
      </c>
      <c r="D1507" s="1" t="s">
        <v>14122</v>
      </c>
      <c r="E1507" s="1" t="s">
        <v>14123</v>
      </c>
      <c r="F1507" s="1" t="s">
        <v>14124</v>
      </c>
      <c r="G1507" s="1" t="s">
        <v>14281</v>
      </c>
      <c r="H1507" s="1" t="s">
        <v>14282</v>
      </c>
      <c r="I1507" s="1" t="s">
        <v>15584</v>
      </c>
      <c r="J1507" s="1" t="s">
        <v>23</v>
      </c>
      <c r="K1507" s="1"/>
      <c r="L1507" s="9" t="s">
        <v>12610</v>
      </c>
      <c r="M1507" s="9" t="s">
        <v>12610</v>
      </c>
      <c r="N1507" s="12" t="b">
        <f t="shared" si="115"/>
        <v>1</v>
      </c>
      <c r="O1507" s="9" t="s">
        <v>14125</v>
      </c>
      <c r="P1507" s="9" t="s">
        <v>12612</v>
      </c>
      <c r="Q1507" s="9" t="s">
        <v>12613</v>
      </c>
      <c r="R1507" s="9" t="s">
        <v>12614</v>
      </c>
      <c r="S1507" s="9" t="s">
        <v>14126</v>
      </c>
      <c r="T1507" s="9" t="s">
        <v>14127</v>
      </c>
      <c r="U1507" s="9" t="s">
        <v>14128</v>
      </c>
      <c r="V1507" s="13">
        <f>COUNTIF(L1507:$M$1659,L1507)</f>
        <v>2</v>
      </c>
      <c r="W1507" s="9" t="s">
        <v>12618</v>
      </c>
      <c r="X1507">
        <v>941.53</v>
      </c>
      <c r="Y1507">
        <v>362.26</v>
      </c>
      <c r="Z1507">
        <v>15.560487</v>
      </c>
      <c r="AA1507">
        <v>108.44725800000001</v>
      </c>
      <c r="AB1507">
        <v>579.27</v>
      </c>
      <c r="AC1507">
        <v>15.559533</v>
      </c>
      <c r="AD1507">
        <v>108.440489</v>
      </c>
      <c r="AE1507" s="5">
        <f t="shared" si="116"/>
        <v>0.54339000000000004</v>
      </c>
      <c r="AF1507" s="5">
        <f t="shared" si="117"/>
        <v>0.86890499999999993</v>
      </c>
      <c r="AG1507" s="9" t="str">
        <f>TRIM(LEFT(L1507,FIND("-",L1507)-1))</f>
        <v>Phú Ninh</v>
      </c>
      <c r="AH1507" s="9" t="str">
        <f>TRIM(RIGHT(L1507, LEN(L1507) - FIND("-", L1507)))</f>
        <v>TT2 Tam Kỳ</v>
      </c>
      <c r="AJ1507">
        <f t="shared" si="118"/>
        <v>0.36225999999999997</v>
      </c>
      <c r="AK1507">
        <f t="shared" si="119"/>
        <v>0.57926999999999995</v>
      </c>
      <c r="AL1507">
        <f>VLOOKUP(L1507,'[1]Tuyến cáp H04'!$B:$E,3,0)/1000</f>
        <v>8.4600000000000009</v>
      </c>
      <c r="AM1507" t="str">
        <f>VLOOKUP(L1507,'[1]Tuyến cáp H04'!$B:$E,4,0)</f>
        <v>Mạng cấp 3</v>
      </c>
    </row>
    <row r="1508" spans="1:43" ht="15.75" x14ac:dyDescent="0.25">
      <c r="L1508" s="6" t="s">
        <v>15595</v>
      </c>
      <c r="M1508" s="6" t="s">
        <v>15595</v>
      </c>
      <c r="N1508" s="6"/>
      <c r="O1508" s="1"/>
      <c r="P1508" s="1"/>
      <c r="Q1508" s="1"/>
      <c r="R1508" s="1"/>
      <c r="S1508" s="1"/>
      <c r="T1508" s="1"/>
      <c r="U1508" s="1"/>
      <c r="V1508" s="13">
        <f>COUNTIF(L1508:$M$1659,L1508)</f>
        <v>6</v>
      </c>
      <c r="W1508" s="1"/>
      <c r="X1508" s="1"/>
      <c r="Y1508" s="1"/>
      <c r="Z1508" s="1"/>
      <c r="AA1508" s="1"/>
      <c r="AB1508" s="1"/>
      <c r="AC1508" s="1"/>
      <c r="AD1508" s="1"/>
      <c r="AE1508" s="1"/>
      <c r="AF1508" s="1"/>
      <c r="AG1508" s="7" t="str">
        <f>TRIM(LEFT(L1508,FIND("-",L1508)-1))</f>
        <v>TT2</v>
      </c>
      <c r="AH1508" s="7" t="str">
        <f>TRIM(RIGHT(L1508, LEN(L1508) - FIND("-", L1508)))</f>
        <v>Gia Lai-Ia Grai</v>
      </c>
      <c r="AI1508" s="7"/>
      <c r="AJ1508" s="7"/>
      <c r="AK1508" s="7"/>
      <c r="AL1508" s="1" t="e">
        <f>VLOOKUP(L1508,'[1]Tuyến cáp H04'!$B:$E,3,0)/1000</f>
        <v>#N/A</v>
      </c>
      <c r="AM1508" s="1" t="e">
        <f>VLOOKUP(L1508,'[1]Tuyến cáp H04'!$B:$E,4,0)</f>
        <v>#N/A</v>
      </c>
      <c r="AN1508" s="1" t="str">
        <f>AG1508&amp;"-"&amp;AH1508</f>
        <v>TT2-Gia Lai-Ia Grai</v>
      </c>
      <c r="AO1508" s="1"/>
      <c r="AP1508" s="1" t="e">
        <f>VLOOKUP(AN1508,'[1]Tuyến cáp H04'!$B:$E,3,0)/1000</f>
        <v>#N/A</v>
      </c>
      <c r="AQ1508" s="1" t="e">
        <f>VLOOKUP(AN1508,'[1]Tuyến cáp H04'!$B:$E,4,0)</f>
        <v>#N/A</v>
      </c>
    </row>
    <row r="1509" spans="1:43" ht="15.75" x14ac:dyDescent="0.25">
      <c r="L1509" s="6" t="s">
        <v>15596</v>
      </c>
      <c r="M1509" s="6" t="s">
        <v>15596</v>
      </c>
      <c r="N1509" s="6"/>
      <c r="O1509" s="1"/>
      <c r="P1509" s="1"/>
      <c r="Q1509" s="1"/>
      <c r="R1509" s="1"/>
      <c r="S1509" s="1"/>
      <c r="T1509" s="1"/>
      <c r="U1509" s="1"/>
      <c r="V1509" s="13">
        <f>COUNTIF(L1509:$M$1659,L1509)</f>
        <v>4</v>
      </c>
      <c r="W1509" s="1"/>
      <c r="X1509" s="1"/>
      <c r="Y1509" s="1"/>
      <c r="Z1509" s="1"/>
      <c r="AA1509" s="1"/>
      <c r="AB1509" s="1"/>
      <c r="AC1509" s="1"/>
      <c r="AD1509" s="1"/>
      <c r="AE1509" s="1"/>
      <c r="AF1509" s="1"/>
      <c r="AG1509" s="7" t="str">
        <f>TRIM(LEFT(L1509,FIND("-",L1509)-1))</f>
        <v>Ia Grai</v>
      </c>
      <c r="AH1509" s="7" t="str">
        <f>TRIM(RIGHT(L1509, LEN(L1509) - FIND("-", L1509)))</f>
        <v>Đức Cơ</v>
      </c>
      <c r="AI1509" s="7"/>
      <c r="AJ1509" s="7"/>
      <c r="AK1509" s="7"/>
      <c r="AL1509" s="1" t="e">
        <f>VLOOKUP(L1509,'[1]Tuyến cáp H04'!$B:$E,3,0)/1000</f>
        <v>#N/A</v>
      </c>
      <c r="AM1509" s="1" t="e">
        <f>VLOOKUP(L1509,'[1]Tuyến cáp H04'!$B:$E,4,0)</f>
        <v>#N/A</v>
      </c>
      <c r="AN1509" s="1" t="str">
        <f t="shared" ref="AN1509:AN1572" si="120">AG1509&amp;"-"&amp;AH1509</f>
        <v>Ia Grai-Đức Cơ</v>
      </c>
      <c r="AO1509" s="1"/>
      <c r="AP1509" s="1" t="e">
        <f>VLOOKUP(AN1509,'[1]Tuyến cáp H04'!$B:$E,3,0)/1000</f>
        <v>#N/A</v>
      </c>
      <c r="AQ1509" s="1" t="e">
        <f>VLOOKUP(AN1509,'[1]Tuyến cáp H04'!$B:$E,4,0)</f>
        <v>#N/A</v>
      </c>
    </row>
    <row r="1510" spans="1:43" ht="15.75" x14ac:dyDescent="0.25">
      <c r="L1510" s="6" t="s">
        <v>15597</v>
      </c>
      <c r="M1510" s="6" t="s">
        <v>15597</v>
      </c>
      <c r="N1510" s="6"/>
      <c r="O1510" s="1"/>
      <c r="P1510" s="1"/>
      <c r="Q1510" s="1"/>
      <c r="R1510" s="1"/>
      <c r="S1510" s="1"/>
      <c r="T1510" s="1"/>
      <c r="U1510" s="1"/>
      <c r="V1510" s="13">
        <f>COUNTIF(L1510:$M$1659,L1510)</f>
        <v>6</v>
      </c>
      <c r="W1510" s="1"/>
      <c r="X1510" s="1"/>
      <c r="Y1510" s="1"/>
      <c r="Z1510" s="1"/>
      <c r="AA1510" s="1"/>
      <c r="AB1510" s="1"/>
      <c r="AC1510" s="1"/>
      <c r="AD1510" s="1"/>
      <c r="AE1510" s="1"/>
      <c r="AF1510" s="1"/>
      <c r="AG1510" s="7" t="str">
        <f>TRIM(LEFT(L1510,FIND("-",L1510)-1))</f>
        <v>Đức Cơ</v>
      </c>
      <c r="AH1510" s="7" t="str">
        <f>TRIM(RIGHT(L1510, LEN(L1510) - FIND("-", L1510)))</f>
        <v>Chư Prông</v>
      </c>
      <c r="AI1510" s="7"/>
      <c r="AJ1510" s="7"/>
      <c r="AK1510" s="7"/>
      <c r="AL1510" s="1" t="e">
        <f>VLOOKUP(L1510,'[1]Tuyến cáp H04'!$B:$E,3,0)/1000</f>
        <v>#N/A</v>
      </c>
      <c r="AM1510" s="1" t="e">
        <f>VLOOKUP(L1510,'[1]Tuyến cáp H04'!$B:$E,4,0)</f>
        <v>#N/A</v>
      </c>
      <c r="AN1510" s="1" t="str">
        <f t="shared" si="120"/>
        <v>Đức Cơ-Chư Prông</v>
      </c>
      <c r="AO1510" s="1"/>
      <c r="AP1510" s="1" t="e">
        <f>VLOOKUP(AN1510,'[1]Tuyến cáp H04'!$B:$E,3,0)/1000</f>
        <v>#N/A</v>
      </c>
      <c r="AQ1510" s="1" t="e">
        <f>VLOOKUP(AN1510,'[1]Tuyến cáp H04'!$B:$E,4,0)</f>
        <v>#N/A</v>
      </c>
    </row>
    <row r="1511" spans="1:43" ht="15.75" x14ac:dyDescent="0.25">
      <c r="L1511" s="6" t="s">
        <v>15598</v>
      </c>
      <c r="M1511" s="6" t="s">
        <v>15598</v>
      </c>
      <c r="N1511" s="6"/>
      <c r="O1511" s="1"/>
      <c r="P1511" s="1"/>
      <c r="Q1511" s="1"/>
      <c r="R1511" s="1"/>
      <c r="S1511" s="1"/>
      <c r="T1511" s="1"/>
      <c r="U1511" s="1"/>
      <c r="V1511" s="13">
        <f>COUNTIF(L1511:$M$1659,L1511)</f>
        <v>6</v>
      </c>
      <c r="W1511" s="1"/>
      <c r="X1511" s="1"/>
      <c r="Y1511" s="1"/>
      <c r="Z1511" s="1"/>
      <c r="AA1511" s="1"/>
      <c r="AB1511" s="1"/>
      <c r="AC1511" s="1"/>
      <c r="AD1511" s="1"/>
      <c r="AE1511" s="1"/>
      <c r="AF1511" s="1"/>
      <c r="AG1511" s="7" t="str">
        <f>TRIM(LEFT(L1511,FIND("-",L1511)-1))</f>
        <v>PC11A</v>
      </c>
      <c r="AH1511" s="7" t="str">
        <f>TRIM(RIGHT(L1511, LEN(L1511) - FIND("-", L1511)))</f>
        <v>Chư Sê</v>
      </c>
      <c r="AI1511" s="7"/>
      <c r="AJ1511" s="7"/>
      <c r="AK1511" s="7"/>
      <c r="AL1511" s="1" t="e">
        <f>VLOOKUP(L1511,'[1]Tuyến cáp H04'!$B:$E,3,0)/1000</f>
        <v>#N/A</v>
      </c>
      <c r="AM1511" s="1" t="e">
        <f>VLOOKUP(L1511,'[1]Tuyến cáp H04'!$B:$E,4,0)</f>
        <v>#N/A</v>
      </c>
      <c r="AN1511" s="1" t="str">
        <f t="shared" si="120"/>
        <v>PC11A-Chư Sê</v>
      </c>
      <c r="AO1511" s="1"/>
      <c r="AP1511" s="1" t="e">
        <f>VLOOKUP(AN1511,'[1]Tuyến cáp H04'!$B:$E,3,0)/1000</f>
        <v>#N/A</v>
      </c>
      <c r="AQ1511" s="1" t="e">
        <f>VLOOKUP(AN1511,'[1]Tuyến cáp H04'!$B:$E,4,0)</f>
        <v>#N/A</v>
      </c>
    </row>
    <row r="1512" spans="1:43" ht="15.75" x14ac:dyDescent="0.25">
      <c r="L1512" s="6" t="s">
        <v>15599</v>
      </c>
      <c r="M1512" s="6" t="s">
        <v>15599</v>
      </c>
      <c r="N1512" s="6"/>
      <c r="O1512" s="1"/>
      <c r="P1512" s="1"/>
      <c r="Q1512" s="1"/>
      <c r="R1512" s="1"/>
      <c r="S1512" s="1"/>
      <c r="T1512" s="1"/>
      <c r="U1512" s="1"/>
      <c r="V1512" s="13">
        <f>COUNTIF(L1512:$M$1659,L1512)</f>
        <v>2</v>
      </c>
      <c r="W1512" s="1"/>
      <c r="X1512" s="1"/>
      <c r="Y1512" s="1"/>
      <c r="Z1512" s="1"/>
      <c r="AA1512" s="1"/>
      <c r="AB1512" s="1"/>
      <c r="AC1512" s="1"/>
      <c r="AD1512" s="1"/>
      <c r="AE1512" s="1"/>
      <c r="AF1512" s="1"/>
      <c r="AG1512" s="7" t="str">
        <f>TRIM(LEFT(L1512,FIND("-",L1512)-1))</f>
        <v>Kon Gang</v>
      </c>
      <c r="AH1512" s="7" t="str">
        <f>TRIM(RIGHT(L1512, LEN(L1512) - FIND("-", L1512)))</f>
        <v>TTCMKV Mang Yang</v>
      </c>
      <c r="AI1512" s="7"/>
      <c r="AJ1512" s="7"/>
      <c r="AK1512" s="7"/>
      <c r="AL1512" s="1" t="e">
        <f>VLOOKUP(L1512,'[1]Tuyến cáp H04'!$B:$E,3,0)/1000</f>
        <v>#N/A</v>
      </c>
      <c r="AM1512" s="1" t="e">
        <f>VLOOKUP(L1512,'[1]Tuyến cáp H04'!$B:$E,4,0)</f>
        <v>#N/A</v>
      </c>
      <c r="AN1512" s="1" t="str">
        <f t="shared" si="120"/>
        <v>Kon Gang-TTCMKV Mang Yang</v>
      </c>
      <c r="AO1512" s="1"/>
      <c r="AP1512" s="1" t="e">
        <f>VLOOKUP(AN1512,'[1]Tuyến cáp H04'!$B:$E,3,0)/1000</f>
        <v>#N/A</v>
      </c>
      <c r="AQ1512" s="1" t="e">
        <f>VLOOKUP(AN1512,'[1]Tuyến cáp H04'!$B:$E,4,0)</f>
        <v>#N/A</v>
      </c>
    </row>
    <row r="1513" spans="1:43" ht="15.75" x14ac:dyDescent="0.25">
      <c r="L1513" s="6" t="s">
        <v>15600</v>
      </c>
      <c r="M1513" s="6" t="s">
        <v>15600</v>
      </c>
      <c r="N1513" s="6"/>
      <c r="O1513" s="1"/>
      <c r="P1513" s="1"/>
      <c r="Q1513" s="1"/>
      <c r="R1513" s="1"/>
      <c r="S1513" s="1"/>
      <c r="T1513" s="1"/>
      <c r="U1513" s="1"/>
      <c r="V1513" s="13">
        <f>COUNTIF(L1513:$M$1659,L1513)</f>
        <v>4</v>
      </c>
      <c r="W1513" s="1"/>
      <c r="X1513" s="1"/>
      <c r="Y1513" s="1"/>
      <c r="Z1513" s="1"/>
      <c r="AA1513" s="1"/>
      <c r="AB1513" s="1"/>
      <c r="AC1513" s="1"/>
      <c r="AD1513" s="1"/>
      <c r="AE1513" s="1"/>
      <c r="AF1513" s="1"/>
      <c r="AG1513" s="7" t="str">
        <f>TRIM(LEFT(L1513,FIND("-",L1513)-1))</f>
        <v>Đak Pơ</v>
      </c>
      <c r="AH1513" s="7" t="str">
        <f>TRIM(RIGHT(L1513, LEN(L1513) - FIND("-", L1513)))</f>
        <v>Mang Yang</v>
      </c>
      <c r="AI1513" s="7"/>
      <c r="AJ1513" s="7"/>
      <c r="AK1513" s="7"/>
      <c r="AL1513" s="1" t="e">
        <f>VLOOKUP(L1513,'[1]Tuyến cáp H04'!$B:$E,3,0)/1000</f>
        <v>#N/A</v>
      </c>
      <c r="AM1513" s="1" t="e">
        <f>VLOOKUP(L1513,'[1]Tuyến cáp H04'!$B:$E,4,0)</f>
        <v>#N/A</v>
      </c>
      <c r="AN1513" s="1" t="str">
        <f t="shared" si="120"/>
        <v>Đak Pơ-Mang Yang</v>
      </c>
      <c r="AO1513" s="1"/>
      <c r="AP1513" s="1" t="e">
        <f>VLOOKUP(AN1513,'[1]Tuyến cáp H04'!$B:$E,3,0)/1000</f>
        <v>#N/A</v>
      </c>
      <c r="AQ1513" s="1" t="e">
        <f>VLOOKUP(AN1513,'[1]Tuyến cáp H04'!$B:$E,4,0)</f>
        <v>#N/A</v>
      </c>
    </row>
    <row r="1514" spans="1:43" ht="15.75" x14ac:dyDescent="0.25">
      <c r="L1514" s="6" t="s">
        <v>15601</v>
      </c>
      <c r="M1514" s="6" t="s">
        <v>15601</v>
      </c>
      <c r="N1514" s="6"/>
      <c r="O1514" s="1"/>
      <c r="P1514" s="1"/>
      <c r="Q1514" s="1"/>
      <c r="R1514" s="1"/>
      <c r="S1514" s="1"/>
      <c r="T1514" s="1"/>
      <c r="U1514" s="1"/>
      <c r="V1514" s="13">
        <f>COUNTIF(L1514:$M$1659,L1514)</f>
        <v>14</v>
      </c>
      <c r="W1514" s="1"/>
      <c r="X1514" s="1"/>
      <c r="Y1514" s="1"/>
      <c r="Z1514" s="1"/>
      <c r="AA1514" s="1"/>
      <c r="AB1514" s="1"/>
      <c r="AC1514" s="1"/>
      <c r="AD1514" s="1"/>
      <c r="AE1514" s="1"/>
      <c r="AF1514" s="1"/>
      <c r="AG1514" s="7" t="str">
        <f>TRIM(LEFT(L1514,FIND("-",L1514)-1))</f>
        <v>Mang Yang</v>
      </c>
      <c r="AH1514" s="7" t="str">
        <f>TRIM(RIGHT(L1514, LEN(L1514) - FIND("-", L1514)))</f>
        <v>TT2 Gia Lai</v>
      </c>
      <c r="AI1514" s="7"/>
      <c r="AJ1514" s="7"/>
      <c r="AK1514" s="7"/>
      <c r="AL1514" s="1" t="e">
        <f>VLOOKUP(L1514,'[1]Tuyến cáp H04'!$B:$E,3,0)/1000</f>
        <v>#N/A</v>
      </c>
      <c r="AM1514" s="1" t="e">
        <f>VLOOKUP(L1514,'[1]Tuyến cáp H04'!$B:$E,4,0)</f>
        <v>#N/A</v>
      </c>
      <c r="AN1514" s="1" t="str">
        <f t="shared" si="120"/>
        <v>Mang Yang-TT2 Gia Lai</v>
      </c>
      <c r="AO1514" s="1"/>
      <c r="AP1514" s="1" t="e">
        <f>VLOOKUP(AN1514,'[1]Tuyến cáp H04'!$B:$E,3,0)/1000</f>
        <v>#N/A</v>
      </c>
      <c r="AQ1514" s="1" t="e">
        <f>VLOOKUP(AN1514,'[1]Tuyến cáp H04'!$B:$E,4,0)</f>
        <v>#N/A</v>
      </c>
    </row>
    <row r="1515" spans="1:43" ht="15.75" x14ac:dyDescent="0.25">
      <c r="L1515" s="6" t="s">
        <v>15602</v>
      </c>
      <c r="M1515" s="6" t="s">
        <v>15602</v>
      </c>
      <c r="N1515" s="6"/>
      <c r="O1515" s="1"/>
      <c r="P1515" s="1"/>
      <c r="Q1515" s="1"/>
      <c r="R1515" s="1"/>
      <c r="S1515" s="1"/>
      <c r="T1515" s="1"/>
      <c r="U1515" s="1"/>
      <c r="V1515" s="13">
        <f>COUNTIF(L1515:$M$1659,L1515)</f>
        <v>32</v>
      </c>
      <c r="W1515" s="1"/>
      <c r="X1515" s="1"/>
      <c r="Y1515" s="1"/>
      <c r="Z1515" s="1"/>
      <c r="AA1515" s="1"/>
      <c r="AB1515" s="1"/>
      <c r="AC1515" s="1"/>
      <c r="AD1515" s="1"/>
      <c r="AE1515" s="1"/>
      <c r="AF1515" s="1"/>
      <c r="AG1515" s="7" t="str">
        <f>TRIM(LEFT(L1515,FIND("-",L1515)-1))</f>
        <v>TT1 Gia Lai</v>
      </c>
      <c r="AH1515" s="7" t="str">
        <f>TRIM(RIGHT(L1515, LEN(L1515) - FIND("-", L1515)))</f>
        <v>TT2 Gia Lai (ring 1)</v>
      </c>
      <c r="AI1515" s="7"/>
      <c r="AJ1515" s="7"/>
      <c r="AK1515" s="7"/>
      <c r="AL1515" s="1" t="e">
        <f>VLOOKUP(L1515,'[1]Tuyến cáp H04'!$B:$E,3,0)/1000</f>
        <v>#N/A</v>
      </c>
      <c r="AM1515" s="1" t="e">
        <f>VLOOKUP(L1515,'[1]Tuyến cáp H04'!$B:$E,4,0)</f>
        <v>#N/A</v>
      </c>
      <c r="AN1515" s="1" t="str">
        <f t="shared" si="120"/>
        <v>TT1 Gia Lai-TT2 Gia Lai (ring 1)</v>
      </c>
      <c r="AO1515" s="1"/>
      <c r="AP1515" s="1" t="e">
        <f>VLOOKUP(AN1515,'[1]Tuyến cáp H04'!$B:$E,3,0)/1000</f>
        <v>#N/A</v>
      </c>
      <c r="AQ1515" s="1" t="e">
        <f>VLOOKUP(AN1515,'[1]Tuyến cáp H04'!$B:$E,4,0)</f>
        <v>#N/A</v>
      </c>
    </row>
    <row r="1516" spans="1:43" ht="15.75" x14ac:dyDescent="0.25">
      <c r="L1516" s="6" t="s">
        <v>15602</v>
      </c>
      <c r="M1516" s="6" t="s">
        <v>15602</v>
      </c>
      <c r="N1516" s="6"/>
      <c r="O1516" s="1"/>
      <c r="P1516" s="1"/>
      <c r="Q1516" s="1"/>
      <c r="R1516" s="1"/>
      <c r="S1516" s="1"/>
      <c r="T1516" s="1"/>
      <c r="U1516" s="1"/>
      <c r="V1516" s="13">
        <f>COUNTIF(L1516:$M$1659,L1516)</f>
        <v>30</v>
      </c>
      <c r="W1516" s="1"/>
      <c r="X1516" s="1"/>
      <c r="Y1516" s="1"/>
      <c r="Z1516" s="1"/>
      <c r="AA1516" s="1"/>
      <c r="AB1516" s="1"/>
      <c r="AC1516" s="1"/>
      <c r="AD1516" s="1"/>
      <c r="AE1516" s="1"/>
      <c r="AF1516" s="1"/>
      <c r="AG1516" s="7" t="str">
        <f>TRIM(LEFT(L1516,FIND("-",L1516)-1))</f>
        <v>TT1 Gia Lai</v>
      </c>
      <c r="AH1516" s="7" t="str">
        <f>TRIM(RIGHT(L1516, LEN(L1516) - FIND("-", L1516)))</f>
        <v>TT2 Gia Lai (ring 1)</v>
      </c>
      <c r="AI1516" s="1"/>
      <c r="AJ1516" s="1"/>
      <c r="AK1516" s="1"/>
      <c r="AL1516" s="1" t="e">
        <f>VLOOKUP(L1516,'[1]Tuyến cáp H04'!$B:$E,3,0)/1000</f>
        <v>#N/A</v>
      </c>
      <c r="AM1516" s="1" t="e">
        <f>VLOOKUP(L1516,'[1]Tuyến cáp H04'!$B:$E,4,0)</f>
        <v>#N/A</v>
      </c>
      <c r="AN1516" s="1" t="str">
        <f t="shared" si="120"/>
        <v>TT1 Gia Lai-TT2 Gia Lai (ring 1)</v>
      </c>
      <c r="AO1516" s="1"/>
      <c r="AP1516" s="1" t="e">
        <f>VLOOKUP(AN1516,'[1]Tuyến cáp H04'!$B:$E,3,0)/1000</f>
        <v>#N/A</v>
      </c>
      <c r="AQ1516" s="1" t="e">
        <f>VLOOKUP(AN1516,'[1]Tuyến cáp H04'!$B:$E,4,0)</f>
        <v>#N/A</v>
      </c>
    </row>
    <row r="1517" spans="1:43" ht="15.75" x14ac:dyDescent="0.25">
      <c r="L1517" s="6" t="s">
        <v>15602</v>
      </c>
      <c r="M1517" s="6" t="s">
        <v>15602</v>
      </c>
      <c r="N1517" s="6"/>
      <c r="O1517" s="1"/>
      <c r="P1517" s="1"/>
      <c r="Q1517" s="1"/>
      <c r="R1517" s="1"/>
      <c r="S1517" s="1"/>
      <c r="T1517" s="1"/>
      <c r="U1517" s="1"/>
      <c r="V1517" s="13">
        <f>COUNTIF(L1517:$M$1659,L1517)</f>
        <v>28</v>
      </c>
      <c r="W1517" s="1"/>
      <c r="X1517" s="1"/>
      <c r="Y1517" s="1"/>
      <c r="Z1517" s="1"/>
      <c r="AA1517" s="1"/>
      <c r="AB1517" s="1"/>
      <c r="AC1517" s="1"/>
      <c r="AD1517" s="1"/>
      <c r="AE1517" s="1"/>
      <c r="AF1517" s="1"/>
      <c r="AG1517" s="7" t="str">
        <f>TRIM(LEFT(L1517,FIND("-",L1517)-1))</f>
        <v>TT1 Gia Lai</v>
      </c>
      <c r="AH1517" s="7" t="str">
        <f>TRIM(RIGHT(L1517, LEN(L1517) - FIND("-", L1517)))</f>
        <v>TT2 Gia Lai (ring 1)</v>
      </c>
      <c r="AI1517" s="1"/>
      <c r="AJ1517" s="1"/>
      <c r="AK1517" s="1"/>
      <c r="AL1517" s="1" t="e">
        <f>VLOOKUP(L1517,'[1]Tuyến cáp H04'!$B:$E,3,0)/1000</f>
        <v>#N/A</v>
      </c>
      <c r="AM1517" s="1" t="e">
        <f>VLOOKUP(L1517,'[1]Tuyến cáp H04'!$B:$E,4,0)</f>
        <v>#N/A</v>
      </c>
      <c r="AN1517" s="1" t="str">
        <f t="shared" si="120"/>
        <v>TT1 Gia Lai-TT2 Gia Lai (ring 1)</v>
      </c>
      <c r="AO1517" s="1"/>
      <c r="AP1517" s="1" t="e">
        <f>VLOOKUP(AN1517,'[1]Tuyến cáp H04'!$B:$E,3,0)/1000</f>
        <v>#N/A</v>
      </c>
      <c r="AQ1517" s="1" t="e">
        <f>VLOOKUP(AN1517,'[1]Tuyến cáp H04'!$B:$E,4,0)</f>
        <v>#N/A</v>
      </c>
    </row>
    <row r="1518" spans="1:43" ht="15.75" x14ac:dyDescent="0.25">
      <c r="L1518" s="6" t="s">
        <v>15603</v>
      </c>
      <c r="M1518" s="6" t="s">
        <v>15603</v>
      </c>
      <c r="N1518" s="6"/>
      <c r="O1518" s="1"/>
      <c r="P1518" s="1"/>
      <c r="Q1518" s="1"/>
      <c r="R1518" s="1"/>
      <c r="S1518" s="1"/>
      <c r="T1518" s="1"/>
      <c r="U1518" s="1"/>
      <c r="V1518" s="13">
        <f>COUNTIF(L1518:$M$1659,L1518)</f>
        <v>2</v>
      </c>
      <c r="W1518" s="1"/>
      <c r="X1518" s="1"/>
      <c r="Y1518" s="1"/>
      <c r="Z1518" s="1"/>
      <c r="AA1518" s="1"/>
      <c r="AB1518" s="1"/>
      <c r="AC1518" s="1"/>
      <c r="AD1518" s="1"/>
      <c r="AE1518" s="1"/>
      <c r="AF1518" s="1"/>
      <c r="AG1518" s="7" t="str">
        <f>TRIM(LEFT(L1518,FIND("-",L1518)-1))</f>
        <v>Pleiku</v>
      </c>
      <c r="AH1518" s="7" t="str">
        <f>TRIM(RIGHT(L1518, LEN(L1518) - FIND("-", L1518)))</f>
        <v>Biển Hồ</v>
      </c>
      <c r="AI1518" s="1"/>
      <c r="AJ1518" s="1"/>
      <c r="AK1518" s="1"/>
      <c r="AL1518" s="1" t="e">
        <f>VLOOKUP(L1518,'[1]Tuyến cáp H04'!$B:$E,3,0)/1000</f>
        <v>#N/A</v>
      </c>
      <c r="AM1518" s="1" t="e">
        <f>VLOOKUP(L1518,'[1]Tuyến cáp H04'!$B:$E,4,0)</f>
        <v>#N/A</v>
      </c>
      <c r="AN1518" s="1" t="str">
        <f t="shared" si="120"/>
        <v>Pleiku-Biển Hồ</v>
      </c>
      <c r="AO1518" s="1"/>
      <c r="AP1518" s="1" t="e">
        <f>VLOOKUP(AN1518,'[1]Tuyến cáp H04'!$B:$E,3,0)/1000</f>
        <v>#N/A</v>
      </c>
      <c r="AQ1518" s="1" t="e">
        <f>VLOOKUP(AN1518,'[1]Tuyến cáp H04'!$B:$E,4,0)</f>
        <v>#N/A</v>
      </c>
    </row>
    <row r="1519" spans="1:43" ht="15.75" x14ac:dyDescent="0.25">
      <c r="L1519" s="6" t="s">
        <v>15604</v>
      </c>
      <c r="M1519" s="6" t="s">
        <v>15604</v>
      </c>
      <c r="N1519" s="6"/>
      <c r="O1519" s="1"/>
      <c r="P1519" s="1"/>
      <c r="Q1519" s="1"/>
      <c r="R1519" s="1"/>
      <c r="S1519" s="1"/>
      <c r="T1519" s="1"/>
      <c r="U1519" s="1"/>
      <c r="V1519" s="13">
        <f>COUNTIF(L1519:$M$1659,L1519)</f>
        <v>8</v>
      </c>
      <c r="W1519" s="1"/>
      <c r="X1519" s="1"/>
      <c r="Y1519" s="1"/>
      <c r="Z1519" s="1"/>
      <c r="AA1519" s="1"/>
      <c r="AB1519" s="1"/>
      <c r="AC1519" s="1"/>
      <c r="AD1519" s="1"/>
      <c r="AE1519" s="1"/>
      <c r="AF1519" s="1"/>
      <c r="AG1519" s="7" t="str">
        <f>TRIM(LEFT(L1519,FIND("-",L1519)-1))</f>
        <v>Thống Nhất</v>
      </c>
      <c r="AH1519" s="7" t="str">
        <f>TRIM(RIGHT(L1519, LEN(L1519) - FIND("-", L1519)))</f>
        <v>Ia Hrung</v>
      </c>
      <c r="AI1519" s="1"/>
      <c r="AJ1519" s="1"/>
      <c r="AK1519" s="1"/>
      <c r="AL1519" s="1" t="e">
        <f>VLOOKUP(L1519,'[1]Tuyến cáp H04'!$B:$E,3,0)/1000</f>
        <v>#N/A</v>
      </c>
      <c r="AM1519" s="1" t="e">
        <f>VLOOKUP(L1519,'[1]Tuyến cáp H04'!$B:$E,4,0)</f>
        <v>#N/A</v>
      </c>
      <c r="AN1519" s="1" t="str">
        <f t="shared" si="120"/>
        <v>Thống Nhất-Ia Hrung</v>
      </c>
      <c r="AO1519" s="1"/>
      <c r="AP1519" s="1" t="e">
        <f>VLOOKUP(AN1519,'[1]Tuyến cáp H04'!$B:$E,3,0)/1000</f>
        <v>#N/A</v>
      </c>
      <c r="AQ1519" s="1" t="e">
        <f>VLOOKUP(AN1519,'[1]Tuyến cáp H04'!$B:$E,4,0)</f>
        <v>#N/A</v>
      </c>
    </row>
    <row r="1520" spans="1:43" ht="15.75" x14ac:dyDescent="0.25">
      <c r="L1520" s="6" t="s">
        <v>15604</v>
      </c>
      <c r="M1520" s="6" t="s">
        <v>15604</v>
      </c>
      <c r="N1520" s="6"/>
      <c r="O1520" s="1"/>
      <c r="P1520" s="1"/>
      <c r="Q1520" s="1"/>
      <c r="R1520" s="1"/>
      <c r="S1520" s="1"/>
      <c r="T1520" s="1"/>
      <c r="U1520" s="1"/>
      <c r="V1520" s="13">
        <f>COUNTIF(L1520:$M$1659,L1520)</f>
        <v>6</v>
      </c>
      <c r="W1520" s="1"/>
      <c r="X1520" s="1"/>
      <c r="Y1520" s="1"/>
      <c r="Z1520" s="1"/>
      <c r="AA1520" s="1"/>
      <c r="AB1520" s="1"/>
      <c r="AC1520" s="1"/>
      <c r="AD1520" s="1"/>
      <c r="AE1520" s="1"/>
      <c r="AF1520" s="1"/>
      <c r="AG1520" s="7" t="str">
        <f>TRIM(LEFT(L1520,FIND("-",L1520)-1))</f>
        <v>Thống Nhất</v>
      </c>
      <c r="AH1520" s="7" t="str">
        <f>TRIM(RIGHT(L1520, LEN(L1520) - FIND("-", L1520)))</f>
        <v>Ia Hrung</v>
      </c>
      <c r="AI1520" s="1"/>
      <c r="AJ1520" s="1"/>
      <c r="AK1520" s="1"/>
      <c r="AL1520" s="1" t="e">
        <f>VLOOKUP(L1520,'[1]Tuyến cáp H04'!$B:$E,3,0)/1000</f>
        <v>#N/A</v>
      </c>
      <c r="AM1520" s="1" t="e">
        <f>VLOOKUP(L1520,'[1]Tuyến cáp H04'!$B:$E,4,0)</f>
        <v>#N/A</v>
      </c>
      <c r="AN1520" s="1" t="str">
        <f t="shared" si="120"/>
        <v>Thống Nhất-Ia Hrung</v>
      </c>
      <c r="AO1520" s="1"/>
      <c r="AP1520" s="1" t="e">
        <f>VLOOKUP(AN1520,'[1]Tuyến cáp H04'!$B:$E,3,0)/1000</f>
        <v>#N/A</v>
      </c>
      <c r="AQ1520" s="1" t="e">
        <f>VLOOKUP(AN1520,'[1]Tuyến cáp H04'!$B:$E,4,0)</f>
        <v>#N/A</v>
      </c>
    </row>
    <row r="1521" spans="12:43" ht="15.75" x14ac:dyDescent="0.25">
      <c r="L1521" s="6" t="s">
        <v>15604</v>
      </c>
      <c r="M1521" s="6" t="s">
        <v>15604</v>
      </c>
      <c r="N1521" s="6"/>
      <c r="O1521" s="1"/>
      <c r="P1521" s="1"/>
      <c r="Q1521" s="1"/>
      <c r="R1521" s="1"/>
      <c r="S1521" s="1"/>
      <c r="T1521" s="1"/>
      <c r="U1521" s="1"/>
      <c r="V1521" s="13">
        <f>COUNTIF(L1521:$M$1659,L1521)</f>
        <v>4</v>
      </c>
      <c r="W1521" s="1"/>
      <c r="X1521" s="1"/>
      <c r="Y1521" s="1"/>
      <c r="Z1521" s="1"/>
      <c r="AA1521" s="1"/>
      <c r="AB1521" s="1"/>
      <c r="AC1521" s="1"/>
      <c r="AD1521" s="1"/>
      <c r="AE1521" s="1"/>
      <c r="AF1521" s="1"/>
      <c r="AG1521" s="7" t="str">
        <f>TRIM(LEFT(L1521,FIND("-",L1521)-1))</f>
        <v>Thống Nhất</v>
      </c>
      <c r="AH1521" s="7" t="str">
        <f>TRIM(RIGHT(L1521, LEN(L1521) - FIND("-", L1521)))</f>
        <v>Ia Hrung</v>
      </c>
      <c r="AI1521" s="1"/>
      <c r="AJ1521" s="1"/>
      <c r="AK1521" s="1"/>
      <c r="AL1521" s="1" t="e">
        <f>VLOOKUP(L1521,'[1]Tuyến cáp H04'!$B:$E,3,0)/1000</f>
        <v>#N/A</v>
      </c>
      <c r="AM1521" s="1" t="e">
        <f>VLOOKUP(L1521,'[1]Tuyến cáp H04'!$B:$E,4,0)</f>
        <v>#N/A</v>
      </c>
      <c r="AN1521" s="1" t="str">
        <f t="shared" si="120"/>
        <v>Thống Nhất-Ia Hrung</v>
      </c>
      <c r="AO1521" s="1"/>
      <c r="AP1521" s="1" t="e">
        <f>VLOOKUP(AN1521,'[1]Tuyến cáp H04'!$B:$E,3,0)/1000</f>
        <v>#N/A</v>
      </c>
      <c r="AQ1521" s="1" t="e">
        <f>VLOOKUP(AN1521,'[1]Tuyến cáp H04'!$B:$E,4,0)</f>
        <v>#N/A</v>
      </c>
    </row>
    <row r="1522" spans="12:43" ht="15.75" x14ac:dyDescent="0.25">
      <c r="L1522" s="6" t="s">
        <v>15601</v>
      </c>
      <c r="M1522" s="6" t="s">
        <v>15601</v>
      </c>
      <c r="N1522" s="6"/>
      <c r="O1522" s="1"/>
      <c r="P1522" s="1"/>
      <c r="Q1522" s="1"/>
      <c r="R1522" s="1"/>
      <c r="S1522" s="1"/>
      <c r="T1522" s="1"/>
      <c r="U1522" s="1"/>
      <c r="V1522" s="13">
        <f>COUNTIF(L1522:$M$1659,L1522)</f>
        <v>12</v>
      </c>
      <c r="W1522" s="1"/>
      <c r="X1522" s="1"/>
      <c r="Y1522" s="1"/>
      <c r="Z1522" s="1"/>
      <c r="AA1522" s="1"/>
      <c r="AB1522" s="1"/>
      <c r="AC1522" s="1"/>
      <c r="AD1522" s="1"/>
      <c r="AE1522" s="1"/>
      <c r="AF1522" s="1"/>
      <c r="AG1522" s="7" t="str">
        <f>TRIM(LEFT(L1522,FIND("-",L1522)-1))</f>
        <v>Mang Yang</v>
      </c>
      <c r="AH1522" s="7" t="str">
        <f>TRIM(RIGHT(L1522, LEN(L1522) - FIND("-", L1522)))</f>
        <v>TT2 Gia Lai</v>
      </c>
      <c r="AI1522" s="1"/>
      <c r="AJ1522" s="1"/>
      <c r="AK1522" s="1"/>
      <c r="AL1522" s="1" t="e">
        <f>VLOOKUP(L1522,'[1]Tuyến cáp H04'!$B:$E,3,0)/1000</f>
        <v>#N/A</v>
      </c>
      <c r="AM1522" s="1" t="e">
        <f>VLOOKUP(L1522,'[1]Tuyến cáp H04'!$B:$E,4,0)</f>
        <v>#N/A</v>
      </c>
      <c r="AN1522" s="1" t="str">
        <f t="shared" si="120"/>
        <v>Mang Yang-TT2 Gia Lai</v>
      </c>
      <c r="AO1522" s="1"/>
      <c r="AP1522" s="1" t="e">
        <f>VLOOKUP(AN1522,'[1]Tuyến cáp H04'!$B:$E,3,0)/1000</f>
        <v>#N/A</v>
      </c>
      <c r="AQ1522" s="1" t="e">
        <f>VLOOKUP(AN1522,'[1]Tuyến cáp H04'!$B:$E,4,0)</f>
        <v>#N/A</v>
      </c>
    </row>
    <row r="1523" spans="12:43" ht="15.75" x14ac:dyDescent="0.25">
      <c r="L1523" s="6" t="s">
        <v>15601</v>
      </c>
      <c r="M1523" s="6" t="s">
        <v>15601</v>
      </c>
      <c r="N1523" s="6"/>
      <c r="O1523" s="1"/>
      <c r="P1523" s="1"/>
      <c r="Q1523" s="1"/>
      <c r="R1523" s="1"/>
      <c r="S1523" s="1"/>
      <c r="T1523" s="1"/>
      <c r="U1523" s="1"/>
      <c r="V1523" s="13">
        <f>COUNTIF(L1523:$M$1659,L1523)</f>
        <v>10</v>
      </c>
      <c r="W1523" s="1"/>
      <c r="X1523" s="1"/>
      <c r="Y1523" s="1"/>
      <c r="Z1523" s="1"/>
      <c r="AA1523" s="1"/>
      <c r="AB1523" s="1"/>
      <c r="AC1523" s="1"/>
      <c r="AD1523" s="1"/>
      <c r="AE1523" s="1"/>
      <c r="AF1523" s="1"/>
      <c r="AG1523" s="7" t="str">
        <f>TRIM(LEFT(L1523,FIND("-",L1523)-1))</f>
        <v>Mang Yang</v>
      </c>
      <c r="AH1523" s="7" t="str">
        <f>TRIM(RIGHT(L1523, LEN(L1523) - FIND("-", L1523)))</f>
        <v>TT2 Gia Lai</v>
      </c>
      <c r="AI1523" s="1"/>
      <c r="AJ1523" s="1"/>
      <c r="AK1523" s="1"/>
      <c r="AL1523" s="1" t="e">
        <f>VLOOKUP(L1523,'[1]Tuyến cáp H04'!$B:$E,3,0)/1000</f>
        <v>#N/A</v>
      </c>
      <c r="AM1523" s="1" t="e">
        <f>VLOOKUP(L1523,'[1]Tuyến cáp H04'!$B:$E,4,0)</f>
        <v>#N/A</v>
      </c>
      <c r="AN1523" s="1" t="str">
        <f t="shared" si="120"/>
        <v>Mang Yang-TT2 Gia Lai</v>
      </c>
      <c r="AO1523" s="1"/>
      <c r="AP1523" s="1" t="e">
        <f>VLOOKUP(AN1523,'[1]Tuyến cáp H04'!$B:$E,3,0)/1000</f>
        <v>#N/A</v>
      </c>
      <c r="AQ1523" s="1" t="e">
        <f>VLOOKUP(AN1523,'[1]Tuyến cáp H04'!$B:$E,4,0)</f>
        <v>#N/A</v>
      </c>
    </row>
    <row r="1524" spans="12:43" ht="15.75" x14ac:dyDescent="0.25">
      <c r="L1524" s="6" t="s">
        <v>15602</v>
      </c>
      <c r="M1524" s="6" t="s">
        <v>15602</v>
      </c>
      <c r="N1524" s="6"/>
      <c r="O1524" s="1"/>
      <c r="P1524" s="1"/>
      <c r="Q1524" s="1"/>
      <c r="R1524" s="1"/>
      <c r="S1524" s="1"/>
      <c r="T1524" s="1"/>
      <c r="U1524" s="1"/>
      <c r="V1524" s="13">
        <f>COUNTIF(L1524:$M$1659,L1524)</f>
        <v>26</v>
      </c>
      <c r="W1524" s="1"/>
      <c r="X1524" s="1"/>
      <c r="Y1524" s="1"/>
      <c r="Z1524" s="1"/>
      <c r="AA1524" s="1"/>
      <c r="AB1524" s="1"/>
      <c r="AC1524" s="1"/>
      <c r="AD1524" s="1"/>
      <c r="AE1524" s="1"/>
      <c r="AF1524" s="1"/>
      <c r="AG1524" s="7" t="str">
        <f>TRIM(LEFT(L1524,FIND("-",L1524)-1))</f>
        <v>TT1 Gia Lai</v>
      </c>
      <c r="AH1524" s="7" t="str">
        <f>TRIM(RIGHT(L1524, LEN(L1524) - FIND("-", L1524)))</f>
        <v>TT2 Gia Lai (ring 1)</v>
      </c>
      <c r="AI1524" s="1"/>
      <c r="AJ1524" s="1"/>
      <c r="AK1524" s="1"/>
      <c r="AL1524" s="1" t="e">
        <f>VLOOKUP(L1524,'[1]Tuyến cáp H04'!$B:$E,3,0)/1000</f>
        <v>#N/A</v>
      </c>
      <c r="AM1524" s="1" t="e">
        <f>VLOOKUP(L1524,'[1]Tuyến cáp H04'!$B:$E,4,0)</f>
        <v>#N/A</v>
      </c>
      <c r="AN1524" s="1" t="str">
        <f t="shared" si="120"/>
        <v>TT1 Gia Lai-TT2 Gia Lai (ring 1)</v>
      </c>
      <c r="AO1524" s="1"/>
      <c r="AP1524" s="1" t="e">
        <f>VLOOKUP(AN1524,'[1]Tuyến cáp H04'!$B:$E,3,0)/1000</f>
        <v>#N/A</v>
      </c>
      <c r="AQ1524" s="1" t="e">
        <f>VLOOKUP(AN1524,'[1]Tuyến cáp H04'!$B:$E,4,0)</f>
        <v>#N/A</v>
      </c>
    </row>
    <row r="1525" spans="12:43" ht="15.75" x14ac:dyDescent="0.25">
      <c r="L1525" s="6" t="s">
        <v>15602</v>
      </c>
      <c r="M1525" s="6" t="s">
        <v>15602</v>
      </c>
      <c r="N1525" s="6"/>
      <c r="O1525" s="1"/>
      <c r="P1525" s="1"/>
      <c r="Q1525" s="1"/>
      <c r="R1525" s="1"/>
      <c r="S1525" s="1"/>
      <c r="T1525" s="1"/>
      <c r="U1525" s="1"/>
      <c r="V1525" s="13">
        <f>COUNTIF(L1525:$M$1659,L1525)</f>
        <v>24</v>
      </c>
      <c r="W1525" s="1"/>
      <c r="X1525" s="1"/>
      <c r="Y1525" s="1"/>
      <c r="Z1525" s="1"/>
      <c r="AA1525" s="1"/>
      <c r="AB1525" s="1"/>
      <c r="AC1525" s="1"/>
      <c r="AD1525" s="1"/>
      <c r="AE1525" s="1"/>
      <c r="AF1525" s="1"/>
      <c r="AG1525" s="7" t="str">
        <f>TRIM(LEFT(L1525,FIND("-",L1525)-1))</f>
        <v>TT1 Gia Lai</v>
      </c>
      <c r="AH1525" s="7" t="str">
        <f>TRIM(RIGHT(L1525, LEN(L1525) - FIND("-", L1525)))</f>
        <v>TT2 Gia Lai (ring 1)</v>
      </c>
      <c r="AI1525" s="1"/>
      <c r="AJ1525" s="1"/>
      <c r="AK1525" s="1"/>
      <c r="AL1525" s="1" t="e">
        <f>VLOOKUP(L1525,'[1]Tuyến cáp H04'!$B:$E,3,0)/1000</f>
        <v>#N/A</v>
      </c>
      <c r="AM1525" s="1" t="e">
        <f>VLOOKUP(L1525,'[1]Tuyến cáp H04'!$B:$E,4,0)</f>
        <v>#N/A</v>
      </c>
      <c r="AN1525" s="1" t="str">
        <f t="shared" si="120"/>
        <v>TT1 Gia Lai-TT2 Gia Lai (ring 1)</v>
      </c>
      <c r="AO1525" s="1"/>
      <c r="AP1525" s="1" t="e">
        <f>VLOOKUP(AN1525,'[1]Tuyến cáp H04'!$B:$E,3,0)/1000</f>
        <v>#N/A</v>
      </c>
      <c r="AQ1525" s="1" t="e">
        <f>VLOOKUP(AN1525,'[1]Tuyến cáp H04'!$B:$E,4,0)</f>
        <v>#N/A</v>
      </c>
    </row>
    <row r="1526" spans="12:43" ht="15.75" x14ac:dyDescent="0.25">
      <c r="L1526" s="6" t="s">
        <v>15605</v>
      </c>
      <c r="M1526" s="6" t="s">
        <v>15605</v>
      </c>
      <c r="N1526" s="6"/>
      <c r="O1526" s="1"/>
      <c r="P1526" s="1"/>
      <c r="Q1526" s="1"/>
      <c r="R1526" s="1"/>
      <c r="S1526" s="1"/>
      <c r="T1526" s="1"/>
      <c r="U1526" s="1"/>
      <c r="V1526" s="13">
        <f>COUNTIF(L1526:$M$1659,L1526)</f>
        <v>2</v>
      </c>
      <c r="W1526" s="1"/>
      <c r="X1526" s="1"/>
      <c r="Y1526" s="1"/>
      <c r="Z1526" s="1"/>
      <c r="AA1526" s="1"/>
      <c r="AB1526" s="1"/>
      <c r="AC1526" s="1"/>
      <c r="AD1526" s="1"/>
      <c r="AE1526" s="1"/>
      <c r="AF1526" s="1"/>
      <c r="AG1526" s="7" t="str">
        <f>TRIM(LEFT(L1526,FIND("-",L1526)-1))</f>
        <v>Trại Giam Gia Trung</v>
      </c>
      <c r="AH1526" s="7" t="str">
        <f>TRIM(RIGHT(L1526, LEN(L1526) - FIND("-", L1526)))</f>
        <v>Đak Pơ</v>
      </c>
      <c r="AI1526" s="1"/>
      <c r="AJ1526" s="1"/>
      <c r="AK1526" s="1"/>
      <c r="AL1526" s="1" t="e">
        <f>VLOOKUP(L1526,'[1]Tuyến cáp H04'!$B:$E,3,0)/1000</f>
        <v>#N/A</v>
      </c>
      <c r="AM1526" s="1" t="e">
        <f>VLOOKUP(L1526,'[1]Tuyến cáp H04'!$B:$E,4,0)</f>
        <v>#N/A</v>
      </c>
      <c r="AN1526" s="1" t="str">
        <f t="shared" si="120"/>
        <v>Trại Giam Gia Trung-Đak Pơ</v>
      </c>
      <c r="AO1526" s="1"/>
      <c r="AP1526" s="1" t="e">
        <f>VLOOKUP(AN1526,'[1]Tuyến cáp H04'!$B:$E,3,0)/1000</f>
        <v>#N/A</v>
      </c>
      <c r="AQ1526" s="1" t="e">
        <f>VLOOKUP(AN1526,'[1]Tuyến cáp H04'!$B:$E,4,0)</f>
        <v>#N/A</v>
      </c>
    </row>
    <row r="1527" spans="12:43" ht="15.75" x14ac:dyDescent="0.25">
      <c r="L1527" s="6" t="s">
        <v>15606</v>
      </c>
      <c r="M1527" s="6" t="s">
        <v>15606</v>
      </c>
      <c r="N1527" s="6"/>
      <c r="O1527" s="1"/>
      <c r="P1527" s="1"/>
      <c r="Q1527" s="1"/>
      <c r="R1527" s="1"/>
      <c r="S1527" s="1"/>
      <c r="T1527" s="1"/>
      <c r="U1527" s="1"/>
      <c r="V1527" s="13">
        <f>COUNTIF(L1527:$M$1659,L1527)</f>
        <v>2</v>
      </c>
      <c r="W1527" s="1"/>
      <c r="X1527" s="1"/>
      <c r="Y1527" s="1"/>
      <c r="Z1527" s="1"/>
      <c r="AA1527" s="1"/>
      <c r="AB1527" s="1"/>
      <c r="AC1527" s="1"/>
      <c r="AD1527" s="1"/>
      <c r="AE1527" s="1"/>
      <c r="AF1527" s="1"/>
      <c r="AG1527" s="7" t="str">
        <f>TRIM(LEFT(L1527,FIND("-",L1527)-1))</f>
        <v>Mang Yang</v>
      </c>
      <c r="AH1527" s="7" t="str">
        <f>TRIM(RIGHT(L1527, LEN(L1527) - FIND("-", L1527)))</f>
        <v>Trại Giam Gia Trung</v>
      </c>
      <c r="AI1527" s="1"/>
      <c r="AJ1527" s="1"/>
      <c r="AK1527" s="1"/>
      <c r="AL1527" s="1" t="e">
        <f>VLOOKUP(L1527,'[1]Tuyến cáp H04'!$B:$E,3,0)/1000</f>
        <v>#N/A</v>
      </c>
      <c r="AM1527" s="1" t="e">
        <f>VLOOKUP(L1527,'[1]Tuyến cáp H04'!$B:$E,4,0)</f>
        <v>#N/A</v>
      </c>
      <c r="AN1527" s="1" t="str">
        <f t="shared" si="120"/>
        <v>Mang Yang-Trại Giam Gia Trung</v>
      </c>
      <c r="AO1527" s="1"/>
      <c r="AP1527" s="1" t="e">
        <f>VLOOKUP(AN1527,'[1]Tuyến cáp H04'!$B:$E,3,0)/1000</f>
        <v>#N/A</v>
      </c>
      <c r="AQ1527" s="1" t="e">
        <f>VLOOKUP(AN1527,'[1]Tuyến cáp H04'!$B:$E,4,0)</f>
        <v>#N/A</v>
      </c>
    </row>
    <row r="1528" spans="12:43" ht="15.75" x14ac:dyDescent="0.25">
      <c r="L1528" s="6" t="s">
        <v>15607</v>
      </c>
      <c r="M1528" s="6" t="s">
        <v>15607</v>
      </c>
      <c r="N1528" s="6"/>
      <c r="O1528" s="1"/>
      <c r="P1528" s="1"/>
      <c r="Q1528" s="1"/>
      <c r="R1528" s="1"/>
      <c r="S1528" s="1"/>
      <c r="T1528" s="1"/>
      <c r="U1528" s="1"/>
      <c r="V1528" s="13">
        <f>COUNTIF(L1528:$M$1659,L1528)</f>
        <v>4</v>
      </c>
      <c r="W1528" s="1"/>
      <c r="X1528" s="1"/>
      <c r="Y1528" s="1"/>
      <c r="Z1528" s="1"/>
      <c r="AA1528" s="1"/>
      <c r="AB1528" s="1"/>
      <c r="AC1528" s="1"/>
      <c r="AD1528" s="1"/>
      <c r="AE1528" s="1"/>
      <c r="AF1528" s="1"/>
      <c r="AG1528" s="7" t="str">
        <f>TRIM(LEFT(L1528,FIND("-",L1528)-1))</f>
        <v>An Khê</v>
      </c>
      <c r="AH1528" s="7" t="str">
        <f>TRIM(RIGHT(L1528, LEN(L1528) - FIND("-", L1528)))</f>
        <v>Đak Pơ</v>
      </c>
      <c r="AI1528" s="1"/>
      <c r="AJ1528" s="1"/>
      <c r="AK1528" s="1"/>
      <c r="AL1528" s="1" t="e">
        <f>VLOOKUP(L1528,'[1]Tuyến cáp H04'!$B:$E,3,0)/1000</f>
        <v>#N/A</v>
      </c>
      <c r="AM1528" s="1" t="e">
        <f>VLOOKUP(L1528,'[1]Tuyến cáp H04'!$B:$E,4,0)</f>
        <v>#N/A</v>
      </c>
      <c r="AN1528" s="1" t="str">
        <f t="shared" si="120"/>
        <v>An Khê-Đak Pơ</v>
      </c>
      <c r="AO1528" s="1"/>
      <c r="AP1528" s="1" t="e">
        <f>VLOOKUP(AN1528,'[1]Tuyến cáp H04'!$B:$E,3,0)/1000</f>
        <v>#N/A</v>
      </c>
      <c r="AQ1528" s="1" t="e">
        <f>VLOOKUP(AN1528,'[1]Tuyến cáp H04'!$B:$E,4,0)</f>
        <v>#N/A</v>
      </c>
    </row>
    <row r="1529" spans="12:43" ht="15.75" x14ac:dyDescent="0.25">
      <c r="L1529" s="6" t="s">
        <v>15602</v>
      </c>
      <c r="M1529" s="6" t="s">
        <v>15602</v>
      </c>
      <c r="N1529" s="6"/>
      <c r="O1529" s="1"/>
      <c r="P1529" s="1"/>
      <c r="Q1529" s="1"/>
      <c r="R1529" s="1"/>
      <c r="S1529" s="1"/>
      <c r="T1529" s="1"/>
      <c r="U1529" s="1"/>
      <c r="V1529" s="13">
        <f>COUNTIF(L1529:$M$1659,L1529)</f>
        <v>22</v>
      </c>
      <c r="W1529" s="1"/>
      <c r="X1529" s="1"/>
      <c r="Y1529" s="1"/>
      <c r="Z1529" s="1"/>
      <c r="AA1529" s="1"/>
      <c r="AB1529" s="1"/>
      <c r="AC1529" s="1"/>
      <c r="AD1529" s="1"/>
      <c r="AE1529" s="1"/>
      <c r="AF1529" s="1"/>
      <c r="AG1529" s="7" t="str">
        <f>TRIM(LEFT(L1529,FIND("-",L1529)-1))</f>
        <v>TT1 Gia Lai</v>
      </c>
      <c r="AH1529" s="7" t="str">
        <f>TRIM(RIGHT(L1529, LEN(L1529) - FIND("-", L1529)))</f>
        <v>TT2 Gia Lai (ring 1)</v>
      </c>
      <c r="AI1529" s="1"/>
      <c r="AJ1529" s="1"/>
      <c r="AK1529" s="1"/>
      <c r="AL1529" s="1" t="e">
        <f>VLOOKUP(L1529,'[1]Tuyến cáp H04'!$B:$E,3,0)/1000</f>
        <v>#N/A</v>
      </c>
      <c r="AM1529" s="1" t="e">
        <f>VLOOKUP(L1529,'[1]Tuyến cáp H04'!$B:$E,4,0)</f>
        <v>#N/A</v>
      </c>
      <c r="AN1529" s="1" t="str">
        <f t="shared" si="120"/>
        <v>TT1 Gia Lai-TT2 Gia Lai (ring 1)</v>
      </c>
      <c r="AO1529" s="1"/>
      <c r="AP1529" s="1" t="e">
        <f>VLOOKUP(AN1529,'[1]Tuyến cáp H04'!$B:$E,3,0)/1000</f>
        <v>#N/A</v>
      </c>
      <c r="AQ1529" s="1" t="e">
        <f>VLOOKUP(AN1529,'[1]Tuyến cáp H04'!$B:$E,4,0)</f>
        <v>#N/A</v>
      </c>
    </row>
    <row r="1530" spans="12:43" ht="15.75" x14ac:dyDescent="0.25">
      <c r="L1530" s="6" t="s">
        <v>15602</v>
      </c>
      <c r="M1530" s="6" t="s">
        <v>15602</v>
      </c>
      <c r="N1530" s="6"/>
      <c r="O1530" s="1"/>
      <c r="P1530" s="1"/>
      <c r="Q1530" s="1"/>
      <c r="R1530" s="1"/>
      <c r="S1530" s="1"/>
      <c r="T1530" s="1"/>
      <c r="U1530" s="1"/>
      <c r="V1530" s="13">
        <f>COUNTIF(L1530:$M$1659,L1530)</f>
        <v>20</v>
      </c>
      <c r="W1530" s="1"/>
      <c r="X1530" s="1"/>
      <c r="Y1530" s="1"/>
      <c r="Z1530" s="1"/>
      <c r="AA1530" s="1"/>
      <c r="AB1530" s="1"/>
      <c r="AC1530" s="1"/>
      <c r="AD1530" s="1"/>
      <c r="AE1530" s="1"/>
      <c r="AF1530" s="1"/>
      <c r="AG1530" s="7" t="str">
        <f>TRIM(LEFT(L1530,FIND("-",L1530)-1))</f>
        <v>TT1 Gia Lai</v>
      </c>
      <c r="AH1530" s="7" t="str">
        <f>TRIM(RIGHT(L1530, LEN(L1530) - FIND("-", L1530)))</f>
        <v>TT2 Gia Lai (ring 1)</v>
      </c>
      <c r="AI1530" s="1"/>
      <c r="AJ1530" s="1"/>
      <c r="AK1530" s="1"/>
      <c r="AL1530" s="1" t="e">
        <f>VLOOKUP(L1530,'[1]Tuyến cáp H04'!$B:$E,3,0)/1000</f>
        <v>#N/A</v>
      </c>
      <c r="AM1530" s="1" t="e">
        <f>VLOOKUP(L1530,'[1]Tuyến cáp H04'!$B:$E,4,0)</f>
        <v>#N/A</v>
      </c>
      <c r="AN1530" s="1" t="str">
        <f t="shared" si="120"/>
        <v>TT1 Gia Lai-TT2 Gia Lai (ring 1)</v>
      </c>
      <c r="AO1530" s="1"/>
      <c r="AP1530" s="1" t="e">
        <f>VLOOKUP(AN1530,'[1]Tuyến cáp H04'!$B:$E,3,0)/1000</f>
        <v>#N/A</v>
      </c>
      <c r="AQ1530" s="1" t="e">
        <f>VLOOKUP(AN1530,'[1]Tuyến cáp H04'!$B:$E,4,0)</f>
        <v>#N/A</v>
      </c>
    </row>
    <row r="1531" spans="12:43" ht="15.75" x14ac:dyDescent="0.25">
      <c r="L1531" s="6" t="s">
        <v>15608</v>
      </c>
      <c r="M1531" s="6" t="s">
        <v>15608</v>
      </c>
      <c r="N1531" s="6"/>
      <c r="O1531" s="1"/>
      <c r="P1531" s="1"/>
      <c r="Q1531" s="1"/>
      <c r="R1531" s="1"/>
      <c r="S1531" s="1"/>
      <c r="T1531" s="1"/>
      <c r="U1531" s="1"/>
      <c r="V1531" s="13">
        <f>COUNTIF(L1531:$M$1659,L1531)</f>
        <v>2</v>
      </c>
      <c r="W1531" s="1"/>
      <c r="X1531" s="1"/>
      <c r="Y1531" s="1"/>
      <c r="Z1531" s="1"/>
      <c r="AA1531" s="1"/>
      <c r="AB1531" s="1"/>
      <c r="AC1531" s="1"/>
      <c r="AD1531" s="1"/>
      <c r="AE1531" s="1"/>
      <c r="AF1531" s="1"/>
      <c r="AG1531" s="7" t="str">
        <f>TRIM(LEFT(L1531,FIND("-",L1531)-1))</f>
        <v>Kông Bơ La</v>
      </c>
      <c r="AH1531" s="7" t="str">
        <f>TRIM(RIGHT(L1531, LEN(L1531) - FIND("-", L1531)))</f>
        <v>An Khê</v>
      </c>
      <c r="AI1531" s="1"/>
      <c r="AJ1531" s="1"/>
      <c r="AK1531" s="1"/>
      <c r="AL1531" s="1">
        <f>VLOOKUP(L1531,'[1]Tuyến cáp H04'!$B:$E,3,0)/1000</f>
        <v>13.316000000000001</v>
      </c>
      <c r="AM1531" s="1" t="str">
        <f>VLOOKUP(L1531,'[1]Tuyến cáp H04'!$B:$E,4,0)</f>
        <v>Mạng cấp 4</v>
      </c>
      <c r="AN1531" s="1" t="str">
        <f t="shared" si="120"/>
        <v>Kông Bơ La-An Khê</v>
      </c>
      <c r="AO1531" s="1"/>
      <c r="AP1531" s="1" t="e">
        <f>VLOOKUP(AN1531,'[1]Tuyến cáp H04'!$B:$E,3,0)/1000</f>
        <v>#N/A</v>
      </c>
      <c r="AQ1531" s="1" t="e">
        <f>VLOOKUP(AN1531,'[1]Tuyến cáp H04'!$B:$E,4,0)</f>
        <v>#N/A</v>
      </c>
    </row>
    <row r="1532" spans="12:43" ht="15.75" x14ac:dyDescent="0.25">
      <c r="L1532" s="6" t="s">
        <v>15602</v>
      </c>
      <c r="M1532" s="6" t="s">
        <v>15602</v>
      </c>
      <c r="N1532" s="6"/>
      <c r="O1532" s="1"/>
      <c r="P1532" s="1"/>
      <c r="Q1532" s="1"/>
      <c r="R1532" s="1"/>
      <c r="S1532" s="1"/>
      <c r="T1532" s="1"/>
      <c r="U1532" s="1"/>
      <c r="V1532" s="13">
        <f>COUNTIF(L1532:$M$1659,L1532)</f>
        <v>18</v>
      </c>
      <c r="W1532" s="1"/>
      <c r="X1532" s="1"/>
      <c r="Y1532" s="1"/>
      <c r="Z1532" s="1"/>
      <c r="AA1532" s="1"/>
      <c r="AB1532" s="1"/>
      <c r="AC1532" s="1"/>
      <c r="AD1532" s="1"/>
      <c r="AE1532" s="1"/>
      <c r="AF1532" s="1"/>
      <c r="AG1532" s="7" t="str">
        <f>TRIM(LEFT(L1532,FIND("-",L1532)-1))</f>
        <v>TT1 Gia Lai</v>
      </c>
      <c r="AH1532" s="7" t="str">
        <f>TRIM(RIGHT(L1532, LEN(L1532) - FIND("-", L1532)))</f>
        <v>TT2 Gia Lai (ring 1)</v>
      </c>
      <c r="AI1532" s="1"/>
      <c r="AJ1532" s="1"/>
      <c r="AK1532" s="1"/>
      <c r="AL1532" s="1" t="e">
        <f>VLOOKUP(L1532,'[1]Tuyến cáp H04'!$B:$E,3,0)/1000</f>
        <v>#N/A</v>
      </c>
      <c r="AM1532" s="1" t="e">
        <f>VLOOKUP(L1532,'[1]Tuyến cáp H04'!$B:$E,4,0)</f>
        <v>#N/A</v>
      </c>
      <c r="AN1532" s="1" t="str">
        <f t="shared" si="120"/>
        <v>TT1 Gia Lai-TT2 Gia Lai (ring 1)</v>
      </c>
      <c r="AO1532" s="1"/>
      <c r="AP1532" s="1" t="e">
        <f>VLOOKUP(AN1532,'[1]Tuyến cáp H04'!$B:$E,3,0)/1000</f>
        <v>#N/A</v>
      </c>
      <c r="AQ1532" s="1" t="e">
        <f>VLOOKUP(AN1532,'[1]Tuyến cáp H04'!$B:$E,4,0)</f>
        <v>#N/A</v>
      </c>
    </row>
    <row r="1533" spans="12:43" ht="15.75" x14ac:dyDescent="0.25">
      <c r="L1533" s="6" t="s">
        <v>15607</v>
      </c>
      <c r="M1533" s="6" t="s">
        <v>15607</v>
      </c>
      <c r="N1533" s="6"/>
      <c r="O1533" s="1"/>
      <c r="P1533" s="1"/>
      <c r="Q1533" s="1"/>
      <c r="R1533" s="1"/>
      <c r="S1533" s="1"/>
      <c r="T1533" s="1"/>
      <c r="U1533" s="1"/>
      <c r="V1533" s="13">
        <f>COUNTIF(L1533:$M$1659,L1533)</f>
        <v>2</v>
      </c>
      <c r="W1533" s="1"/>
      <c r="X1533" s="1"/>
      <c r="Y1533" s="1"/>
      <c r="Z1533" s="1"/>
      <c r="AA1533" s="1"/>
      <c r="AB1533" s="1"/>
      <c r="AC1533" s="1"/>
      <c r="AD1533" s="1"/>
      <c r="AE1533" s="1"/>
      <c r="AF1533" s="1"/>
      <c r="AG1533" s="7" t="str">
        <f>TRIM(LEFT(L1533,FIND("-",L1533)-1))</f>
        <v>An Khê</v>
      </c>
      <c r="AH1533" s="7" t="str">
        <f>TRIM(RIGHT(L1533, LEN(L1533) - FIND("-", L1533)))</f>
        <v>Đak Pơ</v>
      </c>
      <c r="AI1533" s="1"/>
      <c r="AJ1533" s="1"/>
      <c r="AK1533" s="1"/>
      <c r="AL1533" s="1" t="e">
        <f>VLOOKUP(L1533,'[1]Tuyến cáp H04'!$B:$E,3,0)/1000</f>
        <v>#N/A</v>
      </c>
      <c r="AM1533" s="1" t="e">
        <f>VLOOKUP(L1533,'[1]Tuyến cáp H04'!$B:$E,4,0)</f>
        <v>#N/A</v>
      </c>
      <c r="AN1533" s="1" t="str">
        <f t="shared" si="120"/>
        <v>An Khê-Đak Pơ</v>
      </c>
      <c r="AO1533" s="1"/>
      <c r="AP1533" s="1" t="e">
        <f>VLOOKUP(AN1533,'[1]Tuyến cáp H04'!$B:$E,3,0)/1000</f>
        <v>#N/A</v>
      </c>
      <c r="AQ1533" s="1" t="e">
        <f>VLOOKUP(AN1533,'[1]Tuyến cáp H04'!$B:$E,4,0)</f>
        <v>#N/A</v>
      </c>
    </row>
    <row r="1534" spans="12:43" ht="15.75" x14ac:dyDescent="0.25">
      <c r="L1534" s="6" t="s">
        <v>15609</v>
      </c>
      <c r="M1534" s="6" t="s">
        <v>15609</v>
      </c>
      <c r="N1534" s="6"/>
      <c r="O1534" s="1"/>
      <c r="P1534" s="1"/>
      <c r="Q1534" s="1"/>
      <c r="R1534" s="1"/>
      <c r="S1534" s="1"/>
      <c r="T1534" s="1"/>
      <c r="U1534" s="1"/>
      <c r="V1534" s="13">
        <f>COUNTIF(L1534:$M$1659,L1534)</f>
        <v>4</v>
      </c>
      <c r="W1534" s="1"/>
      <c r="X1534" s="1"/>
      <c r="Y1534" s="1"/>
      <c r="Z1534" s="1"/>
      <c r="AA1534" s="1"/>
      <c r="AB1534" s="1"/>
      <c r="AC1534" s="1"/>
      <c r="AD1534" s="1"/>
      <c r="AE1534" s="1"/>
      <c r="AF1534" s="1"/>
      <c r="AG1534" s="7" t="str">
        <f>TRIM(LEFT(L1534,FIND("-",L1534)-1))</f>
        <v>Cửu An</v>
      </c>
      <c r="AH1534" s="7" t="str">
        <f>TRIM(RIGHT(L1534, LEN(L1534) - FIND("-", L1534)))</f>
        <v>TTCMKV An Khê</v>
      </c>
      <c r="AI1534" s="1"/>
      <c r="AJ1534" s="1"/>
      <c r="AK1534" s="1"/>
      <c r="AL1534" s="1">
        <f>VLOOKUP(L1534,'[1]Tuyến cáp H04'!$B:$E,3,0)/1000</f>
        <v>7.3940000000000001</v>
      </c>
      <c r="AM1534" s="1" t="str">
        <f>VLOOKUP(L1534,'[1]Tuyến cáp H04'!$B:$E,4,0)</f>
        <v>Mạng cấp 4</v>
      </c>
      <c r="AN1534" s="1" t="str">
        <f t="shared" si="120"/>
        <v>Cửu An-TTCMKV An Khê</v>
      </c>
      <c r="AO1534" s="1"/>
      <c r="AP1534" s="1" t="e">
        <f>VLOOKUP(AN1534,'[1]Tuyến cáp H04'!$B:$E,3,0)/1000</f>
        <v>#N/A</v>
      </c>
      <c r="AQ1534" s="1" t="e">
        <f>VLOOKUP(AN1534,'[1]Tuyến cáp H04'!$B:$E,4,0)</f>
        <v>#N/A</v>
      </c>
    </row>
    <row r="1535" spans="12:43" ht="15.75" x14ac:dyDescent="0.25">
      <c r="L1535" s="6" t="s">
        <v>15609</v>
      </c>
      <c r="M1535" s="6" t="s">
        <v>15609</v>
      </c>
      <c r="N1535" s="6"/>
      <c r="O1535" s="1"/>
      <c r="P1535" s="1"/>
      <c r="Q1535" s="1"/>
      <c r="R1535" s="1"/>
      <c r="S1535" s="1"/>
      <c r="T1535" s="1"/>
      <c r="U1535" s="1"/>
      <c r="V1535" s="13">
        <f>COUNTIF(L1535:$M$1659,L1535)</f>
        <v>2</v>
      </c>
      <c r="W1535" s="1"/>
      <c r="X1535" s="1"/>
      <c r="Y1535" s="1"/>
      <c r="Z1535" s="1"/>
      <c r="AA1535" s="1"/>
      <c r="AB1535" s="1"/>
      <c r="AC1535" s="1"/>
      <c r="AD1535" s="1"/>
      <c r="AE1535" s="1"/>
      <c r="AF1535" s="1"/>
      <c r="AG1535" s="7" t="str">
        <f>TRIM(LEFT(L1535,FIND("-",L1535)-1))</f>
        <v>Cửu An</v>
      </c>
      <c r="AH1535" s="7" t="str">
        <f>TRIM(RIGHT(L1535, LEN(L1535) - FIND("-", L1535)))</f>
        <v>TTCMKV An Khê</v>
      </c>
      <c r="AI1535" s="1"/>
      <c r="AJ1535" s="1"/>
      <c r="AK1535" s="1"/>
      <c r="AL1535" s="1">
        <f>VLOOKUP(L1535,'[1]Tuyến cáp H04'!$B:$E,3,0)/1000</f>
        <v>7.3940000000000001</v>
      </c>
      <c r="AM1535" s="1" t="str">
        <f>VLOOKUP(L1535,'[1]Tuyến cáp H04'!$B:$E,4,0)</f>
        <v>Mạng cấp 4</v>
      </c>
      <c r="AN1535" s="1" t="str">
        <f t="shared" si="120"/>
        <v>Cửu An-TTCMKV An Khê</v>
      </c>
      <c r="AO1535" s="1"/>
      <c r="AP1535" s="1" t="e">
        <f>VLOOKUP(AN1535,'[1]Tuyến cáp H04'!$B:$E,3,0)/1000</f>
        <v>#N/A</v>
      </c>
      <c r="AQ1535" s="1" t="e">
        <f>VLOOKUP(AN1535,'[1]Tuyến cáp H04'!$B:$E,4,0)</f>
        <v>#N/A</v>
      </c>
    </row>
    <row r="1536" spans="12:43" ht="15.75" x14ac:dyDescent="0.25">
      <c r="L1536" s="6" t="s">
        <v>15602</v>
      </c>
      <c r="M1536" s="6" t="s">
        <v>15602</v>
      </c>
      <c r="N1536" s="6"/>
      <c r="O1536" s="1"/>
      <c r="P1536" s="1"/>
      <c r="Q1536" s="1"/>
      <c r="R1536" s="1"/>
      <c r="S1536" s="1"/>
      <c r="T1536" s="1"/>
      <c r="U1536" s="1"/>
      <c r="V1536" s="13">
        <f>COUNTIF(L1536:$M$1659,L1536)</f>
        <v>16</v>
      </c>
      <c r="W1536" s="1"/>
      <c r="X1536" s="1"/>
      <c r="Y1536" s="1"/>
      <c r="Z1536" s="1"/>
      <c r="AA1536" s="1"/>
      <c r="AB1536" s="1"/>
      <c r="AC1536" s="1"/>
      <c r="AD1536" s="1"/>
      <c r="AE1536" s="1"/>
      <c r="AF1536" s="1"/>
      <c r="AG1536" s="7" t="str">
        <f>TRIM(LEFT(L1536,FIND("-",L1536)-1))</f>
        <v>TT1 Gia Lai</v>
      </c>
      <c r="AH1536" s="7" t="str">
        <f>TRIM(RIGHT(L1536, LEN(L1536) - FIND("-", L1536)))</f>
        <v>TT2 Gia Lai (ring 1)</v>
      </c>
      <c r="AI1536" s="1"/>
      <c r="AJ1536" s="1"/>
      <c r="AK1536" s="1"/>
      <c r="AL1536" s="1" t="e">
        <f>VLOOKUP(L1536,'[1]Tuyến cáp H04'!$B:$E,3,0)/1000</f>
        <v>#N/A</v>
      </c>
      <c r="AM1536" s="1" t="e">
        <f>VLOOKUP(L1536,'[1]Tuyến cáp H04'!$B:$E,4,0)</f>
        <v>#N/A</v>
      </c>
      <c r="AN1536" s="1" t="str">
        <f t="shared" si="120"/>
        <v>TT1 Gia Lai-TT2 Gia Lai (ring 1)</v>
      </c>
      <c r="AO1536" s="1"/>
      <c r="AP1536" s="1" t="e">
        <f>VLOOKUP(AN1536,'[1]Tuyến cáp H04'!$B:$E,3,0)/1000</f>
        <v>#N/A</v>
      </c>
      <c r="AQ1536" s="1" t="e">
        <f>VLOOKUP(AN1536,'[1]Tuyến cáp H04'!$B:$E,4,0)</f>
        <v>#N/A</v>
      </c>
    </row>
    <row r="1537" spans="12:43" ht="15.75" x14ac:dyDescent="0.25">
      <c r="L1537" s="6" t="s">
        <v>15610</v>
      </c>
      <c r="M1537" s="6" t="s">
        <v>15610</v>
      </c>
      <c r="N1537" s="6"/>
      <c r="O1537" s="1"/>
      <c r="P1537" s="1"/>
      <c r="Q1537" s="1"/>
      <c r="R1537" s="1"/>
      <c r="S1537" s="1"/>
      <c r="T1537" s="1"/>
      <c r="U1537" s="1"/>
      <c r="V1537" s="13">
        <f>COUNTIF(L1537:$M$1659,L1537)</f>
        <v>2</v>
      </c>
      <c r="W1537" s="1"/>
      <c r="X1537" s="1"/>
      <c r="Y1537" s="1"/>
      <c r="Z1537" s="1"/>
      <c r="AA1537" s="1"/>
      <c r="AB1537" s="1"/>
      <c r="AC1537" s="1"/>
      <c r="AD1537" s="1"/>
      <c r="AE1537" s="1"/>
      <c r="AF1537" s="1"/>
      <c r="AG1537" s="7" t="str">
        <f>TRIM(LEFT(L1537,FIND("-",L1537)-1))</f>
        <v>Kbang</v>
      </c>
      <c r="AH1537" s="7" t="str">
        <f>TRIM(RIGHT(L1537, LEN(L1537) - FIND("-", L1537)))</f>
        <v>Cửu An</v>
      </c>
      <c r="AI1537" s="1"/>
      <c r="AJ1537" s="1"/>
      <c r="AK1537" s="1"/>
      <c r="AL1537" s="1">
        <f>VLOOKUP(L1537,'[1]Tuyến cáp H04'!$B:$E,3,0)/1000</f>
        <v>26.428000000000001</v>
      </c>
      <c r="AM1537" s="1" t="str">
        <f>VLOOKUP(L1537,'[1]Tuyến cáp H04'!$B:$E,4,0)</f>
        <v>Mạng cấp 4</v>
      </c>
      <c r="AN1537" s="1" t="str">
        <f t="shared" si="120"/>
        <v>Kbang-Cửu An</v>
      </c>
      <c r="AO1537" s="1"/>
      <c r="AP1537" s="1" t="e">
        <f>VLOOKUP(AN1537,'[1]Tuyến cáp H04'!$B:$E,3,0)/1000</f>
        <v>#N/A</v>
      </c>
      <c r="AQ1537" s="1" t="e">
        <f>VLOOKUP(AN1537,'[1]Tuyến cáp H04'!$B:$E,4,0)</f>
        <v>#N/A</v>
      </c>
    </row>
    <row r="1538" spans="12:43" ht="15.75" x14ac:dyDescent="0.25">
      <c r="L1538" s="6" t="s">
        <v>15602</v>
      </c>
      <c r="M1538" s="6" t="s">
        <v>15602</v>
      </c>
      <c r="N1538" s="6"/>
      <c r="O1538" s="1"/>
      <c r="P1538" s="1"/>
      <c r="Q1538" s="1"/>
      <c r="R1538" s="1"/>
      <c r="S1538" s="1"/>
      <c r="T1538" s="1"/>
      <c r="U1538" s="1"/>
      <c r="V1538" s="13">
        <f>COUNTIF(L1538:$M$1659,L1538)</f>
        <v>14</v>
      </c>
      <c r="W1538" s="1"/>
      <c r="X1538" s="1"/>
      <c r="Y1538" s="1"/>
      <c r="Z1538" s="1"/>
      <c r="AA1538" s="1"/>
      <c r="AB1538" s="1"/>
      <c r="AC1538" s="1"/>
      <c r="AD1538" s="1"/>
      <c r="AE1538" s="1"/>
      <c r="AF1538" s="1"/>
      <c r="AG1538" s="7" t="str">
        <f>TRIM(LEFT(L1538,FIND("-",L1538)-1))</f>
        <v>TT1 Gia Lai</v>
      </c>
      <c r="AH1538" s="7" t="str">
        <f>TRIM(RIGHT(L1538, LEN(L1538) - FIND("-", L1538)))</f>
        <v>TT2 Gia Lai (ring 1)</v>
      </c>
      <c r="AI1538" s="1"/>
      <c r="AJ1538" s="1"/>
      <c r="AK1538" s="1"/>
      <c r="AL1538" s="1" t="e">
        <f>VLOOKUP(L1538,'[1]Tuyến cáp H04'!$B:$E,3,0)/1000</f>
        <v>#N/A</v>
      </c>
      <c r="AM1538" s="1" t="e">
        <f>VLOOKUP(L1538,'[1]Tuyến cáp H04'!$B:$E,4,0)</f>
        <v>#N/A</v>
      </c>
      <c r="AN1538" s="1" t="str">
        <f t="shared" si="120"/>
        <v>TT1 Gia Lai-TT2 Gia Lai (ring 1)</v>
      </c>
      <c r="AO1538" s="1"/>
      <c r="AP1538" s="1" t="e">
        <f>VLOOKUP(AN1538,'[1]Tuyến cáp H04'!$B:$E,3,0)/1000</f>
        <v>#N/A</v>
      </c>
      <c r="AQ1538" s="1" t="e">
        <f>VLOOKUP(AN1538,'[1]Tuyến cáp H04'!$B:$E,4,0)</f>
        <v>#N/A</v>
      </c>
    </row>
    <row r="1539" spans="12:43" ht="15.75" x14ac:dyDescent="0.25">
      <c r="L1539" s="6" t="s">
        <v>15600</v>
      </c>
      <c r="M1539" s="6" t="s">
        <v>15600</v>
      </c>
      <c r="N1539" s="6"/>
      <c r="O1539" s="1"/>
      <c r="P1539" s="1"/>
      <c r="Q1539" s="1"/>
      <c r="R1539" s="1"/>
      <c r="S1539" s="1"/>
      <c r="T1539" s="1"/>
      <c r="U1539" s="1"/>
      <c r="V1539" s="13">
        <f>COUNTIF(L1539:$M$1659,L1539)</f>
        <v>2</v>
      </c>
      <c r="W1539" s="1"/>
      <c r="X1539" s="1"/>
      <c r="Y1539" s="1"/>
      <c r="Z1539" s="1"/>
      <c r="AA1539" s="1"/>
      <c r="AB1539" s="1"/>
      <c r="AC1539" s="1"/>
      <c r="AD1539" s="1"/>
      <c r="AE1539" s="1"/>
      <c r="AF1539" s="1"/>
      <c r="AG1539" s="7" t="str">
        <f>TRIM(LEFT(L1539,FIND("-",L1539)-1))</f>
        <v>Đak Pơ</v>
      </c>
      <c r="AH1539" s="7" t="str">
        <f>TRIM(RIGHT(L1539, LEN(L1539) - FIND("-", L1539)))</f>
        <v>Mang Yang</v>
      </c>
      <c r="AI1539" s="1"/>
      <c r="AJ1539" s="1"/>
      <c r="AK1539" s="1"/>
      <c r="AL1539" s="1" t="e">
        <f>VLOOKUP(L1539,'[1]Tuyến cáp H04'!$B:$E,3,0)/1000</f>
        <v>#N/A</v>
      </c>
      <c r="AM1539" s="1" t="e">
        <f>VLOOKUP(L1539,'[1]Tuyến cáp H04'!$B:$E,4,0)</f>
        <v>#N/A</v>
      </c>
      <c r="AN1539" s="1" t="str">
        <f t="shared" si="120"/>
        <v>Đak Pơ-Mang Yang</v>
      </c>
      <c r="AO1539" s="1"/>
      <c r="AP1539" s="1" t="e">
        <f>VLOOKUP(AN1539,'[1]Tuyến cáp H04'!$B:$E,3,0)/1000</f>
        <v>#N/A</v>
      </c>
      <c r="AQ1539" s="1" t="e">
        <f>VLOOKUP(AN1539,'[1]Tuyến cáp H04'!$B:$E,4,0)</f>
        <v>#N/A</v>
      </c>
    </row>
    <row r="1540" spans="12:43" ht="15.75" x14ac:dyDescent="0.25">
      <c r="L1540" s="6" t="s">
        <v>15601</v>
      </c>
      <c r="M1540" s="6" t="s">
        <v>15601</v>
      </c>
      <c r="N1540" s="6"/>
      <c r="O1540" s="1"/>
      <c r="P1540" s="1"/>
      <c r="Q1540" s="1"/>
      <c r="R1540" s="1"/>
      <c r="S1540" s="1"/>
      <c r="T1540" s="1"/>
      <c r="U1540" s="1"/>
      <c r="V1540" s="13">
        <f>COUNTIF(L1540:$M$1659,L1540)</f>
        <v>8</v>
      </c>
      <c r="W1540" s="1"/>
      <c r="X1540" s="1"/>
      <c r="Y1540" s="1"/>
      <c r="Z1540" s="1"/>
      <c r="AA1540" s="1"/>
      <c r="AB1540" s="1"/>
      <c r="AC1540" s="1"/>
      <c r="AD1540" s="1"/>
      <c r="AE1540" s="1"/>
      <c r="AF1540" s="1"/>
      <c r="AG1540" s="7" t="str">
        <f>TRIM(LEFT(L1540,FIND("-",L1540)-1))</f>
        <v>Mang Yang</v>
      </c>
      <c r="AH1540" s="7" t="str">
        <f>TRIM(RIGHT(L1540, LEN(L1540) - FIND("-", L1540)))</f>
        <v>TT2 Gia Lai</v>
      </c>
      <c r="AI1540" s="1"/>
      <c r="AJ1540" s="1"/>
      <c r="AK1540" s="1"/>
      <c r="AL1540" s="1" t="e">
        <f>VLOOKUP(L1540,'[1]Tuyến cáp H04'!$B:$E,3,0)/1000</f>
        <v>#N/A</v>
      </c>
      <c r="AM1540" s="1" t="e">
        <f>VLOOKUP(L1540,'[1]Tuyến cáp H04'!$B:$E,4,0)</f>
        <v>#N/A</v>
      </c>
      <c r="AN1540" s="1" t="str">
        <f t="shared" si="120"/>
        <v>Mang Yang-TT2 Gia Lai</v>
      </c>
      <c r="AO1540" s="1"/>
      <c r="AP1540" s="1" t="e">
        <f>VLOOKUP(AN1540,'[1]Tuyến cáp H04'!$B:$E,3,0)/1000</f>
        <v>#N/A</v>
      </c>
      <c r="AQ1540" s="1" t="e">
        <f>VLOOKUP(AN1540,'[1]Tuyến cáp H04'!$B:$E,4,0)</f>
        <v>#N/A</v>
      </c>
    </row>
    <row r="1541" spans="12:43" ht="15.75" x14ac:dyDescent="0.25">
      <c r="L1541" s="6" t="s">
        <v>15601</v>
      </c>
      <c r="M1541" s="6" t="s">
        <v>15601</v>
      </c>
      <c r="N1541" s="6"/>
      <c r="O1541" s="1"/>
      <c r="P1541" s="1"/>
      <c r="Q1541" s="1"/>
      <c r="R1541" s="1"/>
      <c r="S1541" s="1"/>
      <c r="T1541" s="1"/>
      <c r="U1541" s="1"/>
      <c r="V1541" s="13">
        <f>COUNTIF(L1541:$M$1659,L1541)</f>
        <v>6</v>
      </c>
      <c r="W1541" s="1"/>
      <c r="X1541" s="1"/>
      <c r="Y1541" s="1"/>
      <c r="Z1541" s="1"/>
      <c r="AA1541" s="1"/>
      <c r="AB1541" s="1"/>
      <c r="AC1541" s="1"/>
      <c r="AD1541" s="1"/>
      <c r="AE1541" s="1"/>
      <c r="AF1541" s="1"/>
      <c r="AG1541" s="7" t="str">
        <f>TRIM(LEFT(L1541,FIND("-",L1541)-1))</f>
        <v>Mang Yang</v>
      </c>
      <c r="AH1541" s="7" t="str">
        <f>TRIM(RIGHT(L1541, LEN(L1541) - FIND("-", L1541)))</f>
        <v>TT2 Gia Lai</v>
      </c>
      <c r="AI1541" s="1"/>
      <c r="AJ1541" s="1"/>
      <c r="AK1541" s="1"/>
      <c r="AL1541" s="1" t="e">
        <f>VLOOKUP(L1541,'[1]Tuyến cáp H04'!$B:$E,3,0)/1000</f>
        <v>#N/A</v>
      </c>
      <c r="AM1541" s="1" t="e">
        <f>VLOOKUP(L1541,'[1]Tuyến cáp H04'!$B:$E,4,0)</f>
        <v>#N/A</v>
      </c>
      <c r="AN1541" s="1" t="str">
        <f t="shared" si="120"/>
        <v>Mang Yang-TT2 Gia Lai</v>
      </c>
      <c r="AO1541" s="1"/>
      <c r="AP1541" s="1" t="e">
        <f>VLOOKUP(AN1541,'[1]Tuyến cáp H04'!$B:$E,3,0)/1000</f>
        <v>#N/A</v>
      </c>
      <c r="AQ1541" s="1" t="e">
        <f>VLOOKUP(AN1541,'[1]Tuyến cáp H04'!$B:$E,4,0)</f>
        <v>#N/A</v>
      </c>
    </row>
    <row r="1542" spans="12:43" ht="15.75" x14ac:dyDescent="0.25">
      <c r="L1542" s="6" t="s">
        <v>15601</v>
      </c>
      <c r="M1542" s="6" t="s">
        <v>15601</v>
      </c>
      <c r="N1542" s="6"/>
      <c r="O1542" s="1"/>
      <c r="P1542" s="1"/>
      <c r="Q1542" s="1"/>
      <c r="R1542" s="1"/>
      <c r="S1542" s="1"/>
      <c r="T1542" s="1"/>
      <c r="U1542" s="1"/>
      <c r="V1542" s="13">
        <f>COUNTIF(L1542:$M$1659,L1542)</f>
        <v>4</v>
      </c>
      <c r="W1542" s="1"/>
      <c r="X1542" s="1"/>
      <c r="Y1542" s="1"/>
      <c r="Z1542" s="1"/>
      <c r="AA1542" s="1"/>
      <c r="AB1542" s="1"/>
      <c r="AC1542" s="1"/>
      <c r="AD1542" s="1"/>
      <c r="AE1542" s="1"/>
      <c r="AF1542" s="1"/>
      <c r="AG1542" s="7" t="str">
        <f>TRIM(LEFT(L1542,FIND("-",L1542)-1))</f>
        <v>Mang Yang</v>
      </c>
      <c r="AH1542" s="7" t="str">
        <f>TRIM(RIGHT(L1542, LEN(L1542) - FIND("-", L1542)))</f>
        <v>TT2 Gia Lai</v>
      </c>
      <c r="AI1542" s="1"/>
      <c r="AJ1542" s="1"/>
      <c r="AK1542" s="1"/>
      <c r="AL1542" s="1" t="e">
        <f>VLOOKUP(L1542,'[1]Tuyến cáp H04'!$B:$E,3,0)/1000</f>
        <v>#N/A</v>
      </c>
      <c r="AM1542" s="1" t="e">
        <f>VLOOKUP(L1542,'[1]Tuyến cáp H04'!$B:$E,4,0)</f>
        <v>#N/A</v>
      </c>
      <c r="AN1542" s="1" t="str">
        <f t="shared" si="120"/>
        <v>Mang Yang-TT2 Gia Lai</v>
      </c>
      <c r="AO1542" s="1"/>
      <c r="AP1542" s="1" t="e">
        <f>VLOOKUP(AN1542,'[1]Tuyến cáp H04'!$B:$E,3,0)/1000</f>
        <v>#N/A</v>
      </c>
      <c r="AQ1542" s="1" t="e">
        <f>VLOOKUP(AN1542,'[1]Tuyến cáp H04'!$B:$E,4,0)</f>
        <v>#N/A</v>
      </c>
    </row>
    <row r="1543" spans="12:43" ht="15.75" x14ac:dyDescent="0.25">
      <c r="L1543" s="6" t="s">
        <v>15611</v>
      </c>
      <c r="M1543" s="6" t="s">
        <v>15611</v>
      </c>
      <c r="N1543" s="6"/>
      <c r="O1543" s="1"/>
      <c r="P1543" s="1"/>
      <c r="Q1543" s="1"/>
      <c r="R1543" s="1"/>
      <c r="S1543" s="1"/>
      <c r="T1543" s="1"/>
      <c r="U1543" s="1"/>
      <c r="V1543" s="13">
        <f>COUNTIF(L1543:$M$1659,L1543)</f>
        <v>6</v>
      </c>
      <c r="W1543" s="1"/>
      <c r="X1543" s="1"/>
      <c r="Y1543" s="1"/>
      <c r="Z1543" s="1"/>
      <c r="AA1543" s="1"/>
      <c r="AB1543" s="1"/>
      <c r="AC1543" s="1"/>
      <c r="AD1543" s="1"/>
      <c r="AE1543" s="1"/>
      <c r="AF1543" s="1"/>
      <c r="AG1543" s="7" t="str">
        <f>TRIM(LEFT(L1543,FIND("-",L1543)-1))</f>
        <v>Ia băng</v>
      </c>
      <c r="AH1543" s="7" t="str">
        <f>TRIM(RIGHT(L1543, LEN(L1543) - FIND("-", L1543)))</f>
        <v>Đăk Đoa</v>
      </c>
      <c r="AI1543" s="1"/>
      <c r="AJ1543" s="1"/>
      <c r="AK1543" s="1"/>
      <c r="AL1543" s="1" t="e">
        <f>VLOOKUP(L1543,'[1]Tuyến cáp H04'!$B:$E,3,0)/1000</f>
        <v>#N/A</v>
      </c>
      <c r="AM1543" s="1" t="e">
        <f>VLOOKUP(L1543,'[1]Tuyến cáp H04'!$B:$E,4,0)</f>
        <v>#N/A</v>
      </c>
      <c r="AN1543" s="1" t="str">
        <f t="shared" si="120"/>
        <v>Ia băng-Đăk Đoa</v>
      </c>
      <c r="AO1543" s="1"/>
      <c r="AP1543" s="1" t="e">
        <f>VLOOKUP(AN1543,'[1]Tuyến cáp H04'!$B:$E,3,0)/1000</f>
        <v>#N/A</v>
      </c>
      <c r="AQ1543" s="1" t="e">
        <f>VLOOKUP(AN1543,'[1]Tuyến cáp H04'!$B:$E,4,0)</f>
        <v>#N/A</v>
      </c>
    </row>
    <row r="1544" spans="12:43" ht="15.75" x14ac:dyDescent="0.25">
      <c r="L1544" s="6" t="s">
        <v>15611</v>
      </c>
      <c r="M1544" s="6" t="s">
        <v>15611</v>
      </c>
      <c r="N1544" s="6"/>
      <c r="O1544" s="1"/>
      <c r="P1544" s="1"/>
      <c r="Q1544" s="1"/>
      <c r="R1544" s="1"/>
      <c r="S1544" s="1"/>
      <c r="T1544" s="1"/>
      <c r="U1544" s="1"/>
      <c r="V1544" s="13">
        <f>COUNTIF(L1544:$M$1659,L1544)</f>
        <v>4</v>
      </c>
      <c r="W1544" s="1"/>
      <c r="X1544" s="1"/>
      <c r="Y1544" s="1"/>
      <c r="Z1544" s="1"/>
      <c r="AA1544" s="1"/>
      <c r="AB1544" s="1"/>
      <c r="AC1544" s="1"/>
      <c r="AD1544" s="1"/>
      <c r="AE1544" s="1"/>
      <c r="AF1544" s="1"/>
      <c r="AG1544" s="7" t="str">
        <f>TRIM(LEFT(L1544,FIND("-",L1544)-1))</f>
        <v>Ia băng</v>
      </c>
      <c r="AH1544" s="7" t="str">
        <f>TRIM(RIGHT(L1544, LEN(L1544) - FIND("-", L1544)))</f>
        <v>Đăk Đoa</v>
      </c>
      <c r="AI1544" s="1"/>
      <c r="AJ1544" s="1"/>
      <c r="AK1544" s="1"/>
      <c r="AL1544" s="1" t="e">
        <f>VLOOKUP(L1544,'[1]Tuyến cáp H04'!$B:$E,3,0)/1000</f>
        <v>#N/A</v>
      </c>
      <c r="AM1544" s="1" t="e">
        <f>VLOOKUP(L1544,'[1]Tuyến cáp H04'!$B:$E,4,0)</f>
        <v>#N/A</v>
      </c>
      <c r="AN1544" s="1" t="str">
        <f t="shared" si="120"/>
        <v>Ia băng-Đăk Đoa</v>
      </c>
      <c r="AO1544" s="1"/>
      <c r="AP1544" s="1" t="e">
        <f>VLOOKUP(AN1544,'[1]Tuyến cáp H04'!$B:$E,3,0)/1000</f>
        <v>#N/A</v>
      </c>
      <c r="AQ1544" s="1" t="e">
        <f>VLOOKUP(AN1544,'[1]Tuyến cáp H04'!$B:$E,4,0)</f>
        <v>#N/A</v>
      </c>
    </row>
    <row r="1545" spans="12:43" ht="15.75" x14ac:dyDescent="0.25">
      <c r="L1545" s="6" t="s">
        <v>15601</v>
      </c>
      <c r="M1545" s="6" t="s">
        <v>15601</v>
      </c>
      <c r="N1545" s="6"/>
      <c r="O1545" s="1"/>
      <c r="P1545" s="1"/>
      <c r="Q1545" s="1"/>
      <c r="R1545" s="1"/>
      <c r="S1545" s="1"/>
      <c r="T1545" s="1"/>
      <c r="U1545" s="1"/>
      <c r="V1545" s="13">
        <f>COUNTIF(L1545:$M$1659,L1545)</f>
        <v>2</v>
      </c>
      <c r="W1545" s="1"/>
      <c r="X1545" s="1"/>
      <c r="Y1545" s="1"/>
      <c r="Z1545" s="1"/>
      <c r="AA1545" s="1"/>
      <c r="AB1545" s="1"/>
      <c r="AC1545" s="1"/>
      <c r="AD1545" s="1"/>
      <c r="AE1545" s="1"/>
      <c r="AF1545" s="1"/>
      <c r="AG1545" s="7" t="str">
        <f>TRIM(LEFT(L1545,FIND("-",L1545)-1))</f>
        <v>Mang Yang</v>
      </c>
      <c r="AH1545" s="7" t="str">
        <f>TRIM(RIGHT(L1545, LEN(L1545) - FIND("-", L1545)))</f>
        <v>TT2 Gia Lai</v>
      </c>
      <c r="AI1545" s="1"/>
      <c r="AJ1545" s="1"/>
      <c r="AK1545" s="1"/>
      <c r="AL1545" s="1" t="e">
        <f>VLOOKUP(L1545,'[1]Tuyến cáp H04'!$B:$E,3,0)/1000</f>
        <v>#N/A</v>
      </c>
      <c r="AM1545" s="1" t="e">
        <f>VLOOKUP(L1545,'[1]Tuyến cáp H04'!$B:$E,4,0)</f>
        <v>#N/A</v>
      </c>
      <c r="AN1545" s="1" t="str">
        <f t="shared" si="120"/>
        <v>Mang Yang-TT2 Gia Lai</v>
      </c>
      <c r="AO1545" s="1"/>
      <c r="AP1545" s="1" t="e">
        <f>VLOOKUP(AN1545,'[1]Tuyến cáp H04'!$B:$E,3,0)/1000</f>
        <v>#N/A</v>
      </c>
      <c r="AQ1545" s="1" t="e">
        <f>VLOOKUP(AN1545,'[1]Tuyến cáp H04'!$B:$E,4,0)</f>
        <v>#N/A</v>
      </c>
    </row>
    <row r="1546" spans="12:43" ht="15.75" x14ac:dyDescent="0.25">
      <c r="L1546" s="6" t="s">
        <v>15612</v>
      </c>
      <c r="M1546" s="6" t="s">
        <v>15612</v>
      </c>
      <c r="N1546" s="6"/>
      <c r="O1546" s="1"/>
      <c r="P1546" s="1"/>
      <c r="Q1546" s="1"/>
      <c r="R1546" s="1"/>
      <c r="S1546" s="1"/>
      <c r="T1546" s="1"/>
      <c r="U1546" s="1"/>
      <c r="V1546" s="13">
        <f>COUNTIF(L1546:$M$1659,L1546)</f>
        <v>6</v>
      </c>
      <c r="W1546" s="1"/>
      <c r="X1546" s="1"/>
      <c r="Y1546" s="1"/>
      <c r="Z1546" s="1"/>
      <c r="AA1546" s="1"/>
      <c r="AB1546" s="1"/>
      <c r="AC1546" s="1"/>
      <c r="AD1546" s="1"/>
      <c r="AE1546" s="1"/>
      <c r="AF1546" s="1"/>
      <c r="AG1546" s="7" t="str">
        <f>TRIM(LEFT(L1546,FIND("-",L1546)-1))</f>
        <v>TT2 Gia Lai</v>
      </c>
      <c r="AH1546" s="7" t="str">
        <f>TRIM(RIGHT(L1546, LEN(L1546) - FIND("-", L1546)))</f>
        <v>Chư Sê</v>
      </c>
      <c r="AI1546" s="1"/>
      <c r="AJ1546" s="1"/>
      <c r="AK1546" s="1"/>
      <c r="AL1546" s="1" t="e">
        <f>VLOOKUP(L1546,'[1]Tuyến cáp H04'!$B:$E,3,0)/1000</f>
        <v>#N/A</v>
      </c>
      <c r="AM1546" s="1" t="e">
        <f>VLOOKUP(L1546,'[1]Tuyến cáp H04'!$B:$E,4,0)</f>
        <v>#N/A</v>
      </c>
      <c r="AN1546" s="1" t="str">
        <f t="shared" si="120"/>
        <v>TT2 Gia Lai-Chư Sê</v>
      </c>
      <c r="AO1546" s="1"/>
      <c r="AP1546" s="1" t="e">
        <f>VLOOKUP(AN1546,'[1]Tuyến cáp H04'!$B:$E,3,0)/1000</f>
        <v>#N/A</v>
      </c>
      <c r="AQ1546" s="1" t="e">
        <f>VLOOKUP(AN1546,'[1]Tuyến cáp H04'!$B:$E,4,0)</f>
        <v>#N/A</v>
      </c>
    </row>
    <row r="1547" spans="12:43" ht="15.75" x14ac:dyDescent="0.25">
      <c r="L1547" s="6"/>
      <c r="M1547" s="6"/>
      <c r="N1547" s="6"/>
      <c r="O1547" s="1"/>
      <c r="P1547" s="1"/>
      <c r="Q1547" s="1"/>
      <c r="R1547" s="1"/>
      <c r="S1547" s="1"/>
      <c r="T1547" s="1"/>
      <c r="U1547" s="1"/>
      <c r="V1547" s="13">
        <f>COUNTIF(L1547:$M$1659,L1547)</f>
        <v>0</v>
      </c>
      <c r="W1547" s="1"/>
      <c r="X1547" s="1"/>
      <c r="Y1547" s="1"/>
      <c r="Z1547" s="1"/>
      <c r="AA1547" s="1"/>
      <c r="AB1547" s="1"/>
      <c r="AC1547" s="1"/>
      <c r="AD1547" s="1"/>
      <c r="AE1547" s="1"/>
      <c r="AF1547" s="1"/>
      <c r="AG1547" s="7" t="e">
        <f>TRIM(LEFT(L1547,FIND("-",L1547)-1))</f>
        <v>#VALUE!</v>
      </c>
      <c r="AH1547" s="7" t="e">
        <f>TRIM(RIGHT(L1547, LEN(L1547) - FIND("-", L1547)))</f>
        <v>#VALUE!</v>
      </c>
      <c r="AI1547" s="1"/>
      <c r="AJ1547" s="1"/>
      <c r="AK1547" s="1"/>
      <c r="AL1547" s="1" t="e">
        <f>VLOOKUP(L1547,'[1]Tuyến cáp H04'!$B:$E,3,0)/1000</f>
        <v>#N/A</v>
      </c>
      <c r="AM1547" s="1" t="e">
        <f>VLOOKUP(L1547,'[1]Tuyến cáp H04'!$B:$E,4,0)</f>
        <v>#N/A</v>
      </c>
      <c r="AN1547" s="1" t="e">
        <f t="shared" si="120"/>
        <v>#VALUE!</v>
      </c>
      <c r="AO1547" s="1"/>
      <c r="AP1547" s="1" t="e">
        <f>VLOOKUP(AN1547,'[1]Tuyến cáp H04'!$B:$E,3,0)/1000</f>
        <v>#VALUE!</v>
      </c>
      <c r="AQ1547" s="1" t="e">
        <f>VLOOKUP(AN1547,'[1]Tuyến cáp H04'!$B:$E,4,0)</f>
        <v>#VALUE!</v>
      </c>
    </row>
    <row r="1548" spans="12:43" ht="15.75" x14ac:dyDescent="0.25">
      <c r="L1548" s="6" t="s">
        <v>15613</v>
      </c>
      <c r="M1548" s="6" t="s">
        <v>15613</v>
      </c>
      <c r="N1548" s="6"/>
      <c r="O1548" s="1"/>
      <c r="P1548" s="1"/>
      <c r="Q1548" s="1"/>
      <c r="R1548" s="1"/>
      <c r="S1548" s="1"/>
      <c r="T1548" s="1"/>
      <c r="U1548" s="1"/>
      <c r="V1548" s="13">
        <f>COUNTIF(L1548:$M$1659,L1548)</f>
        <v>2</v>
      </c>
      <c r="W1548" s="1"/>
      <c r="X1548" s="1"/>
      <c r="Y1548" s="1"/>
      <c r="Z1548" s="1"/>
      <c r="AA1548" s="1"/>
      <c r="AB1548" s="1"/>
      <c r="AC1548" s="1"/>
      <c r="AD1548" s="1"/>
      <c r="AE1548" s="1"/>
      <c r="AF1548" s="1"/>
      <c r="AG1548" s="7" t="str">
        <f>TRIM(LEFT(L1548,FIND("-",L1548)-1))</f>
        <v>Hội Phú</v>
      </c>
      <c r="AH1548" s="7" t="str">
        <f>TRIM(RIGHT(L1548, LEN(L1548) - FIND("-", L1548)))</f>
        <v>Ia Băng</v>
      </c>
      <c r="AI1548" s="1"/>
      <c r="AJ1548" s="1"/>
      <c r="AK1548" s="1"/>
      <c r="AL1548" s="1" t="e">
        <f>VLOOKUP(L1548,'[1]Tuyến cáp H04'!$B:$E,3,0)/1000</f>
        <v>#N/A</v>
      </c>
      <c r="AM1548" s="1" t="e">
        <f>VLOOKUP(L1548,'[1]Tuyến cáp H04'!$B:$E,4,0)</f>
        <v>#N/A</v>
      </c>
      <c r="AN1548" s="1" t="str">
        <f t="shared" si="120"/>
        <v>Hội Phú-Ia Băng</v>
      </c>
      <c r="AO1548" s="1"/>
      <c r="AP1548" s="1" t="e">
        <f>VLOOKUP(AN1548,'[1]Tuyến cáp H04'!$B:$E,3,0)/1000</f>
        <v>#N/A</v>
      </c>
      <c r="AQ1548" s="1" t="e">
        <f>VLOOKUP(AN1548,'[1]Tuyến cáp H04'!$B:$E,4,0)</f>
        <v>#N/A</v>
      </c>
    </row>
    <row r="1549" spans="12:43" ht="15.75" x14ac:dyDescent="0.25">
      <c r="L1549" s="6" t="s">
        <v>15611</v>
      </c>
      <c r="M1549" s="6" t="s">
        <v>15611</v>
      </c>
      <c r="N1549" s="6"/>
      <c r="O1549" s="1"/>
      <c r="P1549" s="1"/>
      <c r="Q1549" s="1"/>
      <c r="R1549" s="1"/>
      <c r="S1549" s="1"/>
      <c r="T1549" s="1"/>
      <c r="U1549" s="1"/>
      <c r="V1549" s="13">
        <f>COUNTIF(L1549:$M$1659,L1549)</f>
        <v>2</v>
      </c>
      <c r="W1549" s="1"/>
      <c r="X1549" s="1"/>
      <c r="Y1549" s="1"/>
      <c r="Z1549" s="1"/>
      <c r="AA1549" s="1"/>
      <c r="AB1549" s="1"/>
      <c r="AC1549" s="1"/>
      <c r="AD1549" s="1"/>
      <c r="AE1549" s="1"/>
      <c r="AF1549" s="1"/>
      <c r="AG1549" s="7" t="str">
        <f>TRIM(LEFT(L1549,FIND("-",L1549)-1))</f>
        <v>Ia băng</v>
      </c>
      <c r="AH1549" s="7" t="str">
        <f>TRIM(RIGHT(L1549, LEN(L1549) - FIND("-", L1549)))</f>
        <v>Đăk Đoa</v>
      </c>
      <c r="AI1549" s="1"/>
      <c r="AJ1549" s="1"/>
      <c r="AK1549" s="1"/>
      <c r="AL1549" s="1" t="e">
        <f>VLOOKUP(L1549,'[1]Tuyến cáp H04'!$B:$E,3,0)/1000</f>
        <v>#N/A</v>
      </c>
      <c r="AM1549" s="1" t="e">
        <f>VLOOKUP(L1549,'[1]Tuyến cáp H04'!$B:$E,4,0)</f>
        <v>#N/A</v>
      </c>
      <c r="AN1549" s="1" t="str">
        <f t="shared" si="120"/>
        <v>Ia băng-Đăk Đoa</v>
      </c>
      <c r="AO1549" s="1"/>
      <c r="AP1549" s="1" t="e">
        <f>VLOOKUP(AN1549,'[1]Tuyến cáp H04'!$B:$E,3,0)/1000</f>
        <v>#N/A</v>
      </c>
      <c r="AQ1549" s="1" t="e">
        <f>VLOOKUP(AN1549,'[1]Tuyến cáp H04'!$B:$E,4,0)</f>
        <v>#N/A</v>
      </c>
    </row>
    <row r="1550" spans="12:43" ht="15.75" x14ac:dyDescent="0.25">
      <c r="L1550" s="6" t="s">
        <v>15614</v>
      </c>
      <c r="M1550" s="6" t="s">
        <v>15614</v>
      </c>
      <c r="N1550" s="6"/>
      <c r="O1550" s="1"/>
      <c r="P1550" s="1"/>
      <c r="Q1550" s="1"/>
      <c r="R1550" s="1"/>
      <c r="S1550" s="1"/>
      <c r="T1550" s="1"/>
      <c r="U1550" s="1"/>
      <c r="V1550" s="13">
        <f>COUNTIF(L1550:$M$1659,L1550)</f>
        <v>2</v>
      </c>
      <c r="W1550" s="1"/>
      <c r="X1550" s="1"/>
      <c r="Y1550" s="1"/>
      <c r="Z1550" s="1"/>
      <c r="AA1550" s="1"/>
      <c r="AB1550" s="1"/>
      <c r="AC1550" s="1"/>
      <c r="AD1550" s="1"/>
      <c r="AE1550" s="1"/>
      <c r="AF1550" s="1"/>
      <c r="AG1550" s="7" t="str">
        <f>TRIM(LEFT(L1550,FIND("-",L1550)-1))</f>
        <v>Kdang</v>
      </c>
      <c r="AH1550" s="7" t="str">
        <f>TRIM(RIGHT(L1550, LEN(L1550) - FIND("-", L1550)))</f>
        <v>Bờ Ngoong</v>
      </c>
      <c r="AI1550" s="1"/>
      <c r="AJ1550" s="1"/>
      <c r="AK1550" s="1"/>
      <c r="AL1550" s="1" t="e">
        <f>VLOOKUP(L1550,'[1]Tuyến cáp H04'!$B:$E,3,0)/1000</f>
        <v>#N/A</v>
      </c>
      <c r="AM1550" s="1" t="e">
        <f>VLOOKUP(L1550,'[1]Tuyến cáp H04'!$B:$E,4,0)</f>
        <v>#N/A</v>
      </c>
      <c r="AN1550" s="1" t="str">
        <f t="shared" si="120"/>
        <v>Kdang-Bờ Ngoong</v>
      </c>
      <c r="AO1550" s="1"/>
      <c r="AP1550" s="1" t="e">
        <f>VLOOKUP(AN1550,'[1]Tuyến cáp H04'!$B:$E,3,0)/1000</f>
        <v>#N/A</v>
      </c>
      <c r="AQ1550" s="1" t="e">
        <f>VLOOKUP(AN1550,'[1]Tuyến cáp H04'!$B:$E,4,0)</f>
        <v>#N/A</v>
      </c>
    </row>
    <row r="1551" spans="12:43" ht="15.75" x14ac:dyDescent="0.25">
      <c r="L1551" s="6" t="s">
        <v>15615</v>
      </c>
      <c r="M1551" s="6" t="s">
        <v>15615</v>
      </c>
      <c r="N1551" s="6"/>
      <c r="O1551" s="1"/>
      <c r="P1551" s="1"/>
      <c r="Q1551" s="1"/>
      <c r="R1551" s="1"/>
      <c r="S1551" s="1"/>
      <c r="T1551" s="1"/>
      <c r="U1551" s="1"/>
      <c r="V1551" s="13">
        <f>COUNTIF(L1551:$M$1659,L1551)</f>
        <v>8</v>
      </c>
      <c r="W1551" s="1"/>
      <c r="X1551" s="1"/>
      <c r="Y1551" s="1"/>
      <c r="Z1551" s="1"/>
      <c r="AA1551" s="1"/>
      <c r="AB1551" s="1"/>
      <c r="AC1551" s="1"/>
      <c r="AD1551" s="1"/>
      <c r="AE1551" s="1"/>
      <c r="AF1551" s="1"/>
      <c r="AG1551" s="7" t="str">
        <f>TRIM(LEFT(L1551,FIND("-",L1551)-1))</f>
        <v>TT2 Gia Lai</v>
      </c>
      <c r="AH1551" s="7" t="str">
        <f>TRIM(RIGHT(L1551, LEN(L1551) - FIND("-", L1551)))</f>
        <v>TT1 Gia Lai (ring 2)</v>
      </c>
      <c r="AI1551" s="1"/>
      <c r="AJ1551" s="1"/>
      <c r="AK1551" s="1"/>
      <c r="AL1551" s="1" t="e">
        <f>VLOOKUP(L1551,'[1]Tuyến cáp H04'!$B:$E,3,0)/1000</f>
        <v>#N/A</v>
      </c>
      <c r="AM1551" s="1" t="e">
        <f>VLOOKUP(L1551,'[1]Tuyến cáp H04'!$B:$E,4,0)</f>
        <v>#N/A</v>
      </c>
      <c r="AN1551" s="1" t="str">
        <f t="shared" si="120"/>
        <v>TT2 Gia Lai-TT1 Gia Lai (ring 2)</v>
      </c>
      <c r="AO1551" s="1"/>
      <c r="AP1551" s="1" t="e">
        <f>VLOOKUP(AN1551,'[1]Tuyến cáp H04'!$B:$E,3,0)/1000</f>
        <v>#N/A</v>
      </c>
      <c r="AQ1551" s="1" t="e">
        <f>VLOOKUP(AN1551,'[1]Tuyến cáp H04'!$B:$E,4,0)</f>
        <v>#N/A</v>
      </c>
    </row>
    <row r="1552" spans="12:43" ht="15.75" x14ac:dyDescent="0.25">
      <c r="L1552" s="6" t="s">
        <v>15615</v>
      </c>
      <c r="M1552" s="6" t="s">
        <v>15615</v>
      </c>
      <c r="N1552" s="6"/>
      <c r="O1552" s="1"/>
      <c r="P1552" s="1"/>
      <c r="Q1552" s="1"/>
      <c r="R1552" s="1"/>
      <c r="S1552" s="1"/>
      <c r="T1552" s="1"/>
      <c r="U1552" s="1"/>
      <c r="V1552" s="13">
        <f>COUNTIF(L1552:$M$1659,L1552)</f>
        <v>6</v>
      </c>
      <c r="W1552" s="1"/>
      <c r="X1552" s="1"/>
      <c r="Y1552" s="1"/>
      <c r="Z1552" s="1"/>
      <c r="AA1552" s="1"/>
      <c r="AB1552" s="1"/>
      <c r="AC1552" s="1"/>
      <c r="AD1552" s="1"/>
      <c r="AE1552" s="1"/>
      <c r="AF1552" s="1"/>
      <c r="AG1552" s="7" t="str">
        <f>TRIM(LEFT(L1552,FIND("-",L1552)-1))</f>
        <v>TT2 Gia Lai</v>
      </c>
      <c r="AH1552" s="7" t="str">
        <f>TRIM(RIGHT(L1552, LEN(L1552) - FIND("-", L1552)))</f>
        <v>TT1 Gia Lai (ring 2)</v>
      </c>
      <c r="AI1552" s="1"/>
      <c r="AJ1552" s="1"/>
      <c r="AK1552" s="1"/>
      <c r="AL1552" s="1" t="e">
        <f>VLOOKUP(L1552,'[1]Tuyến cáp H04'!$B:$E,3,0)/1000</f>
        <v>#N/A</v>
      </c>
      <c r="AM1552" s="1" t="e">
        <f>VLOOKUP(L1552,'[1]Tuyến cáp H04'!$B:$E,4,0)</f>
        <v>#N/A</v>
      </c>
      <c r="AN1552" s="1" t="str">
        <f t="shared" si="120"/>
        <v>TT2 Gia Lai-TT1 Gia Lai (ring 2)</v>
      </c>
      <c r="AO1552" s="1"/>
      <c r="AP1552" s="1" t="e">
        <f>VLOOKUP(AN1552,'[1]Tuyến cáp H04'!$B:$E,3,0)/1000</f>
        <v>#N/A</v>
      </c>
      <c r="AQ1552" s="1" t="e">
        <f>VLOOKUP(AN1552,'[1]Tuyến cáp H04'!$B:$E,4,0)</f>
        <v>#N/A</v>
      </c>
    </row>
    <row r="1553" spans="12:43" ht="15.75" x14ac:dyDescent="0.25">
      <c r="L1553" s="6" t="s">
        <v>15615</v>
      </c>
      <c r="M1553" s="6" t="s">
        <v>15615</v>
      </c>
      <c r="N1553" s="6"/>
      <c r="O1553" s="1"/>
      <c r="P1553" s="1"/>
      <c r="Q1553" s="1"/>
      <c r="R1553" s="1"/>
      <c r="S1553" s="1"/>
      <c r="T1553" s="1"/>
      <c r="U1553" s="1"/>
      <c r="V1553" s="13">
        <f>COUNTIF(L1553:$M$1659,L1553)</f>
        <v>4</v>
      </c>
      <c r="W1553" s="1"/>
      <c r="X1553" s="1"/>
      <c r="Y1553" s="1"/>
      <c r="Z1553" s="1"/>
      <c r="AA1553" s="1"/>
      <c r="AB1553" s="1"/>
      <c r="AC1553" s="1"/>
      <c r="AD1553" s="1"/>
      <c r="AE1553" s="1"/>
      <c r="AF1553" s="1"/>
      <c r="AG1553" s="7" t="str">
        <f>TRIM(LEFT(L1553,FIND("-",L1553)-1))</f>
        <v>TT2 Gia Lai</v>
      </c>
      <c r="AH1553" s="7" t="str">
        <f>TRIM(RIGHT(L1553, LEN(L1553) - FIND("-", L1553)))</f>
        <v>TT1 Gia Lai (ring 2)</v>
      </c>
      <c r="AI1553" s="1"/>
      <c r="AJ1553" s="1"/>
      <c r="AK1553" s="1"/>
      <c r="AL1553" s="1" t="e">
        <f>VLOOKUP(L1553,'[1]Tuyến cáp H04'!$B:$E,3,0)/1000</f>
        <v>#N/A</v>
      </c>
      <c r="AM1553" s="1" t="e">
        <f>VLOOKUP(L1553,'[1]Tuyến cáp H04'!$B:$E,4,0)</f>
        <v>#N/A</v>
      </c>
      <c r="AN1553" s="1" t="str">
        <f t="shared" si="120"/>
        <v>TT2 Gia Lai-TT1 Gia Lai (ring 2)</v>
      </c>
      <c r="AO1553" s="1"/>
      <c r="AP1553" s="1" t="e">
        <f>VLOOKUP(AN1553,'[1]Tuyến cáp H04'!$B:$E,3,0)/1000</f>
        <v>#N/A</v>
      </c>
      <c r="AQ1553" s="1" t="e">
        <f>VLOOKUP(AN1553,'[1]Tuyến cáp H04'!$B:$E,4,0)</f>
        <v>#N/A</v>
      </c>
    </row>
    <row r="1554" spans="12:43" ht="15.75" x14ac:dyDescent="0.25">
      <c r="L1554" s="6" t="s">
        <v>15616</v>
      </c>
      <c r="M1554" s="6" t="s">
        <v>15616</v>
      </c>
      <c r="N1554" s="6"/>
      <c r="O1554" s="1"/>
      <c r="P1554" s="1"/>
      <c r="Q1554" s="1"/>
      <c r="R1554" s="1"/>
      <c r="S1554" s="1"/>
      <c r="T1554" s="1"/>
      <c r="U1554" s="1"/>
      <c r="V1554" s="13">
        <f>COUNTIF(L1554:$M$1659,L1554)</f>
        <v>4</v>
      </c>
      <c r="W1554" s="1"/>
      <c r="X1554" s="1"/>
      <c r="Y1554" s="1"/>
      <c r="Z1554" s="1"/>
      <c r="AA1554" s="1"/>
      <c r="AB1554" s="1"/>
      <c r="AC1554" s="1"/>
      <c r="AD1554" s="1"/>
      <c r="AE1554" s="1"/>
      <c r="AF1554" s="1"/>
      <c r="AG1554" s="7" t="str">
        <f>TRIM(LEFT(L1554,FIND("-",L1554)-1))</f>
        <v>TTCMKV Mang Yang</v>
      </c>
      <c r="AH1554" s="7" t="str">
        <f>TRIM(RIGHT(L1554, LEN(L1554) - FIND("-", L1554)))</f>
        <v>Lơ Pang</v>
      </c>
      <c r="AI1554" s="1"/>
      <c r="AJ1554" s="1"/>
      <c r="AK1554" s="1"/>
      <c r="AL1554" s="1">
        <f>VLOOKUP(L1554,'[1]Tuyến cáp H04'!$B:$E,3,0)/1000</f>
        <v>15.926</v>
      </c>
      <c r="AM1554" s="1" t="str">
        <f>VLOOKUP(L1554,'[1]Tuyến cáp H04'!$B:$E,4,0)</f>
        <v>Mạng cấp 4</v>
      </c>
      <c r="AN1554" s="1" t="str">
        <f t="shared" si="120"/>
        <v>TTCMKV Mang Yang-Lơ Pang</v>
      </c>
      <c r="AO1554" s="1"/>
      <c r="AP1554" s="1" t="e">
        <f>VLOOKUP(AN1554,'[1]Tuyến cáp H04'!$B:$E,3,0)/1000</f>
        <v>#N/A</v>
      </c>
      <c r="AQ1554" s="1" t="e">
        <f>VLOOKUP(AN1554,'[1]Tuyến cáp H04'!$B:$E,4,0)</f>
        <v>#N/A</v>
      </c>
    </row>
    <row r="1555" spans="12:43" ht="15.75" x14ac:dyDescent="0.25">
      <c r="L1555" s="6" t="s">
        <v>15616</v>
      </c>
      <c r="M1555" s="6" t="s">
        <v>15616</v>
      </c>
      <c r="N1555" s="6"/>
      <c r="O1555" s="1"/>
      <c r="P1555" s="1"/>
      <c r="Q1555" s="1"/>
      <c r="R1555" s="1"/>
      <c r="S1555" s="1"/>
      <c r="T1555" s="1"/>
      <c r="U1555" s="1"/>
      <c r="V1555" s="13">
        <f>COUNTIF(L1555:$M$1659,L1555)</f>
        <v>2</v>
      </c>
      <c r="W1555" s="1"/>
      <c r="X1555" s="1"/>
      <c r="Y1555" s="1"/>
      <c r="Z1555" s="1"/>
      <c r="AA1555" s="1"/>
      <c r="AB1555" s="1"/>
      <c r="AC1555" s="1"/>
      <c r="AD1555" s="1"/>
      <c r="AE1555" s="1"/>
      <c r="AF1555" s="1"/>
      <c r="AG1555" s="7" t="str">
        <f>TRIM(LEFT(L1555,FIND("-",L1555)-1))</f>
        <v>TTCMKV Mang Yang</v>
      </c>
      <c r="AH1555" s="7" t="str">
        <f>TRIM(RIGHT(L1555, LEN(L1555) - FIND("-", L1555)))</f>
        <v>Lơ Pang</v>
      </c>
      <c r="AI1555" s="1"/>
      <c r="AJ1555" s="1"/>
      <c r="AK1555" s="1"/>
      <c r="AL1555" s="1">
        <f>VLOOKUP(L1555,'[1]Tuyến cáp H04'!$B:$E,3,0)/1000</f>
        <v>15.926</v>
      </c>
      <c r="AM1555" s="1" t="str">
        <f>VLOOKUP(L1555,'[1]Tuyến cáp H04'!$B:$E,4,0)</f>
        <v>Mạng cấp 4</v>
      </c>
      <c r="AN1555" s="1" t="str">
        <f t="shared" si="120"/>
        <v>TTCMKV Mang Yang-Lơ Pang</v>
      </c>
      <c r="AO1555" s="1"/>
      <c r="AP1555" s="1" t="e">
        <f>VLOOKUP(AN1555,'[1]Tuyến cáp H04'!$B:$E,3,0)/1000</f>
        <v>#N/A</v>
      </c>
      <c r="AQ1555" s="1" t="e">
        <f>VLOOKUP(AN1555,'[1]Tuyến cáp H04'!$B:$E,4,0)</f>
        <v>#N/A</v>
      </c>
    </row>
    <row r="1556" spans="12:43" ht="15.75" x14ac:dyDescent="0.25">
      <c r="L1556" s="6" t="s">
        <v>15617</v>
      </c>
      <c r="M1556" s="6" t="s">
        <v>15617</v>
      </c>
      <c r="N1556" s="6"/>
      <c r="O1556" s="1"/>
      <c r="P1556" s="1"/>
      <c r="Q1556" s="1"/>
      <c r="R1556" s="1"/>
      <c r="S1556" s="1"/>
      <c r="T1556" s="1"/>
      <c r="U1556" s="1"/>
      <c r="V1556" s="13">
        <f>COUNTIF(L1556:$M$1659,L1556)</f>
        <v>6</v>
      </c>
      <c r="W1556" s="1"/>
      <c r="X1556" s="1"/>
      <c r="Y1556" s="1"/>
      <c r="Z1556" s="1"/>
      <c r="AA1556" s="1"/>
      <c r="AB1556" s="1"/>
      <c r="AC1556" s="1"/>
      <c r="AD1556" s="1"/>
      <c r="AE1556" s="1"/>
      <c r="AF1556" s="1"/>
      <c r="AG1556" s="7" t="str">
        <f>TRIM(LEFT(L1556,FIND("-",L1556)-1))</f>
        <v>Ia Ly</v>
      </c>
      <c r="AH1556" s="7" t="str">
        <f>TRIM(RIGHT(L1556, LEN(L1556) - FIND("-", L1556)))</f>
        <v>Ia Khươi</v>
      </c>
      <c r="AI1556" s="1"/>
      <c r="AJ1556" s="1"/>
      <c r="AK1556" s="1"/>
      <c r="AL1556" s="1" t="e">
        <f>VLOOKUP(L1556,'[1]Tuyến cáp H04'!$B:$E,3,0)/1000</f>
        <v>#N/A</v>
      </c>
      <c r="AM1556" s="1" t="e">
        <f>VLOOKUP(L1556,'[1]Tuyến cáp H04'!$B:$E,4,0)</f>
        <v>#N/A</v>
      </c>
      <c r="AN1556" s="1" t="str">
        <f t="shared" si="120"/>
        <v>Ia Ly-Ia Khươi</v>
      </c>
      <c r="AO1556" s="1"/>
      <c r="AP1556" s="1" t="e">
        <f>VLOOKUP(AN1556,'[1]Tuyến cáp H04'!$B:$E,3,0)/1000</f>
        <v>#N/A</v>
      </c>
      <c r="AQ1556" s="1" t="e">
        <f>VLOOKUP(AN1556,'[1]Tuyến cáp H04'!$B:$E,4,0)</f>
        <v>#N/A</v>
      </c>
    </row>
    <row r="1557" spans="12:43" ht="15.75" x14ac:dyDescent="0.25">
      <c r="L1557" s="6" t="s">
        <v>15618</v>
      </c>
      <c r="M1557" s="6" t="s">
        <v>15618</v>
      </c>
      <c r="N1557" s="6"/>
      <c r="O1557" s="1"/>
      <c r="P1557" s="1"/>
      <c r="Q1557" s="1"/>
      <c r="R1557" s="1"/>
      <c r="S1557" s="1"/>
      <c r="T1557" s="1"/>
      <c r="U1557" s="1"/>
      <c r="V1557" s="13">
        <f>COUNTIF(L1557:$M$1659,L1557)</f>
        <v>2</v>
      </c>
      <c r="W1557" s="1"/>
      <c r="X1557" s="1"/>
      <c r="Y1557" s="1"/>
      <c r="Z1557" s="1"/>
      <c r="AA1557" s="1"/>
      <c r="AB1557" s="1"/>
      <c r="AC1557" s="1"/>
      <c r="AD1557" s="1"/>
      <c r="AE1557" s="1"/>
      <c r="AF1557" s="1"/>
      <c r="AG1557" s="7" t="str">
        <f>TRIM(LEFT(L1557,FIND("-",L1557)-1))</f>
        <v>TT2 Gia Lai</v>
      </c>
      <c r="AH1557" s="7" t="str">
        <f>TRIM(RIGHT(L1557, LEN(L1557) - FIND("-", L1557)))</f>
        <v>Chư Pah</v>
      </c>
      <c r="AI1557" s="1"/>
      <c r="AJ1557" s="1"/>
      <c r="AK1557" s="1"/>
      <c r="AL1557" s="1" t="e">
        <f>VLOOKUP(L1557,'[1]Tuyến cáp H04'!$B:$E,3,0)/1000</f>
        <v>#N/A</v>
      </c>
      <c r="AM1557" s="1" t="e">
        <f>VLOOKUP(L1557,'[1]Tuyến cáp H04'!$B:$E,4,0)</f>
        <v>#N/A</v>
      </c>
      <c r="AN1557" s="1" t="str">
        <f t="shared" si="120"/>
        <v>TT2 Gia Lai-Chư Pah</v>
      </c>
      <c r="AO1557" s="1"/>
      <c r="AP1557" s="1" t="e">
        <f>VLOOKUP(AN1557,'[1]Tuyến cáp H04'!$B:$E,3,0)/1000</f>
        <v>#N/A</v>
      </c>
      <c r="AQ1557" s="1" t="e">
        <f>VLOOKUP(AN1557,'[1]Tuyến cáp H04'!$B:$E,4,0)</f>
        <v>#N/A</v>
      </c>
    </row>
    <row r="1558" spans="12:43" ht="15.75" x14ac:dyDescent="0.25">
      <c r="L1558" s="6" t="s">
        <v>15602</v>
      </c>
      <c r="M1558" s="6" t="s">
        <v>15602</v>
      </c>
      <c r="N1558" s="6"/>
      <c r="O1558" s="1"/>
      <c r="P1558" s="1"/>
      <c r="Q1558" s="1"/>
      <c r="R1558" s="1"/>
      <c r="S1558" s="1"/>
      <c r="T1558" s="1"/>
      <c r="U1558" s="1"/>
      <c r="V1558" s="13">
        <f>COUNTIF(L1558:$M$1659,L1558)</f>
        <v>12</v>
      </c>
      <c r="W1558" s="1"/>
      <c r="X1558" s="1"/>
      <c r="Y1558" s="1"/>
      <c r="Z1558" s="1"/>
      <c r="AA1558" s="1"/>
      <c r="AB1558" s="1"/>
      <c r="AC1558" s="1"/>
      <c r="AD1558" s="1"/>
      <c r="AE1558" s="1"/>
      <c r="AF1558" s="1"/>
      <c r="AG1558" s="7" t="str">
        <f>TRIM(LEFT(L1558,FIND("-",L1558)-1))</f>
        <v>TT1 Gia Lai</v>
      </c>
      <c r="AH1558" s="7" t="str">
        <f>TRIM(RIGHT(L1558, LEN(L1558) - FIND("-", L1558)))</f>
        <v>TT2 Gia Lai (ring 1)</v>
      </c>
      <c r="AI1558" s="1"/>
      <c r="AJ1558" s="1"/>
      <c r="AK1558" s="1"/>
      <c r="AL1558" s="1" t="e">
        <f>VLOOKUP(L1558,'[1]Tuyến cáp H04'!$B:$E,3,0)/1000</f>
        <v>#N/A</v>
      </c>
      <c r="AM1558" s="1" t="e">
        <f>VLOOKUP(L1558,'[1]Tuyến cáp H04'!$B:$E,4,0)</f>
        <v>#N/A</v>
      </c>
      <c r="AN1558" s="1" t="str">
        <f t="shared" si="120"/>
        <v>TT1 Gia Lai-TT2 Gia Lai (ring 1)</v>
      </c>
      <c r="AO1558" s="1"/>
      <c r="AP1558" s="1" t="e">
        <f>VLOOKUP(AN1558,'[1]Tuyến cáp H04'!$B:$E,3,0)/1000</f>
        <v>#N/A</v>
      </c>
      <c r="AQ1558" s="1" t="e">
        <f>VLOOKUP(AN1558,'[1]Tuyến cáp H04'!$B:$E,4,0)</f>
        <v>#N/A</v>
      </c>
    </row>
    <row r="1559" spans="12:43" ht="15.75" x14ac:dyDescent="0.25">
      <c r="L1559" s="6" t="s">
        <v>15617</v>
      </c>
      <c r="M1559" s="6" t="s">
        <v>15617</v>
      </c>
      <c r="N1559" s="6"/>
      <c r="O1559" s="1"/>
      <c r="P1559" s="1"/>
      <c r="Q1559" s="1"/>
      <c r="R1559" s="1"/>
      <c r="S1559" s="1"/>
      <c r="T1559" s="1"/>
      <c r="U1559" s="1"/>
      <c r="V1559" s="13">
        <f>COUNTIF(L1559:$M$1659,L1559)</f>
        <v>4</v>
      </c>
      <c r="W1559" s="1"/>
      <c r="X1559" s="1"/>
      <c r="Y1559" s="1"/>
      <c r="Z1559" s="1"/>
      <c r="AA1559" s="1"/>
      <c r="AB1559" s="1"/>
      <c r="AC1559" s="1"/>
      <c r="AD1559" s="1"/>
      <c r="AE1559" s="1"/>
      <c r="AF1559" s="1"/>
      <c r="AG1559" s="7" t="str">
        <f>TRIM(LEFT(L1559,FIND("-",L1559)-1))</f>
        <v>Ia Ly</v>
      </c>
      <c r="AH1559" s="7" t="str">
        <f>TRIM(RIGHT(L1559, LEN(L1559) - FIND("-", L1559)))</f>
        <v>Ia Khươi</v>
      </c>
      <c r="AI1559" s="1"/>
      <c r="AJ1559" s="1"/>
      <c r="AK1559" s="1"/>
      <c r="AL1559" s="1" t="e">
        <f>VLOOKUP(L1559,'[1]Tuyến cáp H04'!$B:$E,3,0)/1000</f>
        <v>#N/A</v>
      </c>
      <c r="AM1559" s="1" t="e">
        <f>VLOOKUP(L1559,'[1]Tuyến cáp H04'!$B:$E,4,0)</f>
        <v>#N/A</v>
      </c>
      <c r="AN1559" s="1" t="str">
        <f t="shared" si="120"/>
        <v>Ia Ly-Ia Khươi</v>
      </c>
      <c r="AO1559" s="1"/>
      <c r="AP1559" s="1" t="e">
        <f>VLOOKUP(AN1559,'[1]Tuyến cáp H04'!$B:$E,3,0)/1000</f>
        <v>#N/A</v>
      </c>
      <c r="AQ1559" s="1" t="e">
        <f>VLOOKUP(AN1559,'[1]Tuyến cáp H04'!$B:$E,4,0)</f>
        <v>#N/A</v>
      </c>
    </row>
    <row r="1560" spans="12:43" ht="15.75" x14ac:dyDescent="0.25">
      <c r="L1560" s="6" t="s">
        <v>15619</v>
      </c>
      <c r="M1560" s="6" t="s">
        <v>15619</v>
      </c>
      <c r="N1560" s="6"/>
      <c r="O1560" s="1"/>
      <c r="P1560" s="1"/>
      <c r="Q1560" s="1"/>
      <c r="R1560" s="1"/>
      <c r="S1560" s="1"/>
      <c r="T1560" s="1"/>
      <c r="U1560" s="1"/>
      <c r="V1560" s="13">
        <f>COUNTIF(L1560:$M$1659,L1560)</f>
        <v>2</v>
      </c>
      <c r="W1560" s="1"/>
      <c r="X1560" s="1"/>
      <c r="Y1560" s="1"/>
      <c r="Z1560" s="1"/>
      <c r="AA1560" s="1"/>
      <c r="AB1560" s="1"/>
      <c r="AC1560" s="1"/>
      <c r="AD1560" s="1"/>
      <c r="AE1560" s="1"/>
      <c r="AF1560" s="1"/>
      <c r="AG1560" s="7" t="str">
        <f>TRIM(LEFT(L1560,FIND("-",L1560)-1))</f>
        <v>Ia Phí</v>
      </c>
      <c r="AH1560" s="7" t="str">
        <f>TRIM(RIGHT(L1560, LEN(L1560) - FIND("-", L1560)))</f>
        <v>Ia Ly</v>
      </c>
      <c r="AI1560" s="1"/>
      <c r="AJ1560" s="1"/>
      <c r="AK1560" s="1"/>
      <c r="AL1560" s="1" t="e">
        <f>VLOOKUP(L1560,'[1]Tuyến cáp H04'!$B:$E,3,0)/1000</f>
        <v>#N/A</v>
      </c>
      <c r="AM1560" s="1" t="e">
        <f>VLOOKUP(L1560,'[1]Tuyến cáp H04'!$B:$E,4,0)</f>
        <v>#N/A</v>
      </c>
      <c r="AN1560" s="1" t="str">
        <f t="shared" si="120"/>
        <v>Ia Phí-Ia Ly</v>
      </c>
      <c r="AO1560" s="1"/>
      <c r="AP1560" s="1" t="e">
        <f>VLOOKUP(AN1560,'[1]Tuyến cáp H04'!$B:$E,3,0)/1000</f>
        <v>#N/A</v>
      </c>
      <c r="AQ1560" s="1" t="e">
        <f>VLOOKUP(AN1560,'[1]Tuyến cáp H04'!$B:$E,4,0)</f>
        <v>#N/A</v>
      </c>
    </row>
    <row r="1561" spans="12:43" ht="15.75" x14ac:dyDescent="0.25">
      <c r="L1561" s="6" t="s">
        <v>15604</v>
      </c>
      <c r="M1561" s="6" t="s">
        <v>15604</v>
      </c>
      <c r="N1561" s="6"/>
      <c r="O1561" s="1"/>
      <c r="P1561" s="1"/>
      <c r="Q1561" s="1"/>
      <c r="R1561" s="1"/>
      <c r="S1561" s="1"/>
      <c r="T1561" s="1"/>
      <c r="U1561" s="1"/>
      <c r="V1561" s="13">
        <f>COUNTIF(L1561:$M$1659,L1561)</f>
        <v>2</v>
      </c>
      <c r="W1561" s="1"/>
      <c r="X1561" s="1"/>
      <c r="Y1561" s="1"/>
      <c r="Z1561" s="1"/>
      <c r="AA1561" s="1"/>
      <c r="AB1561" s="1"/>
      <c r="AC1561" s="1"/>
      <c r="AD1561" s="1"/>
      <c r="AE1561" s="1"/>
      <c r="AF1561" s="1"/>
      <c r="AG1561" s="7" t="str">
        <f>TRIM(LEFT(L1561,FIND("-",L1561)-1))</f>
        <v>Thống Nhất</v>
      </c>
      <c r="AH1561" s="7" t="str">
        <f>TRIM(RIGHT(L1561, LEN(L1561) - FIND("-", L1561)))</f>
        <v>Ia Hrung</v>
      </c>
      <c r="AI1561" s="1"/>
      <c r="AJ1561" s="1"/>
      <c r="AK1561" s="1"/>
      <c r="AL1561" s="1" t="e">
        <f>VLOOKUP(L1561,'[1]Tuyến cáp H04'!$B:$E,3,0)/1000</f>
        <v>#N/A</v>
      </c>
      <c r="AM1561" s="1" t="e">
        <f>VLOOKUP(L1561,'[1]Tuyến cáp H04'!$B:$E,4,0)</f>
        <v>#N/A</v>
      </c>
      <c r="AN1561" s="1" t="str">
        <f t="shared" si="120"/>
        <v>Thống Nhất-Ia Hrung</v>
      </c>
      <c r="AO1561" s="1"/>
      <c r="AP1561" s="1" t="e">
        <f>VLOOKUP(AN1561,'[1]Tuyến cáp H04'!$B:$E,3,0)/1000</f>
        <v>#N/A</v>
      </c>
      <c r="AQ1561" s="1" t="e">
        <f>VLOOKUP(AN1561,'[1]Tuyến cáp H04'!$B:$E,4,0)</f>
        <v>#N/A</v>
      </c>
    </row>
    <row r="1562" spans="12:43" ht="15.75" x14ac:dyDescent="0.25">
      <c r="L1562" s="6" t="s">
        <v>15617</v>
      </c>
      <c r="M1562" s="6" t="s">
        <v>15617</v>
      </c>
      <c r="N1562" s="6"/>
      <c r="O1562" s="1"/>
      <c r="P1562" s="1"/>
      <c r="Q1562" s="1"/>
      <c r="R1562" s="1"/>
      <c r="S1562" s="1"/>
      <c r="T1562" s="1"/>
      <c r="U1562" s="1"/>
      <c r="V1562" s="13">
        <f>COUNTIF(L1562:$M$1659,L1562)</f>
        <v>2</v>
      </c>
      <c r="W1562" s="1"/>
      <c r="X1562" s="1"/>
      <c r="Y1562" s="1"/>
      <c r="Z1562" s="1"/>
      <c r="AA1562" s="1"/>
      <c r="AB1562" s="1"/>
      <c r="AC1562" s="1"/>
      <c r="AD1562" s="1"/>
      <c r="AE1562" s="1"/>
      <c r="AF1562" s="1"/>
      <c r="AG1562" s="7" t="str">
        <f>TRIM(LEFT(L1562,FIND("-",L1562)-1))</f>
        <v>Ia Ly</v>
      </c>
      <c r="AH1562" s="7" t="str">
        <f>TRIM(RIGHT(L1562, LEN(L1562) - FIND("-", L1562)))</f>
        <v>Ia Khươi</v>
      </c>
      <c r="AI1562" s="1"/>
      <c r="AJ1562" s="1"/>
      <c r="AK1562" s="1"/>
      <c r="AL1562" s="1" t="e">
        <f>VLOOKUP(L1562,'[1]Tuyến cáp H04'!$B:$E,3,0)/1000</f>
        <v>#N/A</v>
      </c>
      <c r="AM1562" s="1" t="e">
        <f>VLOOKUP(L1562,'[1]Tuyến cáp H04'!$B:$E,4,0)</f>
        <v>#N/A</v>
      </c>
      <c r="AN1562" s="1" t="str">
        <f t="shared" si="120"/>
        <v>Ia Ly-Ia Khươi</v>
      </c>
      <c r="AO1562" s="1"/>
      <c r="AP1562" s="1" t="e">
        <f>VLOOKUP(AN1562,'[1]Tuyến cáp H04'!$B:$E,3,0)/1000</f>
        <v>#N/A</v>
      </c>
      <c r="AQ1562" s="1" t="e">
        <f>VLOOKUP(AN1562,'[1]Tuyến cáp H04'!$B:$E,4,0)</f>
        <v>#N/A</v>
      </c>
    </row>
    <row r="1563" spans="12:43" ht="15.75" x14ac:dyDescent="0.25">
      <c r="L1563" s="6" t="s">
        <v>15620</v>
      </c>
      <c r="M1563" s="6" t="s">
        <v>15620</v>
      </c>
      <c r="N1563" s="6"/>
      <c r="O1563" s="1"/>
      <c r="P1563" s="1"/>
      <c r="Q1563" s="1"/>
      <c r="R1563" s="1"/>
      <c r="S1563" s="1"/>
      <c r="T1563" s="1"/>
      <c r="U1563" s="1"/>
      <c r="V1563" s="13">
        <f>COUNTIF(L1563:$M$1659,L1563)</f>
        <v>4</v>
      </c>
      <c r="W1563" s="1"/>
      <c r="X1563" s="1"/>
      <c r="Y1563" s="1"/>
      <c r="Z1563" s="1"/>
      <c r="AA1563" s="1"/>
      <c r="AB1563" s="1"/>
      <c r="AC1563" s="1"/>
      <c r="AD1563" s="1"/>
      <c r="AE1563" s="1"/>
      <c r="AF1563" s="1"/>
      <c r="AG1563" s="7" t="str">
        <f>TRIM(LEFT(L1563,FIND("-",L1563)-1))</f>
        <v>Ia Khơi</v>
      </c>
      <c r="AH1563" s="7" t="str">
        <f>TRIM(RIGHT(L1563, LEN(L1563) - FIND("-", L1563)))</f>
        <v>Đăk Sơ Mei</v>
      </c>
      <c r="AI1563" s="1"/>
      <c r="AJ1563" s="1"/>
      <c r="AK1563" s="1"/>
      <c r="AL1563" s="1" t="e">
        <f>VLOOKUP(L1563,'[1]Tuyến cáp H04'!$B:$E,3,0)/1000</f>
        <v>#N/A</v>
      </c>
      <c r="AM1563" s="1" t="e">
        <f>VLOOKUP(L1563,'[1]Tuyến cáp H04'!$B:$E,4,0)</f>
        <v>#N/A</v>
      </c>
      <c r="AN1563" s="1" t="str">
        <f t="shared" si="120"/>
        <v>Ia Khơi-Đăk Sơ Mei</v>
      </c>
      <c r="AO1563" s="1"/>
      <c r="AP1563" s="1" t="e">
        <f>VLOOKUP(AN1563,'[1]Tuyến cáp H04'!$B:$E,3,0)/1000</f>
        <v>#N/A</v>
      </c>
      <c r="AQ1563" s="1" t="e">
        <f>VLOOKUP(AN1563,'[1]Tuyến cáp H04'!$B:$E,4,0)</f>
        <v>#N/A</v>
      </c>
    </row>
    <row r="1564" spans="12:43" ht="15.75" x14ac:dyDescent="0.25">
      <c r="L1564" s="6" t="s">
        <v>15620</v>
      </c>
      <c r="M1564" s="6" t="s">
        <v>15620</v>
      </c>
      <c r="N1564" s="6"/>
      <c r="O1564" s="1"/>
      <c r="P1564" s="1"/>
      <c r="Q1564" s="1"/>
      <c r="R1564" s="1"/>
      <c r="S1564" s="1"/>
      <c r="T1564" s="1"/>
      <c r="U1564" s="1"/>
      <c r="V1564" s="13">
        <f>COUNTIF(L1564:$M$1659,L1564)</f>
        <v>2</v>
      </c>
      <c r="W1564" s="1"/>
      <c r="X1564" s="1"/>
      <c r="Y1564" s="1"/>
      <c r="Z1564" s="1"/>
      <c r="AA1564" s="1"/>
      <c r="AB1564" s="1"/>
      <c r="AC1564" s="1"/>
      <c r="AD1564" s="1"/>
      <c r="AE1564" s="1"/>
      <c r="AF1564" s="1"/>
      <c r="AG1564" s="7" t="str">
        <f>TRIM(LEFT(L1564,FIND("-",L1564)-1))</f>
        <v>Ia Khơi</v>
      </c>
      <c r="AH1564" s="7" t="str">
        <f>TRIM(RIGHT(L1564, LEN(L1564) - FIND("-", L1564)))</f>
        <v>Đăk Sơ Mei</v>
      </c>
      <c r="AI1564" s="1"/>
      <c r="AJ1564" s="1"/>
      <c r="AK1564" s="1"/>
      <c r="AL1564" s="1" t="e">
        <f>VLOOKUP(L1564,'[1]Tuyến cáp H04'!$B:$E,3,0)/1000</f>
        <v>#N/A</v>
      </c>
      <c r="AM1564" s="1" t="e">
        <f>VLOOKUP(L1564,'[1]Tuyến cáp H04'!$B:$E,4,0)</f>
        <v>#N/A</v>
      </c>
      <c r="AN1564" s="1" t="str">
        <f t="shared" si="120"/>
        <v>Ia Khơi-Đăk Sơ Mei</v>
      </c>
      <c r="AO1564" s="1"/>
      <c r="AP1564" s="1" t="e">
        <f>VLOOKUP(AN1564,'[1]Tuyến cáp H04'!$B:$E,3,0)/1000</f>
        <v>#N/A</v>
      </c>
      <c r="AQ1564" s="1" t="e">
        <f>VLOOKUP(AN1564,'[1]Tuyến cáp H04'!$B:$E,4,0)</f>
        <v>#N/A</v>
      </c>
    </row>
    <row r="1565" spans="12:43" ht="15.75" x14ac:dyDescent="0.25">
      <c r="L1565" s="6" t="s">
        <v>15602</v>
      </c>
      <c r="M1565" s="6" t="s">
        <v>15602</v>
      </c>
      <c r="N1565" s="6"/>
      <c r="O1565" s="1"/>
      <c r="P1565" s="1"/>
      <c r="Q1565" s="1"/>
      <c r="R1565" s="1"/>
      <c r="S1565" s="1"/>
      <c r="T1565" s="1"/>
      <c r="U1565" s="1"/>
      <c r="V1565" s="13">
        <f>COUNTIF(L1565:$M$1659,L1565)</f>
        <v>10</v>
      </c>
      <c r="W1565" s="1"/>
      <c r="X1565" s="1"/>
      <c r="Y1565" s="1"/>
      <c r="Z1565" s="1"/>
      <c r="AA1565" s="1"/>
      <c r="AB1565" s="1"/>
      <c r="AC1565" s="1"/>
      <c r="AD1565" s="1"/>
      <c r="AE1565" s="1"/>
      <c r="AF1565" s="1"/>
      <c r="AG1565" s="7" t="str">
        <f>TRIM(LEFT(L1565,FIND("-",L1565)-1))</f>
        <v>TT1 Gia Lai</v>
      </c>
      <c r="AH1565" s="7" t="str">
        <f>TRIM(RIGHT(L1565, LEN(L1565) - FIND("-", L1565)))</f>
        <v>TT2 Gia Lai (ring 1)</v>
      </c>
      <c r="AI1565" s="1"/>
      <c r="AJ1565" s="1"/>
      <c r="AK1565" s="1"/>
      <c r="AL1565" s="1" t="e">
        <f>VLOOKUP(L1565,'[1]Tuyến cáp H04'!$B:$E,3,0)/1000</f>
        <v>#N/A</v>
      </c>
      <c r="AM1565" s="1" t="e">
        <f>VLOOKUP(L1565,'[1]Tuyến cáp H04'!$B:$E,4,0)</f>
        <v>#N/A</v>
      </c>
      <c r="AN1565" s="1" t="str">
        <f t="shared" si="120"/>
        <v>TT1 Gia Lai-TT2 Gia Lai (ring 1)</v>
      </c>
      <c r="AO1565" s="1"/>
      <c r="AP1565" s="1" t="e">
        <f>VLOOKUP(AN1565,'[1]Tuyến cáp H04'!$B:$E,3,0)/1000</f>
        <v>#N/A</v>
      </c>
      <c r="AQ1565" s="1" t="e">
        <f>VLOOKUP(AN1565,'[1]Tuyến cáp H04'!$B:$E,4,0)</f>
        <v>#N/A</v>
      </c>
    </row>
    <row r="1566" spans="12:43" ht="15.75" x14ac:dyDescent="0.25">
      <c r="L1566" s="6" t="s">
        <v>15602</v>
      </c>
      <c r="M1566" s="6" t="s">
        <v>15602</v>
      </c>
      <c r="N1566" s="6"/>
      <c r="O1566" s="1"/>
      <c r="P1566" s="1"/>
      <c r="Q1566" s="1"/>
      <c r="R1566" s="1"/>
      <c r="S1566" s="1"/>
      <c r="T1566" s="1"/>
      <c r="U1566" s="1"/>
      <c r="V1566" s="13">
        <f>COUNTIF(L1566:$M$1659,L1566)</f>
        <v>8</v>
      </c>
      <c r="W1566" s="1"/>
      <c r="X1566" s="1"/>
      <c r="Y1566" s="1"/>
      <c r="Z1566" s="1"/>
      <c r="AA1566" s="1"/>
      <c r="AB1566" s="1"/>
      <c r="AC1566" s="1"/>
      <c r="AD1566" s="1"/>
      <c r="AE1566" s="1"/>
      <c r="AF1566" s="1"/>
      <c r="AG1566" s="7" t="str">
        <f>TRIM(LEFT(L1566,FIND("-",L1566)-1))</f>
        <v>TT1 Gia Lai</v>
      </c>
      <c r="AH1566" s="7" t="str">
        <f>TRIM(RIGHT(L1566, LEN(L1566) - FIND("-", L1566)))</f>
        <v>TT2 Gia Lai (ring 1)</v>
      </c>
      <c r="AI1566" s="1"/>
      <c r="AJ1566" s="1"/>
      <c r="AK1566" s="1"/>
      <c r="AL1566" s="1" t="e">
        <f>VLOOKUP(L1566,'[1]Tuyến cáp H04'!$B:$E,3,0)/1000</f>
        <v>#N/A</v>
      </c>
      <c r="AM1566" s="1" t="e">
        <f>VLOOKUP(L1566,'[1]Tuyến cáp H04'!$B:$E,4,0)</f>
        <v>#N/A</v>
      </c>
      <c r="AN1566" s="1" t="str">
        <f t="shared" si="120"/>
        <v>TT1 Gia Lai-TT2 Gia Lai (ring 1)</v>
      </c>
      <c r="AO1566" s="1"/>
      <c r="AP1566" s="1" t="e">
        <f>VLOOKUP(AN1566,'[1]Tuyến cáp H04'!$B:$E,3,0)/1000</f>
        <v>#N/A</v>
      </c>
      <c r="AQ1566" s="1" t="e">
        <f>VLOOKUP(AN1566,'[1]Tuyến cáp H04'!$B:$E,4,0)</f>
        <v>#N/A</v>
      </c>
    </row>
    <row r="1567" spans="12:43" ht="15.75" x14ac:dyDescent="0.25">
      <c r="L1567" s="6" t="s">
        <v>15621</v>
      </c>
      <c r="M1567" s="6" t="s">
        <v>15621</v>
      </c>
      <c r="N1567" s="6"/>
      <c r="O1567" s="1"/>
      <c r="P1567" s="1"/>
      <c r="Q1567" s="1"/>
      <c r="R1567" s="1"/>
      <c r="S1567" s="1"/>
      <c r="T1567" s="1"/>
      <c r="U1567" s="1"/>
      <c r="V1567" s="13">
        <f>COUNTIF(L1567:$M$1659,L1567)</f>
        <v>6</v>
      </c>
      <c r="W1567" s="1"/>
      <c r="X1567" s="1"/>
      <c r="Y1567" s="1"/>
      <c r="Z1567" s="1"/>
      <c r="AA1567" s="1"/>
      <c r="AB1567" s="1"/>
      <c r="AC1567" s="1"/>
      <c r="AD1567" s="1"/>
      <c r="AE1567" s="1"/>
      <c r="AF1567" s="1"/>
      <c r="AG1567" s="7" t="str">
        <f>TRIM(LEFT(L1567,FIND("-",L1567)-1))</f>
        <v>TT2 Gia Lai</v>
      </c>
      <c r="AH1567" s="7" t="str">
        <f>TRIM(RIGHT(L1567, LEN(L1567) - FIND("-", L1567)))</f>
        <v>Hội Phú</v>
      </c>
      <c r="AI1567" s="1"/>
      <c r="AJ1567" s="1"/>
      <c r="AK1567" s="1"/>
      <c r="AL1567" s="1" t="e">
        <f>VLOOKUP(L1567,'[1]Tuyến cáp H04'!$B:$E,3,0)/1000</f>
        <v>#N/A</v>
      </c>
      <c r="AM1567" s="1" t="e">
        <f>VLOOKUP(L1567,'[1]Tuyến cáp H04'!$B:$E,4,0)</f>
        <v>#N/A</v>
      </c>
      <c r="AN1567" s="1" t="str">
        <f t="shared" si="120"/>
        <v>TT2 Gia Lai-Hội Phú</v>
      </c>
      <c r="AO1567" s="1"/>
      <c r="AP1567" s="1" t="e">
        <f>VLOOKUP(AN1567,'[1]Tuyến cáp H04'!$B:$E,3,0)/1000</f>
        <v>#N/A</v>
      </c>
      <c r="AQ1567" s="1" t="e">
        <f>VLOOKUP(AN1567,'[1]Tuyến cáp H04'!$B:$E,4,0)</f>
        <v>#N/A</v>
      </c>
    </row>
    <row r="1568" spans="12:43" ht="15.75" x14ac:dyDescent="0.25">
      <c r="L1568" s="6" t="s">
        <v>15622</v>
      </c>
      <c r="M1568" s="6" t="s">
        <v>15622</v>
      </c>
      <c r="N1568" s="6"/>
      <c r="O1568" s="1"/>
      <c r="P1568" s="1"/>
      <c r="Q1568" s="1"/>
      <c r="R1568" s="1"/>
      <c r="S1568" s="1"/>
      <c r="T1568" s="1"/>
      <c r="U1568" s="1"/>
      <c r="V1568" s="13">
        <f>COUNTIF(L1568:$M$1659,L1568)</f>
        <v>2</v>
      </c>
      <c r="W1568" s="1"/>
      <c r="X1568" s="1"/>
      <c r="Y1568" s="1"/>
      <c r="Z1568" s="1"/>
      <c r="AA1568" s="1"/>
      <c r="AB1568" s="1"/>
      <c r="AC1568" s="1"/>
      <c r="AD1568" s="1"/>
      <c r="AE1568" s="1"/>
      <c r="AF1568" s="1"/>
      <c r="AG1568" s="7" t="str">
        <f>TRIM(LEFT(L1568,FIND("-",L1568)-1))</f>
        <v>IaO</v>
      </c>
      <c r="AH1568" s="7" t="str">
        <f>TRIM(RIGHT(L1568, LEN(L1568) - FIND("-", L1568)))</f>
        <v>Ia CHia</v>
      </c>
      <c r="AI1568" s="1"/>
      <c r="AJ1568" s="1"/>
      <c r="AK1568" s="1"/>
      <c r="AL1568" s="1" t="e">
        <f>VLOOKUP(L1568,'[1]Tuyến cáp H04'!$B:$E,3,0)/1000</f>
        <v>#N/A</v>
      </c>
      <c r="AM1568" s="1" t="e">
        <f>VLOOKUP(L1568,'[1]Tuyến cáp H04'!$B:$E,4,0)</f>
        <v>#N/A</v>
      </c>
      <c r="AN1568" s="1" t="str">
        <f t="shared" si="120"/>
        <v>IaO-Ia CHia</v>
      </c>
      <c r="AO1568" s="1"/>
      <c r="AP1568" s="1" t="e">
        <f>VLOOKUP(AN1568,'[1]Tuyến cáp H04'!$B:$E,3,0)/1000</f>
        <v>#N/A</v>
      </c>
      <c r="AQ1568" s="1" t="e">
        <f>VLOOKUP(AN1568,'[1]Tuyến cáp H04'!$B:$E,4,0)</f>
        <v>#N/A</v>
      </c>
    </row>
    <row r="1569" spans="12:43" ht="15.75" x14ac:dyDescent="0.25">
      <c r="L1569" s="6" t="s">
        <v>15623</v>
      </c>
      <c r="M1569" s="6" t="s">
        <v>15623</v>
      </c>
      <c r="N1569" s="6"/>
      <c r="O1569" s="1"/>
      <c r="P1569" s="1"/>
      <c r="Q1569" s="1"/>
      <c r="R1569" s="1"/>
      <c r="S1569" s="1"/>
      <c r="T1569" s="1"/>
      <c r="U1569" s="1"/>
      <c r="V1569" s="13">
        <f>COUNTIF(L1569:$M$1659,L1569)</f>
        <v>4</v>
      </c>
      <c r="W1569" s="1"/>
      <c r="X1569" s="1"/>
      <c r="Y1569" s="1"/>
      <c r="Z1569" s="1"/>
      <c r="AA1569" s="1"/>
      <c r="AB1569" s="1"/>
      <c r="AC1569" s="1"/>
      <c r="AD1569" s="1"/>
      <c r="AE1569" s="1"/>
      <c r="AF1569" s="1"/>
      <c r="AG1569" s="7" t="str">
        <f>TRIM(LEFT(L1569,FIND("-",L1569)-1))</f>
        <v>Ia Krai</v>
      </c>
      <c r="AH1569" s="7" t="str">
        <f>TRIM(RIGHT(L1569, LEN(L1569) - FIND("-", L1569)))</f>
        <v>Ia O</v>
      </c>
      <c r="AI1569" s="1"/>
      <c r="AJ1569" s="1"/>
      <c r="AK1569" s="1"/>
      <c r="AL1569" s="1" t="e">
        <f>VLOOKUP(L1569,'[1]Tuyến cáp H04'!$B:$E,3,0)/1000</f>
        <v>#N/A</v>
      </c>
      <c r="AM1569" s="1" t="e">
        <f>VLOOKUP(L1569,'[1]Tuyến cáp H04'!$B:$E,4,0)</f>
        <v>#N/A</v>
      </c>
      <c r="AN1569" s="1" t="str">
        <f t="shared" si="120"/>
        <v>Ia Krai-Ia O</v>
      </c>
      <c r="AO1569" s="1"/>
      <c r="AP1569" s="1" t="e">
        <f>VLOOKUP(AN1569,'[1]Tuyến cáp H04'!$B:$E,3,0)/1000</f>
        <v>#N/A</v>
      </c>
      <c r="AQ1569" s="1" t="e">
        <f>VLOOKUP(AN1569,'[1]Tuyến cáp H04'!$B:$E,4,0)</f>
        <v>#N/A</v>
      </c>
    </row>
    <row r="1570" spans="12:43" ht="15.75" x14ac:dyDescent="0.25">
      <c r="L1570" s="6" t="s">
        <v>15623</v>
      </c>
      <c r="M1570" s="6" t="s">
        <v>15623</v>
      </c>
      <c r="N1570" s="6"/>
      <c r="O1570" s="1"/>
      <c r="P1570" s="1"/>
      <c r="Q1570" s="1"/>
      <c r="R1570" s="1"/>
      <c r="S1570" s="1"/>
      <c r="T1570" s="1"/>
      <c r="U1570" s="1"/>
      <c r="V1570" s="13">
        <f>COUNTIF(L1570:$M$1659,L1570)</f>
        <v>2</v>
      </c>
      <c r="W1570" s="1"/>
      <c r="X1570" s="1"/>
      <c r="Y1570" s="1"/>
      <c r="Z1570" s="1"/>
      <c r="AA1570" s="1"/>
      <c r="AB1570" s="1"/>
      <c r="AC1570" s="1"/>
      <c r="AD1570" s="1"/>
      <c r="AE1570" s="1"/>
      <c r="AF1570" s="1"/>
      <c r="AG1570" s="7" t="str">
        <f>TRIM(LEFT(L1570,FIND("-",L1570)-1))</f>
        <v>Ia Krai</v>
      </c>
      <c r="AH1570" s="7" t="str">
        <f>TRIM(RIGHT(L1570, LEN(L1570) - FIND("-", L1570)))</f>
        <v>Ia O</v>
      </c>
      <c r="AI1570" s="1"/>
      <c r="AJ1570" s="1"/>
      <c r="AK1570" s="1"/>
      <c r="AL1570" s="1" t="e">
        <f>VLOOKUP(L1570,'[1]Tuyến cáp H04'!$B:$E,3,0)/1000</f>
        <v>#N/A</v>
      </c>
      <c r="AM1570" s="1" t="e">
        <f>VLOOKUP(L1570,'[1]Tuyến cáp H04'!$B:$E,4,0)</f>
        <v>#N/A</v>
      </c>
      <c r="AN1570" s="1" t="str">
        <f t="shared" si="120"/>
        <v>Ia Krai-Ia O</v>
      </c>
      <c r="AO1570" s="1"/>
      <c r="AP1570" s="1" t="e">
        <f>VLOOKUP(AN1570,'[1]Tuyến cáp H04'!$B:$E,3,0)/1000</f>
        <v>#N/A</v>
      </c>
      <c r="AQ1570" s="1" t="e">
        <f>VLOOKUP(AN1570,'[1]Tuyến cáp H04'!$B:$E,4,0)</f>
        <v>#N/A</v>
      </c>
    </row>
    <row r="1571" spans="12:43" ht="15.75" x14ac:dyDescent="0.25">
      <c r="L1571" s="6" t="s">
        <v>15624</v>
      </c>
      <c r="M1571" s="6" t="s">
        <v>15624</v>
      </c>
      <c r="N1571" s="6"/>
      <c r="O1571" s="1"/>
      <c r="P1571" s="1"/>
      <c r="Q1571" s="1"/>
      <c r="R1571" s="1"/>
      <c r="S1571" s="1"/>
      <c r="T1571" s="1"/>
      <c r="U1571" s="1"/>
      <c r="V1571" s="13">
        <f>COUNTIF(L1571:$M$1659,L1571)</f>
        <v>4</v>
      </c>
      <c r="W1571" s="1"/>
      <c r="X1571" s="1"/>
      <c r="Y1571" s="1"/>
      <c r="Z1571" s="1"/>
      <c r="AA1571" s="1"/>
      <c r="AB1571" s="1"/>
      <c r="AC1571" s="1"/>
      <c r="AD1571" s="1"/>
      <c r="AE1571" s="1"/>
      <c r="AF1571" s="1"/>
      <c r="AG1571" s="7" t="str">
        <f>TRIM(LEFT(L1571,FIND("-",L1571)-1))</f>
        <v>TTCMKV IaGrai</v>
      </c>
      <c r="AH1571" s="7" t="str">
        <f>TRIM(RIGHT(L1571, LEN(L1571) - FIND("-", L1571)))</f>
        <v>Ia Krai</v>
      </c>
      <c r="AI1571" s="1"/>
      <c r="AJ1571" s="1"/>
      <c r="AK1571" s="1"/>
      <c r="AL1571" s="1" t="e">
        <f>VLOOKUP(L1571,'[1]Tuyến cáp H04'!$B:$E,3,0)/1000</f>
        <v>#N/A</v>
      </c>
      <c r="AM1571" s="1" t="e">
        <f>VLOOKUP(L1571,'[1]Tuyến cáp H04'!$B:$E,4,0)</f>
        <v>#N/A</v>
      </c>
      <c r="AN1571" s="1" t="str">
        <f t="shared" si="120"/>
        <v>TTCMKV IaGrai-Ia Krai</v>
      </c>
      <c r="AO1571" s="1"/>
      <c r="AP1571" s="1" t="e">
        <f>VLOOKUP(AN1571,'[1]Tuyến cáp H04'!$B:$E,3,0)/1000</f>
        <v>#N/A</v>
      </c>
      <c r="AQ1571" s="1" t="e">
        <f>VLOOKUP(AN1571,'[1]Tuyến cáp H04'!$B:$E,4,0)</f>
        <v>#N/A</v>
      </c>
    </row>
    <row r="1572" spans="12:43" ht="15.75" x14ac:dyDescent="0.25">
      <c r="L1572" s="6" t="s">
        <v>15625</v>
      </c>
      <c r="M1572" s="6" t="s">
        <v>15625</v>
      </c>
      <c r="N1572" s="6"/>
      <c r="O1572" s="1"/>
      <c r="P1572" s="1"/>
      <c r="Q1572" s="1"/>
      <c r="R1572" s="1"/>
      <c r="S1572" s="1"/>
      <c r="T1572" s="1"/>
      <c r="U1572" s="1"/>
      <c r="V1572" s="13">
        <f>COUNTIF(L1572:$M$1659,L1572)</f>
        <v>4</v>
      </c>
      <c r="W1572" s="1"/>
      <c r="X1572" s="1"/>
      <c r="Y1572" s="1"/>
      <c r="Z1572" s="1"/>
      <c r="AA1572" s="1"/>
      <c r="AB1572" s="1"/>
      <c r="AC1572" s="1"/>
      <c r="AD1572" s="1"/>
      <c r="AE1572" s="1"/>
      <c r="AF1572" s="1"/>
      <c r="AG1572" s="7" t="str">
        <f>TRIM(LEFT(L1572,FIND("-",L1572)-1))</f>
        <v>TTCMKV Đức Cơ</v>
      </c>
      <c r="AH1572" s="7" t="str">
        <f>TRIM(RIGHT(L1572, LEN(L1572) - FIND("-", L1572)))</f>
        <v>Ia Dom</v>
      </c>
      <c r="AI1572" s="1"/>
      <c r="AJ1572" s="1"/>
      <c r="AK1572" s="1"/>
      <c r="AL1572" s="1" t="e">
        <f>VLOOKUP(L1572,'[1]Tuyến cáp H04'!$B:$E,3,0)/1000</f>
        <v>#N/A</v>
      </c>
      <c r="AM1572" s="1" t="e">
        <f>VLOOKUP(L1572,'[1]Tuyến cáp H04'!$B:$E,4,0)</f>
        <v>#N/A</v>
      </c>
      <c r="AN1572" s="1" t="str">
        <f t="shared" si="120"/>
        <v>TTCMKV Đức Cơ-Ia Dom</v>
      </c>
      <c r="AO1572" s="1"/>
      <c r="AP1572" s="1" t="e">
        <f>VLOOKUP(AN1572,'[1]Tuyến cáp H04'!$B:$E,3,0)/1000</f>
        <v>#N/A</v>
      </c>
      <c r="AQ1572" s="1" t="e">
        <f>VLOOKUP(AN1572,'[1]Tuyến cáp H04'!$B:$E,4,0)</f>
        <v>#N/A</v>
      </c>
    </row>
    <row r="1573" spans="12:43" ht="15.75" x14ac:dyDescent="0.25">
      <c r="L1573" s="6" t="s">
        <v>15626</v>
      </c>
      <c r="M1573" s="6" t="s">
        <v>15626</v>
      </c>
      <c r="N1573" s="6"/>
      <c r="O1573" s="1"/>
      <c r="P1573" s="1"/>
      <c r="Q1573" s="1"/>
      <c r="R1573" s="1"/>
      <c r="S1573" s="1"/>
      <c r="T1573" s="1"/>
      <c r="U1573" s="1"/>
      <c r="V1573" s="13">
        <f>COUNTIF(L1573:$M$1659,L1573)</f>
        <v>4</v>
      </c>
      <c r="W1573" s="1"/>
      <c r="X1573" s="1"/>
      <c r="Y1573" s="1"/>
      <c r="Z1573" s="1"/>
      <c r="AA1573" s="1"/>
      <c r="AB1573" s="1"/>
      <c r="AC1573" s="1"/>
      <c r="AD1573" s="1"/>
      <c r="AE1573" s="1"/>
      <c r="AF1573" s="1"/>
      <c r="AG1573" s="7" t="str">
        <f>TRIM(LEFT(L1573,FIND("-",L1573)-1))</f>
        <v>Ia Chía</v>
      </c>
      <c r="AH1573" s="7" t="str">
        <f>TRIM(RIGHT(L1573, LEN(L1573) - FIND("-", L1573)))</f>
        <v>Ia Đơk</v>
      </c>
      <c r="AI1573" s="1"/>
      <c r="AJ1573" s="1"/>
      <c r="AK1573" s="1"/>
      <c r="AL1573" s="1" t="e">
        <f>VLOOKUP(L1573,'[1]Tuyến cáp H04'!$B:$E,3,0)/1000</f>
        <v>#N/A</v>
      </c>
      <c r="AM1573" s="1" t="e">
        <f>VLOOKUP(L1573,'[1]Tuyến cáp H04'!$B:$E,4,0)</f>
        <v>#N/A</v>
      </c>
      <c r="AN1573" s="1" t="str">
        <f t="shared" ref="AN1573:AN1636" si="121">AG1573&amp;"-"&amp;AH1573</f>
        <v>Ia Chía-Ia Đơk</v>
      </c>
      <c r="AO1573" s="1"/>
      <c r="AP1573" s="1" t="e">
        <f>VLOOKUP(AN1573,'[1]Tuyến cáp H04'!$B:$E,3,0)/1000</f>
        <v>#N/A</v>
      </c>
      <c r="AQ1573" s="1" t="e">
        <f>VLOOKUP(AN1573,'[1]Tuyến cáp H04'!$B:$E,4,0)</f>
        <v>#N/A</v>
      </c>
    </row>
    <row r="1574" spans="12:43" ht="15.75" x14ac:dyDescent="0.25">
      <c r="L1574" s="6" t="s">
        <v>15626</v>
      </c>
      <c r="M1574" s="6" t="s">
        <v>15626</v>
      </c>
      <c r="N1574" s="6"/>
      <c r="O1574" s="1"/>
      <c r="P1574" s="1"/>
      <c r="Q1574" s="1"/>
      <c r="R1574" s="1"/>
      <c r="S1574" s="1"/>
      <c r="T1574" s="1"/>
      <c r="U1574" s="1"/>
      <c r="V1574" s="13">
        <f>COUNTIF(L1574:$M$1659,L1574)</f>
        <v>2</v>
      </c>
      <c r="W1574" s="1"/>
      <c r="X1574" s="1"/>
      <c r="Y1574" s="1"/>
      <c r="Z1574" s="1"/>
      <c r="AA1574" s="1"/>
      <c r="AB1574" s="1"/>
      <c r="AC1574" s="1"/>
      <c r="AD1574" s="1"/>
      <c r="AE1574" s="1"/>
      <c r="AF1574" s="1"/>
      <c r="AG1574" s="7" t="str">
        <f>TRIM(LEFT(L1574,FIND("-",L1574)-1))</f>
        <v>Ia Chía</v>
      </c>
      <c r="AH1574" s="7" t="str">
        <f>TRIM(RIGHT(L1574, LEN(L1574) - FIND("-", L1574)))</f>
        <v>Ia Đơk</v>
      </c>
      <c r="AI1574" s="1"/>
      <c r="AJ1574" s="1"/>
      <c r="AK1574" s="1"/>
      <c r="AL1574" s="1" t="e">
        <f>VLOOKUP(L1574,'[1]Tuyến cáp H04'!$B:$E,3,0)/1000</f>
        <v>#N/A</v>
      </c>
      <c r="AM1574" s="1" t="e">
        <f>VLOOKUP(L1574,'[1]Tuyến cáp H04'!$B:$E,4,0)</f>
        <v>#N/A</v>
      </c>
      <c r="AN1574" s="1" t="str">
        <f t="shared" si="121"/>
        <v>Ia Chía-Ia Đơk</v>
      </c>
      <c r="AO1574" s="1"/>
      <c r="AP1574" s="1" t="e">
        <f>VLOOKUP(AN1574,'[1]Tuyến cáp H04'!$B:$E,3,0)/1000</f>
        <v>#N/A</v>
      </c>
      <c r="AQ1574" s="1" t="e">
        <f>VLOOKUP(AN1574,'[1]Tuyến cáp H04'!$B:$E,4,0)</f>
        <v>#N/A</v>
      </c>
    </row>
    <row r="1575" spans="12:43" ht="15.75" x14ac:dyDescent="0.25">
      <c r="L1575" s="6" t="s">
        <v>15624</v>
      </c>
      <c r="M1575" s="6" t="s">
        <v>15624</v>
      </c>
      <c r="N1575" s="6"/>
      <c r="O1575" s="1"/>
      <c r="P1575" s="1"/>
      <c r="Q1575" s="1"/>
      <c r="R1575" s="1"/>
      <c r="S1575" s="1"/>
      <c r="T1575" s="1"/>
      <c r="U1575" s="1"/>
      <c r="V1575" s="13">
        <f>COUNTIF(L1575:$M$1659,L1575)</f>
        <v>2</v>
      </c>
      <c r="W1575" s="1"/>
      <c r="X1575" s="1"/>
      <c r="Y1575" s="1"/>
      <c r="Z1575" s="1"/>
      <c r="AA1575" s="1"/>
      <c r="AB1575" s="1"/>
      <c r="AC1575" s="1"/>
      <c r="AD1575" s="1"/>
      <c r="AE1575" s="1"/>
      <c r="AF1575" s="1"/>
      <c r="AG1575" s="7" t="str">
        <f>TRIM(LEFT(L1575,FIND("-",L1575)-1))</f>
        <v>TTCMKV IaGrai</v>
      </c>
      <c r="AH1575" s="7" t="str">
        <f>TRIM(RIGHT(L1575, LEN(L1575) - FIND("-", L1575)))</f>
        <v>Ia Krai</v>
      </c>
      <c r="AI1575" s="1"/>
      <c r="AJ1575" s="1"/>
      <c r="AK1575" s="1"/>
      <c r="AL1575" s="1" t="e">
        <f>VLOOKUP(L1575,'[1]Tuyến cáp H04'!$B:$E,3,0)/1000</f>
        <v>#N/A</v>
      </c>
      <c r="AM1575" s="1" t="e">
        <f>VLOOKUP(L1575,'[1]Tuyến cáp H04'!$B:$E,4,0)</f>
        <v>#N/A</v>
      </c>
      <c r="AN1575" s="1" t="str">
        <f t="shared" si="121"/>
        <v>TTCMKV IaGrai-Ia Krai</v>
      </c>
      <c r="AO1575" s="1"/>
      <c r="AP1575" s="1" t="e">
        <f>VLOOKUP(AN1575,'[1]Tuyến cáp H04'!$B:$E,3,0)/1000</f>
        <v>#N/A</v>
      </c>
      <c r="AQ1575" s="1" t="e">
        <f>VLOOKUP(AN1575,'[1]Tuyến cáp H04'!$B:$E,4,0)</f>
        <v>#N/A</v>
      </c>
    </row>
    <row r="1576" spans="12:43" ht="15.75" x14ac:dyDescent="0.25">
      <c r="L1576" s="6" t="s">
        <v>15621</v>
      </c>
      <c r="M1576" s="6" t="s">
        <v>15621</v>
      </c>
      <c r="N1576" s="6"/>
      <c r="O1576" s="1"/>
      <c r="P1576" s="1"/>
      <c r="Q1576" s="1"/>
      <c r="R1576" s="1"/>
      <c r="S1576" s="1"/>
      <c r="T1576" s="1"/>
      <c r="U1576" s="1"/>
      <c r="V1576" s="13">
        <f>COUNTIF(L1576:$M$1659,L1576)</f>
        <v>4</v>
      </c>
      <c r="W1576" s="1"/>
      <c r="X1576" s="1"/>
      <c r="Y1576" s="1"/>
      <c r="Z1576" s="1"/>
      <c r="AA1576" s="1"/>
      <c r="AB1576" s="1"/>
      <c r="AC1576" s="1"/>
      <c r="AD1576" s="1"/>
      <c r="AE1576" s="1"/>
      <c r="AF1576" s="1"/>
      <c r="AG1576" s="7" t="str">
        <f>TRIM(LEFT(L1576,FIND("-",L1576)-1))</f>
        <v>TT2 Gia Lai</v>
      </c>
      <c r="AH1576" s="7" t="str">
        <f>TRIM(RIGHT(L1576, LEN(L1576) - FIND("-", L1576)))</f>
        <v>Hội Phú</v>
      </c>
      <c r="AI1576" s="1"/>
      <c r="AJ1576" s="1"/>
      <c r="AK1576" s="1"/>
      <c r="AL1576" s="1" t="e">
        <f>VLOOKUP(L1576,'[1]Tuyến cáp H04'!$B:$E,3,0)/1000</f>
        <v>#N/A</v>
      </c>
      <c r="AM1576" s="1" t="e">
        <f>VLOOKUP(L1576,'[1]Tuyến cáp H04'!$B:$E,4,0)</f>
        <v>#N/A</v>
      </c>
      <c r="AN1576" s="1" t="str">
        <f t="shared" si="121"/>
        <v>TT2 Gia Lai-Hội Phú</v>
      </c>
      <c r="AO1576" s="1"/>
      <c r="AP1576" s="1" t="e">
        <f>VLOOKUP(AN1576,'[1]Tuyến cáp H04'!$B:$E,3,0)/1000</f>
        <v>#N/A</v>
      </c>
      <c r="AQ1576" s="1" t="e">
        <f>VLOOKUP(AN1576,'[1]Tuyến cáp H04'!$B:$E,4,0)</f>
        <v>#N/A</v>
      </c>
    </row>
    <row r="1577" spans="12:43" ht="15.75" x14ac:dyDescent="0.25">
      <c r="L1577" s="6" t="s">
        <v>15595</v>
      </c>
      <c r="M1577" s="6" t="s">
        <v>15595</v>
      </c>
      <c r="N1577" s="6"/>
      <c r="O1577" s="1"/>
      <c r="P1577" s="1"/>
      <c r="Q1577" s="1"/>
      <c r="R1577" s="1"/>
      <c r="S1577" s="1"/>
      <c r="T1577" s="1"/>
      <c r="U1577" s="1"/>
      <c r="V1577" s="13">
        <f>COUNTIF(L1577:$M$1659,L1577)</f>
        <v>4</v>
      </c>
      <c r="W1577" s="1"/>
      <c r="X1577" s="1"/>
      <c r="Y1577" s="1"/>
      <c r="Z1577" s="1"/>
      <c r="AA1577" s="1"/>
      <c r="AB1577" s="1"/>
      <c r="AC1577" s="1"/>
      <c r="AD1577" s="1"/>
      <c r="AE1577" s="1"/>
      <c r="AF1577" s="1"/>
      <c r="AG1577" s="7" t="str">
        <f>TRIM(LEFT(L1577,FIND("-",L1577)-1))</f>
        <v>TT2</v>
      </c>
      <c r="AH1577" s="7" t="str">
        <f>TRIM(RIGHT(L1577, LEN(L1577) - FIND("-", L1577)))</f>
        <v>Gia Lai-Ia Grai</v>
      </c>
      <c r="AI1577" s="1"/>
      <c r="AJ1577" s="1"/>
      <c r="AK1577" s="1"/>
      <c r="AL1577" s="1" t="e">
        <f>VLOOKUP(L1577,'[1]Tuyến cáp H04'!$B:$E,3,0)/1000</f>
        <v>#N/A</v>
      </c>
      <c r="AM1577" s="1" t="e">
        <f>VLOOKUP(L1577,'[1]Tuyến cáp H04'!$B:$E,4,0)</f>
        <v>#N/A</v>
      </c>
      <c r="AN1577" s="1" t="str">
        <f t="shared" si="121"/>
        <v>TT2-Gia Lai-Ia Grai</v>
      </c>
      <c r="AO1577" s="1"/>
      <c r="AP1577" s="1" t="e">
        <f>VLOOKUP(AN1577,'[1]Tuyến cáp H04'!$B:$E,3,0)/1000</f>
        <v>#N/A</v>
      </c>
      <c r="AQ1577" s="1" t="e">
        <f>VLOOKUP(AN1577,'[1]Tuyến cáp H04'!$B:$E,4,0)</f>
        <v>#N/A</v>
      </c>
    </row>
    <row r="1578" spans="12:43" ht="15.75" x14ac:dyDescent="0.25">
      <c r="L1578" s="6" t="s">
        <v>15595</v>
      </c>
      <c r="M1578" s="6" t="s">
        <v>15595</v>
      </c>
      <c r="N1578" s="6"/>
      <c r="O1578" s="1"/>
      <c r="P1578" s="1"/>
      <c r="Q1578" s="1"/>
      <c r="R1578" s="1"/>
      <c r="S1578" s="1"/>
      <c r="T1578" s="1"/>
      <c r="U1578" s="1"/>
      <c r="V1578" s="13">
        <f>COUNTIF(L1578:$M$1659,L1578)</f>
        <v>2</v>
      </c>
      <c r="W1578" s="1"/>
      <c r="X1578" s="1"/>
      <c r="Y1578" s="1"/>
      <c r="Z1578" s="1"/>
      <c r="AA1578" s="1"/>
      <c r="AB1578" s="1"/>
      <c r="AC1578" s="1"/>
      <c r="AD1578" s="1"/>
      <c r="AE1578" s="1"/>
      <c r="AF1578" s="1"/>
      <c r="AG1578" s="7" t="str">
        <f>TRIM(LEFT(L1578,FIND("-",L1578)-1))</f>
        <v>TT2</v>
      </c>
      <c r="AH1578" s="7" t="str">
        <f>TRIM(RIGHT(L1578, LEN(L1578) - FIND("-", L1578)))</f>
        <v>Gia Lai-Ia Grai</v>
      </c>
      <c r="AI1578" s="1"/>
      <c r="AJ1578" s="1"/>
      <c r="AK1578" s="1"/>
      <c r="AL1578" s="1" t="e">
        <f>VLOOKUP(L1578,'[1]Tuyến cáp H04'!$B:$E,3,0)/1000</f>
        <v>#N/A</v>
      </c>
      <c r="AM1578" s="1" t="e">
        <f>VLOOKUP(L1578,'[1]Tuyến cáp H04'!$B:$E,4,0)</f>
        <v>#N/A</v>
      </c>
      <c r="AN1578" s="1" t="str">
        <f t="shared" si="121"/>
        <v>TT2-Gia Lai-Ia Grai</v>
      </c>
      <c r="AO1578" s="1"/>
      <c r="AP1578" s="1" t="e">
        <f>VLOOKUP(AN1578,'[1]Tuyến cáp H04'!$B:$E,3,0)/1000</f>
        <v>#N/A</v>
      </c>
      <c r="AQ1578" s="1" t="e">
        <f>VLOOKUP(AN1578,'[1]Tuyến cáp H04'!$B:$E,4,0)</f>
        <v>#N/A</v>
      </c>
    </row>
    <row r="1579" spans="12:43" ht="15.75" x14ac:dyDescent="0.25">
      <c r="L1579" s="6" t="s">
        <v>15627</v>
      </c>
      <c r="M1579" s="6" t="s">
        <v>15627</v>
      </c>
      <c r="N1579" s="6"/>
      <c r="O1579" s="1"/>
      <c r="P1579" s="1"/>
      <c r="Q1579" s="1"/>
      <c r="R1579" s="1"/>
      <c r="S1579" s="1"/>
      <c r="T1579" s="1"/>
      <c r="U1579" s="1"/>
      <c r="V1579" s="13">
        <f>COUNTIF(L1579:$M$1659,L1579)</f>
        <v>2</v>
      </c>
      <c r="W1579" s="1"/>
      <c r="X1579" s="1"/>
      <c r="Y1579" s="1"/>
      <c r="Z1579" s="1"/>
      <c r="AA1579" s="1"/>
      <c r="AB1579" s="1"/>
      <c r="AC1579" s="1"/>
      <c r="AD1579" s="1"/>
      <c r="AE1579" s="1"/>
      <c r="AF1579" s="1"/>
      <c r="AG1579" s="7" t="str">
        <f>TRIM(LEFT(L1579,FIND("-",L1579)-1))</f>
        <v>Ia Hrung</v>
      </c>
      <c r="AH1579" s="7" t="str">
        <f>TRIM(RIGHT(L1579, LEN(L1579) - FIND("-", L1579)))</f>
        <v>IaGrai</v>
      </c>
      <c r="AI1579" s="1"/>
      <c r="AJ1579" s="1"/>
      <c r="AK1579" s="1"/>
      <c r="AL1579" s="1" t="e">
        <f>VLOOKUP(L1579,'[1]Tuyến cáp H04'!$B:$E,3,0)/1000</f>
        <v>#N/A</v>
      </c>
      <c r="AM1579" s="1" t="e">
        <f>VLOOKUP(L1579,'[1]Tuyến cáp H04'!$B:$E,4,0)</f>
        <v>#N/A</v>
      </c>
      <c r="AN1579" s="1" t="str">
        <f t="shared" si="121"/>
        <v>Ia Hrung-IaGrai</v>
      </c>
      <c r="AO1579" s="1"/>
      <c r="AP1579" s="1" t="e">
        <f>VLOOKUP(AN1579,'[1]Tuyến cáp H04'!$B:$E,3,0)/1000</f>
        <v>#N/A</v>
      </c>
      <c r="AQ1579" s="1" t="e">
        <f>VLOOKUP(AN1579,'[1]Tuyến cáp H04'!$B:$E,4,0)</f>
        <v>#N/A</v>
      </c>
    </row>
    <row r="1580" spans="12:43" ht="15.75" x14ac:dyDescent="0.25">
      <c r="L1580" s="6" t="s">
        <v>15628</v>
      </c>
      <c r="M1580" s="6" t="s">
        <v>15628</v>
      </c>
      <c r="N1580" s="6"/>
      <c r="O1580" s="1"/>
      <c r="P1580" s="1"/>
      <c r="Q1580" s="1"/>
      <c r="R1580" s="1"/>
      <c r="S1580" s="1"/>
      <c r="T1580" s="1"/>
      <c r="U1580" s="1"/>
      <c r="V1580" s="13">
        <f>COUNTIF(L1580:$M$1659,L1580)</f>
        <v>2</v>
      </c>
      <c r="W1580" s="1"/>
      <c r="X1580" s="1"/>
      <c r="Y1580" s="1"/>
      <c r="Z1580" s="1"/>
      <c r="AA1580" s="1"/>
      <c r="AB1580" s="1"/>
      <c r="AC1580" s="1"/>
      <c r="AD1580" s="1"/>
      <c r="AE1580" s="1"/>
      <c r="AF1580" s="1"/>
      <c r="AG1580" s="7" t="str">
        <f>TRIM(LEFT(L1580,FIND("-",L1580)-1))</f>
        <v>Hàm Rồng</v>
      </c>
      <c r="AH1580" s="7" t="str">
        <f>TRIM(RIGHT(L1580, LEN(L1580) - FIND("-", L1580)))</f>
        <v>Gia Lai</v>
      </c>
      <c r="AI1580" s="1"/>
      <c r="AJ1580" s="1"/>
      <c r="AK1580" s="1"/>
      <c r="AL1580" s="1" t="e">
        <f>VLOOKUP(L1580,'[1]Tuyến cáp H04'!$B:$E,3,0)/1000</f>
        <v>#N/A</v>
      </c>
      <c r="AM1580" s="1" t="e">
        <f>VLOOKUP(L1580,'[1]Tuyến cáp H04'!$B:$E,4,0)</f>
        <v>#N/A</v>
      </c>
      <c r="AN1580" s="1" t="str">
        <f t="shared" si="121"/>
        <v>Hàm Rồng-Gia Lai</v>
      </c>
      <c r="AO1580" s="1"/>
      <c r="AP1580" s="1" t="e">
        <f>VLOOKUP(AN1580,'[1]Tuyến cáp H04'!$B:$E,3,0)/1000</f>
        <v>#N/A</v>
      </c>
      <c r="AQ1580" s="1" t="e">
        <f>VLOOKUP(AN1580,'[1]Tuyến cáp H04'!$B:$E,4,0)</f>
        <v>#N/A</v>
      </c>
    </row>
    <row r="1581" spans="12:43" ht="15.75" x14ac:dyDescent="0.25">
      <c r="L1581" s="6" t="s">
        <v>15629</v>
      </c>
      <c r="M1581" s="6" t="s">
        <v>15629</v>
      </c>
      <c r="N1581" s="6"/>
      <c r="O1581" s="1"/>
      <c r="P1581" s="1"/>
      <c r="Q1581" s="1"/>
      <c r="R1581" s="1"/>
      <c r="S1581" s="1"/>
      <c r="T1581" s="1"/>
      <c r="U1581" s="1"/>
      <c r="V1581" s="13">
        <f>COUNTIF(L1581:$M$1659,L1581)</f>
        <v>4</v>
      </c>
      <c r="W1581" s="1"/>
      <c r="X1581" s="1"/>
      <c r="Y1581" s="1"/>
      <c r="Z1581" s="1"/>
      <c r="AA1581" s="1"/>
      <c r="AB1581" s="1"/>
      <c r="AC1581" s="1"/>
      <c r="AD1581" s="1"/>
      <c r="AE1581" s="1"/>
      <c r="AF1581" s="1"/>
      <c r="AG1581" s="7" t="str">
        <f>TRIM(LEFT(L1581,FIND("-",L1581)-1))</f>
        <v>Chư Pưh</v>
      </c>
      <c r="AH1581" s="7" t="str">
        <f>TRIM(RIGHT(L1581, LEN(L1581) - FIND("-", L1581)))</f>
        <v>Hàm Rồng</v>
      </c>
      <c r="AI1581" s="1"/>
      <c r="AJ1581" s="1"/>
      <c r="AK1581" s="1"/>
      <c r="AL1581" s="1" t="e">
        <f>VLOOKUP(L1581,'[1]Tuyến cáp H04'!$B:$E,3,0)/1000</f>
        <v>#N/A</v>
      </c>
      <c r="AM1581" s="1" t="e">
        <f>VLOOKUP(L1581,'[1]Tuyến cáp H04'!$B:$E,4,0)</f>
        <v>#N/A</v>
      </c>
      <c r="AN1581" s="1" t="str">
        <f t="shared" si="121"/>
        <v>Chư Pưh-Hàm Rồng</v>
      </c>
      <c r="AO1581" s="1"/>
      <c r="AP1581" s="1" t="e">
        <f>VLOOKUP(AN1581,'[1]Tuyến cáp H04'!$B:$E,3,0)/1000</f>
        <v>#N/A</v>
      </c>
      <c r="AQ1581" s="1" t="e">
        <f>VLOOKUP(AN1581,'[1]Tuyến cáp H04'!$B:$E,4,0)</f>
        <v>#N/A</v>
      </c>
    </row>
    <row r="1582" spans="12:43" ht="15.75" x14ac:dyDescent="0.25">
      <c r="L1582" s="6" t="s">
        <v>15630</v>
      </c>
      <c r="M1582" s="6" t="s">
        <v>15630</v>
      </c>
      <c r="N1582" s="6"/>
      <c r="O1582" s="1"/>
      <c r="P1582" s="1"/>
      <c r="Q1582" s="1"/>
      <c r="R1582" s="1"/>
      <c r="S1582" s="1"/>
      <c r="T1582" s="1"/>
      <c r="U1582" s="1"/>
      <c r="V1582" s="13">
        <f>COUNTIF(L1582:$M$1659,L1582)</f>
        <v>4</v>
      </c>
      <c r="W1582" s="1"/>
      <c r="X1582" s="1"/>
      <c r="Y1582" s="1"/>
      <c r="Z1582" s="1"/>
      <c r="AA1582" s="1"/>
      <c r="AB1582" s="1"/>
      <c r="AC1582" s="1"/>
      <c r="AD1582" s="1"/>
      <c r="AE1582" s="1"/>
      <c r="AF1582" s="1"/>
      <c r="AG1582" s="7" t="str">
        <f>TRIM(LEFT(L1582,FIND("-",L1582)-1))</f>
        <v>TT2</v>
      </c>
      <c r="AH1582" s="7" t="str">
        <f>TRIM(RIGHT(L1582, LEN(L1582) - FIND("-", L1582)))</f>
        <v>Gào</v>
      </c>
      <c r="AI1582" s="1"/>
      <c r="AJ1582" s="1"/>
      <c r="AK1582" s="1"/>
      <c r="AL1582" s="1" t="e">
        <f>VLOOKUP(L1582,'[1]Tuyến cáp H04'!$B:$E,3,0)/1000</f>
        <v>#N/A</v>
      </c>
      <c r="AM1582" s="1" t="e">
        <f>VLOOKUP(L1582,'[1]Tuyến cáp H04'!$B:$E,4,0)</f>
        <v>#N/A</v>
      </c>
      <c r="AN1582" s="1" t="str">
        <f t="shared" si="121"/>
        <v>TT2-Gào</v>
      </c>
      <c r="AO1582" s="1"/>
      <c r="AP1582" s="1" t="e">
        <f>VLOOKUP(AN1582,'[1]Tuyến cáp H04'!$B:$E,3,0)/1000</f>
        <v>#N/A</v>
      </c>
      <c r="AQ1582" s="1" t="e">
        <f>VLOOKUP(AN1582,'[1]Tuyến cáp H04'!$B:$E,4,0)</f>
        <v>#N/A</v>
      </c>
    </row>
    <row r="1583" spans="12:43" ht="15.75" x14ac:dyDescent="0.25">
      <c r="L1583" s="6" t="s">
        <v>15630</v>
      </c>
      <c r="M1583" s="6" t="s">
        <v>15630</v>
      </c>
      <c r="N1583" s="6"/>
      <c r="O1583" s="1"/>
      <c r="P1583" s="1"/>
      <c r="Q1583" s="1"/>
      <c r="R1583" s="1"/>
      <c r="S1583" s="1"/>
      <c r="T1583" s="1"/>
      <c r="U1583" s="1"/>
      <c r="V1583" s="13">
        <f>COUNTIF(L1583:$M$1659,L1583)</f>
        <v>2</v>
      </c>
      <c r="W1583" s="1"/>
      <c r="X1583" s="1"/>
      <c r="Y1583" s="1"/>
      <c r="Z1583" s="1"/>
      <c r="AA1583" s="1"/>
      <c r="AB1583" s="1"/>
      <c r="AC1583" s="1"/>
      <c r="AD1583" s="1"/>
      <c r="AE1583" s="1"/>
      <c r="AF1583" s="1"/>
      <c r="AG1583" s="7" t="str">
        <f>TRIM(LEFT(L1583,FIND("-",L1583)-1))</f>
        <v>TT2</v>
      </c>
      <c r="AH1583" s="7" t="str">
        <f>TRIM(RIGHT(L1583, LEN(L1583) - FIND("-", L1583)))</f>
        <v>Gào</v>
      </c>
      <c r="AI1583" s="1"/>
      <c r="AJ1583" s="1"/>
      <c r="AK1583" s="1"/>
      <c r="AL1583" s="1" t="e">
        <f>VLOOKUP(L1583,'[1]Tuyến cáp H04'!$B:$E,3,0)/1000</f>
        <v>#N/A</v>
      </c>
      <c r="AM1583" s="1" t="e">
        <f>VLOOKUP(L1583,'[1]Tuyến cáp H04'!$B:$E,4,0)</f>
        <v>#N/A</v>
      </c>
      <c r="AN1583" s="1" t="str">
        <f t="shared" si="121"/>
        <v>TT2-Gào</v>
      </c>
      <c r="AO1583" s="1"/>
      <c r="AP1583" s="1" t="e">
        <f>VLOOKUP(AN1583,'[1]Tuyến cáp H04'!$B:$E,3,0)/1000</f>
        <v>#N/A</v>
      </c>
      <c r="AQ1583" s="1" t="e">
        <f>VLOOKUP(AN1583,'[1]Tuyến cáp H04'!$B:$E,4,0)</f>
        <v>#N/A</v>
      </c>
    </row>
    <row r="1584" spans="12:43" ht="15.75" x14ac:dyDescent="0.25">
      <c r="L1584" s="6" t="s">
        <v>15621</v>
      </c>
      <c r="M1584" s="6" t="s">
        <v>15621</v>
      </c>
      <c r="N1584" s="6"/>
      <c r="O1584" s="1"/>
      <c r="P1584" s="1"/>
      <c r="Q1584" s="1"/>
      <c r="R1584" s="1"/>
      <c r="S1584" s="1"/>
      <c r="T1584" s="1"/>
      <c r="U1584" s="1"/>
      <c r="V1584" s="13">
        <f>COUNTIF(L1584:$M$1659,L1584)</f>
        <v>2</v>
      </c>
      <c r="W1584" s="1"/>
      <c r="X1584" s="1"/>
      <c r="Y1584" s="1"/>
      <c r="Z1584" s="1"/>
      <c r="AA1584" s="1"/>
      <c r="AB1584" s="1"/>
      <c r="AC1584" s="1"/>
      <c r="AD1584" s="1"/>
      <c r="AE1584" s="1"/>
      <c r="AF1584" s="1"/>
      <c r="AG1584" s="7" t="str">
        <f>TRIM(LEFT(L1584,FIND("-",L1584)-1))</f>
        <v>TT2 Gia Lai</v>
      </c>
      <c r="AH1584" s="7" t="str">
        <f>TRIM(RIGHT(L1584, LEN(L1584) - FIND("-", L1584)))</f>
        <v>Hội Phú</v>
      </c>
      <c r="AI1584" s="1"/>
      <c r="AJ1584" s="1"/>
      <c r="AK1584" s="1"/>
      <c r="AL1584" s="1" t="e">
        <f>VLOOKUP(L1584,'[1]Tuyến cáp H04'!$B:$E,3,0)/1000</f>
        <v>#N/A</v>
      </c>
      <c r="AM1584" s="1" t="e">
        <f>VLOOKUP(L1584,'[1]Tuyến cáp H04'!$B:$E,4,0)</f>
        <v>#N/A</v>
      </c>
      <c r="AN1584" s="1" t="str">
        <f t="shared" si="121"/>
        <v>TT2 Gia Lai-Hội Phú</v>
      </c>
      <c r="AO1584" s="1"/>
      <c r="AP1584" s="1" t="e">
        <f>VLOOKUP(AN1584,'[1]Tuyến cáp H04'!$B:$E,3,0)/1000</f>
        <v>#N/A</v>
      </c>
      <c r="AQ1584" s="1" t="e">
        <f>VLOOKUP(AN1584,'[1]Tuyến cáp H04'!$B:$E,4,0)</f>
        <v>#N/A</v>
      </c>
    </row>
    <row r="1585" spans="12:43" ht="15.75" x14ac:dyDescent="0.25">
      <c r="L1585" s="6" t="s">
        <v>15631</v>
      </c>
      <c r="M1585" s="6" t="s">
        <v>15631</v>
      </c>
      <c r="N1585" s="6"/>
      <c r="O1585" s="1"/>
      <c r="P1585" s="1"/>
      <c r="Q1585" s="1"/>
      <c r="R1585" s="1"/>
      <c r="S1585" s="1"/>
      <c r="T1585" s="1"/>
      <c r="U1585" s="1"/>
      <c r="V1585" s="13">
        <f>COUNTIF(L1585:$M$1659,L1585)</f>
        <v>2</v>
      </c>
      <c r="W1585" s="1"/>
      <c r="X1585" s="1"/>
      <c r="Y1585" s="1"/>
      <c r="Z1585" s="1"/>
      <c r="AA1585" s="1"/>
      <c r="AB1585" s="1"/>
      <c r="AC1585" s="1"/>
      <c r="AD1585" s="1"/>
      <c r="AE1585" s="1"/>
      <c r="AF1585" s="1"/>
      <c r="AG1585" s="7" t="str">
        <f>TRIM(LEFT(L1585,FIND("-",L1585)-1))</f>
        <v>Gào</v>
      </c>
      <c r="AH1585" s="7" t="str">
        <f>TRIM(RIGHT(L1585, LEN(L1585) - FIND("-", L1585)))</f>
        <v>Bàu Cạn</v>
      </c>
      <c r="AI1585" s="1"/>
      <c r="AJ1585" s="1"/>
      <c r="AK1585" s="1"/>
      <c r="AL1585" s="1" t="e">
        <f>VLOOKUP(L1585,'[1]Tuyến cáp H04'!$B:$E,3,0)/1000</f>
        <v>#N/A</v>
      </c>
      <c r="AM1585" s="1" t="e">
        <f>VLOOKUP(L1585,'[1]Tuyến cáp H04'!$B:$E,4,0)</f>
        <v>#N/A</v>
      </c>
      <c r="AN1585" s="1" t="str">
        <f t="shared" si="121"/>
        <v>Gào-Bàu Cạn</v>
      </c>
      <c r="AO1585" s="1"/>
      <c r="AP1585" s="1" t="e">
        <f>VLOOKUP(AN1585,'[1]Tuyến cáp H04'!$B:$E,3,0)/1000</f>
        <v>#N/A</v>
      </c>
      <c r="AQ1585" s="1" t="e">
        <f>VLOOKUP(AN1585,'[1]Tuyến cáp H04'!$B:$E,4,0)</f>
        <v>#N/A</v>
      </c>
    </row>
    <row r="1586" spans="12:43" ht="15.75" x14ac:dyDescent="0.25">
      <c r="L1586" s="6" t="s">
        <v>15632</v>
      </c>
      <c r="M1586" s="6" t="s">
        <v>15632</v>
      </c>
      <c r="N1586" s="6"/>
      <c r="O1586" s="1"/>
      <c r="P1586" s="1"/>
      <c r="Q1586" s="1"/>
      <c r="R1586" s="1"/>
      <c r="S1586" s="1"/>
      <c r="T1586" s="1"/>
      <c r="U1586" s="1"/>
      <c r="V1586" s="13">
        <f>COUNTIF(L1586:$M$1659,L1586)</f>
        <v>2</v>
      </c>
      <c r="W1586" s="1"/>
      <c r="X1586" s="1"/>
      <c r="Y1586" s="1"/>
      <c r="Z1586" s="1"/>
      <c r="AA1586" s="1"/>
      <c r="AB1586" s="1"/>
      <c r="AC1586" s="1"/>
      <c r="AD1586" s="1"/>
      <c r="AE1586" s="1"/>
      <c r="AF1586" s="1"/>
      <c r="AG1586" s="7" t="str">
        <f>TRIM(LEFT(L1586,FIND("-",L1586)-1))</f>
        <v>Bàu Cạn</v>
      </c>
      <c r="AH1586" s="7" t="str">
        <f>TRIM(RIGHT(L1586, LEN(L1586) - FIND("-", L1586)))</f>
        <v>Ia Krel</v>
      </c>
      <c r="AI1586" s="1"/>
      <c r="AJ1586" s="1"/>
      <c r="AK1586" s="1"/>
      <c r="AL1586" s="1" t="e">
        <f>VLOOKUP(L1586,'[1]Tuyến cáp H04'!$B:$E,3,0)/1000</f>
        <v>#N/A</v>
      </c>
      <c r="AM1586" s="1" t="e">
        <f>VLOOKUP(L1586,'[1]Tuyến cáp H04'!$B:$E,4,0)</f>
        <v>#N/A</v>
      </c>
      <c r="AN1586" s="1" t="str">
        <f t="shared" si="121"/>
        <v>Bàu Cạn-Ia Krel</v>
      </c>
      <c r="AO1586" s="1"/>
      <c r="AP1586" s="1" t="e">
        <f>VLOOKUP(AN1586,'[1]Tuyến cáp H04'!$B:$E,3,0)/1000</f>
        <v>#N/A</v>
      </c>
      <c r="AQ1586" s="1" t="e">
        <f>VLOOKUP(AN1586,'[1]Tuyến cáp H04'!$B:$E,4,0)</f>
        <v>#N/A</v>
      </c>
    </row>
    <row r="1587" spans="12:43" ht="15.75" x14ac:dyDescent="0.25">
      <c r="L1587" s="6" t="s">
        <v>15596</v>
      </c>
      <c r="M1587" s="6" t="s">
        <v>15596</v>
      </c>
      <c r="N1587" s="6"/>
      <c r="O1587" s="1"/>
      <c r="P1587" s="1"/>
      <c r="Q1587" s="1"/>
      <c r="R1587" s="1"/>
      <c r="S1587" s="1"/>
      <c r="T1587" s="1"/>
      <c r="U1587" s="1"/>
      <c r="V1587" s="13">
        <f>COUNTIF(L1587:$M$1659,L1587)</f>
        <v>2</v>
      </c>
      <c r="W1587" s="1"/>
      <c r="X1587" s="1"/>
      <c r="Y1587" s="1"/>
      <c r="Z1587" s="1"/>
      <c r="AA1587" s="1"/>
      <c r="AB1587" s="1"/>
      <c r="AC1587" s="1"/>
      <c r="AD1587" s="1"/>
      <c r="AE1587" s="1"/>
      <c r="AF1587" s="1"/>
      <c r="AG1587" s="7" t="str">
        <f>TRIM(LEFT(L1587,FIND("-",L1587)-1))</f>
        <v>Ia Grai</v>
      </c>
      <c r="AH1587" s="7" t="str">
        <f>TRIM(RIGHT(L1587, LEN(L1587) - FIND("-", L1587)))</f>
        <v>Đức Cơ</v>
      </c>
      <c r="AI1587" s="1"/>
      <c r="AJ1587" s="1"/>
      <c r="AK1587" s="1"/>
      <c r="AL1587" s="1" t="e">
        <f>VLOOKUP(L1587,'[1]Tuyến cáp H04'!$B:$E,3,0)/1000</f>
        <v>#N/A</v>
      </c>
      <c r="AM1587" s="1" t="e">
        <f>VLOOKUP(L1587,'[1]Tuyến cáp H04'!$B:$E,4,0)</f>
        <v>#N/A</v>
      </c>
      <c r="AN1587" s="1" t="str">
        <f t="shared" si="121"/>
        <v>Ia Grai-Đức Cơ</v>
      </c>
      <c r="AO1587" s="1"/>
      <c r="AP1587" s="1" t="e">
        <f>VLOOKUP(AN1587,'[1]Tuyến cáp H04'!$B:$E,3,0)/1000</f>
        <v>#N/A</v>
      </c>
      <c r="AQ1587" s="1" t="e">
        <f>VLOOKUP(AN1587,'[1]Tuyến cáp H04'!$B:$E,4,0)</f>
        <v>#N/A</v>
      </c>
    </row>
    <row r="1588" spans="12:43" ht="15.75" x14ac:dyDescent="0.25">
      <c r="L1588" s="6" t="s">
        <v>15625</v>
      </c>
      <c r="M1588" s="6" t="s">
        <v>15625</v>
      </c>
      <c r="N1588" s="6"/>
      <c r="O1588" s="1"/>
      <c r="P1588" s="1"/>
      <c r="Q1588" s="1"/>
      <c r="R1588" s="1"/>
      <c r="S1588" s="1"/>
      <c r="T1588" s="1"/>
      <c r="U1588" s="1"/>
      <c r="V1588" s="13">
        <f>COUNTIF(L1588:$M$1659,L1588)</f>
        <v>2</v>
      </c>
      <c r="W1588" s="1"/>
      <c r="X1588" s="1"/>
      <c r="Y1588" s="1"/>
      <c r="Z1588" s="1"/>
      <c r="AA1588" s="1"/>
      <c r="AB1588" s="1"/>
      <c r="AC1588" s="1"/>
      <c r="AD1588" s="1"/>
      <c r="AE1588" s="1"/>
      <c r="AF1588" s="1"/>
      <c r="AG1588" s="7" t="str">
        <f>TRIM(LEFT(L1588,FIND("-",L1588)-1))</f>
        <v>TTCMKV Đức Cơ</v>
      </c>
      <c r="AH1588" s="7" t="str">
        <f>TRIM(RIGHT(L1588, LEN(L1588) - FIND("-", L1588)))</f>
        <v>Ia Dom</v>
      </c>
      <c r="AI1588" s="1"/>
      <c r="AJ1588" s="1"/>
      <c r="AK1588" s="1"/>
      <c r="AL1588" s="1" t="e">
        <f>VLOOKUP(L1588,'[1]Tuyến cáp H04'!$B:$E,3,0)/1000</f>
        <v>#N/A</v>
      </c>
      <c r="AM1588" s="1" t="e">
        <f>VLOOKUP(L1588,'[1]Tuyến cáp H04'!$B:$E,4,0)</f>
        <v>#N/A</v>
      </c>
      <c r="AN1588" s="1" t="str">
        <f t="shared" si="121"/>
        <v>TTCMKV Đức Cơ-Ia Dom</v>
      </c>
      <c r="AO1588" s="1"/>
      <c r="AP1588" s="1" t="e">
        <f>VLOOKUP(AN1588,'[1]Tuyến cáp H04'!$B:$E,3,0)/1000</f>
        <v>#N/A</v>
      </c>
      <c r="AQ1588" s="1" t="e">
        <f>VLOOKUP(AN1588,'[1]Tuyến cáp H04'!$B:$E,4,0)</f>
        <v>#N/A</v>
      </c>
    </row>
    <row r="1589" spans="12:43" ht="15.75" x14ac:dyDescent="0.25">
      <c r="L1589" s="6" t="s">
        <v>15612</v>
      </c>
      <c r="M1589" s="6" t="s">
        <v>15612</v>
      </c>
      <c r="N1589" s="6"/>
      <c r="O1589" s="1"/>
      <c r="P1589" s="1"/>
      <c r="Q1589" s="1"/>
      <c r="R1589" s="1"/>
      <c r="S1589" s="1"/>
      <c r="T1589" s="1"/>
      <c r="U1589" s="1"/>
      <c r="V1589" s="13">
        <f>COUNTIF(L1589:$M$1659,L1589)</f>
        <v>4</v>
      </c>
      <c r="W1589" s="1"/>
      <c r="X1589" s="1"/>
      <c r="Y1589" s="1"/>
      <c r="Z1589" s="1"/>
      <c r="AA1589" s="1"/>
      <c r="AB1589" s="1"/>
      <c r="AC1589" s="1"/>
      <c r="AD1589" s="1"/>
      <c r="AE1589" s="1"/>
      <c r="AF1589" s="1"/>
      <c r="AG1589" s="7" t="str">
        <f>TRIM(LEFT(L1589,FIND("-",L1589)-1))</f>
        <v>TT2 Gia Lai</v>
      </c>
      <c r="AH1589" s="7" t="str">
        <f>TRIM(RIGHT(L1589, LEN(L1589) - FIND("-", L1589)))</f>
        <v>Chư Sê</v>
      </c>
      <c r="AI1589" s="1"/>
      <c r="AJ1589" s="1"/>
      <c r="AK1589" s="1"/>
      <c r="AL1589" s="1" t="e">
        <f>VLOOKUP(L1589,'[1]Tuyến cáp H04'!$B:$E,3,0)/1000</f>
        <v>#N/A</v>
      </c>
      <c r="AM1589" s="1" t="e">
        <f>VLOOKUP(L1589,'[1]Tuyến cáp H04'!$B:$E,4,0)</f>
        <v>#N/A</v>
      </c>
      <c r="AN1589" s="1" t="str">
        <f t="shared" si="121"/>
        <v>TT2 Gia Lai-Chư Sê</v>
      </c>
      <c r="AO1589" s="1"/>
      <c r="AP1589" s="1" t="e">
        <f>VLOOKUP(AN1589,'[1]Tuyến cáp H04'!$B:$E,3,0)/1000</f>
        <v>#N/A</v>
      </c>
      <c r="AQ1589" s="1" t="e">
        <f>VLOOKUP(AN1589,'[1]Tuyến cáp H04'!$B:$E,4,0)</f>
        <v>#N/A</v>
      </c>
    </row>
    <row r="1590" spans="12:43" ht="15.75" x14ac:dyDescent="0.25">
      <c r="L1590" s="6" t="s">
        <v>15597</v>
      </c>
      <c r="M1590" s="6" t="s">
        <v>15597</v>
      </c>
      <c r="N1590" s="6"/>
      <c r="O1590" s="1"/>
      <c r="P1590" s="1"/>
      <c r="Q1590" s="1"/>
      <c r="R1590" s="1"/>
      <c r="S1590" s="1"/>
      <c r="T1590" s="1"/>
      <c r="U1590" s="1"/>
      <c r="V1590" s="13">
        <f>COUNTIF(L1590:$M$1659,L1590)</f>
        <v>4</v>
      </c>
      <c r="W1590" s="1"/>
      <c r="X1590" s="1"/>
      <c r="Y1590" s="1"/>
      <c r="Z1590" s="1"/>
      <c r="AA1590" s="1"/>
      <c r="AB1590" s="1"/>
      <c r="AC1590" s="1"/>
      <c r="AD1590" s="1"/>
      <c r="AE1590" s="1"/>
      <c r="AF1590" s="1"/>
      <c r="AG1590" s="7" t="str">
        <f>TRIM(LEFT(L1590,FIND("-",L1590)-1))</f>
        <v>Đức Cơ</v>
      </c>
      <c r="AH1590" s="7" t="str">
        <f>TRIM(RIGHT(L1590, LEN(L1590) - FIND("-", L1590)))</f>
        <v>Chư Prông</v>
      </c>
      <c r="AI1590" s="1"/>
      <c r="AJ1590" s="1"/>
      <c r="AK1590" s="1"/>
      <c r="AL1590" s="1" t="e">
        <f>VLOOKUP(L1590,'[1]Tuyến cáp H04'!$B:$E,3,0)/1000</f>
        <v>#N/A</v>
      </c>
      <c r="AM1590" s="1" t="e">
        <f>VLOOKUP(L1590,'[1]Tuyến cáp H04'!$B:$E,4,0)</f>
        <v>#N/A</v>
      </c>
      <c r="AN1590" s="1" t="str">
        <f t="shared" si="121"/>
        <v>Đức Cơ-Chư Prông</v>
      </c>
      <c r="AO1590" s="1"/>
      <c r="AP1590" s="1" t="e">
        <f>VLOOKUP(AN1590,'[1]Tuyến cáp H04'!$B:$E,3,0)/1000</f>
        <v>#N/A</v>
      </c>
      <c r="AQ1590" s="1" t="e">
        <f>VLOOKUP(AN1590,'[1]Tuyến cáp H04'!$B:$E,4,0)</f>
        <v>#N/A</v>
      </c>
    </row>
    <row r="1591" spans="12:43" ht="15.75" x14ac:dyDescent="0.25">
      <c r="L1591" s="6" t="s">
        <v>15597</v>
      </c>
      <c r="M1591" s="6" t="s">
        <v>15597</v>
      </c>
      <c r="N1591" s="6"/>
      <c r="O1591" s="1"/>
      <c r="P1591" s="1"/>
      <c r="Q1591" s="1"/>
      <c r="R1591" s="1"/>
      <c r="S1591" s="1"/>
      <c r="T1591" s="1"/>
      <c r="U1591" s="1"/>
      <c r="V1591" s="13">
        <f>COUNTIF(L1591:$M$1659,L1591)</f>
        <v>2</v>
      </c>
      <c r="W1591" s="1"/>
      <c r="X1591" s="1"/>
      <c r="Y1591" s="1"/>
      <c r="Z1591" s="1"/>
      <c r="AA1591" s="1"/>
      <c r="AB1591" s="1"/>
      <c r="AC1591" s="1"/>
      <c r="AD1591" s="1"/>
      <c r="AE1591" s="1"/>
      <c r="AF1591" s="1"/>
      <c r="AG1591" s="7" t="str">
        <f>TRIM(LEFT(L1591,FIND("-",L1591)-1))</f>
        <v>Đức Cơ</v>
      </c>
      <c r="AH1591" s="7" t="str">
        <f>TRIM(RIGHT(L1591, LEN(L1591) - FIND("-", L1591)))</f>
        <v>Chư Prông</v>
      </c>
      <c r="AI1591" s="1"/>
      <c r="AJ1591" s="1"/>
      <c r="AK1591" s="1"/>
      <c r="AL1591" s="1" t="e">
        <f>VLOOKUP(L1591,'[1]Tuyến cáp H04'!$B:$E,3,0)/1000</f>
        <v>#N/A</v>
      </c>
      <c r="AM1591" s="1" t="e">
        <f>VLOOKUP(L1591,'[1]Tuyến cáp H04'!$B:$E,4,0)</f>
        <v>#N/A</v>
      </c>
      <c r="AN1591" s="1" t="str">
        <f t="shared" si="121"/>
        <v>Đức Cơ-Chư Prông</v>
      </c>
      <c r="AO1591" s="1"/>
      <c r="AP1591" s="1" t="e">
        <f>VLOOKUP(AN1591,'[1]Tuyến cáp H04'!$B:$E,3,0)/1000</f>
        <v>#N/A</v>
      </c>
      <c r="AQ1591" s="1" t="e">
        <f>VLOOKUP(AN1591,'[1]Tuyến cáp H04'!$B:$E,4,0)</f>
        <v>#N/A</v>
      </c>
    </row>
    <row r="1592" spans="12:43" ht="15.75" x14ac:dyDescent="0.25">
      <c r="L1592" s="6" t="s">
        <v>15633</v>
      </c>
      <c r="M1592" s="6" t="s">
        <v>15633</v>
      </c>
      <c r="N1592" s="6"/>
      <c r="O1592" s="1"/>
      <c r="P1592" s="1"/>
      <c r="Q1592" s="1"/>
      <c r="R1592" s="1"/>
      <c r="S1592" s="1"/>
      <c r="T1592" s="1"/>
      <c r="U1592" s="1"/>
      <c r="V1592" s="13">
        <f>COUNTIF(L1592:$M$1659,L1592)</f>
        <v>2</v>
      </c>
      <c r="W1592" s="1"/>
      <c r="X1592" s="1"/>
      <c r="Y1592" s="1"/>
      <c r="Z1592" s="1"/>
      <c r="AA1592" s="1"/>
      <c r="AB1592" s="1"/>
      <c r="AC1592" s="1"/>
      <c r="AD1592" s="1"/>
      <c r="AE1592" s="1"/>
      <c r="AF1592" s="1"/>
      <c r="AG1592" s="7" t="str">
        <f>TRIM(LEFT(L1592,FIND("-",L1592)-1))</f>
        <v>TTCMKV Chư Prông</v>
      </c>
      <c r="AH1592" s="7" t="str">
        <f>TRIM(RIGHT(L1592, LEN(L1592) - FIND("-", L1592)))</f>
        <v>Chư Prông</v>
      </c>
      <c r="AI1592" s="1"/>
      <c r="AJ1592" s="1"/>
      <c r="AK1592" s="1"/>
      <c r="AL1592" s="1" t="e">
        <f>VLOOKUP(L1592,'[1]Tuyến cáp H04'!$B:$E,3,0)/1000</f>
        <v>#N/A</v>
      </c>
      <c r="AM1592" s="1" t="e">
        <f>VLOOKUP(L1592,'[1]Tuyến cáp H04'!$B:$E,4,0)</f>
        <v>#N/A</v>
      </c>
      <c r="AN1592" s="1" t="str">
        <f t="shared" si="121"/>
        <v>TTCMKV Chư Prông-Chư Prông</v>
      </c>
      <c r="AO1592" s="1"/>
      <c r="AP1592" s="1" t="e">
        <f>VLOOKUP(AN1592,'[1]Tuyến cáp H04'!$B:$E,3,0)/1000</f>
        <v>#N/A</v>
      </c>
      <c r="AQ1592" s="1" t="e">
        <f>VLOOKUP(AN1592,'[1]Tuyến cáp H04'!$B:$E,4,0)</f>
        <v>#N/A</v>
      </c>
    </row>
    <row r="1593" spans="12:43" ht="15.75" x14ac:dyDescent="0.25">
      <c r="L1593" s="6" t="s">
        <v>15598</v>
      </c>
      <c r="M1593" s="6" t="s">
        <v>15598</v>
      </c>
      <c r="N1593" s="6"/>
      <c r="O1593" s="1"/>
      <c r="P1593" s="1"/>
      <c r="Q1593" s="1"/>
      <c r="R1593" s="1"/>
      <c r="S1593" s="1"/>
      <c r="T1593" s="1"/>
      <c r="U1593" s="1"/>
      <c r="V1593" s="13">
        <f>COUNTIF(L1593:$M$1659,L1593)</f>
        <v>4</v>
      </c>
      <c r="W1593" s="1"/>
      <c r="X1593" s="1"/>
      <c r="Y1593" s="1"/>
      <c r="Z1593" s="1"/>
      <c r="AA1593" s="1"/>
      <c r="AB1593" s="1"/>
      <c r="AC1593" s="1"/>
      <c r="AD1593" s="1"/>
      <c r="AE1593" s="1"/>
      <c r="AF1593" s="1"/>
      <c r="AG1593" s="7" t="str">
        <f>TRIM(LEFT(L1593,FIND("-",L1593)-1))</f>
        <v>PC11A</v>
      </c>
      <c r="AH1593" s="7" t="str">
        <f>TRIM(RIGHT(L1593, LEN(L1593) - FIND("-", L1593)))</f>
        <v>Chư Sê</v>
      </c>
      <c r="AI1593" s="1"/>
      <c r="AJ1593" s="1"/>
      <c r="AK1593" s="1"/>
      <c r="AL1593" s="1" t="e">
        <f>VLOOKUP(L1593,'[1]Tuyến cáp H04'!$B:$E,3,0)/1000</f>
        <v>#N/A</v>
      </c>
      <c r="AM1593" s="1" t="e">
        <f>VLOOKUP(L1593,'[1]Tuyến cáp H04'!$B:$E,4,0)</f>
        <v>#N/A</v>
      </c>
      <c r="AN1593" s="1" t="str">
        <f t="shared" si="121"/>
        <v>PC11A-Chư Sê</v>
      </c>
      <c r="AO1593" s="1"/>
      <c r="AP1593" s="1" t="e">
        <f>VLOOKUP(AN1593,'[1]Tuyến cáp H04'!$B:$E,3,0)/1000</f>
        <v>#N/A</v>
      </c>
      <c r="AQ1593" s="1" t="e">
        <f>VLOOKUP(AN1593,'[1]Tuyến cáp H04'!$B:$E,4,0)</f>
        <v>#N/A</v>
      </c>
    </row>
    <row r="1594" spans="12:43" ht="15.75" x14ac:dyDescent="0.25">
      <c r="L1594" s="6" t="s">
        <v>15629</v>
      </c>
      <c r="M1594" s="6" t="s">
        <v>15629</v>
      </c>
      <c r="N1594" s="6"/>
      <c r="O1594" s="1"/>
      <c r="P1594" s="1"/>
      <c r="Q1594" s="1"/>
      <c r="R1594" s="1"/>
      <c r="S1594" s="1"/>
      <c r="T1594" s="1"/>
      <c r="U1594" s="1"/>
      <c r="V1594" s="13">
        <f>COUNTIF(L1594:$M$1659,L1594)</f>
        <v>2</v>
      </c>
      <c r="W1594" s="1"/>
      <c r="X1594" s="1"/>
      <c r="Y1594" s="1"/>
      <c r="Z1594" s="1"/>
      <c r="AA1594" s="1"/>
      <c r="AB1594" s="1"/>
      <c r="AC1594" s="1"/>
      <c r="AD1594" s="1"/>
      <c r="AE1594" s="1"/>
      <c r="AF1594" s="1"/>
      <c r="AG1594" s="7" t="str">
        <f>TRIM(LEFT(L1594,FIND("-",L1594)-1))</f>
        <v>Chư Pưh</v>
      </c>
      <c r="AH1594" s="7" t="str">
        <f>TRIM(RIGHT(L1594, LEN(L1594) - FIND("-", L1594)))</f>
        <v>Hàm Rồng</v>
      </c>
      <c r="AI1594" s="1"/>
      <c r="AJ1594" s="1"/>
      <c r="AK1594" s="1"/>
      <c r="AL1594" s="1" t="e">
        <f>VLOOKUP(L1594,'[1]Tuyến cáp H04'!$B:$E,3,0)/1000</f>
        <v>#N/A</v>
      </c>
      <c r="AM1594" s="1" t="e">
        <f>VLOOKUP(L1594,'[1]Tuyến cáp H04'!$B:$E,4,0)</f>
        <v>#N/A</v>
      </c>
      <c r="AN1594" s="1" t="str">
        <f t="shared" si="121"/>
        <v>Chư Pưh-Hàm Rồng</v>
      </c>
      <c r="AO1594" s="1"/>
      <c r="AP1594" s="1" t="e">
        <f>VLOOKUP(AN1594,'[1]Tuyến cáp H04'!$B:$E,3,0)/1000</f>
        <v>#N/A</v>
      </c>
      <c r="AQ1594" s="1" t="e">
        <f>VLOOKUP(AN1594,'[1]Tuyến cáp H04'!$B:$E,4,0)</f>
        <v>#N/A</v>
      </c>
    </row>
    <row r="1595" spans="12:43" ht="15.75" x14ac:dyDescent="0.25">
      <c r="L1595" s="6" t="s">
        <v>15634</v>
      </c>
      <c r="M1595" s="6" t="s">
        <v>15634</v>
      </c>
      <c r="N1595" s="6"/>
      <c r="O1595" s="1"/>
      <c r="P1595" s="1"/>
      <c r="Q1595" s="1"/>
      <c r="R1595" s="1"/>
      <c r="S1595" s="1"/>
      <c r="T1595" s="1"/>
      <c r="U1595" s="1"/>
      <c r="V1595" s="13">
        <f>COUNTIF(L1595:$M$1659,L1595)</f>
        <v>8</v>
      </c>
      <c r="W1595" s="1"/>
      <c r="X1595" s="1"/>
      <c r="Y1595" s="1"/>
      <c r="Z1595" s="1"/>
      <c r="AA1595" s="1"/>
      <c r="AB1595" s="1"/>
      <c r="AC1595" s="1"/>
      <c r="AD1595" s="1"/>
      <c r="AE1595" s="1"/>
      <c r="AF1595" s="1"/>
      <c r="AG1595" s="7" t="str">
        <f>TRIM(LEFT(L1595,FIND("-",L1595)-1))</f>
        <v>Chư Prông</v>
      </c>
      <c r="AH1595" s="7" t="str">
        <f>TRIM(RIGHT(L1595, LEN(L1595) - FIND("-", L1595)))</f>
        <v>Chư Pưh</v>
      </c>
      <c r="AI1595" s="1"/>
      <c r="AJ1595" s="1"/>
      <c r="AK1595" s="1"/>
      <c r="AL1595" s="1" t="e">
        <f>VLOOKUP(L1595,'[1]Tuyến cáp H04'!$B:$E,3,0)/1000</f>
        <v>#N/A</v>
      </c>
      <c r="AM1595" s="1" t="e">
        <f>VLOOKUP(L1595,'[1]Tuyến cáp H04'!$B:$E,4,0)</f>
        <v>#N/A</v>
      </c>
      <c r="AN1595" s="1" t="str">
        <f t="shared" si="121"/>
        <v>Chư Prông-Chư Pưh</v>
      </c>
      <c r="AO1595" s="1"/>
      <c r="AP1595" s="1" t="e">
        <f>VLOOKUP(AN1595,'[1]Tuyến cáp H04'!$B:$E,3,0)/1000</f>
        <v>#N/A</v>
      </c>
      <c r="AQ1595" s="1" t="e">
        <f>VLOOKUP(AN1595,'[1]Tuyến cáp H04'!$B:$E,4,0)</f>
        <v>#N/A</v>
      </c>
    </row>
    <row r="1596" spans="12:43" ht="15.75" x14ac:dyDescent="0.25">
      <c r="L1596" s="6" t="s">
        <v>15634</v>
      </c>
      <c r="M1596" s="6" t="s">
        <v>15634</v>
      </c>
      <c r="N1596" s="6"/>
      <c r="O1596" s="1"/>
      <c r="P1596" s="1"/>
      <c r="Q1596" s="1"/>
      <c r="R1596" s="1"/>
      <c r="S1596" s="1"/>
      <c r="T1596" s="1"/>
      <c r="U1596" s="1"/>
      <c r="V1596" s="13">
        <f>COUNTIF(L1596:$M$1659,L1596)</f>
        <v>6</v>
      </c>
      <c r="W1596" s="1"/>
      <c r="X1596" s="1"/>
      <c r="Y1596" s="1"/>
      <c r="Z1596" s="1"/>
      <c r="AA1596" s="1"/>
      <c r="AB1596" s="1"/>
      <c r="AC1596" s="1"/>
      <c r="AD1596" s="1"/>
      <c r="AE1596" s="1"/>
      <c r="AF1596" s="1"/>
      <c r="AG1596" s="7" t="str">
        <f>TRIM(LEFT(L1596,FIND("-",L1596)-1))</f>
        <v>Chư Prông</v>
      </c>
      <c r="AH1596" s="7" t="str">
        <f>TRIM(RIGHT(L1596, LEN(L1596) - FIND("-", L1596)))</f>
        <v>Chư Pưh</v>
      </c>
      <c r="AI1596" s="1"/>
      <c r="AJ1596" s="1"/>
      <c r="AK1596" s="1"/>
      <c r="AL1596" s="1" t="e">
        <f>VLOOKUP(L1596,'[1]Tuyến cáp H04'!$B:$E,3,0)/1000</f>
        <v>#N/A</v>
      </c>
      <c r="AM1596" s="1" t="e">
        <f>VLOOKUP(L1596,'[1]Tuyến cáp H04'!$B:$E,4,0)</f>
        <v>#N/A</v>
      </c>
      <c r="AN1596" s="1" t="str">
        <f t="shared" si="121"/>
        <v>Chư Prông-Chư Pưh</v>
      </c>
      <c r="AO1596" s="1"/>
      <c r="AP1596" s="1" t="e">
        <f>VLOOKUP(AN1596,'[1]Tuyến cáp H04'!$B:$E,3,0)/1000</f>
        <v>#N/A</v>
      </c>
      <c r="AQ1596" s="1" t="e">
        <f>VLOOKUP(AN1596,'[1]Tuyến cáp H04'!$B:$E,4,0)</f>
        <v>#N/A</v>
      </c>
    </row>
    <row r="1597" spans="12:43" ht="15.75" x14ac:dyDescent="0.25">
      <c r="L1597" s="6" t="s">
        <v>15634</v>
      </c>
      <c r="M1597" s="6" t="s">
        <v>15634</v>
      </c>
      <c r="N1597" s="6"/>
      <c r="O1597" s="1"/>
      <c r="P1597" s="1"/>
      <c r="Q1597" s="1"/>
      <c r="R1597" s="1"/>
      <c r="S1597" s="1"/>
      <c r="T1597" s="1"/>
      <c r="U1597" s="1"/>
      <c r="V1597" s="13">
        <f>COUNTIF(L1597:$M$1659,L1597)</f>
        <v>4</v>
      </c>
      <c r="W1597" s="1"/>
      <c r="X1597" s="1"/>
      <c r="Y1597" s="1"/>
      <c r="Z1597" s="1"/>
      <c r="AA1597" s="1"/>
      <c r="AB1597" s="1"/>
      <c r="AC1597" s="1"/>
      <c r="AD1597" s="1"/>
      <c r="AE1597" s="1"/>
      <c r="AF1597" s="1"/>
      <c r="AG1597" s="7" t="str">
        <f>TRIM(LEFT(L1597,FIND("-",L1597)-1))</f>
        <v>Chư Prông</v>
      </c>
      <c r="AH1597" s="7" t="str">
        <f>TRIM(RIGHT(L1597, LEN(L1597) - FIND("-", L1597)))</f>
        <v>Chư Pưh</v>
      </c>
      <c r="AI1597" s="1"/>
      <c r="AJ1597" s="1"/>
      <c r="AK1597" s="1"/>
      <c r="AL1597" s="1" t="e">
        <f>VLOOKUP(L1597,'[1]Tuyến cáp H04'!$B:$E,3,0)/1000</f>
        <v>#N/A</v>
      </c>
      <c r="AM1597" s="1" t="e">
        <f>VLOOKUP(L1597,'[1]Tuyến cáp H04'!$B:$E,4,0)</f>
        <v>#N/A</v>
      </c>
      <c r="AN1597" s="1" t="str">
        <f t="shared" si="121"/>
        <v>Chư Prông-Chư Pưh</v>
      </c>
      <c r="AO1597" s="1"/>
      <c r="AP1597" s="1" t="e">
        <f>VLOOKUP(AN1597,'[1]Tuyến cáp H04'!$B:$E,3,0)/1000</f>
        <v>#N/A</v>
      </c>
      <c r="AQ1597" s="1" t="e">
        <f>VLOOKUP(AN1597,'[1]Tuyến cáp H04'!$B:$E,4,0)</f>
        <v>#N/A</v>
      </c>
    </row>
    <row r="1598" spans="12:43" ht="15.75" x14ac:dyDescent="0.25">
      <c r="L1598" s="6" t="s">
        <v>15635</v>
      </c>
      <c r="M1598" s="6" t="s">
        <v>15635</v>
      </c>
      <c r="N1598" s="6"/>
      <c r="O1598" s="1"/>
      <c r="P1598" s="1"/>
      <c r="Q1598" s="1"/>
      <c r="R1598" s="1"/>
      <c r="S1598" s="1"/>
      <c r="T1598" s="1"/>
      <c r="U1598" s="1"/>
      <c r="V1598" s="13">
        <f>COUNTIF(L1598:$M$1659,L1598)</f>
        <v>2</v>
      </c>
      <c r="W1598" s="1"/>
      <c r="X1598" s="1"/>
      <c r="Y1598" s="1"/>
      <c r="Z1598" s="1"/>
      <c r="AA1598" s="1"/>
      <c r="AB1598" s="1"/>
      <c r="AC1598" s="1"/>
      <c r="AD1598" s="1"/>
      <c r="AE1598" s="1"/>
      <c r="AF1598" s="1"/>
      <c r="AG1598" s="7" t="str">
        <f>TRIM(LEFT(L1598,FIND("-",L1598)-1))</f>
        <v>Ia Ko</v>
      </c>
      <c r="AH1598" s="7" t="str">
        <f>TRIM(RIGHT(L1598, LEN(L1598) - FIND("-", L1598)))</f>
        <v>Ia Hrú</v>
      </c>
      <c r="AI1598" s="1"/>
      <c r="AJ1598" s="1"/>
      <c r="AK1598" s="1"/>
      <c r="AL1598" s="1" t="e">
        <f>VLOOKUP(L1598,'[1]Tuyến cáp H04'!$B:$E,3,0)/1000</f>
        <v>#N/A</v>
      </c>
      <c r="AM1598" s="1" t="e">
        <f>VLOOKUP(L1598,'[1]Tuyến cáp H04'!$B:$E,4,0)</f>
        <v>#N/A</v>
      </c>
      <c r="AN1598" s="1" t="str">
        <f t="shared" si="121"/>
        <v>Ia Ko-Ia Hrú</v>
      </c>
      <c r="AO1598" s="1"/>
      <c r="AP1598" s="1" t="e">
        <f>VLOOKUP(AN1598,'[1]Tuyến cáp H04'!$B:$E,3,0)/1000</f>
        <v>#N/A</v>
      </c>
      <c r="AQ1598" s="1" t="e">
        <f>VLOOKUP(AN1598,'[1]Tuyến cáp H04'!$B:$E,4,0)</f>
        <v>#N/A</v>
      </c>
    </row>
    <row r="1599" spans="12:43" ht="15.75" x14ac:dyDescent="0.25">
      <c r="L1599" s="6" t="s">
        <v>15636</v>
      </c>
      <c r="M1599" s="6" t="s">
        <v>15636</v>
      </c>
      <c r="N1599" s="6"/>
      <c r="O1599" s="1"/>
      <c r="P1599" s="1"/>
      <c r="Q1599" s="1"/>
      <c r="R1599" s="1"/>
      <c r="S1599" s="1"/>
      <c r="T1599" s="1"/>
      <c r="U1599" s="1"/>
      <c r="V1599" s="13">
        <f>COUNTIF(L1599:$M$1659,L1599)</f>
        <v>2</v>
      </c>
      <c r="W1599" s="1"/>
      <c r="X1599" s="1"/>
      <c r="Y1599" s="1"/>
      <c r="Z1599" s="1"/>
      <c r="AA1599" s="1"/>
      <c r="AB1599" s="1"/>
      <c r="AC1599" s="1"/>
      <c r="AD1599" s="1"/>
      <c r="AE1599" s="1"/>
      <c r="AF1599" s="1"/>
      <c r="AG1599" s="7" t="str">
        <f>TRIM(LEFT(L1599,FIND("-",L1599)-1))</f>
        <v>Ia Mơ</v>
      </c>
      <c r="AH1599" s="7" t="str">
        <f>TRIM(RIGHT(L1599, LEN(L1599) - FIND("-", L1599)))</f>
        <v>Ia Lâu</v>
      </c>
      <c r="AI1599" s="1"/>
      <c r="AJ1599" s="1"/>
      <c r="AK1599" s="1"/>
      <c r="AL1599" s="1" t="e">
        <f>VLOOKUP(L1599,'[1]Tuyến cáp H04'!$B:$E,3,0)/1000</f>
        <v>#N/A</v>
      </c>
      <c r="AM1599" s="1" t="e">
        <f>VLOOKUP(L1599,'[1]Tuyến cáp H04'!$B:$E,4,0)</f>
        <v>#N/A</v>
      </c>
      <c r="AN1599" s="1" t="str">
        <f t="shared" si="121"/>
        <v>Ia Mơ-Ia Lâu</v>
      </c>
      <c r="AO1599" s="1"/>
      <c r="AP1599" s="1" t="e">
        <f>VLOOKUP(AN1599,'[1]Tuyến cáp H04'!$B:$E,3,0)/1000</f>
        <v>#N/A</v>
      </c>
      <c r="AQ1599" s="1" t="e">
        <f>VLOOKUP(AN1599,'[1]Tuyến cáp H04'!$B:$E,4,0)</f>
        <v>#N/A</v>
      </c>
    </row>
    <row r="1600" spans="12:43" ht="15.75" x14ac:dyDescent="0.25">
      <c r="L1600" s="6" t="s">
        <v>15637</v>
      </c>
      <c r="M1600" s="6" t="s">
        <v>15637</v>
      </c>
      <c r="N1600" s="6"/>
      <c r="O1600" s="1"/>
      <c r="P1600" s="1"/>
      <c r="Q1600" s="1"/>
      <c r="R1600" s="1"/>
      <c r="S1600" s="1"/>
      <c r="T1600" s="1"/>
      <c r="U1600" s="1"/>
      <c r="V1600" s="13">
        <f>COUNTIF(L1600:$M$1659,L1600)</f>
        <v>2</v>
      </c>
      <c r="W1600" s="1"/>
      <c r="X1600" s="1"/>
      <c r="Y1600" s="1"/>
      <c r="Z1600" s="1"/>
      <c r="AA1600" s="1"/>
      <c r="AB1600" s="1"/>
      <c r="AC1600" s="1"/>
      <c r="AD1600" s="1"/>
      <c r="AE1600" s="1"/>
      <c r="AF1600" s="1"/>
      <c r="AG1600" s="7" t="str">
        <f>TRIM(LEFT(L1600,FIND("-",L1600)-1))</f>
        <v>TTCMKV Chư Prong</v>
      </c>
      <c r="AH1600" s="7" t="str">
        <f>TRIM(RIGHT(L1600, LEN(L1600) - FIND("-", L1600)))</f>
        <v>IaPia</v>
      </c>
      <c r="AI1600" s="1"/>
      <c r="AJ1600" s="1"/>
      <c r="AK1600" s="1"/>
      <c r="AL1600" s="1" t="e">
        <f>VLOOKUP(L1600,'[1]Tuyến cáp H04'!$B:$E,3,0)/1000</f>
        <v>#N/A</v>
      </c>
      <c r="AM1600" s="1" t="e">
        <f>VLOOKUP(L1600,'[1]Tuyến cáp H04'!$B:$E,4,0)</f>
        <v>#N/A</v>
      </c>
      <c r="AN1600" s="1" t="str">
        <f t="shared" si="121"/>
        <v>TTCMKV Chư Prong-IaPia</v>
      </c>
      <c r="AO1600" s="1"/>
      <c r="AP1600" s="1" t="e">
        <f>VLOOKUP(AN1600,'[1]Tuyến cáp H04'!$B:$E,3,0)/1000</f>
        <v>#N/A</v>
      </c>
      <c r="AQ1600" s="1" t="e">
        <f>VLOOKUP(AN1600,'[1]Tuyến cáp H04'!$B:$E,4,0)</f>
        <v>#N/A</v>
      </c>
    </row>
    <row r="1601" spans="12:43" ht="15.75" x14ac:dyDescent="0.25">
      <c r="L1601" s="6" t="s">
        <v>15638</v>
      </c>
      <c r="M1601" s="6" t="s">
        <v>15638</v>
      </c>
      <c r="N1601" s="6"/>
      <c r="O1601" s="1"/>
      <c r="P1601" s="1"/>
      <c r="Q1601" s="1"/>
      <c r="R1601" s="1"/>
      <c r="S1601" s="1"/>
      <c r="T1601" s="1"/>
      <c r="U1601" s="1"/>
      <c r="V1601" s="13">
        <f>COUNTIF(L1601:$M$1659,L1601)</f>
        <v>6</v>
      </c>
      <c r="W1601" s="1"/>
      <c r="X1601" s="1"/>
      <c r="Y1601" s="1"/>
      <c r="Z1601" s="1"/>
      <c r="AA1601" s="1"/>
      <c r="AB1601" s="1"/>
      <c r="AC1601" s="1"/>
      <c r="AD1601" s="1"/>
      <c r="AE1601" s="1"/>
      <c r="AF1601" s="1"/>
      <c r="AG1601" s="7" t="str">
        <f>TRIM(LEFT(L1601,FIND("-",L1601)-1))</f>
        <v>Ia Tôr</v>
      </c>
      <c r="AH1601" s="7" t="str">
        <f>TRIM(RIGHT(L1601, LEN(L1601) - FIND("-", L1601)))</f>
        <v>Ia Ko</v>
      </c>
      <c r="AI1601" s="1"/>
      <c r="AJ1601" s="1"/>
      <c r="AK1601" s="1"/>
      <c r="AL1601" s="1" t="e">
        <f>VLOOKUP(L1601,'[1]Tuyến cáp H04'!$B:$E,3,0)/1000</f>
        <v>#N/A</v>
      </c>
      <c r="AM1601" s="1" t="e">
        <f>VLOOKUP(L1601,'[1]Tuyến cáp H04'!$B:$E,4,0)</f>
        <v>#N/A</v>
      </c>
      <c r="AN1601" s="1" t="str">
        <f t="shared" si="121"/>
        <v>Ia Tôr-Ia Ko</v>
      </c>
      <c r="AO1601" s="1"/>
      <c r="AP1601" s="1" t="e">
        <f>VLOOKUP(AN1601,'[1]Tuyến cáp H04'!$B:$E,3,0)/1000</f>
        <v>#N/A</v>
      </c>
      <c r="AQ1601" s="1" t="e">
        <f>VLOOKUP(AN1601,'[1]Tuyến cáp H04'!$B:$E,4,0)</f>
        <v>#N/A</v>
      </c>
    </row>
    <row r="1602" spans="12:43" ht="15.75" x14ac:dyDescent="0.25">
      <c r="L1602" s="6" t="s">
        <v>15634</v>
      </c>
      <c r="M1602" s="6" t="s">
        <v>15634</v>
      </c>
      <c r="N1602" s="6"/>
      <c r="O1602" s="1"/>
      <c r="P1602" s="1"/>
      <c r="Q1602" s="1"/>
      <c r="R1602" s="1"/>
      <c r="S1602" s="1"/>
      <c r="T1602" s="1"/>
      <c r="U1602" s="1"/>
      <c r="V1602" s="13">
        <f>COUNTIF(L1602:$M$1659,L1602)</f>
        <v>2</v>
      </c>
      <c r="W1602" s="1"/>
      <c r="X1602" s="1"/>
      <c r="Y1602" s="1"/>
      <c r="Z1602" s="1"/>
      <c r="AA1602" s="1"/>
      <c r="AB1602" s="1"/>
      <c r="AC1602" s="1"/>
      <c r="AD1602" s="1"/>
      <c r="AE1602" s="1"/>
      <c r="AF1602" s="1"/>
      <c r="AG1602" s="7" t="str">
        <f>TRIM(LEFT(L1602,FIND("-",L1602)-1))</f>
        <v>Chư Prông</v>
      </c>
      <c r="AH1602" s="7" t="str">
        <f>TRIM(RIGHT(L1602, LEN(L1602) - FIND("-", L1602)))</f>
        <v>Chư Pưh</v>
      </c>
      <c r="AI1602" s="1"/>
      <c r="AJ1602" s="1"/>
      <c r="AK1602" s="1"/>
      <c r="AL1602" s="1" t="e">
        <f>VLOOKUP(L1602,'[1]Tuyến cáp H04'!$B:$E,3,0)/1000</f>
        <v>#N/A</v>
      </c>
      <c r="AM1602" s="1" t="e">
        <f>VLOOKUP(L1602,'[1]Tuyến cáp H04'!$B:$E,4,0)</f>
        <v>#N/A</v>
      </c>
      <c r="AN1602" s="1" t="str">
        <f t="shared" si="121"/>
        <v>Chư Prông-Chư Pưh</v>
      </c>
      <c r="AO1602" s="1"/>
      <c r="AP1602" s="1" t="e">
        <f>VLOOKUP(AN1602,'[1]Tuyến cáp H04'!$B:$E,3,0)/1000</f>
        <v>#N/A</v>
      </c>
      <c r="AQ1602" s="1" t="e">
        <f>VLOOKUP(AN1602,'[1]Tuyến cáp H04'!$B:$E,4,0)</f>
        <v>#N/A</v>
      </c>
    </row>
    <row r="1603" spans="12:43" ht="15.75" x14ac:dyDescent="0.25">
      <c r="L1603" s="6" t="s">
        <v>15638</v>
      </c>
      <c r="M1603" s="6" t="s">
        <v>15638</v>
      </c>
      <c r="N1603" s="6"/>
      <c r="O1603" s="1"/>
      <c r="P1603" s="1"/>
      <c r="Q1603" s="1"/>
      <c r="R1603" s="1"/>
      <c r="S1603" s="1"/>
      <c r="T1603" s="1"/>
      <c r="U1603" s="1"/>
      <c r="V1603" s="13">
        <f>COUNTIF(L1603:$M$1659,L1603)</f>
        <v>4</v>
      </c>
      <c r="W1603" s="1"/>
      <c r="X1603" s="1"/>
      <c r="Y1603" s="1"/>
      <c r="Z1603" s="1"/>
      <c r="AA1603" s="1"/>
      <c r="AB1603" s="1"/>
      <c r="AC1603" s="1"/>
      <c r="AD1603" s="1"/>
      <c r="AE1603" s="1"/>
      <c r="AF1603" s="1"/>
      <c r="AG1603" s="7" t="str">
        <f>TRIM(LEFT(L1603,FIND("-",L1603)-1))</f>
        <v>Ia Tôr</v>
      </c>
      <c r="AH1603" s="7" t="str">
        <f>TRIM(RIGHT(L1603, LEN(L1603) - FIND("-", L1603)))</f>
        <v>Ia Ko</v>
      </c>
      <c r="AI1603" s="1"/>
      <c r="AJ1603" s="1"/>
      <c r="AK1603" s="1"/>
      <c r="AL1603" s="1" t="e">
        <f>VLOOKUP(L1603,'[1]Tuyến cáp H04'!$B:$E,3,0)/1000</f>
        <v>#N/A</v>
      </c>
      <c r="AM1603" s="1" t="e">
        <f>VLOOKUP(L1603,'[1]Tuyến cáp H04'!$B:$E,4,0)</f>
        <v>#N/A</v>
      </c>
      <c r="AN1603" s="1" t="str">
        <f t="shared" si="121"/>
        <v>Ia Tôr-Ia Ko</v>
      </c>
      <c r="AO1603" s="1"/>
      <c r="AP1603" s="1" t="e">
        <f>VLOOKUP(AN1603,'[1]Tuyến cáp H04'!$B:$E,3,0)/1000</f>
        <v>#N/A</v>
      </c>
      <c r="AQ1603" s="1" t="e">
        <f>VLOOKUP(AN1603,'[1]Tuyến cáp H04'!$B:$E,4,0)</f>
        <v>#N/A</v>
      </c>
    </row>
    <row r="1604" spans="12:43" ht="15.75" x14ac:dyDescent="0.25">
      <c r="L1604" s="6" t="s">
        <v>15638</v>
      </c>
      <c r="M1604" s="6" t="s">
        <v>15638</v>
      </c>
      <c r="N1604" s="6"/>
      <c r="O1604" s="1"/>
      <c r="P1604" s="1"/>
      <c r="Q1604" s="1"/>
      <c r="R1604" s="1"/>
      <c r="S1604" s="1"/>
      <c r="T1604" s="1"/>
      <c r="U1604" s="1"/>
      <c r="V1604" s="13">
        <f>COUNTIF(L1604:$M$1659,L1604)</f>
        <v>2</v>
      </c>
      <c r="W1604" s="1"/>
      <c r="X1604" s="1"/>
      <c r="Y1604" s="1"/>
      <c r="Z1604" s="1"/>
      <c r="AA1604" s="1"/>
      <c r="AB1604" s="1"/>
      <c r="AC1604" s="1"/>
      <c r="AD1604" s="1"/>
      <c r="AE1604" s="1"/>
      <c r="AF1604" s="1"/>
      <c r="AG1604" s="7" t="str">
        <f>TRIM(LEFT(L1604,FIND("-",L1604)-1))</f>
        <v>Ia Tôr</v>
      </c>
      <c r="AH1604" s="7" t="str">
        <f>TRIM(RIGHT(L1604, LEN(L1604) - FIND("-", L1604)))</f>
        <v>Ia Ko</v>
      </c>
      <c r="AI1604" s="1"/>
      <c r="AJ1604" s="1"/>
      <c r="AK1604" s="1"/>
      <c r="AL1604" s="1" t="e">
        <f>VLOOKUP(L1604,'[1]Tuyến cáp H04'!$B:$E,3,0)/1000</f>
        <v>#N/A</v>
      </c>
      <c r="AM1604" s="1" t="e">
        <f>VLOOKUP(L1604,'[1]Tuyến cáp H04'!$B:$E,4,0)</f>
        <v>#N/A</v>
      </c>
      <c r="AN1604" s="1" t="str">
        <f t="shared" si="121"/>
        <v>Ia Tôr-Ia Ko</v>
      </c>
      <c r="AO1604" s="1"/>
      <c r="AP1604" s="1" t="e">
        <f>VLOOKUP(AN1604,'[1]Tuyến cáp H04'!$B:$E,3,0)/1000</f>
        <v>#N/A</v>
      </c>
      <c r="AQ1604" s="1" t="e">
        <f>VLOOKUP(AN1604,'[1]Tuyến cáp H04'!$B:$E,4,0)</f>
        <v>#N/A</v>
      </c>
    </row>
    <row r="1605" spans="12:43" ht="15.75" x14ac:dyDescent="0.25">
      <c r="L1605" s="6" t="s">
        <v>15612</v>
      </c>
      <c r="M1605" s="6" t="s">
        <v>15612</v>
      </c>
      <c r="N1605" s="6"/>
      <c r="O1605" s="1"/>
      <c r="P1605" s="1"/>
      <c r="Q1605" s="1"/>
      <c r="R1605" s="1"/>
      <c r="S1605" s="1"/>
      <c r="T1605" s="1"/>
      <c r="U1605" s="1"/>
      <c r="V1605" s="13">
        <f>COUNTIF(L1605:$M$1659,L1605)</f>
        <v>2</v>
      </c>
      <c r="W1605" s="1"/>
      <c r="X1605" s="1"/>
      <c r="Y1605" s="1"/>
      <c r="Z1605" s="1"/>
      <c r="AA1605" s="1"/>
      <c r="AB1605" s="1"/>
      <c r="AC1605" s="1"/>
      <c r="AD1605" s="1"/>
      <c r="AE1605" s="1"/>
      <c r="AF1605" s="1"/>
      <c r="AG1605" s="7" t="str">
        <f>TRIM(LEFT(L1605,FIND("-",L1605)-1))</f>
        <v>TT2 Gia Lai</v>
      </c>
      <c r="AH1605" s="7" t="str">
        <f>TRIM(RIGHT(L1605, LEN(L1605) - FIND("-", L1605)))</f>
        <v>Chư Sê</v>
      </c>
      <c r="AI1605" s="1"/>
      <c r="AJ1605" s="1"/>
      <c r="AK1605" s="1"/>
      <c r="AL1605" s="1" t="e">
        <f>VLOOKUP(L1605,'[1]Tuyến cáp H04'!$B:$E,3,0)/1000</f>
        <v>#N/A</v>
      </c>
      <c r="AM1605" s="1" t="e">
        <f>VLOOKUP(L1605,'[1]Tuyến cáp H04'!$B:$E,4,0)</f>
        <v>#N/A</v>
      </c>
      <c r="AN1605" s="1" t="str">
        <f t="shared" si="121"/>
        <v>TT2 Gia Lai-Chư Sê</v>
      </c>
      <c r="AO1605" s="1"/>
      <c r="AP1605" s="1" t="e">
        <f>VLOOKUP(AN1605,'[1]Tuyến cáp H04'!$B:$E,3,0)/1000</f>
        <v>#N/A</v>
      </c>
      <c r="AQ1605" s="1" t="e">
        <f>VLOOKUP(AN1605,'[1]Tuyến cáp H04'!$B:$E,4,0)</f>
        <v>#N/A</v>
      </c>
    </row>
    <row r="1606" spans="12:43" ht="15.75" x14ac:dyDescent="0.25">
      <c r="L1606" s="6" t="s">
        <v>15598</v>
      </c>
      <c r="M1606" s="6" t="s">
        <v>15598</v>
      </c>
      <c r="N1606" s="6"/>
      <c r="O1606" s="1"/>
      <c r="P1606" s="1"/>
      <c r="Q1606" s="1"/>
      <c r="R1606" s="1"/>
      <c r="S1606" s="1"/>
      <c r="T1606" s="1"/>
      <c r="U1606" s="1"/>
      <c r="V1606" s="13">
        <f>COUNTIF(L1606:$M$1659,L1606)</f>
        <v>2</v>
      </c>
      <c r="W1606" s="1"/>
      <c r="X1606" s="1"/>
      <c r="Y1606" s="1"/>
      <c r="Z1606" s="1"/>
      <c r="AA1606" s="1"/>
      <c r="AB1606" s="1"/>
      <c r="AC1606" s="1"/>
      <c r="AD1606" s="1"/>
      <c r="AE1606" s="1"/>
      <c r="AF1606" s="1"/>
      <c r="AG1606" s="7" t="str">
        <f>TRIM(LEFT(L1606,FIND("-",L1606)-1))</f>
        <v>PC11A</v>
      </c>
      <c r="AH1606" s="7" t="str">
        <f>TRIM(RIGHT(L1606, LEN(L1606) - FIND("-", L1606)))</f>
        <v>Chư Sê</v>
      </c>
      <c r="AI1606" s="1"/>
      <c r="AJ1606" s="1"/>
      <c r="AK1606" s="1"/>
      <c r="AL1606" s="1" t="e">
        <f>VLOOKUP(L1606,'[1]Tuyến cáp H04'!$B:$E,3,0)/1000</f>
        <v>#N/A</v>
      </c>
      <c r="AM1606" s="1" t="e">
        <f>VLOOKUP(L1606,'[1]Tuyến cáp H04'!$B:$E,4,0)</f>
        <v>#N/A</v>
      </c>
      <c r="AN1606" s="1" t="str">
        <f t="shared" si="121"/>
        <v>PC11A-Chư Sê</v>
      </c>
      <c r="AO1606" s="1"/>
      <c r="AP1606" s="1" t="e">
        <f>VLOOKUP(AN1606,'[1]Tuyến cáp H04'!$B:$E,3,0)/1000</f>
        <v>#N/A</v>
      </c>
      <c r="AQ1606" s="1" t="e">
        <f>VLOOKUP(AN1606,'[1]Tuyến cáp H04'!$B:$E,4,0)</f>
        <v>#N/A</v>
      </c>
    </row>
    <row r="1607" spans="12:43" ht="15.75" x14ac:dyDescent="0.25">
      <c r="L1607" s="6" t="s">
        <v>15639</v>
      </c>
      <c r="M1607" s="6" t="s">
        <v>15639</v>
      </c>
      <c r="N1607" s="6"/>
      <c r="O1607" s="1"/>
      <c r="P1607" s="1"/>
      <c r="Q1607" s="1"/>
      <c r="R1607" s="1"/>
      <c r="S1607" s="1"/>
      <c r="T1607" s="1"/>
      <c r="U1607" s="1"/>
      <c r="V1607" s="13">
        <f>COUNTIF(L1607:$M$1659,L1607)</f>
        <v>2</v>
      </c>
      <c r="W1607" s="1"/>
      <c r="X1607" s="1"/>
      <c r="Y1607" s="1"/>
      <c r="Z1607" s="1"/>
      <c r="AA1607" s="1"/>
      <c r="AB1607" s="1"/>
      <c r="AC1607" s="1"/>
      <c r="AD1607" s="1"/>
      <c r="AE1607" s="1"/>
      <c r="AF1607" s="1"/>
      <c r="AG1607" s="7" t="str">
        <f>TRIM(LEFT(L1607,FIND("-",L1607)-1))</f>
        <v>Bờ Ngoong</v>
      </c>
      <c r="AH1607" s="7" t="str">
        <f>TRIM(RIGHT(L1607, LEN(L1607) - FIND("-", L1607)))</f>
        <v>AlBá</v>
      </c>
      <c r="AI1607" s="1"/>
      <c r="AJ1607" s="1"/>
      <c r="AK1607" s="1"/>
      <c r="AL1607" s="1" t="e">
        <f>VLOOKUP(L1607,'[1]Tuyến cáp H04'!$B:$E,3,0)/1000</f>
        <v>#N/A</v>
      </c>
      <c r="AM1607" s="1" t="e">
        <f>VLOOKUP(L1607,'[1]Tuyến cáp H04'!$B:$E,4,0)</f>
        <v>#N/A</v>
      </c>
      <c r="AN1607" s="1" t="str">
        <f t="shared" si="121"/>
        <v>Bờ Ngoong-AlBá</v>
      </c>
      <c r="AO1607" s="1"/>
      <c r="AP1607" s="1" t="e">
        <f>VLOOKUP(AN1607,'[1]Tuyến cáp H04'!$B:$E,3,0)/1000</f>
        <v>#N/A</v>
      </c>
      <c r="AQ1607" s="1" t="e">
        <f>VLOOKUP(AN1607,'[1]Tuyến cáp H04'!$B:$E,4,0)</f>
        <v>#N/A</v>
      </c>
    </row>
    <row r="1608" spans="12:43" ht="15.75" x14ac:dyDescent="0.25">
      <c r="L1608" s="6" t="s">
        <v>15640</v>
      </c>
      <c r="M1608" s="6" t="s">
        <v>15640</v>
      </c>
      <c r="N1608" s="6"/>
      <c r="O1608" s="1"/>
      <c r="P1608" s="1"/>
      <c r="Q1608" s="1"/>
      <c r="R1608" s="1"/>
      <c r="S1608" s="1"/>
      <c r="T1608" s="1"/>
      <c r="U1608" s="1"/>
      <c r="V1608" s="13">
        <f>COUNTIF(L1608:$M$1659,L1608)</f>
        <v>2</v>
      </c>
      <c r="W1608" s="1"/>
      <c r="X1608" s="1"/>
      <c r="Y1608" s="1"/>
      <c r="Z1608" s="1"/>
      <c r="AA1608" s="1"/>
      <c r="AB1608" s="1"/>
      <c r="AC1608" s="1"/>
      <c r="AD1608" s="1"/>
      <c r="AE1608" s="1"/>
      <c r="AF1608" s="1"/>
      <c r="AG1608" s="7" t="str">
        <f>TRIM(LEFT(L1608,FIND("-",L1608)-1))</f>
        <v>TTCMKV Chư Sê</v>
      </c>
      <c r="AH1608" s="7" t="str">
        <f>TRIM(RIGHT(L1608, LEN(L1608) - FIND("-", L1608)))</f>
        <v>Chư A Thai</v>
      </c>
      <c r="AI1608" s="1"/>
      <c r="AJ1608" s="1"/>
      <c r="AK1608" s="1"/>
      <c r="AL1608" s="1" t="e">
        <f>VLOOKUP(L1608,'[1]Tuyến cáp H04'!$B:$E,3,0)/1000</f>
        <v>#N/A</v>
      </c>
      <c r="AM1608" s="1" t="e">
        <f>VLOOKUP(L1608,'[1]Tuyến cáp H04'!$B:$E,4,0)</f>
        <v>#N/A</v>
      </c>
      <c r="AN1608" s="1" t="str">
        <f t="shared" si="121"/>
        <v>TTCMKV Chư Sê-Chư A Thai</v>
      </c>
      <c r="AO1608" s="1"/>
      <c r="AP1608" s="1" t="e">
        <f>VLOOKUP(AN1608,'[1]Tuyến cáp H04'!$B:$E,3,0)/1000</f>
        <v>#N/A</v>
      </c>
      <c r="AQ1608" s="1" t="e">
        <f>VLOOKUP(AN1608,'[1]Tuyến cáp H04'!$B:$E,4,0)</f>
        <v>#N/A</v>
      </c>
    </row>
    <row r="1609" spans="12:43" ht="15.75" x14ac:dyDescent="0.25">
      <c r="L1609" s="6" t="s">
        <v>15641</v>
      </c>
      <c r="M1609" s="6" t="s">
        <v>15641</v>
      </c>
      <c r="N1609" s="6"/>
      <c r="O1609" s="1"/>
      <c r="P1609" s="1"/>
      <c r="Q1609" s="1"/>
      <c r="R1609" s="1"/>
      <c r="S1609" s="1"/>
      <c r="T1609" s="1"/>
      <c r="U1609" s="1"/>
      <c r="V1609" s="13">
        <f>COUNTIF(L1609:$M$1659,L1609)</f>
        <v>2</v>
      </c>
      <c r="W1609" s="1"/>
      <c r="X1609" s="1"/>
      <c r="Y1609" s="1"/>
      <c r="Z1609" s="1"/>
      <c r="AA1609" s="1"/>
      <c r="AB1609" s="1"/>
      <c r="AC1609" s="1"/>
      <c r="AD1609" s="1"/>
      <c r="AE1609" s="1"/>
      <c r="AF1609" s="1"/>
      <c r="AG1609" s="7" t="str">
        <f>TRIM(LEFT(L1609,FIND("-",L1609)-1))</f>
        <v>Chư Sê</v>
      </c>
      <c r="AH1609" s="7" t="str">
        <f>TRIM(RIGHT(L1609, LEN(L1609) - FIND("-", L1609)))</f>
        <v>Phú Thiện</v>
      </c>
      <c r="AI1609" s="1"/>
      <c r="AJ1609" s="1"/>
      <c r="AK1609" s="1"/>
      <c r="AL1609" s="1" t="e">
        <f>VLOOKUP(L1609,'[1]Tuyến cáp H04'!$B:$E,3,0)/1000</f>
        <v>#N/A</v>
      </c>
      <c r="AM1609" s="1" t="e">
        <f>VLOOKUP(L1609,'[1]Tuyến cáp H04'!$B:$E,4,0)</f>
        <v>#N/A</v>
      </c>
      <c r="AN1609" s="1" t="str">
        <f t="shared" si="121"/>
        <v>Chư Sê-Phú Thiện</v>
      </c>
      <c r="AO1609" s="1"/>
      <c r="AP1609" s="1" t="e">
        <f>VLOOKUP(AN1609,'[1]Tuyến cáp H04'!$B:$E,3,0)/1000</f>
        <v>#N/A</v>
      </c>
      <c r="AQ1609" s="1" t="e">
        <f>VLOOKUP(AN1609,'[1]Tuyến cáp H04'!$B:$E,4,0)</f>
        <v>#N/A</v>
      </c>
    </row>
    <row r="1610" spans="12:43" ht="15.75" x14ac:dyDescent="0.25">
      <c r="L1610" s="6" t="s">
        <v>15642</v>
      </c>
      <c r="M1610" s="6" t="s">
        <v>15642</v>
      </c>
      <c r="N1610" s="6"/>
      <c r="O1610" s="1"/>
      <c r="P1610" s="1"/>
      <c r="Q1610" s="1"/>
      <c r="R1610" s="1"/>
      <c r="S1610" s="1"/>
      <c r="T1610" s="1"/>
      <c r="U1610" s="1"/>
      <c r="V1610" s="13">
        <f>COUNTIF(L1610:$M$1659,L1610)</f>
        <v>2</v>
      </c>
      <c r="W1610" s="1"/>
      <c r="X1610" s="1"/>
      <c r="Y1610" s="1"/>
      <c r="Z1610" s="1"/>
      <c r="AA1610" s="1"/>
      <c r="AB1610" s="1"/>
      <c r="AC1610" s="1"/>
      <c r="AD1610" s="1"/>
      <c r="AE1610" s="1"/>
      <c r="AF1610" s="1"/>
      <c r="AG1610" s="7" t="str">
        <f>TRIM(LEFT(L1610,FIND("-",L1610)-1))</f>
        <v>CA Công an tỉnh</v>
      </c>
      <c r="AH1610" s="7" t="str">
        <f>TRIM(RIGHT(L1610, LEN(L1610) - FIND("-", L1610)))</f>
        <v>Quy Nhơn Nam</v>
      </c>
      <c r="AI1610" s="1"/>
      <c r="AJ1610" s="1"/>
      <c r="AK1610" s="1"/>
      <c r="AL1610" s="1">
        <f>VLOOKUP(L1610,'[1]Tuyến cáp H04'!$B:$E,3,0)/1000</f>
        <v>4.4359999999999999</v>
      </c>
      <c r="AM1610" s="1" t="str">
        <f>VLOOKUP(L1610,'[1]Tuyến cáp H04'!$B:$E,4,0)</f>
        <v>Mạng cấp 4</v>
      </c>
      <c r="AN1610" s="1" t="str">
        <f t="shared" si="121"/>
        <v>CA Công an tỉnh-Quy Nhơn Nam</v>
      </c>
      <c r="AO1610" s="1"/>
      <c r="AP1610" s="1" t="e">
        <f>VLOOKUP(AN1610,'[1]Tuyến cáp H04'!$B:$E,3,0)/1000</f>
        <v>#N/A</v>
      </c>
      <c r="AQ1610" s="1" t="e">
        <f>VLOOKUP(AN1610,'[1]Tuyến cáp H04'!$B:$E,4,0)</f>
        <v>#N/A</v>
      </c>
    </row>
    <row r="1611" spans="12:43" ht="15.75" x14ac:dyDescent="0.25">
      <c r="L1611" s="6" t="s">
        <v>15643</v>
      </c>
      <c r="M1611" s="6" t="s">
        <v>15643</v>
      </c>
      <c r="N1611" s="6"/>
      <c r="O1611" s="1"/>
      <c r="P1611" s="1"/>
      <c r="Q1611" s="1"/>
      <c r="R1611" s="1"/>
      <c r="S1611" s="1"/>
      <c r="T1611" s="1"/>
      <c r="U1611" s="1"/>
      <c r="V1611" s="13">
        <f>COUNTIF(L1611:$M$1659,L1611)</f>
        <v>4</v>
      </c>
      <c r="W1611" s="1"/>
      <c r="X1611" s="1"/>
      <c r="Y1611" s="1"/>
      <c r="Z1611" s="1"/>
      <c r="AA1611" s="1"/>
      <c r="AB1611" s="1"/>
      <c r="AC1611" s="1"/>
      <c r="AD1611" s="1"/>
      <c r="AE1611" s="1"/>
      <c r="AF1611" s="1"/>
      <c r="AG1611" s="7" t="str">
        <f>TRIM(LEFT(L1611,FIND("-",L1611)-1))</f>
        <v>Phù Mỹ</v>
      </c>
      <c r="AH1611" s="7" t="str">
        <f>TRIM(RIGHT(L1611, LEN(L1611) - FIND("-", L1611)))</f>
        <v>Hoài Ân</v>
      </c>
      <c r="AI1611" s="1"/>
      <c r="AJ1611" s="1"/>
      <c r="AK1611" s="1"/>
      <c r="AL1611" s="1" t="e">
        <f>VLOOKUP(L1611,'[1]Tuyến cáp H04'!$B:$E,3,0)/1000</f>
        <v>#N/A</v>
      </c>
      <c r="AM1611" s="1" t="e">
        <f>VLOOKUP(L1611,'[1]Tuyến cáp H04'!$B:$E,4,0)</f>
        <v>#N/A</v>
      </c>
      <c r="AN1611" s="1" t="str">
        <f t="shared" si="121"/>
        <v>Phù Mỹ-Hoài Ân</v>
      </c>
      <c r="AO1611" s="1"/>
      <c r="AP1611" s="1" t="e">
        <f>VLOOKUP(AN1611,'[1]Tuyến cáp H04'!$B:$E,3,0)/1000</f>
        <v>#N/A</v>
      </c>
      <c r="AQ1611" s="1" t="e">
        <f>VLOOKUP(AN1611,'[1]Tuyến cáp H04'!$B:$E,4,0)</f>
        <v>#N/A</v>
      </c>
    </row>
    <row r="1612" spans="12:43" ht="15.75" x14ac:dyDescent="0.25">
      <c r="L1612" s="6" t="s">
        <v>15644</v>
      </c>
      <c r="M1612" s="6" t="s">
        <v>15644</v>
      </c>
      <c r="N1612" s="6"/>
      <c r="O1612" s="1"/>
      <c r="P1612" s="1"/>
      <c r="Q1612" s="1"/>
      <c r="R1612" s="1"/>
      <c r="S1612" s="1"/>
      <c r="T1612" s="1"/>
      <c r="U1612" s="1"/>
      <c r="V1612" s="13">
        <f>COUNTIF(L1612:$M$1659,L1612)</f>
        <v>4</v>
      </c>
      <c r="W1612" s="1"/>
      <c r="X1612" s="1"/>
      <c r="Y1612" s="1"/>
      <c r="Z1612" s="1"/>
      <c r="AA1612" s="1"/>
      <c r="AB1612" s="1"/>
      <c r="AC1612" s="1"/>
      <c r="AD1612" s="1"/>
      <c r="AE1612" s="1"/>
      <c r="AF1612" s="1"/>
      <c r="AG1612" s="7" t="str">
        <f>TRIM(LEFT(L1612,FIND("-",L1612)-1))</f>
        <v>Hoài Nhơn Đông</v>
      </c>
      <c r="AH1612" s="7" t="str">
        <f>TRIM(RIGHT(L1612, LEN(L1612) - FIND("-", L1612)))</f>
        <v>TTCMKV Hoài Ân</v>
      </c>
      <c r="AI1612" s="1"/>
      <c r="AJ1612" s="1"/>
      <c r="AK1612" s="1"/>
      <c r="AL1612" s="1">
        <f>VLOOKUP(L1612,'[1]Tuyến cáp H04'!$B:$E,3,0)/1000</f>
        <v>24.589600000000001</v>
      </c>
      <c r="AM1612" s="1" t="str">
        <f>VLOOKUP(L1612,'[1]Tuyến cáp H04'!$B:$E,4,0)</f>
        <v>Mạng cấp 4</v>
      </c>
      <c r="AN1612" s="1" t="str">
        <f t="shared" si="121"/>
        <v>Hoài Nhơn Đông-TTCMKV Hoài Ân</v>
      </c>
      <c r="AO1612" s="1"/>
      <c r="AP1612" s="1" t="e">
        <f>VLOOKUP(AN1612,'[1]Tuyến cáp H04'!$B:$E,3,0)/1000</f>
        <v>#N/A</v>
      </c>
      <c r="AQ1612" s="1" t="e">
        <f>VLOOKUP(AN1612,'[1]Tuyến cáp H04'!$B:$E,4,0)</f>
        <v>#N/A</v>
      </c>
    </row>
    <row r="1613" spans="12:43" ht="15.75" x14ac:dyDescent="0.25">
      <c r="L1613" s="6" t="s">
        <v>15645</v>
      </c>
      <c r="M1613" s="6" t="s">
        <v>15645</v>
      </c>
      <c r="N1613" s="6"/>
      <c r="O1613" s="1"/>
      <c r="P1613" s="1"/>
      <c r="Q1613" s="1"/>
      <c r="R1613" s="1"/>
      <c r="S1613" s="1"/>
      <c r="T1613" s="1"/>
      <c r="U1613" s="1"/>
      <c r="V1613" s="13">
        <f>COUNTIF(L1613:$M$1659,L1613)</f>
        <v>4</v>
      </c>
      <c r="W1613" s="1"/>
      <c r="X1613" s="1"/>
      <c r="Y1613" s="1"/>
      <c r="Z1613" s="1"/>
      <c r="AA1613" s="1"/>
      <c r="AB1613" s="1"/>
      <c r="AC1613" s="1"/>
      <c r="AD1613" s="1"/>
      <c r="AE1613" s="1"/>
      <c r="AF1613" s="1"/>
      <c r="AG1613" s="7" t="str">
        <f>TRIM(LEFT(L1613,FIND("-",L1613)-1))</f>
        <v>PX05</v>
      </c>
      <c r="AH1613" s="7" t="str">
        <f>TRIM(RIGHT(L1613, LEN(L1613) - FIND("-", L1613)))</f>
        <v>Khối CQ CSĐT</v>
      </c>
      <c r="AI1613" s="1"/>
      <c r="AJ1613" s="1"/>
      <c r="AK1613" s="1"/>
      <c r="AL1613" s="1">
        <f>VLOOKUP(L1613,'[1]Tuyến cáp H04'!$B:$E,3,0)/1000</f>
        <v>3.7</v>
      </c>
      <c r="AM1613" s="1" t="str">
        <f>VLOOKUP(L1613,'[1]Tuyến cáp H04'!$B:$E,4,0)</f>
        <v>Mạng cấp 3</v>
      </c>
      <c r="AN1613" s="1" t="str">
        <f t="shared" si="121"/>
        <v>PX05-Khối CQ CSĐT</v>
      </c>
      <c r="AO1613" s="1"/>
      <c r="AP1613" s="1" t="e">
        <f>VLOOKUP(AN1613,'[1]Tuyến cáp H04'!$B:$E,3,0)/1000</f>
        <v>#N/A</v>
      </c>
      <c r="AQ1613" s="1" t="e">
        <f>VLOOKUP(AN1613,'[1]Tuyến cáp H04'!$B:$E,4,0)</f>
        <v>#N/A</v>
      </c>
    </row>
    <row r="1614" spans="12:43" ht="15.75" x14ac:dyDescent="0.25">
      <c r="L1614" s="6" t="s">
        <v>15646</v>
      </c>
      <c r="M1614" s="6" t="s">
        <v>15646</v>
      </c>
      <c r="N1614" s="6"/>
      <c r="O1614" s="1"/>
      <c r="P1614" s="1"/>
      <c r="Q1614" s="1"/>
      <c r="R1614" s="1"/>
      <c r="S1614" s="1"/>
      <c r="T1614" s="1"/>
      <c r="U1614" s="1"/>
      <c r="V1614" s="13">
        <f>COUNTIF(L1614:$M$1659,L1614)</f>
        <v>4</v>
      </c>
      <c r="W1614" s="1"/>
      <c r="X1614" s="1"/>
      <c r="Y1614" s="1"/>
      <c r="Z1614" s="1"/>
      <c r="AA1614" s="1"/>
      <c r="AB1614" s="1"/>
      <c r="AC1614" s="1"/>
      <c r="AD1614" s="1"/>
      <c r="AE1614" s="1"/>
      <c r="AF1614" s="1"/>
      <c r="AG1614" s="7" t="str">
        <f>TRIM(LEFT(L1614,FIND("-",L1614)-1))</f>
        <v>Khối CQ CSĐT</v>
      </c>
      <c r="AH1614" s="7" t="str">
        <f>TRIM(RIGHT(L1614, LEN(L1614) - FIND("-", L1614)))</f>
        <v>PA07 cũ</v>
      </c>
      <c r="AI1614" s="1"/>
      <c r="AJ1614" s="1"/>
      <c r="AK1614" s="1"/>
      <c r="AL1614" s="1">
        <f>VLOOKUP(L1614,'[1]Tuyến cáp H04'!$B:$E,3,0)/1000</f>
        <v>4.08</v>
      </c>
      <c r="AM1614" s="1" t="str">
        <f>VLOOKUP(L1614,'[1]Tuyến cáp H04'!$B:$E,4,0)</f>
        <v>Mạng cấp 3</v>
      </c>
      <c r="AN1614" s="1" t="str">
        <f t="shared" si="121"/>
        <v>Khối CQ CSĐT-PA07 cũ</v>
      </c>
      <c r="AO1614" s="1"/>
      <c r="AP1614" s="1" t="e">
        <f>VLOOKUP(AN1614,'[1]Tuyến cáp H04'!$B:$E,3,0)/1000</f>
        <v>#N/A</v>
      </c>
      <c r="AQ1614" s="1" t="e">
        <f>VLOOKUP(AN1614,'[1]Tuyến cáp H04'!$B:$E,4,0)</f>
        <v>#N/A</v>
      </c>
    </row>
    <row r="1615" spans="12:43" ht="15.75" x14ac:dyDescent="0.25">
      <c r="L1615" s="6" t="s">
        <v>15646</v>
      </c>
      <c r="M1615" s="6" t="s">
        <v>15646</v>
      </c>
      <c r="N1615" s="6"/>
      <c r="O1615" s="1"/>
      <c r="P1615" s="1"/>
      <c r="Q1615" s="1"/>
      <c r="R1615" s="1"/>
      <c r="S1615" s="1"/>
      <c r="T1615" s="1"/>
      <c r="U1615" s="1"/>
      <c r="V1615" s="13">
        <f>COUNTIF(L1615:$M$1659,L1615)</f>
        <v>2</v>
      </c>
      <c r="W1615" s="1"/>
      <c r="X1615" s="1"/>
      <c r="Y1615" s="1"/>
      <c r="Z1615" s="1"/>
      <c r="AA1615" s="1"/>
      <c r="AB1615" s="1"/>
      <c r="AC1615" s="1"/>
      <c r="AD1615" s="1"/>
      <c r="AE1615" s="1"/>
      <c r="AF1615" s="1"/>
      <c r="AG1615" s="7" t="str">
        <f>TRIM(LEFT(L1615,FIND("-",L1615)-1))</f>
        <v>Khối CQ CSĐT</v>
      </c>
      <c r="AH1615" s="7" t="str">
        <f>TRIM(RIGHT(L1615, LEN(L1615) - FIND("-", L1615)))</f>
        <v>PA07 cũ</v>
      </c>
      <c r="AI1615" s="1"/>
      <c r="AJ1615" s="1"/>
      <c r="AK1615" s="1"/>
      <c r="AL1615" s="1">
        <f>VLOOKUP(L1615,'[1]Tuyến cáp H04'!$B:$E,3,0)/1000</f>
        <v>4.08</v>
      </c>
      <c r="AM1615" s="1" t="str">
        <f>VLOOKUP(L1615,'[1]Tuyến cáp H04'!$B:$E,4,0)</f>
        <v>Mạng cấp 3</v>
      </c>
      <c r="AN1615" s="1" t="str">
        <f t="shared" si="121"/>
        <v>Khối CQ CSĐT-PA07 cũ</v>
      </c>
      <c r="AO1615" s="1"/>
      <c r="AP1615" s="1" t="e">
        <f>VLOOKUP(AN1615,'[1]Tuyến cáp H04'!$B:$E,3,0)/1000</f>
        <v>#N/A</v>
      </c>
      <c r="AQ1615" s="1" t="e">
        <f>VLOOKUP(AN1615,'[1]Tuyến cáp H04'!$B:$E,4,0)</f>
        <v>#N/A</v>
      </c>
    </row>
    <row r="1616" spans="12:43" ht="15.75" x14ac:dyDescent="0.25">
      <c r="L1616" s="6" t="s">
        <v>15602</v>
      </c>
      <c r="M1616" s="6" t="s">
        <v>15602</v>
      </c>
      <c r="N1616" s="6"/>
      <c r="O1616" s="1"/>
      <c r="P1616" s="1"/>
      <c r="Q1616" s="1"/>
      <c r="R1616" s="1"/>
      <c r="S1616" s="1"/>
      <c r="T1616" s="1"/>
      <c r="U1616" s="1"/>
      <c r="V1616" s="13">
        <f>COUNTIF(L1616:$M$1659,L1616)</f>
        <v>6</v>
      </c>
      <c r="W1616" s="1"/>
      <c r="X1616" s="1"/>
      <c r="Y1616" s="1"/>
      <c r="Z1616" s="1"/>
      <c r="AA1616" s="1"/>
      <c r="AB1616" s="1"/>
      <c r="AC1616" s="1"/>
      <c r="AD1616" s="1"/>
      <c r="AE1616" s="1"/>
      <c r="AF1616" s="1"/>
      <c r="AG1616" s="7" t="str">
        <f>TRIM(LEFT(L1616,FIND("-",L1616)-1))</f>
        <v>TT1 Gia Lai</v>
      </c>
      <c r="AH1616" s="7" t="str">
        <f>TRIM(RIGHT(L1616, LEN(L1616) - FIND("-", L1616)))</f>
        <v>TT2 Gia Lai (ring 1)</v>
      </c>
      <c r="AI1616" s="1"/>
      <c r="AJ1616" s="1"/>
      <c r="AK1616" s="1"/>
      <c r="AL1616" s="1" t="e">
        <f>VLOOKUP(L1616,'[1]Tuyến cáp H04'!$B:$E,3,0)/1000</f>
        <v>#N/A</v>
      </c>
      <c r="AM1616" s="1" t="e">
        <f>VLOOKUP(L1616,'[1]Tuyến cáp H04'!$B:$E,4,0)</f>
        <v>#N/A</v>
      </c>
      <c r="AN1616" s="1" t="str">
        <f t="shared" si="121"/>
        <v>TT1 Gia Lai-TT2 Gia Lai (ring 1)</v>
      </c>
      <c r="AO1616" s="1"/>
      <c r="AP1616" s="1" t="e">
        <f>VLOOKUP(AN1616,'[1]Tuyến cáp H04'!$B:$E,3,0)/1000</f>
        <v>#N/A</v>
      </c>
      <c r="AQ1616" s="1" t="e">
        <f>VLOOKUP(AN1616,'[1]Tuyến cáp H04'!$B:$E,4,0)</f>
        <v>#N/A</v>
      </c>
    </row>
    <row r="1617" spans="12:43" ht="15.75" x14ac:dyDescent="0.25">
      <c r="L1617" s="6" t="s">
        <v>15615</v>
      </c>
      <c r="M1617" s="6" t="s">
        <v>15615</v>
      </c>
      <c r="N1617" s="6"/>
      <c r="O1617" s="1"/>
      <c r="P1617" s="1"/>
      <c r="Q1617" s="1"/>
      <c r="R1617" s="1"/>
      <c r="S1617" s="1"/>
      <c r="T1617" s="1"/>
      <c r="U1617" s="1"/>
      <c r="V1617" s="13">
        <f>COUNTIF(L1617:$M$1659,L1617)</f>
        <v>2</v>
      </c>
      <c r="W1617" s="1"/>
      <c r="X1617" s="1"/>
      <c r="Y1617" s="1"/>
      <c r="Z1617" s="1"/>
      <c r="AA1617" s="1"/>
      <c r="AB1617" s="1"/>
      <c r="AC1617" s="1"/>
      <c r="AD1617" s="1"/>
      <c r="AE1617" s="1"/>
      <c r="AF1617" s="1"/>
      <c r="AG1617" s="7" t="str">
        <f>TRIM(LEFT(L1617,FIND("-",L1617)-1))</f>
        <v>TT2 Gia Lai</v>
      </c>
      <c r="AH1617" s="7" t="str">
        <f>TRIM(RIGHT(L1617, LEN(L1617) - FIND("-", L1617)))</f>
        <v>TT1 Gia Lai (ring 2)</v>
      </c>
      <c r="AI1617" s="1"/>
      <c r="AJ1617" s="1"/>
      <c r="AK1617" s="1"/>
      <c r="AL1617" s="1" t="e">
        <f>VLOOKUP(L1617,'[1]Tuyến cáp H04'!$B:$E,3,0)/1000</f>
        <v>#N/A</v>
      </c>
      <c r="AM1617" s="1" t="e">
        <f>VLOOKUP(L1617,'[1]Tuyến cáp H04'!$B:$E,4,0)</f>
        <v>#N/A</v>
      </c>
      <c r="AN1617" s="1" t="str">
        <f t="shared" si="121"/>
        <v>TT2 Gia Lai-TT1 Gia Lai (ring 2)</v>
      </c>
      <c r="AO1617" s="1"/>
      <c r="AP1617" s="1" t="e">
        <f>VLOOKUP(AN1617,'[1]Tuyến cáp H04'!$B:$E,3,0)/1000</f>
        <v>#N/A</v>
      </c>
      <c r="AQ1617" s="1" t="e">
        <f>VLOOKUP(AN1617,'[1]Tuyến cáp H04'!$B:$E,4,0)</f>
        <v>#N/A</v>
      </c>
    </row>
    <row r="1618" spans="12:43" ht="15.75" x14ac:dyDescent="0.25">
      <c r="L1618" s="6" t="s">
        <v>15647</v>
      </c>
      <c r="M1618" s="6" t="s">
        <v>15647</v>
      </c>
      <c r="N1618" s="6"/>
      <c r="O1618" s="1"/>
      <c r="P1618" s="1"/>
      <c r="Q1618" s="1"/>
      <c r="R1618" s="1"/>
      <c r="S1618" s="1"/>
      <c r="T1618" s="1"/>
      <c r="U1618" s="1"/>
      <c r="V1618" s="13">
        <f>COUNTIF(L1618:$M$1659,L1618)</f>
        <v>2</v>
      </c>
      <c r="W1618" s="1"/>
      <c r="X1618" s="1"/>
      <c r="Y1618" s="1"/>
      <c r="Z1618" s="1"/>
      <c r="AA1618" s="1"/>
      <c r="AB1618" s="1"/>
      <c r="AC1618" s="1"/>
      <c r="AD1618" s="1"/>
      <c r="AE1618" s="1"/>
      <c r="AF1618" s="1"/>
      <c r="AG1618" s="7" t="str">
        <f>TRIM(LEFT(L1618,FIND("-",L1618)-1))</f>
        <v>CA Tỉnh</v>
      </c>
      <c r="AH1618" s="7" t="str">
        <f>TRIM(RIGHT(L1618, LEN(L1618) - FIND("-", L1618)))</f>
        <v>Tuy Phước</v>
      </c>
      <c r="AI1618" s="1"/>
      <c r="AJ1618" s="1"/>
      <c r="AK1618" s="1"/>
      <c r="AL1618" s="1">
        <f>VLOOKUP(L1618,'[1]Tuyến cáp H04'!$B:$E,3,0)/1000</f>
        <v>10.696999999999999</v>
      </c>
      <c r="AM1618" s="1" t="str">
        <f>VLOOKUP(L1618,'[1]Tuyến cáp H04'!$B:$E,4,0)</f>
        <v>Mạng cấp 4</v>
      </c>
      <c r="AN1618" s="1" t="str">
        <f t="shared" si="121"/>
        <v>CA Tỉnh-Tuy Phước</v>
      </c>
      <c r="AO1618" s="1"/>
      <c r="AP1618" s="1" t="e">
        <f>VLOOKUP(AN1618,'[1]Tuyến cáp H04'!$B:$E,3,0)/1000</f>
        <v>#N/A</v>
      </c>
      <c r="AQ1618" s="1" t="e">
        <f>VLOOKUP(AN1618,'[1]Tuyến cáp H04'!$B:$E,4,0)</f>
        <v>#N/A</v>
      </c>
    </row>
    <row r="1619" spans="12:43" ht="15.75" x14ac:dyDescent="0.25">
      <c r="L1619" s="6" t="s">
        <v>15648</v>
      </c>
      <c r="M1619" s="6" t="s">
        <v>15648</v>
      </c>
      <c r="N1619" s="6"/>
      <c r="O1619" s="1"/>
      <c r="P1619" s="1"/>
      <c r="Q1619" s="1"/>
      <c r="R1619" s="1"/>
      <c r="S1619" s="1"/>
      <c r="T1619" s="1"/>
      <c r="U1619" s="1"/>
      <c r="V1619" s="13">
        <f>COUNTIF(L1619:$M$1659,L1619)</f>
        <v>4</v>
      </c>
      <c r="W1619" s="1"/>
      <c r="X1619" s="1"/>
      <c r="Y1619" s="1"/>
      <c r="Z1619" s="1"/>
      <c r="AA1619" s="1"/>
      <c r="AB1619" s="1"/>
      <c r="AC1619" s="1"/>
      <c r="AD1619" s="1"/>
      <c r="AE1619" s="1"/>
      <c r="AF1619" s="1"/>
      <c r="AG1619" s="7" t="str">
        <f>TRIM(LEFT(L1619,FIND("-",L1619)-1))</f>
        <v>Quy Nhơn Tây</v>
      </c>
      <c r="AH1619" s="7" t="str">
        <f>TRIM(RIGHT(L1619, LEN(L1619) - FIND("-", L1619)))</f>
        <v>CA Công an tỉnh</v>
      </c>
      <c r="AI1619" s="1"/>
      <c r="AJ1619" s="1"/>
      <c r="AK1619" s="1"/>
      <c r="AL1619" s="1">
        <f>VLOOKUP(L1619,'[1]Tuyến cáp H04'!$B:$E,3,0)/1000</f>
        <v>15.5495</v>
      </c>
      <c r="AM1619" s="1" t="str">
        <f>VLOOKUP(L1619,'[1]Tuyến cáp H04'!$B:$E,4,0)</f>
        <v>Mạng cấp 4</v>
      </c>
      <c r="AN1619" s="1" t="str">
        <f t="shared" si="121"/>
        <v>Quy Nhơn Tây-CA Công an tỉnh</v>
      </c>
      <c r="AO1619" s="1"/>
      <c r="AP1619" s="1" t="e">
        <f>VLOOKUP(AN1619,'[1]Tuyến cáp H04'!$B:$E,3,0)/1000</f>
        <v>#N/A</v>
      </c>
      <c r="AQ1619" s="1" t="e">
        <f>VLOOKUP(AN1619,'[1]Tuyến cáp H04'!$B:$E,4,0)</f>
        <v>#N/A</v>
      </c>
    </row>
    <row r="1620" spans="12:43" ht="15.75" x14ac:dyDescent="0.25">
      <c r="L1620" s="6" t="s">
        <v>15649</v>
      </c>
      <c r="M1620" s="6" t="s">
        <v>15649</v>
      </c>
      <c r="N1620" s="6"/>
      <c r="O1620" s="1"/>
      <c r="P1620" s="1"/>
      <c r="Q1620" s="1"/>
      <c r="R1620" s="1"/>
      <c r="S1620" s="1"/>
      <c r="T1620" s="1"/>
      <c r="U1620" s="1"/>
      <c r="V1620" s="13">
        <f>COUNTIF(L1620:$M$1659,L1620)</f>
        <v>4</v>
      </c>
      <c r="W1620" s="1"/>
      <c r="X1620" s="1"/>
      <c r="Y1620" s="1"/>
      <c r="Z1620" s="1"/>
      <c r="AA1620" s="1"/>
      <c r="AB1620" s="1"/>
      <c r="AC1620" s="1"/>
      <c r="AD1620" s="1"/>
      <c r="AE1620" s="1"/>
      <c r="AF1620" s="1"/>
      <c r="AG1620" s="7" t="str">
        <f>TRIM(LEFT(L1620,FIND("-",L1620)-1))</f>
        <v>PC08</v>
      </c>
      <c r="AH1620" s="7" t="str">
        <f>TRIM(RIGHT(L1620, LEN(L1620) - FIND("-", L1620)))</f>
        <v>PC11B</v>
      </c>
      <c r="AI1620" s="1"/>
      <c r="AJ1620" s="1"/>
      <c r="AK1620" s="1"/>
      <c r="AL1620" s="1">
        <f>VLOOKUP(L1620,'[1]Tuyến cáp H04'!$B:$E,3,0)/1000</f>
        <v>8.3000000000000007</v>
      </c>
      <c r="AM1620" s="1" t="str">
        <f>VLOOKUP(L1620,'[1]Tuyến cáp H04'!$B:$E,4,0)</f>
        <v>Mạng cấp 3</v>
      </c>
      <c r="AN1620" s="1" t="str">
        <f t="shared" si="121"/>
        <v>PC08-PC11B</v>
      </c>
      <c r="AO1620" s="1"/>
      <c r="AP1620" s="1" t="e">
        <f>VLOOKUP(AN1620,'[1]Tuyến cáp H04'!$B:$E,3,0)/1000</f>
        <v>#N/A</v>
      </c>
      <c r="AQ1620" s="1" t="e">
        <f>VLOOKUP(AN1620,'[1]Tuyến cáp H04'!$B:$E,4,0)</f>
        <v>#N/A</v>
      </c>
    </row>
    <row r="1621" spans="12:43" ht="15.75" x14ac:dyDescent="0.25">
      <c r="L1621" s="6" t="s">
        <v>15649</v>
      </c>
      <c r="M1621" s="6" t="s">
        <v>15649</v>
      </c>
      <c r="N1621" s="6"/>
      <c r="O1621" s="1"/>
      <c r="P1621" s="1"/>
      <c r="Q1621" s="1"/>
      <c r="R1621" s="1"/>
      <c r="S1621" s="1"/>
      <c r="T1621" s="1"/>
      <c r="U1621" s="1"/>
      <c r="V1621" s="13">
        <f>COUNTIF(L1621:$M$1659,L1621)</f>
        <v>2</v>
      </c>
      <c r="W1621" s="1"/>
      <c r="X1621" s="1"/>
      <c r="Y1621" s="1"/>
      <c r="Z1621" s="1"/>
      <c r="AA1621" s="1"/>
      <c r="AB1621" s="1"/>
      <c r="AC1621" s="1"/>
      <c r="AD1621" s="1"/>
      <c r="AE1621" s="1"/>
      <c r="AF1621" s="1"/>
      <c r="AG1621" s="7" t="str">
        <f>TRIM(LEFT(L1621,FIND("-",L1621)-1))</f>
        <v>PC08</v>
      </c>
      <c r="AH1621" s="7" t="str">
        <f>TRIM(RIGHT(L1621, LEN(L1621) - FIND("-", L1621)))</f>
        <v>PC11B</v>
      </c>
      <c r="AI1621" s="1"/>
      <c r="AJ1621" s="1"/>
      <c r="AK1621" s="1"/>
      <c r="AL1621" s="1">
        <f>VLOOKUP(L1621,'[1]Tuyến cáp H04'!$B:$E,3,0)/1000</f>
        <v>8.3000000000000007</v>
      </c>
      <c r="AM1621" s="1" t="str">
        <f>VLOOKUP(L1621,'[1]Tuyến cáp H04'!$B:$E,4,0)</f>
        <v>Mạng cấp 3</v>
      </c>
      <c r="AN1621" s="1" t="str">
        <f t="shared" si="121"/>
        <v>PC08-PC11B</v>
      </c>
      <c r="AO1621" s="1"/>
      <c r="AP1621" s="1" t="e">
        <f>VLOOKUP(AN1621,'[1]Tuyến cáp H04'!$B:$E,3,0)/1000</f>
        <v>#N/A</v>
      </c>
      <c r="AQ1621" s="1" t="e">
        <f>VLOOKUP(AN1621,'[1]Tuyến cáp H04'!$B:$E,4,0)</f>
        <v>#N/A</v>
      </c>
    </row>
    <row r="1622" spans="12:43" ht="15.75" x14ac:dyDescent="0.25">
      <c r="L1622" s="6" t="s">
        <v>15650</v>
      </c>
      <c r="M1622" s="6" t="s">
        <v>15650</v>
      </c>
      <c r="N1622" s="6"/>
      <c r="O1622" s="1"/>
      <c r="P1622" s="1"/>
      <c r="Q1622" s="1"/>
      <c r="R1622" s="1"/>
      <c r="S1622" s="1"/>
      <c r="T1622" s="1"/>
      <c r="U1622" s="1"/>
      <c r="V1622" s="13">
        <f>COUNTIF(L1622:$M$1659,L1622)</f>
        <v>2</v>
      </c>
      <c r="W1622" s="1"/>
      <c r="X1622" s="1"/>
      <c r="Y1622" s="1"/>
      <c r="Z1622" s="1"/>
      <c r="AA1622" s="1"/>
      <c r="AB1622" s="1"/>
      <c r="AC1622" s="1"/>
      <c r="AD1622" s="1"/>
      <c r="AE1622" s="1"/>
      <c r="AF1622" s="1"/>
      <c r="AG1622" s="7" t="str">
        <f>TRIM(LEFT(L1622,FIND("-",L1622)-1))</f>
        <v>An Nhơn Bắc</v>
      </c>
      <c r="AH1622" s="7" t="str">
        <f>TRIM(RIGHT(L1622, LEN(L1622) - FIND("-", L1622)))</f>
        <v>TTCMKV An Nhơn</v>
      </c>
      <c r="AI1622" s="1"/>
      <c r="AJ1622" s="1"/>
      <c r="AK1622" s="1"/>
      <c r="AL1622" s="1">
        <f>VLOOKUP(L1622,'[1]Tuyến cáp H04'!$B:$E,3,0)/1000</f>
        <v>11.781000000000001</v>
      </c>
      <c r="AM1622" s="1" t="str">
        <f>VLOOKUP(L1622,'[1]Tuyến cáp H04'!$B:$E,4,0)</f>
        <v>Mạng cấp 4</v>
      </c>
      <c r="AN1622" s="1" t="str">
        <f t="shared" si="121"/>
        <v>An Nhơn Bắc-TTCMKV An Nhơn</v>
      </c>
      <c r="AO1622" s="1"/>
      <c r="AP1622" s="1" t="e">
        <f>VLOOKUP(AN1622,'[1]Tuyến cáp H04'!$B:$E,3,0)/1000</f>
        <v>#N/A</v>
      </c>
      <c r="AQ1622" s="1" t="e">
        <f>VLOOKUP(AN1622,'[1]Tuyến cáp H04'!$B:$E,4,0)</f>
        <v>#N/A</v>
      </c>
    </row>
    <row r="1623" spans="12:43" ht="15.75" x14ac:dyDescent="0.25">
      <c r="L1623" s="6" t="s">
        <v>15651</v>
      </c>
      <c r="M1623" s="6" t="s">
        <v>15651</v>
      </c>
      <c r="N1623" s="6"/>
      <c r="O1623" s="1"/>
      <c r="P1623" s="1"/>
      <c r="Q1623" s="1"/>
      <c r="R1623" s="1"/>
      <c r="S1623" s="1"/>
      <c r="T1623" s="1"/>
      <c r="U1623" s="1"/>
      <c r="V1623" s="13">
        <f>COUNTIF(L1623:$M$1659,L1623)</f>
        <v>2</v>
      </c>
      <c r="W1623" s="1"/>
      <c r="X1623" s="1"/>
      <c r="Y1623" s="1"/>
      <c r="Z1623" s="1"/>
      <c r="AA1623" s="1"/>
      <c r="AB1623" s="1"/>
      <c r="AC1623" s="1"/>
      <c r="AD1623" s="1"/>
      <c r="AE1623" s="1"/>
      <c r="AF1623" s="1"/>
      <c r="AG1623" s="7" t="str">
        <f>TRIM(LEFT(L1623,FIND("-",L1623)-1))</f>
        <v>Cơ sở cai nghiện ma tuý (PC04)</v>
      </c>
      <c r="AH1623" s="7" t="str">
        <f>TRIM(RIGHT(L1623, LEN(L1623) - FIND("-", L1623)))</f>
        <v>TT1 Gia Lai (Quy nhơn)_v1</v>
      </c>
      <c r="AI1623" s="1"/>
      <c r="AJ1623" s="1"/>
      <c r="AK1623" s="1"/>
      <c r="AL1623" s="1" t="e">
        <f>VLOOKUP(L1623,'[1]Tuyến cáp H04'!$B:$E,3,0)/1000</f>
        <v>#N/A</v>
      </c>
      <c r="AM1623" s="1" t="e">
        <f>VLOOKUP(L1623,'[1]Tuyến cáp H04'!$B:$E,4,0)</f>
        <v>#N/A</v>
      </c>
      <c r="AN1623" s="1" t="str">
        <f t="shared" si="121"/>
        <v>Cơ sở cai nghiện ma tuý (PC04)-TT1 Gia Lai (Quy nhơn)_v1</v>
      </c>
      <c r="AO1623" s="1"/>
      <c r="AP1623" s="1" t="e">
        <f>VLOOKUP(AN1623,'[1]Tuyến cáp H04'!$B:$E,3,0)/1000</f>
        <v>#N/A</v>
      </c>
      <c r="AQ1623" s="1" t="e">
        <f>VLOOKUP(AN1623,'[1]Tuyến cáp H04'!$B:$E,4,0)</f>
        <v>#N/A</v>
      </c>
    </row>
    <row r="1624" spans="12:43" ht="15.75" x14ac:dyDescent="0.25">
      <c r="L1624" s="6" t="s">
        <v>15645</v>
      </c>
      <c r="M1624" s="6" t="s">
        <v>15645</v>
      </c>
      <c r="N1624" s="6"/>
      <c r="O1624" s="1"/>
      <c r="P1624" s="1"/>
      <c r="Q1624" s="1"/>
      <c r="R1624" s="1"/>
      <c r="S1624" s="1"/>
      <c r="T1624" s="1"/>
      <c r="U1624" s="1"/>
      <c r="V1624" s="13">
        <f>COUNTIF(L1624:$M$1659,L1624)</f>
        <v>2</v>
      </c>
      <c r="W1624" s="1"/>
      <c r="X1624" s="1"/>
      <c r="Y1624" s="1"/>
      <c r="Z1624" s="1"/>
      <c r="AA1624" s="1"/>
      <c r="AB1624" s="1"/>
      <c r="AC1624" s="1"/>
      <c r="AD1624" s="1"/>
      <c r="AE1624" s="1"/>
      <c r="AF1624" s="1"/>
      <c r="AG1624" s="7" t="str">
        <f>TRIM(LEFT(L1624,FIND("-",L1624)-1))</f>
        <v>PX05</v>
      </c>
      <c r="AH1624" s="7" t="str">
        <f>TRIM(RIGHT(L1624, LEN(L1624) - FIND("-", L1624)))</f>
        <v>Khối CQ CSĐT</v>
      </c>
      <c r="AI1624" s="1"/>
      <c r="AJ1624" s="1"/>
      <c r="AK1624" s="1"/>
      <c r="AL1624" s="1">
        <f>VLOOKUP(L1624,'[1]Tuyến cáp H04'!$B:$E,3,0)/1000</f>
        <v>3.7</v>
      </c>
      <c r="AM1624" s="1" t="str">
        <f>VLOOKUP(L1624,'[1]Tuyến cáp H04'!$B:$E,4,0)</f>
        <v>Mạng cấp 3</v>
      </c>
      <c r="AN1624" s="1" t="str">
        <f t="shared" si="121"/>
        <v>PX05-Khối CQ CSĐT</v>
      </c>
      <c r="AO1624" s="1"/>
      <c r="AP1624" s="1" t="e">
        <f>VLOOKUP(AN1624,'[1]Tuyến cáp H04'!$B:$E,3,0)/1000</f>
        <v>#N/A</v>
      </c>
      <c r="AQ1624" s="1" t="e">
        <f>VLOOKUP(AN1624,'[1]Tuyến cáp H04'!$B:$E,4,0)</f>
        <v>#N/A</v>
      </c>
    </row>
    <row r="1625" spans="12:43" ht="15.75" x14ac:dyDescent="0.25">
      <c r="L1625" s="6" t="s">
        <v>15652</v>
      </c>
      <c r="M1625" s="6" t="s">
        <v>15652</v>
      </c>
      <c r="N1625" s="6"/>
      <c r="O1625" s="1"/>
      <c r="P1625" s="1"/>
      <c r="Q1625" s="1"/>
      <c r="R1625" s="1"/>
      <c r="S1625" s="1"/>
      <c r="T1625" s="1"/>
      <c r="U1625" s="1"/>
      <c r="V1625" s="13">
        <f>COUNTIF(L1625:$M$1659,L1625)</f>
        <v>2</v>
      </c>
      <c r="W1625" s="1"/>
      <c r="X1625" s="1"/>
      <c r="Y1625" s="1"/>
      <c r="Z1625" s="1"/>
      <c r="AA1625" s="1"/>
      <c r="AB1625" s="1"/>
      <c r="AC1625" s="1"/>
      <c r="AD1625" s="1"/>
      <c r="AE1625" s="1"/>
      <c r="AF1625" s="1"/>
      <c r="AG1625" s="7" t="str">
        <f>TRIM(LEFT(L1625,FIND("-",L1625)-1))</f>
        <v>Quy Nhơn Nam</v>
      </c>
      <c r="AH1625" s="7" t="str">
        <f>TRIM(RIGHT(L1625, LEN(L1625) - FIND("-", L1625)))</f>
        <v>Quy Nhơn</v>
      </c>
      <c r="AI1625" s="1"/>
      <c r="AJ1625" s="1"/>
      <c r="AK1625" s="1"/>
      <c r="AL1625" s="1">
        <f>VLOOKUP(L1625,'[1]Tuyến cáp H04'!$B:$E,3,0)/1000</f>
        <v>3.2869999999999999</v>
      </c>
      <c r="AM1625" s="1" t="str">
        <f>VLOOKUP(L1625,'[1]Tuyến cáp H04'!$B:$E,4,0)</f>
        <v>Mạng cấp 4</v>
      </c>
      <c r="AN1625" s="1" t="str">
        <f t="shared" si="121"/>
        <v>Quy Nhơn Nam-Quy Nhơn</v>
      </c>
      <c r="AO1625" s="1"/>
      <c r="AP1625" s="1" t="e">
        <f>VLOOKUP(AN1625,'[1]Tuyến cáp H04'!$B:$E,3,0)/1000</f>
        <v>#N/A</v>
      </c>
      <c r="AQ1625" s="1" t="e">
        <f>VLOOKUP(AN1625,'[1]Tuyến cáp H04'!$B:$E,4,0)</f>
        <v>#N/A</v>
      </c>
    </row>
    <row r="1626" spans="12:43" ht="15.75" x14ac:dyDescent="0.25">
      <c r="L1626" s="6" t="s">
        <v>15648</v>
      </c>
      <c r="M1626" s="6" t="s">
        <v>15648</v>
      </c>
      <c r="N1626" s="6"/>
      <c r="O1626" s="1"/>
      <c r="P1626" s="1"/>
      <c r="Q1626" s="1"/>
      <c r="R1626" s="1"/>
      <c r="S1626" s="1"/>
      <c r="T1626" s="1"/>
      <c r="U1626" s="1"/>
      <c r="V1626" s="13">
        <f>COUNTIF(L1626:$M$1659,L1626)</f>
        <v>2</v>
      </c>
      <c r="W1626" s="1"/>
      <c r="X1626" s="1"/>
      <c r="Y1626" s="1"/>
      <c r="Z1626" s="1"/>
      <c r="AA1626" s="1"/>
      <c r="AB1626" s="1"/>
      <c r="AC1626" s="1"/>
      <c r="AD1626" s="1"/>
      <c r="AE1626" s="1"/>
      <c r="AF1626" s="1"/>
      <c r="AG1626" s="7" t="str">
        <f>TRIM(LEFT(L1626,FIND("-",L1626)-1))</f>
        <v>Quy Nhơn Tây</v>
      </c>
      <c r="AH1626" s="7" t="str">
        <f>TRIM(RIGHT(L1626, LEN(L1626) - FIND("-", L1626)))</f>
        <v>CA Công an tỉnh</v>
      </c>
      <c r="AI1626" s="1"/>
      <c r="AJ1626" s="1"/>
      <c r="AK1626" s="1"/>
      <c r="AL1626" s="1">
        <f>VLOOKUP(L1626,'[1]Tuyến cáp H04'!$B:$E,3,0)/1000</f>
        <v>15.5495</v>
      </c>
      <c r="AM1626" s="1" t="str">
        <f>VLOOKUP(L1626,'[1]Tuyến cáp H04'!$B:$E,4,0)</f>
        <v>Mạng cấp 4</v>
      </c>
      <c r="AN1626" s="1" t="str">
        <f t="shared" si="121"/>
        <v>Quy Nhơn Tây-CA Công an tỉnh</v>
      </c>
      <c r="AO1626" s="1"/>
      <c r="AP1626" s="1" t="e">
        <f>VLOOKUP(AN1626,'[1]Tuyến cáp H04'!$B:$E,3,0)/1000</f>
        <v>#N/A</v>
      </c>
      <c r="AQ1626" s="1" t="e">
        <f>VLOOKUP(AN1626,'[1]Tuyến cáp H04'!$B:$E,4,0)</f>
        <v>#N/A</v>
      </c>
    </row>
    <row r="1627" spans="12:43" ht="15.75" x14ac:dyDescent="0.25">
      <c r="L1627" s="6" t="s">
        <v>15653</v>
      </c>
      <c r="M1627" s="6" t="s">
        <v>15653</v>
      </c>
      <c r="N1627" s="6"/>
      <c r="O1627" s="1"/>
      <c r="P1627" s="1"/>
      <c r="Q1627" s="1"/>
      <c r="R1627" s="1"/>
      <c r="S1627" s="1"/>
      <c r="T1627" s="1"/>
      <c r="U1627" s="1"/>
      <c r="V1627" s="13">
        <f>COUNTIF(L1627:$M$1659,L1627)</f>
        <v>2</v>
      </c>
      <c r="W1627" s="1"/>
      <c r="X1627" s="1"/>
      <c r="Y1627" s="1"/>
      <c r="Z1627" s="1"/>
      <c r="AA1627" s="1"/>
      <c r="AB1627" s="1"/>
      <c r="AC1627" s="1"/>
      <c r="AD1627" s="1"/>
      <c r="AE1627" s="1"/>
      <c r="AF1627" s="1"/>
      <c r="AG1627" s="7" t="str">
        <f>TRIM(LEFT(L1627,FIND("-",L1627)-1))</f>
        <v>Vân Canh</v>
      </c>
      <c r="AH1627" s="7" t="str">
        <f>TRIM(RIGHT(L1627, LEN(L1627) - FIND("-", L1627)))</f>
        <v>TT1 Gia Lai</v>
      </c>
      <c r="AI1627" s="1"/>
      <c r="AJ1627" s="1"/>
      <c r="AK1627" s="1"/>
      <c r="AL1627" s="1" t="e">
        <f>VLOOKUP(L1627,'[1]Tuyến cáp H04'!$B:$E,3,0)/1000</f>
        <v>#N/A</v>
      </c>
      <c r="AM1627" s="1" t="e">
        <f>VLOOKUP(L1627,'[1]Tuyến cáp H04'!$B:$E,4,0)</f>
        <v>#N/A</v>
      </c>
      <c r="AN1627" s="1" t="str">
        <f t="shared" si="121"/>
        <v>Vân Canh-TT1 Gia Lai</v>
      </c>
      <c r="AO1627" s="1"/>
      <c r="AP1627" s="1" t="e">
        <f>VLOOKUP(AN1627,'[1]Tuyến cáp H04'!$B:$E,3,0)/1000</f>
        <v>#N/A</v>
      </c>
      <c r="AQ1627" s="1" t="e">
        <f>VLOOKUP(AN1627,'[1]Tuyến cáp H04'!$B:$E,4,0)</f>
        <v>#N/A</v>
      </c>
    </row>
    <row r="1628" spans="12:43" ht="15.75" x14ac:dyDescent="0.25">
      <c r="L1628" s="6" t="s">
        <v>15654</v>
      </c>
      <c r="M1628" s="6" t="s">
        <v>15654</v>
      </c>
      <c r="N1628" s="6"/>
      <c r="O1628" s="1"/>
      <c r="P1628" s="1"/>
      <c r="Q1628" s="1"/>
      <c r="R1628" s="1"/>
      <c r="S1628" s="1"/>
      <c r="T1628" s="1"/>
      <c r="U1628" s="1"/>
      <c r="V1628" s="13">
        <f>COUNTIF(L1628:$M$1659,L1628)</f>
        <v>2</v>
      </c>
      <c r="W1628" s="1"/>
      <c r="X1628" s="1"/>
      <c r="Y1628" s="1"/>
      <c r="Z1628" s="1"/>
      <c r="AA1628" s="1"/>
      <c r="AB1628" s="1"/>
      <c r="AC1628" s="1"/>
      <c r="AD1628" s="1"/>
      <c r="AE1628" s="1"/>
      <c r="AF1628" s="1"/>
      <c r="AG1628" s="7" t="str">
        <f>TRIM(LEFT(L1628,FIND("-",L1628)-1))</f>
        <v>CA Tỉnh</v>
      </c>
      <c r="AH1628" s="7" t="str">
        <f>TRIM(RIGHT(L1628, LEN(L1628) - FIND("-", L1628)))</f>
        <v>Quy Nhơn Đông</v>
      </c>
      <c r="AI1628" s="1"/>
      <c r="AJ1628" s="1"/>
      <c r="AK1628" s="1"/>
      <c r="AL1628" s="1">
        <f>VLOOKUP(L1628,'[1]Tuyến cáp H04'!$B:$E,3,0)/1000</f>
        <v>11.122</v>
      </c>
      <c r="AM1628" s="1" t="str">
        <f>VLOOKUP(L1628,'[1]Tuyến cáp H04'!$B:$E,4,0)</f>
        <v>Mạng cấp 4</v>
      </c>
      <c r="AN1628" s="1" t="str">
        <f t="shared" si="121"/>
        <v>CA Tỉnh-Quy Nhơn Đông</v>
      </c>
      <c r="AO1628" s="1"/>
      <c r="AP1628" s="1" t="e">
        <f>VLOOKUP(AN1628,'[1]Tuyến cáp H04'!$B:$E,3,0)/1000</f>
        <v>#N/A</v>
      </c>
      <c r="AQ1628" s="1" t="e">
        <f>VLOOKUP(AN1628,'[1]Tuyến cáp H04'!$B:$E,4,0)</f>
        <v>#N/A</v>
      </c>
    </row>
    <row r="1629" spans="12:43" ht="15.75" x14ac:dyDescent="0.25">
      <c r="L1629" s="6" t="s">
        <v>15655</v>
      </c>
      <c r="M1629" s="6" t="s">
        <v>15655</v>
      </c>
      <c r="N1629" s="6"/>
      <c r="O1629" s="1"/>
      <c r="P1629" s="1"/>
      <c r="Q1629" s="1"/>
      <c r="R1629" s="1"/>
      <c r="S1629" s="1"/>
      <c r="T1629" s="1"/>
      <c r="U1629" s="1"/>
      <c r="V1629" s="13">
        <f>COUNTIF(L1629:$M$1659,L1629)</f>
        <v>2</v>
      </c>
      <c r="W1629" s="1"/>
      <c r="X1629" s="1"/>
      <c r="Y1629" s="1"/>
      <c r="Z1629" s="1"/>
      <c r="AA1629" s="1"/>
      <c r="AB1629" s="1"/>
      <c r="AC1629" s="1"/>
      <c r="AD1629" s="1"/>
      <c r="AE1629" s="1"/>
      <c r="AF1629" s="1"/>
      <c r="AG1629" s="7" t="str">
        <f>TRIM(LEFT(L1629,FIND("-",L1629)-1))</f>
        <v>An Nhơn Đông</v>
      </c>
      <c r="AH1629" s="7" t="str">
        <f>TRIM(RIGHT(L1629, LEN(L1629) - FIND("-", L1629)))</f>
        <v>An Nhơn</v>
      </c>
      <c r="AI1629" s="1"/>
      <c r="AJ1629" s="1"/>
      <c r="AK1629" s="1"/>
      <c r="AL1629" s="1">
        <f>VLOOKUP(L1629,'[1]Tuyến cáp H04'!$B:$E,3,0)/1000</f>
        <v>5.9130000000000003</v>
      </c>
      <c r="AM1629" s="1" t="str">
        <f>VLOOKUP(L1629,'[1]Tuyến cáp H04'!$B:$E,4,0)</f>
        <v>Mạng cấp 4</v>
      </c>
      <c r="AN1629" s="1" t="str">
        <f t="shared" si="121"/>
        <v>An Nhơn Đông-An Nhơn</v>
      </c>
      <c r="AO1629" s="1"/>
      <c r="AP1629" s="1" t="e">
        <f>VLOOKUP(AN1629,'[1]Tuyến cáp H04'!$B:$E,3,0)/1000</f>
        <v>#N/A</v>
      </c>
      <c r="AQ1629" s="1" t="e">
        <f>VLOOKUP(AN1629,'[1]Tuyến cáp H04'!$B:$E,4,0)</f>
        <v>#N/A</v>
      </c>
    </row>
    <row r="1630" spans="12:43" ht="15.75" x14ac:dyDescent="0.25">
      <c r="L1630" s="6" t="s">
        <v>15656</v>
      </c>
      <c r="M1630" s="6" t="s">
        <v>15656</v>
      </c>
      <c r="N1630" s="6"/>
      <c r="O1630" s="1"/>
      <c r="P1630" s="1"/>
      <c r="Q1630" s="1"/>
      <c r="R1630" s="1"/>
      <c r="S1630" s="1"/>
      <c r="T1630" s="1"/>
      <c r="U1630" s="1"/>
      <c r="V1630" s="13">
        <f>COUNTIF(L1630:$M$1659,L1630)</f>
        <v>2</v>
      </c>
      <c r="W1630" s="1"/>
      <c r="X1630" s="1"/>
      <c r="Y1630" s="1"/>
      <c r="Z1630" s="1"/>
      <c r="AA1630" s="1"/>
      <c r="AB1630" s="1"/>
      <c r="AC1630" s="1"/>
      <c r="AD1630" s="1"/>
      <c r="AE1630" s="1"/>
      <c r="AF1630" s="1"/>
      <c r="AG1630" s="7" t="str">
        <f>TRIM(LEFT(L1630,FIND("-",L1630)-1))</f>
        <v>Bình Hiệp</v>
      </c>
      <c r="AH1630" s="7" t="str">
        <f>TRIM(RIGHT(L1630, LEN(L1630) - FIND("-", L1630)))</f>
        <v>Hội Sơn</v>
      </c>
      <c r="AI1630" s="1"/>
      <c r="AJ1630" s="1"/>
      <c r="AK1630" s="1"/>
      <c r="AL1630" s="1">
        <f>VLOOKUP(L1630,'[1]Tuyến cáp H04'!$B:$E,3,0)/1000</f>
        <v>20.603400000000001</v>
      </c>
      <c r="AM1630" s="1" t="str">
        <f>VLOOKUP(L1630,'[1]Tuyến cáp H04'!$B:$E,4,0)</f>
        <v>Mạng cấp 4</v>
      </c>
      <c r="AN1630" s="1" t="str">
        <f t="shared" si="121"/>
        <v>Bình Hiệp-Hội Sơn</v>
      </c>
      <c r="AO1630" s="1"/>
      <c r="AP1630" s="1" t="e">
        <f>VLOOKUP(AN1630,'[1]Tuyến cáp H04'!$B:$E,3,0)/1000</f>
        <v>#N/A</v>
      </c>
      <c r="AQ1630" s="1" t="e">
        <f>VLOOKUP(AN1630,'[1]Tuyến cáp H04'!$B:$E,4,0)</f>
        <v>#N/A</v>
      </c>
    </row>
    <row r="1631" spans="12:43" ht="15.75" x14ac:dyDescent="0.25">
      <c r="L1631" s="6" t="s">
        <v>15657</v>
      </c>
      <c r="M1631" s="6" t="s">
        <v>15657</v>
      </c>
      <c r="N1631" s="6"/>
      <c r="O1631" s="1"/>
      <c r="P1631" s="1"/>
      <c r="Q1631" s="1"/>
      <c r="R1631" s="1"/>
      <c r="S1631" s="1"/>
      <c r="T1631" s="1"/>
      <c r="U1631" s="1"/>
      <c r="V1631" s="13">
        <f>COUNTIF(L1631:$M$1659,L1631)</f>
        <v>2</v>
      </c>
      <c r="W1631" s="1"/>
      <c r="X1631" s="1"/>
      <c r="Y1631" s="1"/>
      <c r="Z1631" s="1"/>
      <c r="AA1631" s="1"/>
      <c r="AB1631" s="1"/>
      <c r="AC1631" s="1"/>
      <c r="AD1631" s="1"/>
      <c r="AE1631" s="1"/>
      <c r="AF1631" s="1"/>
      <c r="AG1631" s="7" t="str">
        <f>TRIM(LEFT(L1631,FIND("-",L1631)-1))</f>
        <v>Tây Sơn</v>
      </c>
      <c r="AH1631" s="7" t="str">
        <f>TRIM(RIGHT(L1631, LEN(L1631) - FIND("-", L1631)))</f>
        <v>An Nhơn</v>
      </c>
      <c r="AI1631" s="1"/>
      <c r="AJ1631" s="1"/>
      <c r="AK1631" s="1"/>
      <c r="AL1631" s="1" t="e">
        <f>VLOOKUP(L1631,'[1]Tuyến cáp H04'!$B:$E,3,0)/1000</f>
        <v>#N/A</v>
      </c>
      <c r="AM1631" s="1" t="e">
        <f>VLOOKUP(L1631,'[1]Tuyến cáp H04'!$B:$E,4,0)</f>
        <v>#N/A</v>
      </c>
      <c r="AN1631" s="1" t="str">
        <f t="shared" si="121"/>
        <v>Tây Sơn-An Nhơn</v>
      </c>
      <c r="AO1631" s="1"/>
      <c r="AP1631" s="1" t="e">
        <f>VLOOKUP(AN1631,'[1]Tuyến cáp H04'!$B:$E,3,0)/1000</f>
        <v>#N/A</v>
      </c>
      <c r="AQ1631" s="1" t="e">
        <f>VLOOKUP(AN1631,'[1]Tuyến cáp H04'!$B:$E,4,0)</f>
        <v>#N/A</v>
      </c>
    </row>
    <row r="1632" spans="12:43" ht="15.75" x14ac:dyDescent="0.25">
      <c r="L1632" s="6" t="s">
        <v>15658</v>
      </c>
      <c r="M1632" s="6" t="s">
        <v>15658</v>
      </c>
      <c r="N1632" s="6"/>
      <c r="O1632" s="1"/>
      <c r="P1632" s="1"/>
      <c r="Q1632" s="1"/>
      <c r="R1632" s="1"/>
      <c r="S1632" s="1"/>
      <c r="T1632" s="1"/>
      <c r="U1632" s="1"/>
      <c r="V1632" s="13">
        <f>COUNTIF(L1632:$M$1659,L1632)</f>
        <v>2</v>
      </c>
      <c r="W1632" s="1"/>
      <c r="X1632" s="1"/>
      <c r="Y1632" s="1"/>
      <c r="Z1632" s="1"/>
      <c r="AA1632" s="1"/>
      <c r="AB1632" s="1"/>
      <c r="AC1632" s="1"/>
      <c r="AD1632" s="1"/>
      <c r="AE1632" s="1"/>
      <c r="AF1632" s="1"/>
      <c r="AG1632" s="7" t="str">
        <f>TRIM(LEFT(L1632,FIND("-",L1632)-1))</f>
        <v>An Nhơn Tây</v>
      </c>
      <c r="AH1632" s="7" t="str">
        <f>TRIM(RIGHT(L1632, LEN(L1632) - FIND("-", L1632)))</f>
        <v>An Nhơn Đông</v>
      </c>
      <c r="AI1632" s="1"/>
      <c r="AJ1632" s="1"/>
      <c r="AK1632" s="1"/>
      <c r="AL1632" s="1">
        <f>VLOOKUP(L1632,'[1]Tuyến cáp H04'!$B:$E,3,0)/1000</f>
        <v>10.295999999999999</v>
      </c>
      <c r="AM1632" s="1" t="str">
        <f>VLOOKUP(L1632,'[1]Tuyến cáp H04'!$B:$E,4,0)</f>
        <v>Mạng cấp 4</v>
      </c>
      <c r="AN1632" s="1" t="str">
        <f t="shared" si="121"/>
        <v>An Nhơn Tây-An Nhơn Đông</v>
      </c>
      <c r="AO1632" s="1"/>
      <c r="AP1632" s="1" t="e">
        <f>VLOOKUP(AN1632,'[1]Tuyến cáp H04'!$B:$E,3,0)/1000</f>
        <v>#N/A</v>
      </c>
      <c r="AQ1632" s="1" t="e">
        <f>VLOOKUP(AN1632,'[1]Tuyến cáp H04'!$B:$E,4,0)</f>
        <v>#N/A</v>
      </c>
    </row>
    <row r="1633" spans="12:43" ht="15.75" x14ac:dyDescent="0.25">
      <c r="L1633" s="6" t="s">
        <v>15659</v>
      </c>
      <c r="M1633" s="6" t="s">
        <v>15659</v>
      </c>
      <c r="N1633" s="6"/>
      <c r="O1633" s="1"/>
      <c r="P1633" s="1"/>
      <c r="Q1633" s="1"/>
      <c r="R1633" s="1"/>
      <c r="S1633" s="1"/>
      <c r="T1633" s="1"/>
      <c r="U1633" s="1"/>
      <c r="V1633" s="13">
        <f>COUNTIF(L1633:$M$1659,L1633)</f>
        <v>2</v>
      </c>
      <c r="W1633" s="1"/>
      <c r="X1633" s="1"/>
      <c r="Y1633" s="1"/>
      <c r="Z1633" s="1"/>
      <c r="AA1633" s="1"/>
      <c r="AB1633" s="1"/>
      <c r="AC1633" s="1"/>
      <c r="AD1633" s="1"/>
      <c r="AE1633" s="1"/>
      <c r="AF1633" s="1"/>
      <c r="AG1633" s="7" t="str">
        <f>TRIM(LEFT(L1633,FIND("-",L1633)-1))</f>
        <v>TTCMKV Hoài Ân</v>
      </c>
      <c r="AH1633" s="7" t="str">
        <f>TRIM(RIGHT(L1633, LEN(L1633) - FIND("-", L1633)))</f>
        <v>Hoài Nhơn Nam</v>
      </c>
      <c r="AI1633" s="1"/>
      <c r="AJ1633" s="1"/>
      <c r="AK1633" s="1"/>
      <c r="AL1633" s="1">
        <f>VLOOKUP(L1633,'[1]Tuyến cáp H04'!$B:$E,3,0)/1000</f>
        <v>15.995299999999999</v>
      </c>
      <c r="AM1633" s="1" t="str">
        <f>VLOOKUP(L1633,'[1]Tuyến cáp H04'!$B:$E,4,0)</f>
        <v>Mạng cấp 4</v>
      </c>
      <c r="AN1633" s="1" t="str">
        <f t="shared" si="121"/>
        <v>TTCMKV Hoài Ân-Hoài Nhơn Nam</v>
      </c>
      <c r="AO1633" s="1"/>
      <c r="AP1633" s="1" t="e">
        <f>VLOOKUP(AN1633,'[1]Tuyến cáp H04'!$B:$E,3,0)/1000</f>
        <v>#N/A</v>
      </c>
      <c r="AQ1633" s="1" t="e">
        <f>VLOOKUP(AN1633,'[1]Tuyến cáp H04'!$B:$E,4,0)</f>
        <v>#N/A</v>
      </c>
    </row>
    <row r="1634" spans="12:43" ht="15.75" x14ac:dyDescent="0.25">
      <c r="L1634" s="6" t="s">
        <v>15660</v>
      </c>
      <c r="M1634" s="6" t="s">
        <v>15660</v>
      </c>
      <c r="N1634" s="6"/>
      <c r="O1634" s="1"/>
      <c r="P1634" s="1"/>
      <c r="Q1634" s="1"/>
      <c r="R1634" s="1"/>
      <c r="S1634" s="1"/>
      <c r="T1634" s="1"/>
      <c r="U1634" s="1"/>
      <c r="V1634" s="13">
        <f>COUNTIF(L1634:$M$1659,L1634)</f>
        <v>2</v>
      </c>
      <c r="W1634" s="1"/>
      <c r="X1634" s="1"/>
      <c r="Y1634" s="1"/>
      <c r="Z1634" s="1"/>
      <c r="AA1634" s="1"/>
      <c r="AB1634" s="1"/>
      <c r="AC1634" s="1"/>
      <c r="AD1634" s="1"/>
      <c r="AE1634" s="1"/>
      <c r="AF1634" s="1"/>
      <c r="AG1634" s="7" t="str">
        <f>TRIM(LEFT(L1634,FIND("-",L1634)-1))</f>
        <v>Hoài Nhơn Nam</v>
      </c>
      <c r="AH1634" s="7" t="str">
        <f>TRIM(RIGHT(L1634, LEN(L1634) - FIND("-", L1634)))</f>
        <v>Hoài Nhơn</v>
      </c>
      <c r="AI1634" s="1"/>
      <c r="AJ1634" s="1"/>
      <c r="AK1634" s="1"/>
      <c r="AL1634" s="1">
        <f>VLOOKUP(L1634,'[1]Tuyến cáp H04'!$B:$E,3,0)/1000</f>
        <v>11.244</v>
      </c>
      <c r="AM1634" s="1" t="str">
        <f>VLOOKUP(L1634,'[1]Tuyến cáp H04'!$B:$E,4,0)</f>
        <v>Mạng cấp 4</v>
      </c>
      <c r="AN1634" s="1" t="str">
        <f t="shared" si="121"/>
        <v>Hoài Nhơn Nam-Hoài Nhơn</v>
      </c>
      <c r="AO1634" s="1"/>
      <c r="AP1634" s="1" t="e">
        <f>VLOOKUP(AN1634,'[1]Tuyến cáp H04'!$B:$E,3,0)/1000</f>
        <v>#N/A</v>
      </c>
      <c r="AQ1634" s="1" t="e">
        <f>VLOOKUP(AN1634,'[1]Tuyến cáp H04'!$B:$E,4,0)</f>
        <v>#N/A</v>
      </c>
    </row>
    <row r="1635" spans="12:43" ht="15.75" x14ac:dyDescent="0.25">
      <c r="L1635" s="6" t="s">
        <v>15644</v>
      </c>
      <c r="M1635" s="6" t="s">
        <v>15644</v>
      </c>
      <c r="N1635" s="6"/>
      <c r="O1635" s="1"/>
      <c r="P1635" s="1"/>
      <c r="Q1635" s="1"/>
      <c r="R1635" s="1"/>
      <c r="S1635" s="1"/>
      <c r="T1635" s="1"/>
      <c r="U1635" s="1"/>
      <c r="V1635" s="13">
        <f>COUNTIF(L1635:$M$1659,L1635)</f>
        <v>2</v>
      </c>
      <c r="W1635" s="1"/>
      <c r="X1635" s="1"/>
      <c r="Y1635" s="1"/>
      <c r="Z1635" s="1"/>
      <c r="AA1635" s="1"/>
      <c r="AB1635" s="1"/>
      <c r="AC1635" s="1"/>
      <c r="AD1635" s="1"/>
      <c r="AE1635" s="1"/>
      <c r="AF1635" s="1"/>
      <c r="AG1635" s="7" t="str">
        <f>TRIM(LEFT(L1635,FIND("-",L1635)-1))</f>
        <v>Hoài Nhơn Đông</v>
      </c>
      <c r="AH1635" s="7" t="str">
        <f>TRIM(RIGHT(L1635, LEN(L1635) - FIND("-", L1635)))</f>
        <v>TTCMKV Hoài Ân</v>
      </c>
      <c r="AI1635" s="1"/>
      <c r="AJ1635" s="1"/>
      <c r="AK1635" s="1"/>
      <c r="AL1635" s="1">
        <f>VLOOKUP(L1635,'[1]Tuyến cáp H04'!$B:$E,3,0)/1000</f>
        <v>24.589600000000001</v>
      </c>
      <c r="AM1635" s="1" t="str">
        <f>VLOOKUP(L1635,'[1]Tuyến cáp H04'!$B:$E,4,0)</f>
        <v>Mạng cấp 4</v>
      </c>
      <c r="AN1635" s="1" t="str">
        <f t="shared" si="121"/>
        <v>Hoài Nhơn Đông-TTCMKV Hoài Ân</v>
      </c>
      <c r="AO1635" s="1"/>
      <c r="AP1635" s="1" t="e">
        <f>VLOOKUP(AN1635,'[1]Tuyến cáp H04'!$B:$E,3,0)/1000</f>
        <v>#N/A</v>
      </c>
      <c r="AQ1635" s="1" t="e">
        <f>VLOOKUP(AN1635,'[1]Tuyến cáp H04'!$B:$E,4,0)</f>
        <v>#N/A</v>
      </c>
    </row>
    <row r="1636" spans="12:43" ht="15.75" x14ac:dyDescent="0.25">
      <c r="L1636" s="6" t="s">
        <v>15661</v>
      </c>
      <c r="M1636" s="6" t="s">
        <v>15661</v>
      </c>
      <c r="N1636" s="6"/>
      <c r="O1636" s="1"/>
      <c r="P1636" s="1"/>
      <c r="Q1636" s="1"/>
      <c r="R1636" s="1"/>
      <c r="S1636" s="1"/>
      <c r="T1636" s="1"/>
      <c r="U1636" s="1"/>
      <c r="V1636" s="13">
        <f>COUNTIF(L1636:$M$1659,L1636)</f>
        <v>4</v>
      </c>
      <c r="W1636" s="1"/>
      <c r="X1636" s="1"/>
      <c r="Y1636" s="1"/>
      <c r="Z1636" s="1"/>
      <c r="AA1636" s="1"/>
      <c r="AB1636" s="1"/>
      <c r="AC1636" s="1"/>
      <c r="AD1636" s="1"/>
      <c r="AE1636" s="1"/>
      <c r="AF1636" s="1"/>
      <c r="AG1636" s="7" t="str">
        <f>TRIM(LEFT(L1636,FIND("-",L1636)-1))</f>
        <v>Hoài Nhơn Bắc</v>
      </c>
      <c r="AH1636" s="7" t="str">
        <f>TRIM(RIGHT(L1636, LEN(L1636) - FIND("-", L1636)))</f>
        <v>Hoài Nhơn Đông</v>
      </c>
      <c r="AI1636" s="1"/>
      <c r="AJ1636" s="1"/>
      <c r="AK1636" s="1"/>
      <c r="AL1636" s="1">
        <f>VLOOKUP(L1636,'[1]Tuyến cáp H04'!$B:$E,3,0)/1000</f>
        <v>10.628500000000001</v>
      </c>
      <c r="AM1636" s="1" t="str">
        <f>VLOOKUP(L1636,'[1]Tuyến cáp H04'!$B:$E,4,0)</f>
        <v>Mạng cấp 4</v>
      </c>
      <c r="AN1636" s="1" t="str">
        <f t="shared" si="121"/>
        <v>Hoài Nhơn Bắc-Hoài Nhơn Đông</v>
      </c>
      <c r="AO1636" s="1"/>
      <c r="AP1636" s="1" t="e">
        <f>VLOOKUP(AN1636,'[1]Tuyến cáp H04'!$B:$E,3,0)/1000</f>
        <v>#N/A</v>
      </c>
      <c r="AQ1636" s="1" t="e">
        <f>VLOOKUP(AN1636,'[1]Tuyến cáp H04'!$B:$E,4,0)</f>
        <v>#N/A</v>
      </c>
    </row>
    <row r="1637" spans="12:43" ht="15.75" x14ac:dyDescent="0.25">
      <c r="L1637" s="6" t="s">
        <v>15662</v>
      </c>
      <c r="M1637" s="6" t="s">
        <v>15662</v>
      </c>
      <c r="N1637" s="6"/>
      <c r="O1637" s="1"/>
      <c r="P1637" s="1"/>
      <c r="Q1637" s="1"/>
      <c r="R1637" s="1"/>
      <c r="S1637" s="1"/>
      <c r="T1637" s="1"/>
      <c r="U1637" s="1"/>
      <c r="V1637" s="13">
        <f>COUNTIF(L1637:$M$1659,L1637)</f>
        <v>2</v>
      </c>
      <c r="W1637" s="1"/>
      <c r="X1637" s="1"/>
      <c r="Y1637" s="1"/>
      <c r="Z1637" s="1"/>
      <c r="AA1637" s="1"/>
      <c r="AB1637" s="1"/>
      <c r="AC1637" s="1"/>
      <c r="AD1637" s="1"/>
      <c r="AE1637" s="1"/>
      <c r="AF1637" s="1"/>
      <c r="AG1637" s="7" t="str">
        <f>TRIM(LEFT(L1637,FIND("-",L1637)-1))</f>
        <v>Hoài Nhơn Tây</v>
      </c>
      <c r="AH1637" s="7" t="str">
        <f>TRIM(RIGHT(L1637, LEN(L1637) - FIND("-", L1637)))</f>
        <v>Tam Quan</v>
      </c>
      <c r="AI1637" s="1"/>
      <c r="AJ1637" s="1"/>
      <c r="AK1637" s="1"/>
      <c r="AL1637" s="1">
        <f>VLOOKUP(L1637,'[1]Tuyến cáp H04'!$B:$E,3,0)/1000</f>
        <v>6.532</v>
      </c>
      <c r="AM1637" s="1" t="str">
        <f>VLOOKUP(L1637,'[1]Tuyến cáp H04'!$B:$E,4,0)</f>
        <v>Mạng cấp 4</v>
      </c>
      <c r="AN1637" s="1" t="str">
        <f t="shared" ref="AN1637:AN1659" si="122">AG1637&amp;"-"&amp;AH1637</f>
        <v>Hoài Nhơn Tây-Tam Quan</v>
      </c>
      <c r="AO1637" s="1"/>
      <c r="AP1637" s="1" t="e">
        <f>VLOOKUP(AN1637,'[1]Tuyến cáp H04'!$B:$E,3,0)/1000</f>
        <v>#N/A</v>
      </c>
      <c r="AQ1637" s="1" t="e">
        <f>VLOOKUP(AN1637,'[1]Tuyến cáp H04'!$B:$E,4,0)</f>
        <v>#N/A</v>
      </c>
    </row>
    <row r="1638" spans="12:43" ht="15.75" x14ac:dyDescent="0.25">
      <c r="L1638" s="6" t="s">
        <v>15663</v>
      </c>
      <c r="M1638" s="6" t="s">
        <v>15663</v>
      </c>
      <c r="N1638" s="6"/>
      <c r="O1638" s="1"/>
      <c r="P1638" s="1"/>
      <c r="Q1638" s="1"/>
      <c r="R1638" s="1"/>
      <c r="S1638" s="1"/>
      <c r="T1638" s="1"/>
      <c r="U1638" s="1"/>
      <c r="V1638" s="13">
        <f>COUNTIF(L1638:$M$1659,L1638)</f>
        <v>2</v>
      </c>
      <c r="W1638" s="1"/>
      <c r="X1638" s="1"/>
      <c r="Y1638" s="1"/>
      <c r="Z1638" s="1"/>
      <c r="AA1638" s="1"/>
      <c r="AB1638" s="1"/>
      <c r="AC1638" s="1"/>
      <c r="AD1638" s="1"/>
      <c r="AE1638" s="1"/>
      <c r="AF1638" s="1"/>
      <c r="AG1638" s="7" t="str">
        <f>TRIM(LEFT(L1638,FIND("-",L1638)-1))</f>
        <v>Tam Quan</v>
      </c>
      <c r="AH1638" s="7" t="str">
        <f>TRIM(RIGHT(L1638, LEN(L1638) - FIND("-", L1638)))</f>
        <v>Hoài Nhơn Bắc_Trung thế.kmz</v>
      </c>
      <c r="AI1638" s="1"/>
      <c r="AJ1638" s="1"/>
      <c r="AK1638" s="1"/>
      <c r="AL1638" s="1" t="e">
        <f>VLOOKUP(L1638,'[1]Tuyến cáp H04'!$B:$E,3,0)/1000</f>
        <v>#N/A</v>
      </c>
      <c r="AM1638" s="1" t="e">
        <f>VLOOKUP(L1638,'[1]Tuyến cáp H04'!$B:$E,4,0)</f>
        <v>#N/A</v>
      </c>
      <c r="AN1638" s="1" t="str">
        <f t="shared" si="122"/>
        <v>Tam Quan-Hoài Nhơn Bắc_Trung thế.kmz</v>
      </c>
      <c r="AO1638" s="1"/>
      <c r="AP1638" s="1" t="e">
        <f>VLOOKUP(AN1638,'[1]Tuyến cáp H04'!$B:$E,3,0)/1000</f>
        <v>#N/A</v>
      </c>
      <c r="AQ1638" s="1" t="e">
        <f>VLOOKUP(AN1638,'[1]Tuyến cáp H04'!$B:$E,4,0)</f>
        <v>#N/A</v>
      </c>
    </row>
    <row r="1639" spans="12:43" ht="15.75" x14ac:dyDescent="0.25">
      <c r="L1639" s="6" t="s">
        <v>15661</v>
      </c>
      <c r="M1639" s="6" t="s">
        <v>15661</v>
      </c>
      <c r="N1639" s="6"/>
      <c r="O1639" s="1"/>
      <c r="P1639" s="1"/>
      <c r="Q1639" s="1"/>
      <c r="R1639" s="1"/>
      <c r="S1639" s="1"/>
      <c r="T1639" s="1"/>
      <c r="U1639" s="1"/>
      <c r="V1639" s="13">
        <f>COUNTIF(L1639:$M$1659,L1639)</f>
        <v>2</v>
      </c>
      <c r="W1639" s="1"/>
      <c r="X1639" s="1"/>
      <c r="Y1639" s="1"/>
      <c r="Z1639" s="1"/>
      <c r="AA1639" s="1"/>
      <c r="AB1639" s="1"/>
      <c r="AC1639" s="1"/>
      <c r="AD1639" s="1"/>
      <c r="AE1639" s="1"/>
      <c r="AF1639" s="1"/>
      <c r="AG1639" s="7" t="str">
        <f>TRIM(LEFT(L1639,FIND("-",L1639)-1))</f>
        <v>Hoài Nhơn Bắc</v>
      </c>
      <c r="AH1639" s="7" t="str">
        <f>TRIM(RIGHT(L1639, LEN(L1639) - FIND("-", L1639)))</f>
        <v>Hoài Nhơn Đông</v>
      </c>
      <c r="AI1639" s="1"/>
      <c r="AJ1639" s="1"/>
      <c r="AK1639" s="1"/>
      <c r="AL1639" s="1">
        <f>VLOOKUP(L1639,'[1]Tuyến cáp H04'!$B:$E,3,0)/1000</f>
        <v>10.628500000000001</v>
      </c>
      <c r="AM1639" s="1" t="str">
        <f>VLOOKUP(L1639,'[1]Tuyến cáp H04'!$B:$E,4,0)</f>
        <v>Mạng cấp 4</v>
      </c>
      <c r="AN1639" s="1" t="str">
        <f t="shared" si="122"/>
        <v>Hoài Nhơn Bắc-Hoài Nhơn Đông</v>
      </c>
      <c r="AO1639" s="1"/>
      <c r="AP1639" s="1" t="e">
        <f>VLOOKUP(AN1639,'[1]Tuyến cáp H04'!$B:$E,3,0)/1000</f>
        <v>#N/A</v>
      </c>
      <c r="AQ1639" s="1" t="e">
        <f>VLOOKUP(AN1639,'[1]Tuyến cáp H04'!$B:$E,4,0)</f>
        <v>#N/A</v>
      </c>
    </row>
    <row r="1640" spans="12:43" ht="15.75" x14ac:dyDescent="0.25">
      <c r="L1640" s="6" t="s">
        <v>15664</v>
      </c>
      <c r="M1640" s="6" t="s">
        <v>15664</v>
      </c>
      <c r="N1640" s="6"/>
      <c r="O1640" s="1"/>
      <c r="P1640" s="1"/>
      <c r="Q1640" s="1"/>
      <c r="R1640" s="1"/>
      <c r="S1640" s="1"/>
      <c r="T1640" s="1"/>
      <c r="U1640" s="1"/>
      <c r="V1640" s="13">
        <f>COUNTIF(L1640:$M$1659,L1640)</f>
        <v>2</v>
      </c>
      <c r="W1640" s="1"/>
      <c r="X1640" s="1"/>
      <c r="Y1640" s="1"/>
      <c r="Z1640" s="1"/>
      <c r="AA1640" s="1"/>
      <c r="AB1640" s="1"/>
      <c r="AC1640" s="1"/>
      <c r="AD1640" s="1"/>
      <c r="AE1640" s="1"/>
      <c r="AF1640" s="1"/>
      <c r="AG1640" s="7" t="str">
        <f>TRIM(LEFT(L1640,FIND("-",L1640)-1))</f>
        <v>Phù Cát</v>
      </c>
      <c r="AH1640" s="7" t="str">
        <f>TRIM(RIGHT(L1640, LEN(L1640) - FIND("-", L1640)))</f>
        <v>Xuân An</v>
      </c>
      <c r="AI1640" s="1"/>
      <c r="AJ1640" s="1"/>
      <c r="AK1640" s="1"/>
      <c r="AL1640" s="1">
        <f>VLOOKUP(L1640,'[1]Tuyến cáp H04'!$B:$E,3,0)/1000</f>
        <v>6.8170000000000002</v>
      </c>
      <c r="AM1640" s="1" t="str">
        <f>VLOOKUP(L1640,'[1]Tuyến cáp H04'!$B:$E,4,0)</f>
        <v>Mạng cấp 4</v>
      </c>
      <c r="AN1640" s="1" t="str">
        <f t="shared" si="122"/>
        <v>Phù Cát-Xuân An</v>
      </c>
      <c r="AO1640" s="1"/>
      <c r="AP1640" s="1" t="e">
        <f>VLOOKUP(AN1640,'[1]Tuyến cáp H04'!$B:$E,3,0)/1000</f>
        <v>#N/A</v>
      </c>
      <c r="AQ1640" s="1" t="e">
        <f>VLOOKUP(AN1640,'[1]Tuyến cáp H04'!$B:$E,4,0)</f>
        <v>#N/A</v>
      </c>
    </row>
    <row r="1641" spans="12:43" ht="15.75" x14ac:dyDescent="0.25">
      <c r="L1641" s="6" t="s">
        <v>15665</v>
      </c>
      <c r="M1641" s="6" t="s">
        <v>15665</v>
      </c>
      <c r="N1641" s="6"/>
      <c r="O1641" s="1"/>
      <c r="P1641" s="1"/>
      <c r="Q1641" s="1"/>
      <c r="R1641" s="1"/>
      <c r="S1641" s="1"/>
      <c r="T1641" s="1"/>
      <c r="U1641" s="1"/>
      <c r="V1641" s="13">
        <f>COUNTIF(L1641:$M$1659,L1641)</f>
        <v>2</v>
      </c>
      <c r="W1641" s="1"/>
      <c r="X1641" s="1"/>
      <c r="Y1641" s="1"/>
      <c r="Z1641" s="1"/>
      <c r="AA1641" s="1"/>
      <c r="AB1641" s="1"/>
      <c r="AC1641" s="1"/>
      <c r="AD1641" s="1"/>
      <c r="AE1641" s="1"/>
      <c r="AF1641" s="1"/>
      <c r="AG1641" s="7" t="str">
        <f>TRIM(LEFT(L1641,FIND("-",L1641)-1))</f>
        <v>Xuân An</v>
      </c>
      <c r="AH1641" s="7" t="str">
        <f>TRIM(RIGHT(L1641, LEN(L1641) - FIND("-", L1641)))</f>
        <v>Ngô Mây</v>
      </c>
      <c r="AI1641" s="1"/>
      <c r="AJ1641" s="1"/>
      <c r="AK1641" s="1"/>
      <c r="AL1641" s="1">
        <f>VLOOKUP(L1641,'[1]Tuyến cáp H04'!$B:$E,3,0)/1000</f>
        <v>10.715</v>
      </c>
      <c r="AM1641" s="1" t="str">
        <f>VLOOKUP(L1641,'[1]Tuyến cáp H04'!$B:$E,4,0)</f>
        <v>Mạng cấp 4</v>
      </c>
      <c r="AN1641" s="1" t="str">
        <f t="shared" si="122"/>
        <v>Xuân An-Ngô Mây</v>
      </c>
      <c r="AO1641" s="1"/>
      <c r="AP1641" s="1" t="e">
        <f>VLOOKUP(AN1641,'[1]Tuyến cáp H04'!$B:$E,3,0)/1000</f>
        <v>#N/A</v>
      </c>
      <c r="AQ1641" s="1" t="e">
        <f>VLOOKUP(AN1641,'[1]Tuyến cáp H04'!$B:$E,4,0)</f>
        <v>#N/A</v>
      </c>
    </row>
    <row r="1642" spans="12:43" ht="15.75" x14ac:dyDescent="0.25">
      <c r="L1642" s="6" t="s">
        <v>15666</v>
      </c>
      <c r="M1642" s="6" t="s">
        <v>15666</v>
      </c>
      <c r="N1642" s="6"/>
      <c r="O1642" s="1"/>
      <c r="P1642" s="1"/>
      <c r="Q1642" s="1"/>
      <c r="R1642" s="1"/>
      <c r="S1642" s="1"/>
      <c r="T1642" s="1"/>
      <c r="U1642" s="1"/>
      <c r="V1642" s="13">
        <f>COUNTIF(L1642:$M$1659,L1642)</f>
        <v>2</v>
      </c>
      <c r="W1642" s="1"/>
      <c r="X1642" s="1"/>
      <c r="Y1642" s="1"/>
      <c r="Z1642" s="1"/>
      <c r="AA1642" s="1"/>
      <c r="AB1642" s="1"/>
      <c r="AC1642" s="1"/>
      <c r="AD1642" s="1"/>
      <c r="AE1642" s="1"/>
      <c r="AF1642" s="1"/>
      <c r="AG1642" s="7" t="str">
        <f>TRIM(LEFT(L1642,FIND("-",L1642)-1))</f>
        <v>Cát Tiến</v>
      </c>
      <c r="AH1642" s="7" t="str">
        <f>TRIM(RIGHT(L1642, LEN(L1642) - FIND("-", L1642)))</f>
        <v>Đề Gi</v>
      </c>
      <c r="AI1642" s="1"/>
      <c r="AJ1642" s="1"/>
      <c r="AK1642" s="1"/>
      <c r="AL1642" s="1">
        <f>VLOOKUP(L1642,'[1]Tuyến cáp H04'!$B:$E,3,0)/1000</f>
        <v>22.579000000000001</v>
      </c>
      <c r="AM1642" s="1" t="str">
        <f>VLOOKUP(L1642,'[1]Tuyến cáp H04'!$B:$E,4,0)</f>
        <v>Mạng cấp 4</v>
      </c>
      <c r="AN1642" s="1" t="str">
        <f t="shared" si="122"/>
        <v>Cát Tiến-Đề Gi</v>
      </c>
      <c r="AO1642" s="1"/>
      <c r="AP1642" s="1" t="e">
        <f>VLOOKUP(AN1642,'[1]Tuyến cáp H04'!$B:$E,3,0)/1000</f>
        <v>#N/A</v>
      </c>
      <c r="AQ1642" s="1" t="e">
        <f>VLOOKUP(AN1642,'[1]Tuyến cáp H04'!$B:$E,4,0)</f>
        <v>#N/A</v>
      </c>
    </row>
    <row r="1643" spans="12:43" ht="15.75" x14ac:dyDescent="0.25">
      <c r="L1643" s="6" t="s">
        <v>15667</v>
      </c>
      <c r="M1643" s="6" t="s">
        <v>15667</v>
      </c>
      <c r="N1643" s="6"/>
      <c r="O1643" s="1"/>
      <c r="P1643" s="1"/>
      <c r="Q1643" s="1"/>
      <c r="R1643" s="1"/>
      <c r="S1643" s="1"/>
      <c r="T1643" s="1"/>
      <c r="U1643" s="1"/>
      <c r="V1643" s="13">
        <f>COUNTIF(L1643:$M$1659,L1643)</f>
        <v>2</v>
      </c>
      <c r="W1643" s="1"/>
      <c r="X1643" s="1"/>
      <c r="Y1643" s="1"/>
      <c r="Z1643" s="1"/>
      <c r="AA1643" s="1"/>
      <c r="AB1643" s="1"/>
      <c r="AC1643" s="1"/>
      <c r="AD1643" s="1"/>
      <c r="AE1643" s="1"/>
      <c r="AF1643" s="1"/>
      <c r="AG1643" s="7" t="str">
        <f>TRIM(LEFT(L1643,FIND("-",L1643)-1))</f>
        <v>TT1 Gia Lai</v>
      </c>
      <c r="AH1643" s="7" t="str">
        <f>TRIM(RIGHT(L1643, LEN(L1643) - FIND("-", L1643)))</f>
        <v>Cát Tiến</v>
      </c>
      <c r="AI1643" s="1"/>
      <c r="AJ1643" s="1"/>
      <c r="AK1643" s="1"/>
      <c r="AL1643" s="1" t="e">
        <f>VLOOKUP(L1643,'[1]Tuyến cáp H04'!$B:$E,3,0)/1000</f>
        <v>#N/A</v>
      </c>
      <c r="AM1643" s="1" t="e">
        <f>VLOOKUP(L1643,'[1]Tuyến cáp H04'!$B:$E,4,0)</f>
        <v>#N/A</v>
      </c>
      <c r="AN1643" s="1" t="str">
        <f t="shared" si="122"/>
        <v>TT1 Gia Lai-Cát Tiến</v>
      </c>
      <c r="AO1643" s="1"/>
      <c r="AP1643" s="1" t="e">
        <f>VLOOKUP(AN1643,'[1]Tuyến cáp H04'!$B:$E,3,0)/1000</f>
        <v>#N/A</v>
      </c>
      <c r="AQ1643" s="1" t="e">
        <f>VLOOKUP(AN1643,'[1]Tuyến cáp H04'!$B:$E,4,0)</f>
        <v>#N/A</v>
      </c>
    </row>
    <row r="1644" spans="12:43" ht="15.75" x14ac:dyDescent="0.25">
      <c r="L1644" s="6" t="s">
        <v>144</v>
      </c>
      <c r="M1644" s="6" t="s">
        <v>144</v>
      </c>
      <c r="N1644" s="6"/>
      <c r="O1644" s="1"/>
      <c r="P1644" s="1"/>
      <c r="Q1644" s="1"/>
      <c r="R1644" s="1"/>
      <c r="S1644" s="1"/>
      <c r="T1644" s="1"/>
      <c r="U1644" s="1"/>
      <c r="V1644" s="13">
        <f>COUNTIF(L1644:$M$1659,L1644)</f>
        <v>2</v>
      </c>
      <c r="W1644" s="1"/>
      <c r="X1644" s="1"/>
      <c r="Y1644" s="1"/>
      <c r="Z1644" s="1"/>
      <c r="AA1644" s="1"/>
      <c r="AB1644" s="1"/>
      <c r="AC1644" s="1"/>
      <c r="AD1644" s="1"/>
      <c r="AE1644" s="1"/>
      <c r="AF1644" s="1"/>
      <c r="AG1644" s="7" t="str">
        <f>TRIM(LEFT(L1644,FIND("-",L1644)-1))</f>
        <v>Hoài Ân</v>
      </c>
      <c r="AH1644" s="7" t="str">
        <f>TRIM(RIGHT(L1644, LEN(L1644) - FIND("-", L1644)))</f>
        <v>Vĩnh Kim</v>
      </c>
      <c r="AI1644" s="1"/>
      <c r="AJ1644" s="1"/>
      <c r="AK1644" s="1"/>
      <c r="AL1644" s="1" t="e">
        <f>VLOOKUP(L1644,'[1]Tuyến cáp H04'!$B:$E,3,0)/1000</f>
        <v>#N/A</v>
      </c>
      <c r="AM1644" s="1" t="e">
        <f>VLOOKUP(L1644,'[1]Tuyến cáp H04'!$B:$E,4,0)</f>
        <v>#N/A</v>
      </c>
      <c r="AN1644" s="1" t="str">
        <f t="shared" si="122"/>
        <v>Hoài Ân-Vĩnh Kim</v>
      </c>
      <c r="AO1644" s="1"/>
      <c r="AP1644" s="1" t="e">
        <f>VLOOKUP(AN1644,'[1]Tuyến cáp H04'!$B:$E,3,0)/1000</f>
        <v>#N/A</v>
      </c>
      <c r="AQ1644" s="1" t="e">
        <f>VLOOKUP(AN1644,'[1]Tuyến cáp H04'!$B:$E,4,0)</f>
        <v>#N/A</v>
      </c>
    </row>
    <row r="1645" spans="12:43" ht="15.75" x14ac:dyDescent="0.25">
      <c r="L1645" s="6" t="s">
        <v>15668</v>
      </c>
      <c r="M1645" s="6" t="s">
        <v>15668</v>
      </c>
      <c r="N1645" s="6"/>
      <c r="O1645" s="1"/>
      <c r="P1645" s="1"/>
      <c r="Q1645" s="1"/>
      <c r="R1645" s="1"/>
      <c r="S1645" s="1"/>
      <c r="T1645" s="1"/>
      <c r="U1645" s="1"/>
      <c r="V1645" s="13">
        <f>COUNTIF(L1645:$M$1659,L1645)</f>
        <v>2</v>
      </c>
      <c r="W1645" s="1"/>
      <c r="X1645" s="1"/>
      <c r="Y1645" s="1"/>
      <c r="Z1645" s="1"/>
      <c r="AA1645" s="1"/>
      <c r="AB1645" s="1"/>
      <c r="AC1645" s="1"/>
      <c r="AD1645" s="1"/>
      <c r="AE1645" s="1"/>
      <c r="AF1645" s="1"/>
      <c r="AG1645" s="7" t="str">
        <f>TRIM(LEFT(L1645,FIND("-",L1645)-1))</f>
        <v>Hội Sơn</v>
      </c>
      <c r="AH1645" s="7" t="str">
        <f>TRIM(RIGHT(L1645, LEN(L1645) - FIND("-", L1645)))</f>
        <v>Hòa Hội</v>
      </c>
      <c r="AI1645" s="1"/>
      <c r="AJ1645" s="1"/>
      <c r="AK1645" s="1"/>
      <c r="AL1645" s="1">
        <f>VLOOKUP(L1645,'[1]Tuyến cáp H04'!$B:$E,3,0)/1000</f>
        <v>13.807</v>
      </c>
      <c r="AM1645" s="1" t="str">
        <f>VLOOKUP(L1645,'[1]Tuyến cáp H04'!$B:$E,4,0)</f>
        <v>Mạng cấp 4</v>
      </c>
      <c r="AN1645" s="1" t="str">
        <f t="shared" si="122"/>
        <v>Hội Sơn-Hòa Hội</v>
      </c>
      <c r="AO1645" s="1"/>
      <c r="AP1645" s="1" t="e">
        <f>VLOOKUP(AN1645,'[1]Tuyến cáp H04'!$B:$E,3,0)/1000</f>
        <v>#N/A</v>
      </c>
      <c r="AQ1645" s="1" t="e">
        <f>VLOOKUP(AN1645,'[1]Tuyến cáp H04'!$B:$E,4,0)</f>
        <v>#N/A</v>
      </c>
    </row>
    <row r="1646" spans="12:43" ht="15.75" x14ac:dyDescent="0.25">
      <c r="L1646" s="6" t="s">
        <v>15643</v>
      </c>
      <c r="M1646" s="6" t="s">
        <v>15643</v>
      </c>
      <c r="N1646" s="6"/>
      <c r="O1646" s="1"/>
      <c r="P1646" s="1"/>
      <c r="Q1646" s="1"/>
      <c r="R1646" s="1"/>
      <c r="S1646" s="1"/>
      <c r="T1646" s="1"/>
      <c r="U1646" s="1"/>
      <c r="V1646" s="13">
        <f>COUNTIF(L1646:$M$1659,L1646)</f>
        <v>2</v>
      </c>
      <c r="W1646" s="1"/>
      <c r="X1646" s="1"/>
      <c r="Y1646" s="1"/>
      <c r="Z1646" s="1"/>
      <c r="AA1646" s="1"/>
      <c r="AB1646" s="1"/>
      <c r="AC1646" s="1"/>
      <c r="AD1646" s="1"/>
      <c r="AE1646" s="1"/>
      <c r="AF1646" s="1"/>
      <c r="AG1646" s="7" t="str">
        <f>TRIM(LEFT(L1646,FIND("-",L1646)-1))</f>
        <v>Phù Mỹ</v>
      </c>
      <c r="AH1646" s="7" t="str">
        <f>TRIM(RIGHT(L1646, LEN(L1646) - FIND("-", L1646)))</f>
        <v>Hoài Ân</v>
      </c>
      <c r="AI1646" s="1"/>
      <c r="AJ1646" s="1"/>
      <c r="AK1646" s="1"/>
      <c r="AL1646" s="1" t="e">
        <f>VLOOKUP(L1646,'[1]Tuyến cáp H04'!$B:$E,3,0)/1000</f>
        <v>#N/A</v>
      </c>
      <c r="AM1646" s="1" t="e">
        <f>VLOOKUP(L1646,'[1]Tuyến cáp H04'!$B:$E,4,0)</f>
        <v>#N/A</v>
      </c>
      <c r="AN1646" s="1" t="str">
        <f t="shared" si="122"/>
        <v>Phù Mỹ-Hoài Ân</v>
      </c>
      <c r="AO1646" s="1"/>
      <c r="AP1646" s="1" t="e">
        <f>VLOOKUP(AN1646,'[1]Tuyến cáp H04'!$B:$E,3,0)/1000</f>
        <v>#N/A</v>
      </c>
      <c r="AQ1646" s="1" t="e">
        <f>VLOOKUP(AN1646,'[1]Tuyến cáp H04'!$B:$E,4,0)</f>
        <v>#N/A</v>
      </c>
    </row>
    <row r="1647" spans="12:43" ht="15.75" x14ac:dyDescent="0.25">
      <c r="L1647" s="6" t="s">
        <v>15669</v>
      </c>
      <c r="M1647" s="6" t="s">
        <v>15669</v>
      </c>
      <c r="N1647" s="6"/>
      <c r="O1647" s="1"/>
      <c r="P1647" s="1"/>
      <c r="Q1647" s="1"/>
      <c r="R1647" s="1"/>
      <c r="S1647" s="1"/>
      <c r="T1647" s="1"/>
      <c r="U1647" s="1"/>
      <c r="V1647" s="13">
        <f>COUNTIF(L1647:$M$1659,L1647)</f>
        <v>4</v>
      </c>
      <c r="W1647" s="1"/>
      <c r="X1647" s="1"/>
      <c r="Y1647" s="1"/>
      <c r="Z1647" s="1"/>
      <c r="AA1647" s="1"/>
      <c r="AB1647" s="1"/>
      <c r="AC1647" s="1"/>
      <c r="AD1647" s="1"/>
      <c r="AE1647" s="1"/>
      <c r="AF1647" s="1"/>
      <c r="AG1647" s="7" t="str">
        <f>TRIM(LEFT(L1647,FIND("-",L1647)-1))</f>
        <v>Phù Mỹ Tây</v>
      </c>
      <c r="AH1647" s="7" t="str">
        <f>TRIM(RIGHT(L1647, LEN(L1647) - FIND("-", L1647)))</f>
        <v>Phù Mỹ Đông</v>
      </c>
      <c r="AI1647" s="1"/>
      <c r="AJ1647" s="1"/>
      <c r="AK1647" s="1"/>
      <c r="AL1647" s="1">
        <f>VLOOKUP(L1647,'[1]Tuyến cáp H04'!$B:$E,3,0)/1000</f>
        <v>21.694599999999998</v>
      </c>
      <c r="AM1647" s="1" t="str">
        <f>VLOOKUP(L1647,'[1]Tuyến cáp H04'!$B:$E,4,0)</f>
        <v>Mạng cấp 4</v>
      </c>
      <c r="AN1647" s="1" t="str">
        <f t="shared" si="122"/>
        <v>Phù Mỹ Tây-Phù Mỹ Đông</v>
      </c>
      <c r="AO1647" s="1"/>
      <c r="AP1647" s="1" t="e">
        <f>VLOOKUP(AN1647,'[1]Tuyến cáp H04'!$B:$E,3,0)/1000</f>
        <v>#N/A</v>
      </c>
      <c r="AQ1647" s="1" t="e">
        <f>VLOOKUP(AN1647,'[1]Tuyến cáp H04'!$B:$E,4,0)</f>
        <v>#N/A</v>
      </c>
    </row>
    <row r="1648" spans="12:43" ht="15.75" x14ac:dyDescent="0.25">
      <c r="L1648" s="6" t="s">
        <v>15670</v>
      </c>
      <c r="M1648" s="6" t="s">
        <v>15670</v>
      </c>
      <c r="N1648" s="6"/>
      <c r="O1648" s="1"/>
      <c r="P1648" s="1"/>
      <c r="Q1648" s="1"/>
      <c r="R1648" s="1"/>
      <c r="S1648" s="1"/>
      <c r="T1648" s="1"/>
      <c r="U1648" s="1"/>
      <c r="V1648" s="13">
        <f>COUNTIF(L1648:$M$1659,L1648)</f>
        <v>2</v>
      </c>
      <c r="W1648" s="1"/>
      <c r="X1648" s="1"/>
      <c r="Y1648" s="1"/>
      <c r="Z1648" s="1"/>
      <c r="AA1648" s="1"/>
      <c r="AB1648" s="1"/>
      <c r="AC1648" s="1"/>
      <c r="AD1648" s="1"/>
      <c r="AE1648" s="1"/>
      <c r="AF1648" s="1"/>
      <c r="AG1648" s="7" t="str">
        <f>TRIM(LEFT(L1648,FIND("-",L1648)-1))</f>
        <v>Phù Mỹ Nam</v>
      </c>
      <c r="AH1648" s="7" t="str">
        <f>TRIM(RIGHT(L1648, LEN(L1648) - FIND("-", L1648)))</f>
        <v>TTCMKV Phù Mỹ</v>
      </c>
      <c r="AI1648" s="1"/>
      <c r="AJ1648" s="1"/>
      <c r="AK1648" s="1"/>
      <c r="AL1648" s="1">
        <f>VLOOKUP(L1648,'[1]Tuyến cáp H04'!$B:$E,3,0)/1000</f>
        <v>6.6920000000000002</v>
      </c>
      <c r="AM1648" s="1" t="str">
        <f>VLOOKUP(L1648,'[1]Tuyến cáp H04'!$B:$E,4,0)</f>
        <v>Mạng cấp 4</v>
      </c>
      <c r="AN1648" s="1" t="str">
        <f t="shared" si="122"/>
        <v>Phù Mỹ Nam-TTCMKV Phù Mỹ</v>
      </c>
      <c r="AO1648" s="1"/>
      <c r="AP1648" s="1" t="e">
        <f>VLOOKUP(AN1648,'[1]Tuyến cáp H04'!$B:$E,3,0)/1000</f>
        <v>#N/A</v>
      </c>
      <c r="AQ1648" s="1" t="e">
        <f>VLOOKUP(AN1648,'[1]Tuyến cáp H04'!$B:$E,4,0)</f>
        <v>#N/A</v>
      </c>
    </row>
    <row r="1649" spans="12:43" ht="15.75" x14ac:dyDescent="0.25">
      <c r="L1649" s="6" t="s">
        <v>15671</v>
      </c>
      <c r="M1649" s="6" t="s">
        <v>15671</v>
      </c>
      <c r="N1649" s="6"/>
      <c r="O1649" s="1"/>
      <c r="P1649" s="1"/>
      <c r="Q1649" s="1"/>
      <c r="R1649" s="1"/>
      <c r="S1649" s="1"/>
      <c r="T1649" s="1"/>
      <c r="U1649" s="1"/>
      <c r="V1649" s="13">
        <f>COUNTIF(L1649:$M$1659,L1649)</f>
        <v>2</v>
      </c>
      <c r="W1649" s="1"/>
      <c r="X1649" s="1"/>
      <c r="Y1649" s="1"/>
      <c r="Z1649" s="1"/>
      <c r="AA1649" s="1"/>
      <c r="AB1649" s="1"/>
      <c r="AC1649" s="1"/>
      <c r="AD1649" s="1"/>
      <c r="AE1649" s="1"/>
      <c r="AF1649" s="1"/>
      <c r="AG1649" s="7" t="str">
        <f>TRIM(LEFT(L1649,FIND("-",L1649)-1))</f>
        <v>Đề Gi</v>
      </c>
      <c r="AH1649" s="7" t="str">
        <f>TRIM(RIGHT(L1649, LEN(L1649) - FIND("-", L1649)))</f>
        <v>An Lương</v>
      </c>
      <c r="AI1649" s="1"/>
      <c r="AJ1649" s="1"/>
      <c r="AK1649" s="1"/>
      <c r="AL1649" s="1">
        <f>VLOOKUP(L1649,'[1]Tuyến cáp H04'!$B:$E,3,0)/1000</f>
        <v>10.46</v>
      </c>
      <c r="AM1649" s="1" t="str">
        <f>VLOOKUP(L1649,'[1]Tuyến cáp H04'!$B:$E,4,0)</f>
        <v>Mạng cấp 4</v>
      </c>
      <c r="AN1649" s="1" t="str">
        <f t="shared" si="122"/>
        <v>Đề Gi-An Lương</v>
      </c>
      <c r="AO1649" s="1"/>
      <c r="AP1649" s="1" t="e">
        <f>VLOOKUP(AN1649,'[1]Tuyến cáp H04'!$B:$E,3,0)/1000</f>
        <v>#N/A</v>
      </c>
      <c r="AQ1649" s="1" t="e">
        <f>VLOOKUP(AN1649,'[1]Tuyến cáp H04'!$B:$E,4,0)</f>
        <v>#N/A</v>
      </c>
    </row>
    <row r="1650" spans="12:43" ht="15.75" x14ac:dyDescent="0.25">
      <c r="L1650" s="6" t="s">
        <v>15669</v>
      </c>
      <c r="M1650" s="6" t="s">
        <v>15669</v>
      </c>
      <c r="N1650" s="6"/>
      <c r="O1650" s="1"/>
      <c r="P1650" s="1"/>
      <c r="Q1650" s="1"/>
      <c r="R1650" s="1"/>
      <c r="S1650" s="1"/>
      <c r="T1650" s="1"/>
      <c r="U1650" s="1"/>
      <c r="V1650" s="13">
        <f>COUNTIF(L1650:$M$1659,L1650)</f>
        <v>2</v>
      </c>
      <c r="W1650" s="1"/>
      <c r="X1650" s="1"/>
      <c r="Y1650" s="1"/>
      <c r="Z1650" s="1"/>
      <c r="AA1650" s="1"/>
      <c r="AB1650" s="1"/>
      <c r="AC1650" s="1"/>
      <c r="AD1650" s="1"/>
      <c r="AE1650" s="1"/>
      <c r="AF1650" s="1"/>
      <c r="AG1650" s="7" t="str">
        <f>TRIM(LEFT(L1650,FIND("-",L1650)-1))</f>
        <v>Phù Mỹ Tây</v>
      </c>
      <c r="AH1650" s="7" t="str">
        <f>TRIM(RIGHT(L1650, LEN(L1650) - FIND("-", L1650)))</f>
        <v>Phù Mỹ Đông</v>
      </c>
      <c r="AI1650" s="1"/>
      <c r="AJ1650" s="1"/>
      <c r="AK1650" s="1"/>
      <c r="AL1650" s="1">
        <f>VLOOKUP(L1650,'[1]Tuyến cáp H04'!$B:$E,3,0)/1000</f>
        <v>21.694599999999998</v>
      </c>
      <c r="AM1650" s="1" t="str">
        <f>VLOOKUP(L1650,'[1]Tuyến cáp H04'!$B:$E,4,0)</f>
        <v>Mạng cấp 4</v>
      </c>
      <c r="AN1650" s="1" t="str">
        <f t="shared" si="122"/>
        <v>Phù Mỹ Tây-Phù Mỹ Đông</v>
      </c>
      <c r="AO1650" s="1"/>
      <c r="AP1650" s="1" t="e">
        <f>VLOOKUP(AN1650,'[1]Tuyến cáp H04'!$B:$E,3,0)/1000</f>
        <v>#N/A</v>
      </c>
      <c r="AQ1650" s="1" t="e">
        <f>VLOOKUP(AN1650,'[1]Tuyến cáp H04'!$B:$E,4,0)</f>
        <v>#N/A</v>
      </c>
    </row>
    <row r="1651" spans="12:43" ht="15.75" x14ac:dyDescent="0.25">
      <c r="L1651" s="6" t="s">
        <v>15672</v>
      </c>
      <c r="M1651" s="6" t="s">
        <v>15672</v>
      </c>
      <c r="N1651" s="6"/>
      <c r="O1651" s="1"/>
      <c r="P1651" s="1"/>
      <c r="Q1651" s="1"/>
      <c r="R1651" s="1"/>
      <c r="S1651" s="1"/>
      <c r="T1651" s="1"/>
      <c r="U1651" s="1"/>
      <c r="V1651" s="13">
        <f>COUNTIF(L1651:$M$1659,L1651)</f>
        <v>2</v>
      </c>
      <c r="W1651" s="1"/>
      <c r="X1651" s="1"/>
      <c r="Y1651" s="1"/>
      <c r="Z1651" s="1"/>
      <c r="AA1651" s="1"/>
      <c r="AB1651" s="1"/>
      <c r="AC1651" s="1"/>
      <c r="AD1651" s="1"/>
      <c r="AE1651" s="1"/>
      <c r="AF1651" s="1"/>
      <c r="AG1651" s="7" t="str">
        <f>TRIM(LEFT(L1651,FIND("-",L1651)-1))</f>
        <v>Phù Mỹ Đông</v>
      </c>
      <c r="AH1651" s="7" t="str">
        <f>TRIM(RIGHT(L1651, LEN(L1651) - FIND("-", L1651)))</f>
        <v>Bình Dương</v>
      </c>
      <c r="AI1651" s="1"/>
      <c r="AJ1651" s="1"/>
      <c r="AK1651" s="1"/>
      <c r="AL1651" s="1">
        <f>VLOOKUP(L1651,'[1]Tuyến cáp H04'!$B:$E,3,0)/1000</f>
        <v>14.202</v>
      </c>
      <c r="AM1651" s="1" t="str">
        <f>VLOOKUP(L1651,'[1]Tuyến cáp H04'!$B:$E,4,0)</f>
        <v>Mạng cấp 4</v>
      </c>
      <c r="AN1651" s="1" t="str">
        <f t="shared" si="122"/>
        <v>Phù Mỹ Đông-Bình Dương</v>
      </c>
      <c r="AO1651" s="1"/>
      <c r="AP1651" s="1" t="e">
        <f>VLOOKUP(AN1651,'[1]Tuyến cáp H04'!$B:$E,3,0)/1000</f>
        <v>#N/A</v>
      </c>
      <c r="AQ1651" s="1" t="e">
        <f>VLOOKUP(AN1651,'[1]Tuyến cáp H04'!$B:$E,4,0)</f>
        <v>#N/A</v>
      </c>
    </row>
    <row r="1652" spans="12:43" ht="15.75" x14ac:dyDescent="0.25">
      <c r="L1652" s="6" t="s">
        <v>15673</v>
      </c>
      <c r="M1652" s="6" t="s">
        <v>15673</v>
      </c>
      <c r="N1652" s="6"/>
      <c r="O1652" s="1"/>
      <c r="P1652" s="1"/>
      <c r="Q1652" s="1"/>
      <c r="R1652" s="1"/>
      <c r="S1652" s="1"/>
      <c r="T1652" s="1"/>
      <c r="U1652" s="1"/>
      <c r="V1652" s="13">
        <f>COUNTIF(L1652:$M$1659,L1652)</f>
        <v>2</v>
      </c>
      <c r="W1652" s="1"/>
      <c r="X1652" s="1"/>
      <c r="Y1652" s="1"/>
      <c r="Z1652" s="1"/>
      <c r="AA1652" s="1"/>
      <c r="AB1652" s="1"/>
      <c r="AC1652" s="1"/>
      <c r="AD1652" s="1"/>
      <c r="AE1652" s="1"/>
      <c r="AF1652" s="1"/>
      <c r="AG1652" s="7" t="str">
        <f>TRIM(LEFT(L1652,FIND("-",L1652)-1))</f>
        <v>Phù Mỹ Bắc</v>
      </c>
      <c r="AH1652" s="7" t="str">
        <f>TRIM(RIGHT(L1652, LEN(L1652) - FIND("-", L1652)))</f>
        <v>TTCMKV Hoài Ân</v>
      </c>
      <c r="AI1652" s="1"/>
      <c r="AJ1652" s="1"/>
      <c r="AK1652" s="1"/>
      <c r="AL1652" s="1">
        <f>VLOOKUP(L1652,'[1]Tuyến cáp H04'!$B:$E,3,0)/1000</f>
        <v>22.564</v>
      </c>
      <c r="AM1652" s="1" t="str">
        <f>VLOOKUP(L1652,'[1]Tuyến cáp H04'!$B:$E,4,0)</f>
        <v>Mạng cấp 4</v>
      </c>
      <c r="AN1652" s="1" t="str">
        <f t="shared" si="122"/>
        <v>Phù Mỹ Bắc-TTCMKV Hoài Ân</v>
      </c>
      <c r="AO1652" s="1"/>
      <c r="AP1652" s="1" t="e">
        <f>VLOOKUP(AN1652,'[1]Tuyến cáp H04'!$B:$E,3,0)/1000</f>
        <v>#N/A</v>
      </c>
      <c r="AQ1652" s="1" t="e">
        <f>VLOOKUP(AN1652,'[1]Tuyến cáp H04'!$B:$E,4,0)</f>
        <v>#N/A</v>
      </c>
    </row>
    <row r="1653" spans="12:43" ht="15.75" x14ac:dyDescent="0.25">
      <c r="L1653" s="6" t="s">
        <v>15674</v>
      </c>
      <c r="M1653" s="6" t="s">
        <v>15674</v>
      </c>
      <c r="N1653" s="6"/>
      <c r="O1653" s="1"/>
      <c r="P1653" s="1"/>
      <c r="Q1653" s="1"/>
      <c r="R1653" s="1"/>
      <c r="S1653" s="1"/>
      <c r="T1653" s="1"/>
      <c r="U1653" s="1"/>
      <c r="V1653" s="13">
        <f>COUNTIF(L1653:$M$1659,L1653)</f>
        <v>2</v>
      </c>
      <c r="W1653" s="1"/>
      <c r="X1653" s="1"/>
      <c r="Y1653" s="1"/>
      <c r="Z1653" s="1"/>
      <c r="AA1653" s="1"/>
      <c r="AB1653" s="1"/>
      <c r="AC1653" s="1"/>
      <c r="AD1653" s="1"/>
      <c r="AE1653" s="1"/>
      <c r="AF1653" s="1"/>
      <c r="AG1653" s="7" t="str">
        <f>TRIM(LEFT(L1653,FIND("-",L1653)-1))</f>
        <v>CA Tỉnh</v>
      </c>
      <c r="AH1653" s="7" t="str">
        <f>TRIM(RIGHT(L1653, LEN(L1653) - FIND("-", L1653)))</f>
        <v>Tuy Phước Tây</v>
      </c>
      <c r="AI1653" s="1"/>
      <c r="AJ1653" s="1"/>
      <c r="AK1653" s="1"/>
      <c r="AL1653" s="1">
        <f>VLOOKUP(L1653,'[1]Tuyến cáp H04'!$B:$E,3,0)/1000</f>
        <v>19.420999999999999</v>
      </c>
      <c r="AM1653" s="1" t="str">
        <f>VLOOKUP(L1653,'[1]Tuyến cáp H04'!$B:$E,4,0)</f>
        <v>Mạng cấp 4</v>
      </c>
      <c r="AN1653" s="1" t="str">
        <f t="shared" si="122"/>
        <v>CA Tỉnh-Tuy Phước Tây</v>
      </c>
      <c r="AO1653" s="1"/>
      <c r="AP1653" s="1" t="e">
        <f>VLOOKUP(AN1653,'[1]Tuyến cáp H04'!$B:$E,3,0)/1000</f>
        <v>#N/A</v>
      </c>
      <c r="AQ1653" s="1" t="e">
        <f>VLOOKUP(AN1653,'[1]Tuyến cáp H04'!$B:$E,4,0)</f>
        <v>#N/A</v>
      </c>
    </row>
    <row r="1654" spans="12:43" ht="15.75" x14ac:dyDescent="0.25">
      <c r="L1654" s="6" t="s">
        <v>15675</v>
      </c>
      <c r="M1654" s="6" t="s">
        <v>15675</v>
      </c>
      <c r="N1654" s="6"/>
      <c r="O1654" s="1"/>
      <c r="P1654" s="1"/>
      <c r="Q1654" s="1"/>
      <c r="R1654" s="1"/>
      <c r="S1654" s="1"/>
      <c r="T1654" s="1"/>
      <c r="U1654" s="1"/>
      <c r="V1654" s="13">
        <f>COUNTIF(L1654:$M$1659,L1654)</f>
        <v>2</v>
      </c>
      <c r="W1654" s="1"/>
      <c r="X1654" s="1"/>
      <c r="Y1654" s="1"/>
      <c r="Z1654" s="1"/>
      <c r="AA1654" s="1"/>
      <c r="AB1654" s="1"/>
      <c r="AC1654" s="1"/>
      <c r="AD1654" s="1"/>
      <c r="AE1654" s="1"/>
      <c r="AF1654" s="1"/>
      <c r="AG1654" s="7" t="str">
        <f>TRIM(LEFT(L1654,FIND("-",L1654)-1))</f>
        <v>An Nhơn</v>
      </c>
      <c r="AH1654" s="7" t="str">
        <f>TRIM(RIGHT(L1654, LEN(L1654) - FIND("-", L1654)))</f>
        <v>TT1 Gia Lai</v>
      </c>
      <c r="AI1654" s="1"/>
      <c r="AJ1654" s="1"/>
      <c r="AK1654" s="1"/>
      <c r="AL1654" s="1" t="e">
        <f>VLOOKUP(L1654,'[1]Tuyến cáp H04'!$B:$E,3,0)/1000</f>
        <v>#N/A</v>
      </c>
      <c r="AM1654" s="1" t="e">
        <f>VLOOKUP(L1654,'[1]Tuyến cáp H04'!$B:$E,4,0)</f>
        <v>#N/A</v>
      </c>
      <c r="AN1654" s="1" t="str">
        <f t="shared" si="122"/>
        <v>An Nhơn-TT1 Gia Lai</v>
      </c>
      <c r="AO1654" s="1"/>
      <c r="AP1654" s="1" t="e">
        <f>VLOOKUP(AN1654,'[1]Tuyến cáp H04'!$B:$E,3,0)/1000</f>
        <v>#N/A</v>
      </c>
      <c r="AQ1654" s="1" t="e">
        <f>VLOOKUP(AN1654,'[1]Tuyến cáp H04'!$B:$E,4,0)</f>
        <v>#N/A</v>
      </c>
    </row>
    <row r="1655" spans="12:43" ht="15.75" x14ac:dyDescent="0.25">
      <c r="L1655" s="6" t="s">
        <v>15676</v>
      </c>
      <c r="M1655" s="6" t="s">
        <v>15676</v>
      </c>
      <c r="N1655" s="6"/>
      <c r="O1655" s="1"/>
      <c r="P1655" s="1"/>
      <c r="Q1655" s="1"/>
      <c r="R1655" s="1"/>
      <c r="S1655" s="1"/>
      <c r="T1655" s="1"/>
      <c r="U1655" s="1"/>
      <c r="V1655" s="13">
        <f>COUNTIF(L1655:$M$1659,L1655)</f>
        <v>2</v>
      </c>
      <c r="W1655" s="1"/>
      <c r="X1655" s="1"/>
      <c r="Y1655" s="1"/>
      <c r="Z1655" s="1"/>
      <c r="AA1655" s="1"/>
      <c r="AB1655" s="1"/>
      <c r="AC1655" s="1"/>
      <c r="AD1655" s="1"/>
      <c r="AE1655" s="1"/>
      <c r="AF1655" s="1"/>
      <c r="AG1655" s="7" t="str">
        <f>TRIM(LEFT(L1655,FIND("-",L1655)-1))</f>
        <v>Tuy Phước Bắc</v>
      </c>
      <c r="AH1655" s="7" t="str">
        <f>TRIM(RIGHT(L1655, LEN(L1655) - FIND("-", L1655)))</f>
        <v>Bình Định</v>
      </c>
      <c r="AI1655" s="1"/>
      <c r="AJ1655" s="1"/>
      <c r="AK1655" s="1"/>
      <c r="AL1655" s="1">
        <f>VLOOKUP(L1655,'[1]Tuyến cáp H04'!$B:$E,3,0)/1000</f>
        <v>4.6150000000000002</v>
      </c>
      <c r="AM1655" s="1" t="str">
        <f>VLOOKUP(L1655,'[1]Tuyến cáp H04'!$B:$E,4,0)</f>
        <v>Mạng cấp 4</v>
      </c>
      <c r="AN1655" s="1" t="str">
        <f t="shared" si="122"/>
        <v>Tuy Phước Bắc-Bình Định</v>
      </c>
      <c r="AO1655" s="1"/>
      <c r="AP1655" s="1" t="e">
        <f>VLOOKUP(AN1655,'[1]Tuyến cáp H04'!$B:$E,3,0)/1000</f>
        <v>#N/A</v>
      </c>
      <c r="AQ1655" s="1" t="e">
        <f>VLOOKUP(AN1655,'[1]Tuyến cáp H04'!$B:$E,4,0)</f>
        <v>#N/A</v>
      </c>
    </row>
    <row r="1656" spans="12:43" ht="15.75" x14ac:dyDescent="0.25">
      <c r="L1656" s="6" t="s">
        <v>15602</v>
      </c>
      <c r="M1656" s="6" t="s">
        <v>15602</v>
      </c>
      <c r="N1656" s="6"/>
      <c r="O1656" s="1"/>
      <c r="P1656" s="1"/>
      <c r="Q1656" s="1"/>
      <c r="R1656" s="1"/>
      <c r="S1656" s="1"/>
      <c r="T1656" s="1"/>
      <c r="U1656" s="1"/>
      <c r="V1656" s="13">
        <f>COUNTIF(L1656:$M$1659,L1656)</f>
        <v>4</v>
      </c>
      <c r="W1656" s="1"/>
      <c r="X1656" s="1"/>
      <c r="Y1656" s="1"/>
      <c r="Z1656" s="1"/>
      <c r="AA1656" s="1"/>
      <c r="AB1656" s="1"/>
      <c r="AC1656" s="1"/>
      <c r="AD1656" s="1"/>
      <c r="AE1656" s="1"/>
      <c r="AF1656" s="1"/>
      <c r="AG1656" s="7" t="str">
        <f>TRIM(LEFT(L1656,FIND("-",L1656)-1))</f>
        <v>TT1 Gia Lai</v>
      </c>
      <c r="AH1656" s="7" t="str">
        <f>TRIM(RIGHT(L1656, LEN(L1656) - FIND("-", L1656)))</f>
        <v>TT2 Gia Lai (ring 1)</v>
      </c>
      <c r="AI1656" s="1"/>
      <c r="AJ1656" s="1"/>
      <c r="AK1656" s="1"/>
      <c r="AL1656" s="1" t="e">
        <f>VLOOKUP(L1656,'[1]Tuyến cáp H04'!$B:$E,3,0)/1000</f>
        <v>#N/A</v>
      </c>
      <c r="AM1656" s="1" t="e">
        <f>VLOOKUP(L1656,'[1]Tuyến cáp H04'!$B:$E,4,0)</f>
        <v>#N/A</v>
      </c>
      <c r="AN1656" s="1" t="str">
        <f t="shared" si="122"/>
        <v>TT1 Gia Lai-TT2 Gia Lai (ring 1)</v>
      </c>
      <c r="AO1656" s="1"/>
      <c r="AP1656" s="1" t="e">
        <f>VLOOKUP(AN1656,'[1]Tuyến cáp H04'!$B:$E,3,0)/1000</f>
        <v>#N/A</v>
      </c>
      <c r="AQ1656" s="1" t="e">
        <f>VLOOKUP(AN1656,'[1]Tuyến cáp H04'!$B:$E,4,0)</f>
        <v>#N/A</v>
      </c>
    </row>
    <row r="1657" spans="12:43" ht="15.75" x14ac:dyDescent="0.25">
      <c r="L1657" s="6" t="s">
        <v>15602</v>
      </c>
      <c r="M1657" s="6" t="s">
        <v>15602</v>
      </c>
      <c r="N1657" s="6"/>
      <c r="O1657" s="1"/>
      <c r="P1657" s="1"/>
      <c r="Q1657" s="1"/>
      <c r="R1657" s="1"/>
      <c r="S1657" s="1"/>
      <c r="T1657" s="1"/>
      <c r="U1657" s="1"/>
      <c r="V1657" s="13">
        <f>COUNTIF(L1657:$M$1659,L1657)</f>
        <v>2</v>
      </c>
      <c r="W1657" s="1"/>
      <c r="X1657" s="1"/>
      <c r="Y1657" s="1"/>
      <c r="Z1657" s="1"/>
      <c r="AA1657" s="1"/>
      <c r="AB1657" s="1"/>
      <c r="AC1657" s="1"/>
      <c r="AD1657" s="1"/>
      <c r="AE1657" s="1"/>
      <c r="AF1657" s="1"/>
      <c r="AG1657" s="7" t="str">
        <f>TRIM(LEFT(L1657,FIND("-",L1657)-1))</f>
        <v>TT1 Gia Lai</v>
      </c>
      <c r="AH1657" s="7" t="str">
        <f>TRIM(RIGHT(L1657, LEN(L1657) - FIND("-", L1657)))</f>
        <v>TT2 Gia Lai (ring 1)</v>
      </c>
      <c r="AI1657" s="1"/>
      <c r="AJ1657" s="1"/>
      <c r="AK1657" s="1"/>
      <c r="AL1657" s="1" t="e">
        <f>VLOOKUP(L1657,'[1]Tuyến cáp H04'!$B:$E,3,0)/1000</f>
        <v>#N/A</v>
      </c>
      <c r="AM1657" s="1" t="e">
        <f>VLOOKUP(L1657,'[1]Tuyến cáp H04'!$B:$E,4,0)</f>
        <v>#N/A</v>
      </c>
      <c r="AN1657" s="1" t="str">
        <f t="shared" si="122"/>
        <v>TT1 Gia Lai-TT2 Gia Lai (ring 1)</v>
      </c>
      <c r="AO1657" s="1"/>
      <c r="AP1657" s="1" t="e">
        <f>VLOOKUP(AN1657,'[1]Tuyến cáp H04'!$B:$E,3,0)/1000</f>
        <v>#N/A</v>
      </c>
      <c r="AQ1657" s="1" t="e">
        <f>VLOOKUP(AN1657,'[1]Tuyến cáp H04'!$B:$E,4,0)</f>
        <v>#N/A</v>
      </c>
    </row>
    <row r="1658" spans="12:43" ht="15.75" x14ac:dyDescent="0.25">
      <c r="L1658" s="6" t="s">
        <v>15677</v>
      </c>
      <c r="M1658" s="6" t="s">
        <v>15677</v>
      </c>
      <c r="N1658" s="6"/>
      <c r="O1658" s="1"/>
      <c r="P1658" s="1"/>
      <c r="Q1658" s="1"/>
      <c r="R1658" s="1"/>
      <c r="S1658" s="1"/>
      <c r="T1658" s="1"/>
      <c r="U1658" s="1"/>
      <c r="V1658" s="13">
        <f>COUNTIF(L1658:$M$1659,L1658)</f>
        <v>2</v>
      </c>
      <c r="W1658" s="1"/>
      <c r="X1658" s="1"/>
      <c r="Y1658" s="1"/>
      <c r="Z1658" s="1"/>
      <c r="AA1658" s="1"/>
      <c r="AB1658" s="1"/>
      <c r="AC1658" s="1"/>
      <c r="AD1658" s="1"/>
      <c r="AE1658" s="1"/>
      <c r="AF1658" s="1"/>
      <c r="AG1658" s="7" t="str">
        <f>TRIM(LEFT(L1658,FIND("-",L1658)-1))</f>
        <v>TTCMKV Hoài Ân</v>
      </c>
      <c r="AH1658" s="7" t="str">
        <f>TRIM(RIGHT(L1658, LEN(L1658) - FIND("-", L1658)))</f>
        <v>An Vinh</v>
      </c>
      <c r="AI1658" s="1"/>
      <c r="AJ1658" s="1"/>
      <c r="AK1658" s="1"/>
      <c r="AL1658" s="1">
        <f>VLOOKUP(L1658,'[1]Tuyến cáp H04'!$B:$E,3,0)/1000</f>
        <v>42.056599999999996</v>
      </c>
      <c r="AM1658" s="1" t="str">
        <f>VLOOKUP(L1658,'[1]Tuyến cáp H04'!$B:$E,4,0)</f>
        <v>Mạng cấp 4</v>
      </c>
      <c r="AN1658" s="1" t="str">
        <f t="shared" si="122"/>
        <v>TTCMKV Hoài Ân-An Vinh</v>
      </c>
      <c r="AO1658" s="1"/>
      <c r="AP1658" s="1" t="e">
        <f>VLOOKUP(AN1658,'[1]Tuyến cáp H04'!$B:$E,3,0)/1000</f>
        <v>#N/A</v>
      </c>
      <c r="AQ1658" s="1" t="e">
        <f>VLOOKUP(AN1658,'[1]Tuyến cáp H04'!$B:$E,4,0)</f>
        <v>#N/A</v>
      </c>
    </row>
    <row r="1659" spans="12:43" ht="15.75" x14ac:dyDescent="0.25">
      <c r="L1659" s="6" t="s">
        <v>15678</v>
      </c>
      <c r="M1659" s="6" t="s">
        <v>15678</v>
      </c>
      <c r="N1659" s="6"/>
      <c r="O1659" s="1"/>
      <c r="P1659" s="1"/>
      <c r="Q1659" s="1"/>
      <c r="R1659" s="1"/>
      <c r="S1659" s="1"/>
      <c r="T1659" s="1"/>
      <c r="U1659" s="1"/>
      <c r="V1659" s="13">
        <f>COUNTIF(L1659:$M$1659,L1659)</f>
        <v>2</v>
      </c>
      <c r="W1659" s="1"/>
      <c r="X1659" s="1"/>
      <c r="Y1659" s="1"/>
      <c r="Z1659" s="1"/>
      <c r="AA1659" s="1"/>
      <c r="AB1659" s="1"/>
      <c r="AC1659" s="1"/>
      <c r="AD1659" s="1"/>
      <c r="AE1659" s="1"/>
      <c r="AF1659" s="1"/>
      <c r="AG1659" s="7" t="str">
        <f>TRIM(LEFT(L1659,FIND("-",L1659)-1))</f>
        <v>Canh Vinh</v>
      </c>
      <c r="AH1659" s="7" t="str">
        <f>TRIM(RIGHT(L1659, LEN(L1659) - FIND("-", L1659)))</f>
        <v>Quy Nhơn Tây</v>
      </c>
      <c r="AI1659" s="1"/>
      <c r="AJ1659" s="1"/>
      <c r="AK1659" s="1"/>
      <c r="AL1659" s="1">
        <f>VLOOKUP(L1659,'[1]Tuyến cáp H04'!$B:$E,3,0)/1000</f>
        <v>9.7059999999999995</v>
      </c>
      <c r="AM1659" s="1" t="str">
        <f>VLOOKUP(L1659,'[1]Tuyến cáp H04'!$B:$E,4,0)</f>
        <v>Mạng cấp 4</v>
      </c>
      <c r="AN1659" s="1" t="str">
        <f t="shared" si="122"/>
        <v>Canh Vinh-Quy Nhơn Tây</v>
      </c>
      <c r="AO1659" s="1"/>
      <c r="AP1659" s="1" t="e">
        <f>VLOOKUP(AN1659,'[1]Tuyến cáp H04'!$B:$E,3,0)/1000</f>
        <v>#N/A</v>
      </c>
      <c r="AQ1659" s="1" t="e">
        <f>VLOOKUP(AN1659,'[1]Tuyến cáp H04'!$B:$E,4,0)</f>
        <v>#N/A</v>
      </c>
    </row>
  </sheetData>
  <autoFilter ref="A1:AK1659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96229-872C-40FA-998D-B7D99A113C9C}">
  <sheetPr filterMode="1"/>
  <dimension ref="B1:K87"/>
  <sheetViews>
    <sheetView workbookViewId="0">
      <selection activeCell="J2" sqref="J2:J87"/>
    </sheetView>
  </sheetViews>
  <sheetFormatPr defaultRowHeight="15" x14ac:dyDescent="0.25"/>
  <cols>
    <col min="2" max="2" width="52.42578125" customWidth="1"/>
    <col min="8" max="8" width="25.85546875" style="11" customWidth="1"/>
    <col min="9" max="10" width="23.42578125" style="11" customWidth="1"/>
  </cols>
  <sheetData>
    <row r="1" spans="2:11" x14ac:dyDescent="0.25">
      <c r="B1" s="10" t="s">
        <v>15693</v>
      </c>
      <c r="C1" s="10">
        <v>1</v>
      </c>
      <c r="D1" s="10">
        <v>2</v>
      </c>
      <c r="E1" s="10">
        <v>3</v>
      </c>
      <c r="F1" s="10">
        <v>4</v>
      </c>
      <c r="G1" s="10">
        <v>5</v>
      </c>
      <c r="H1" s="10">
        <v>6</v>
      </c>
      <c r="I1" s="10">
        <v>7</v>
      </c>
      <c r="J1" s="10"/>
    </row>
    <row r="2" spans="2:11" x14ac:dyDescent="0.25">
      <c r="B2" t="s">
        <v>15595</v>
      </c>
      <c r="C2" t="s">
        <v>15679</v>
      </c>
      <c r="D2" t="s">
        <v>15680</v>
      </c>
      <c r="H2" s="11" t="e">
        <v>#N/A</v>
      </c>
      <c r="I2" s="11" t="e">
        <v>#N/A</v>
      </c>
      <c r="J2" s="11" t="e">
        <f>H2*1000</f>
        <v>#N/A</v>
      </c>
      <c r="K2" t="str">
        <f>VLOOKUP(B2,[2]OptimizedNearestRoute_DualPoint!$L:$U,9,0)</f>
        <v>full_h04/Gia Lai/GE Mạng cấp III-IV Gia Lai Full v6.kmz/GE Mạng cấp III-IV Gia Lai Full/Mạng cấp III Gia Lai Full/Ring 3/TT2-Gia Lai-Ia Grai/Trung Thế</v>
      </c>
    </row>
    <row r="3" spans="2:11" x14ac:dyDescent="0.25">
      <c r="B3" t="s">
        <v>15596</v>
      </c>
      <c r="C3" t="s">
        <v>15681</v>
      </c>
      <c r="D3" t="s">
        <v>15682</v>
      </c>
      <c r="H3" s="11" t="e">
        <v>#N/A</v>
      </c>
      <c r="I3" s="11" t="e">
        <v>#N/A</v>
      </c>
      <c r="J3" s="11" t="e">
        <f t="shared" ref="J3:J19" si="0">H3*1000</f>
        <v>#N/A</v>
      </c>
      <c r="K3" t="str">
        <f>VLOOKUP(B3,[2]OptimizedNearestRoute_DualPoint!$L:$U,9,0)</f>
        <v>full_h04/Gia Lai/GE Mạng cấp III-IV Gia Lai Full v6.kmz/GE Mạng cấp III-IV Gia Lai Full/Mạng cấp III Gia Lai Full/Ring 3/Ia Grai- Đức Cơ/Trung Thế</v>
      </c>
    </row>
    <row r="4" spans="2:11" x14ac:dyDescent="0.25">
      <c r="B4" t="s">
        <v>15597</v>
      </c>
      <c r="C4" t="s">
        <v>15682</v>
      </c>
      <c r="D4" t="s">
        <v>15683</v>
      </c>
      <c r="H4" s="11" t="e">
        <v>#N/A</v>
      </c>
      <c r="I4" s="11" t="e">
        <v>#N/A</v>
      </c>
      <c r="J4" s="11" t="e">
        <f t="shared" si="0"/>
        <v>#N/A</v>
      </c>
      <c r="K4" t="str">
        <f>VLOOKUP(B4,[2]OptimizedNearestRoute_DualPoint!$L:$U,9,0)</f>
        <v>full_h04/Gia Lai/GE Mạng cấp III-IV Gia Lai Full v6.kmz/GE Mạng cấp III-IV Gia Lai Full/Mạng cấp III Gia Lai Full/Ring 3/Đức Cơ- Chư Prông/Trung Thế</v>
      </c>
    </row>
    <row r="5" spans="2:11" x14ac:dyDescent="0.25">
      <c r="B5" t="s">
        <v>15598</v>
      </c>
      <c r="C5" t="s">
        <v>15684</v>
      </c>
      <c r="D5" t="s">
        <v>15685</v>
      </c>
      <c r="H5" s="11" t="e">
        <v>#N/A</v>
      </c>
      <c r="I5" s="11" t="e">
        <v>#N/A</v>
      </c>
      <c r="J5" s="11" t="e">
        <f t="shared" si="0"/>
        <v>#N/A</v>
      </c>
      <c r="K5" t="str">
        <f>VLOOKUP(B5,[2]OptimizedNearestRoute_DualPoint!$L:$U,9,0)</f>
        <v>full_h04/Gia Lai/GE Mạng cấp III-IV Gia Lai Full v6.kmz/GE Mạng cấp III-IV Gia Lai Full/Mạng cấp III Gia Lai Full/Cấp Phòng-Ban/PC11A-Chư Sê/Trung Thế</v>
      </c>
    </row>
    <row r="6" spans="2:11" x14ac:dyDescent="0.25">
      <c r="B6" t="s">
        <v>15599</v>
      </c>
      <c r="C6" t="s">
        <v>15686</v>
      </c>
      <c r="D6" t="s">
        <v>15687</v>
      </c>
      <c r="H6" s="11" t="e">
        <v>#N/A</v>
      </c>
      <c r="I6" s="11" t="e">
        <v>#N/A</v>
      </c>
      <c r="J6" s="11" t="e">
        <f t="shared" si="0"/>
        <v>#N/A</v>
      </c>
      <c r="K6" t="str">
        <f>VLOOKUP(B6,[2]OptimizedNearestRoute_DualPoint!$L:$U,9,0)</f>
        <v>full_h04/Gia Lai/GE Mạng cấp III-IV Gia Lai Full v6.kmz/GE Mạng cấp III-IV Gia Lai Full/Mạng cấp IV  Gia Lai Full/Mạng 4 GLI-Ring 3/Ring 3/Kon Gang - TTCMKV Mang Yang/Kon Gang - TTCMKV Mang Yang - Trung Thế (1)</v>
      </c>
    </row>
    <row r="7" spans="2:11" x14ac:dyDescent="0.25">
      <c r="B7" t="s">
        <v>15600</v>
      </c>
      <c r="C7" t="s">
        <v>15688</v>
      </c>
      <c r="D7" t="s">
        <v>15689</v>
      </c>
      <c r="H7" s="11" t="e">
        <v>#N/A</v>
      </c>
      <c r="I7" s="11" t="e">
        <v>#N/A</v>
      </c>
      <c r="J7" s="11" t="e">
        <f t="shared" si="0"/>
        <v>#N/A</v>
      </c>
      <c r="K7" t="str">
        <f>VLOOKUP(B7,[2]OptimizedNearestRoute_DualPoint!$L:$U,9,0)</f>
        <v>full_h04/Gia Lai/GE Mạng cấp III-IV Gia Lai Full v6.kmz/GE Mạng cấp III-IV Gia Lai Full/Mạng cấp III Gia Lai Full/Ring 4/Đak Pơ- Mang Yang/Trung Thế</v>
      </c>
    </row>
    <row r="8" spans="2:11" x14ac:dyDescent="0.25">
      <c r="B8" t="s">
        <v>15601</v>
      </c>
      <c r="C8" t="s">
        <v>15689</v>
      </c>
      <c r="D8" t="s">
        <v>15690</v>
      </c>
      <c r="H8" s="11" t="e">
        <v>#N/A</v>
      </c>
      <c r="I8" s="11" t="e">
        <v>#N/A</v>
      </c>
      <c r="J8" s="11" t="e">
        <f t="shared" si="0"/>
        <v>#N/A</v>
      </c>
      <c r="K8" t="str">
        <f>VLOOKUP(B8,[2]OptimizedNearestRoute_DualPoint!$L:$U,9,0)</f>
        <v>full_h04/Gia Lai/GE Mạng cấp III-IV Gia Lai Full v6.kmz/GE Mạng cấp III-IV Gia Lai Full/Mạng cấp III Gia Lai Full/Ring 4/Mang Yang-TT2 Gia Lai/Trung Thế</v>
      </c>
    </row>
    <row r="9" spans="2:11" x14ac:dyDescent="0.25">
      <c r="B9" t="s">
        <v>15602</v>
      </c>
      <c r="H9" s="11" t="e">
        <v>#N/A</v>
      </c>
      <c r="I9" s="11" t="e">
        <v>#N/A</v>
      </c>
      <c r="J9" s="11" t="e">
        <f t="shared" si="0"/>
        <v>#N/A</v>
      </c>
      <c r="K9" t="str">
        <f>VLOOKUP(B9,[2]OptimizedNearestRoute_DualPoint!$L:$U,9,0)</f>
        <v>full_h04/Gia Lai/Mạng cấp 2 Gia Lai.kmz/Mạng cấp 2 Gia Lai/TT1 Gia Lai - TT2 Gia Lai (ring 1)/Trung thế 7</v>
      </c>
    </row>
    <row r="10" spans="2:11" x14ac:dyDescent="0.25">
      <c r="B10" t="s">
        <v>15603</v>
      </c>
      <c r="H10" s="11" t="e">
        <v>#N/A</v>
      </c>
      <c r="I10" s="11" t="e">
        <v>#N/A</v>
      </c>
      <c r="J10" s="11" t="e">
        <f t="shared" si="0"/>
        <v>#N/A</v>
      </c>
      <c r="K10" t="str">
        <f>VLOOKUP(B10,[2]OptimizedNearestRoute_DualPoint!$L:$U,9,0)</f>
        <v>full_h04/Gia Lai/GE Mạng cấp III-IV Gia Lai Full v6.kmz/GE Mạng cấp III-IV Gia Lai Full/Mạng cấp IV  Gia Lai Full/Mạng 4 GLI-Ring 3/Ring 3/Pleiku - Biển Hồ/Pleiku - Biển Hồ - Trung Thế (2)</v>
      </c>
    </row>
    <row r="11" spans="2:11" x14ac:dyDescent="0.25">
      <c r="B11" t="s">
        <v>15604</v>
      </c>
      <c r="H11" s="11" t="e">
        <v>#N/A</v>
      </c>
      <c r="I11" s="11" t="e">
        <v>#N/A</v>
      </c>
      <c r="J11" s="11" t="e">
        <f t="shared" si="0"/>
        <v>#N/A</v>
      </c>
      <c r="K11" t="str">
        <f>VLOOKUP(B11,[2]OptimizedNearestRoute_DualPoint!$L:$U,9,0)</f>
        <v>full_h04/Gia Lai/GE Mạng cấp III-IV Gia Lai Full v6.kmz/GE Mạng cấp III-IV Gia Lai Full/Mạng cấp IV  Gia Lai Full/Mạng 4 GLI-Ring 2/Thống Nhất - Ia Hrung/Thống Nhất - Ia Hrung - Trung thế</v>
      </c>
    </row>
    <row r="12" spans="2:11" x14ac:dyDescent="0.25">
      <c r="B12" t="s">
        <v>15605</v>
      </c>
      <c r="H12" s="11" t="e">
        <v>#N/A</v>
      </c>
      <c r="I12" s="11" t="e">
        <v>#N/A</v>
      </c>
      <c r="J12" s="11" t="e">
        <f t="shared" si="0"/>
        <v>#N/A</v>
      </c>
      <c r="K12" t="str">
        <f>VLOOKUP(B12,[2]OptimizedNearestRoute_DualPoint!$L:$U,9,0)</f>
        <v>full_h04/Gia Lai/GE Mạng cấp III-IV Gia Lai Full v6.kmz/GE Mạng cấp III-IV Gia Lai Full/Mạng cấp III Gia Lai Full/Cấp Phòng-Ban/Trại Giam Gia Trung-Đak Pơ/Trung Thế</v>
      </c>
    </row>
    <row r="13" spans="2:11" x14ac:dyDescent="0.25">
      <c r="B13" t="s">
        <v>15606</v>
      </c>
      <c r="H13" s="11" t="e">
        <v>#N/A</v>
      </c>
      <c r="I13" s="11" t="e">
        <v>#N/A</v>
      </c>
      <c r="J13" s="11" t="e">
        <f t="shared" si="0"/>
        <v>#N/A</v>
      </c>
      <c r="K13" t="str">
        <f>VLOOKUP(B13,[2]OptimizedNearestRoute_DualPoint!$L:$U,9,0)</f>
        <v>full_h04/Gia Lai/GE Mạng cấp III-IV Gia Lai Full v6.kmz/GE Mạng cấp III-IV Gia Lai Full/Mạng cấp III Gia Lai Full/Cấp Phòng-Ban/Mang Yang- Trại Giam Gia Trung/Trung Thế</v>
      </c>
    </row>
    <row r="14" spans="2:11" x14ac:dyDescent="0.25">
      <c r="B14" t="s">
        <v>15607</v>
      </c>
      <c r="H14" s="11" t="e">
        <v>#N/A</v>
      </c>
      <c r="I14" s="11" t="e">
        <v>#N/A</v>
      </c>
      <c r="J14" s="11" t="e">
        <f t="shared" si="0"/>
        <v>#N/A</v>
      </c>
      <c r="K14" t="str">
        <f>VLOOKUP(B14,[2]OptimizedNearestRoute_DualPoint!$L:$U,9,0)</f>
        <v>full_h04/Gia Lai/GE Mạng cấp III-IV Gia Lai Full v6.kmz/GE Mạng cấp III-IV Gia Lai Full/Mạng cấp III Gia Lai Full/Ring 4/An Khê-Đak Pơ/Trung Thế</v>
      </c>
    </row>
    <row r="15" spans="2:11" x14ac:dyDescent="0.25">
      <c r="B15" t="s">
        <v>15608</v>
      </c>
      <c r="H15" s="11">
        <v>13.316000000000001</v>
      </c>
      <c r="I15" s="11" t="s">
        <v>15691</v>
      </c>
      <c r="J15" s="11">
        <f t="shared" si="0"/>
        <v>13316</v>
      </c>
      <c r="K15" t="str">
        <f>VLOOKUP(B15,[2]OptimizedNearestRoute_DualPoint!$L:$U,9,0)</f>
        <v>full_h04/Gia Lai/GE Mạng cấp III-IV Gia Lai Full v6.kmz/GE Mạng cấp III-IV Gia Lai Full/Mạng cấp IV  Gia Lai Full/Mạng 4 GLI-Ring 15/Gia Lai Ring 15/Kông Bơ La - An Khê/Kông Bơ La - An Khê - trung thế</v>
      </c>
    </row>
    <row r="16" spans="2:11" x14ac:dyDescent="0.25">
      <c r="B16" t="s">
        <v>15609</v>
      </c>
      <c r="H16" s="11">
        <v>7.3940000000000001</v>
      </c>
      <c r="I16" s="11" t="s">
        <v>15691</v>
      </c>
      <c r="J16" s="11">
        <f t="shared" si="0"/>
        <v>7394</v>
      </c>
      <c r="K16" t="str">
        <f>VLOOKUP(B16,[2]OptimizedNearestRoute_DualPoint!$L:$U,9,0)</f>
        <v>full_h04/Gia Lai/GE Mạng cấp III-IV Gia Lai Full v6.kmz/GE Mạng cấp III-IV Gia Lai Full/Mạng cấp IV  Gia Lai Full/Mạng 4 GLI-Ring 16/Gia Lai Ring 16/Cửu An - TTCMKV An Khê/Cửu An - TTCMKV An Khê - trung thế</v>
      </c>
    </row>
    <row r="17" spans="2:11" x14ac:dyDescent="0.25">
      <c r="B17" t="s">
        <v>15610</v>
      </c>
      <c r="H17" s="11">
        <v>26.428000000000001</v>
      </c>
      <c r="I17" s="11" t="s">
        <v>15691</v>
      </c>
      <c r="J17" s="11">
        <f t="shared" si="0"/>
        <v>26428</v>
      </c>
      <c r="K17" t="str">
        <f>VLOOKUP(B17,[2]OptimizedNearestRoute_DualPoint!$L:$U,9,0)</f>
        <v>full_h04/Gia Lai/GE Mạng cấp III-IV Gia Lai Full v6.kmz/GE Mạng cấp III-IV Gia Lai Full/Mạng cấp IV  Gia Lai Full/Mạng 4 GLI-Ring 16/Gia Lai Ring 16/Kbang - Cửu An/Kbang - Cửu An - trung thế</v>
      </c>
    </row>
    <row r="18" spans="2:11" x14ac:dyDescent="0.25">
      <c r="B18" t="s">
        <v>15611</v>
      </c>
      <c r="H18" s="11" t="e">
        <v>#N/A</v>
      </c>
      <c r="I18" s="11" t="e">
        <v>#N/A</v>
      </c>
      <c r="J18" s="11" t="e">
        <f t="shared" si="0"/>
        <v>#N/A</v>
      </c>
      <c r="K18" t="str">
        <f>VLOOKUP(B18,[2]OptimizedNearestRoute_DualPoint!$L:$U,9,0)</f>
        <v>full_h04/Gia Lai/GE Mạng cấp III-IV Gia Lai Full v6.kmz/GE Mạng cấp III-IV Gia Lai Full/Mạng cấp IV  Gia Lai Full/Mạng 4 GLI-Ring 4/Ring 4/Ia băng - Đăk Đoa/Ia băng - Đăk Đoa - Trung thế (2)</v>
      </c>
    </row>
    <row r="19" spans="2:11" x14ac:dyDescent="0.25">
      <c r="B19" t="s">
        <v>15612</v>
      </c>
      <c r="H19" s="11" t="e">
        <v>#N/A</v>
      </c>
      <c r="I19" s="11" t="e">
        <v>#N/A</v>
      </c>
      <c r="J19" s="11" t="e">
        <f t="shared" si="0"/>
        <v>#N/A</v>
      </c>
      <c r="K19" t="str">
        <f>VLOOKUP(B19,[2]OptimizedNearestRoute_DualPoint!$L:$U,9,0)</f>
        <v>full_h04/Gia Lai/GE Mạng cấp III-IV Gia Lai Full v6.kmz/GE Mạng cấp III-IV Gia Lai Full/Mạng cấp III Gia Lai Full/Ring 4/TT2 Gia Lai- Chư Sê/Trung Thế</v>
      </c>
    </row>
    <row r="20" spans="2:11" hidden="1" x14ac:dyDescent="0.25">
      <c r="H20" s="11" t="e">
        <v>#N/A</v>
      </c>
      <c r="I20" s="11" t="e">
        <v>#N/A</v>
      </c>
      <c r="K20" t="e">
        <f>VLOOKUP(B20,[2]OptimizedNearestRoute_DualPoint!$L:$U,9,0)</f>
        <v>#N/A</v>
      </c>
    </row>
    <row r="21" spans="2:11" x14ac:dyDescent="0.25">
      <c r="B21" t="s">
        <v>15613</v>
      </c>
      <c r="H21" s="11" t="e">
        <v>#N/A</v>
      </c>
      <c r="I21" s="11" t="e">
        <v>#N/A</v>
      </c>
      <c r="J21" s="11" t="e">
        <f t="shared" ref="J21:J84" si="1">H21*1000</f>
        <v>#N/A</v>
      </c>
      <c r="K21" t="str">
        <f>VLOOKUP(B21,[2]OptimizedNearestRoute_DualPoint!$L:$U,9,0)</f>
        <v>full_h04/Gia Lai/GE Mạng cấp III-IV Gia Lai Full v6.kmz/GE Mạng cấp III-IV Gia Lai Full/Mạng cấp IV  Gia Lai Full/Mạng 4 GLI-Ring 4/Ring 4/Hội Phú - Ia Băng/Hội phú - Ia băng - trung thế (4)</v>
      </c>
    </row>
    <row r="22" spans="2:11" x14ac:dyDescent="0.25">
      <c r="B22" t="s">
        <v>15614</v>
      </c>
      <c r="H22" s="11" t="e">
        <v>#N/A</v>
      </c>
      <c r="I22" s="11" t="e">
        <v>#N/A</v>
      </c>
      <c r="J22" s="11" t="e">
        <f t="shared" si="1"/>
        <v>#N/A</v>
      </c>
      <c r="K22" t="str">
        <f>VLOOKUP(B22,[2]OptimizedNearestRoute_DualPoint!$L:$U,9,0)</f>
        <v>full_h04/Gia Lai/GE Mạng cấp III-IV Gia Lai Full v6.kmz/GE Mạng cấp III-IV Gia Lai Full/Mạng cấp IV  Gia Lai Full/Mạng 4 GLI-Ring 11/Ring 11/Kdang - Bờ Ngoong/Kdang - Bờ Ngoong - trung thế</v>
      </c>
    </row>
    <row r="23" spans="2:11" x14ac:dyDescent="0.25">
      <c r="B23" t="s">
        <v>15615</v>
      </c>
      <c r="H23" s="11" t="e">
        <v>#N/A</v>
      </c>
      <c r="I23" s="11" t="e">
        <v>#N/A</v>
      </c>
      <c r="J23" s="11" t="e">
        <f t="shared" si="1"/>
        <v>#N/A</v>
      </c>
      <c r="K23" t="str">
        <f>VLOOKUP(B23,[2]OptimizedNearestRoute_DualPoint!$L:$U,9,0)</f>
        <v>full_h04/Gia Lai/Mạng cấp 2 Gia Lai.kmz/Mạng cấp 2 Gia Lai/TT2 Gia Lai - TT1 Gia Lai (ring 2)/Trung thế 1</v>
      </c>
    </row>
    <row r="24" spans="2:11" x14ac:dyDescent="0.25">
      <c r="B24" t="s">
        <v>15616</v>
      </c>
      <c r="H24" s="11">
        <v>15.926</v>
      </c>
      <c r="I24" s="11" t="s">
        <v>15691</v>
      </c>
      <c r="J24" s="11">
        <f t="shared" si="1"/>
        <v>15926</v>
      </c>
      <c r="K24" t="str">
        <f>VLOOKUP(B24,[2]OptimizedNearestRoute_DualPoint!$L:$U,9,0)</f>
        <v>full_h04/Gia Lai/GE Mạng cấp III-IV Gia Lai Full v6.kmz/GE Mạng cấp III-IV Gia Lai Full/Mạng cấp IV  Gia Lai Full/Mạng 4 GLI-Ring 12/Gia Lai Ring 12/TTCMKV Mang Yang - Lơ Pang/TTCMKV Mang Yang - Lơ Pang - trung thế</v>
      </c>
    </row>
    <row r="25" spans="2:11" x14ac:dyDescent="0.25">
      <c r="B25" t="s">
        <v>15617</v>
      </c>
      <c r="H25" s="11" t="e">
        <v>#N/A</v>
      </c>
      <c r="I25" s="11" t="e">
        <v>#N/A</v>
      </c>
      <c r="J25" s="11" t="e">
        <f t="shared" si="1"/>
        <v>#N/A</v>
      </c>
      <c r="K25" t="str">
        <f>VLOOKUP(B25,[2]OptimizedNearestRoute_DualPoint!$L:$U,9,0)</f>
        <v>full_h04/Gia Lai/GE Mạng cấp III-IV Gia Lai Full v6.kmz/GE Mạng cấp III-IV Gia Lai Full/Mạng cấp IV  Gia Lai Full/Mạng 4 GLI-Ring 5/Ring 5/Ia Ly - Ia Khươi/Ia Ly- Ia Khươi - trung thế (5)</v>
      </c>
    </row>
    <row r="26" spans="2:11" x14ac:dyDescent="0.25">
      <c r="B26" t="s">
        <v>15618</v>
      </c>
      <c r="H26" s="11" t="e">
        <v>#N/A</v>
      </c>
      <c r="I26" s="11" t="e">
        <v>#N/A</v>
      </c>
      <c r="J26" s="11" t="e">
        <f t="shared" si="1"/>
        <v>#N/A</v>
      </c>
      <c r="K26" t="str">
        <f>VLOOKUP(B26,[2]OptimizedNearestRoute_DualPoint!$L:$U,9,0)</f>
        <v>full_h04/Gia Lai/GE Mạng cấp III-IV Gia Lai Full v6.kmz/GE Mạng cấp III-IV Gia Lai Full/Mạng cấp IV  Gia Lai Full/Mạng 4 GLI-Ring 5/Ring 5/TT2 Gia Lai - Chư Pah/TT2 Pleiku - Chư Pah - Trung thế</v>
      </c>
    </row>
    <row r="27" spans="2:11" x14ac:dyDescent="0.25">
      <c r="B27" t="s">
        <v>15619</v>
      </c>
      <c r="H27" s="11" t="e">
        <v>#N/A</v>
      </c>
      <c r="I27" s="11" t="e">
        <v>#N/A</v>
      </c>
      <c r="J27" s="11" t="e">
        <f t="shared" si="1"/>
        <v>#N/A</v>
      </c>
      <c r="K27" t="str">
        <f>VLOOKUP(B27,[2]OptimizedNearestRoute_DualPoint!$L:$U,9,0)</f>
        <v>full_h04/Gia Lai/GE Mạng cấp III-IV Gia Lai Full v6.kmz/GE Mạng cấp III-IV Gia Lai Full/Mạng cấp IV  Gia Lai Full/Mạng 4 GLI-Ring 5/Ring 5/Ia Phí - Ia Ly/Ia Phí - Ia Ly- Trung thế</v>
      </c>
    </row>
    <row r="28" spans="2:11" x14ac:dyDescent="0.25">
      <c r="B28" t="s">
        <v>15620</v>
      </c>
      <c r="H28" s="11" t="e">
        <v>#N/A</v>
      </c>
      <c r="I28" s="11" t="e">
        <v>#N/A</v>
      </c>
      <c r="J28" s="11" t="e">
        <f t="shared" si="1"/>
        <v>#N/A</v>
      </c>
      <c r="K28" t="str">
        <f>VLOOKUP(B28,[2]OptimizedNearestRoute_DualPoint!$L:$U,9,0)</f>
        <v>full_h04/Gia Lai/GE Mạng cấp III-IV Gia Lai Full v6.kmz/GE Mạng cấp III-IV Gia Lai Full/Mạng cấp IV  Gia Lai Full/Mạng 4 GLI-Ring 5/Ring 5/Ia Khơi - Đăk Sơ Mei/Ia Khơi - Đăk Sơ Mei - trung thế (1)</v>
      </c>
    </row>
    <row r="29" spans="2:11" x14ac:dyDescent="0.25">
      <c r="B29" t="s">
        <v>15621</v>
      </c>
      <c r="H29" s="11" t="e">
        <v>#N/A</v>
      </c>
      <c r="I29" s="11" t="e">
        <v>#N/A</v>
      </c>
      <c r="J29" s="11" t="e">
        <f t="shared" si="1"/>
        <v>#N/A</v>
      </c>
      <c r="K29" t="str">
        <f>VLOOKUP(B29,[2]OptimizedNearestRoute_DualPoint!$L:$U,9,0)</f>
        <v>full_h04/Gia Lai/GE Mạng cấp III-IV Gia Lai Full v6.kmz/GE Mạng cấp III-IV Gia Lai Full/Mạng cấp IV  Gia Lai Full/Mạng 4 GLI-Ring 4/Ring 4/TT2 Gia Lai - Hội Phú/TT Gia Lai - Hội Phú - Trung thế</v>
      </c>
    </row>
    <row r="30" spans="2:11" x14ac:dyDescent="0.25">
      <c r="B30" t="s">
        <v>15622</v>
      </c>
      <c r="H30" s="11" t="e">
        <v>#N/A</v>
      </c>
      <c r="I30" s="11" t="e">
        <v>#N/A</v>
      </c>
      <c r="J30" s="11" t="e">
        <f t="shared" si="1"/>
        <v>#N/A</v>
      </c>
      <c r="K30" t="str">
        <f>VLOOKUP(B30,[2]OptimizedNearestRoute_DualPoint!$L:$U,9,0)</f>
        <v>full_h04/Gia Lai/GE Mạng cấp III-IV Gia Lai Full v6.kmz/GE Mạng cấp III-IV Gia Lai Full/Mạng cấp IV  Gia Lai Full/Mạng 4 GLI-Ring 6/Ring 6/IaO - Ia CHia/Ia O - Ia Chía - trung thế (4)</v>
      </c>
    </row>
    <row r="31" spans="2:11" x14ac:dyDescent="0.25">
      <c r="B31" t="s">
        <v>15623</v>
      </c>
      <c r="H31" s="11" t="e">
        <v>#N/A</v>
      </c>
      <c r="I31" s="11" t="e">
        <v>#N/A</v>
      </c>
      <c r="J31" s="11" t="e">
        <f t="shared" si="1"/>
        <v>#N/A</v>
      </c>
      <c r="K31" t="str">
        <f>VLOOKUP(B31,[2]OptimizedNearestRoute_DualPoint!$L:$U,9,0)</f>
        <v>full_h04/Gia Lai/GE Mạng cấp III-IV Gia Lai Full v6.kmz/GE Mạng cấp III-IV Gia Lai Full/Mạng cấp IV  Gia Lai Full/Mạng 4 GLI-Ring 6/Ring 6/Ia Krai - Ia O/IaKrai - Ia O - trung thế (1)</v>
      </c>
    </row>
    <row r="32" spans="2:11" x14ac:dyDescent="0.25">
      <c r="B32" t="s">
        <v>15624</v>
      </c>
      <c r="H32" s="11" t="e">
        <v>#N/A</v>
      </c>
      <c r="I32" s="11" t="e">
        <v>#N/A</v>
      </c>
      <c r="J32" s="11" t="e">
        <f t="shared" si="1"/>
        <v>#N/A</v>
      </c>
      <c r="K32" t="str">
        <f>VLOOKUP(B32,[2]OptimizedNearestRoute_DualPoint!$L:$U,9,0)</f>
        <v>full_h04/Gia Lai/GE Mạng cấp III-IV Gia Lai Full v6.kmz/GE Mạng cấp III-IV Gia Lai Full/Mạng cấp IV  Gia Lai Full/Mạng 4 GLI-Ring 6/Ring 6/TTCMKV IaGrai - Ia Krai/TTCMKV IaGrai - Ia Krai - trung thế (1)</v>
      </c>
    </row>
    <row r="33" spans="2:11" x14ac:dyDescent="0.25">
      <c r="B33" t="s">
        <v>15625</v>
      </c>
      <c r="H33" s="11" t="e">
        <v>#N/A</v>
      </c>
      <c r="I33" s="11" t="e">
        <v>#N/A</v>
      </c>
      <c r="J33" s="11" t="e">
        <f t="shared" si="1"/>
        <v>#N/A</v>
      </c>
      <c r="K33" t="str">
        <f>VLOOKUP(B33,[2]OptimizedNearestRoute_DualPoint!$L:$U,9,0)</f>
        <v>full_h04/Gia Lai/GE Mạng cấp III-IV Gia Lai Full v6.kmz/GE Mạng cấp III-IV Gia Lai Full/Mạng cấp IV  Gia Lai Full/Mạng 4 GLI-Ring 7/Ring 7/TTCMKV Đức Cơ - Ia Dom/RRCMKV Đức Cơ - Ia Đom - Trung thế (1)</v>
      </c>
    </row>
    <row r="34" spans="2:11" x14ac:dyDescent="0.25">
      <c r="B34" t="s">
        <v>15626</v>
      </c>
      <c r="H34" s="11" t="e">
        <v>#N/A</v>
      </c>
      <c r="I34" s="11" t="e">
        <v>#N/A</v>
      </c>
      <c r="J34" s="11" t="e">
        <f t="shared" si="1"/>
        <v>#N/A</v>
      </c>
      <c r="K34" t="str">
        <f>VLOOKUP(B34,[2]OptimizedNearestRoute_DualPoint!$L:$U,9,0)</f>
        <v>full_h04/Gia Lai/GE Mạng cấp III-IV Gia Lai Full v6.kmz/GE Mạng cấp III-IV Gia Lai Full/Mạng cấp IV  Gia Lai Full/Mạng 4 GLI-Ring 6/Ring 6/Ia Chía - Ia Đơk/Ia Chía - Ia Đơk - trung thế (1)</v>
      </c>
    </row>
    <row r="35" spans="2:11" x14ac:dyDescent="0.25">
      <c r="B35" t="s">
        <v>15627</v>
      </c>
      <c r="H35" s="11" t="e">
        <v>#N/A</v>
      </c>
      <c r="I35" s="11" t="e">
        <v>#N/A</v>
      </c>
      <c r="J35" s="11" t="e">
        <f t="shared" si="1"/>
        <v>#N/A</v>
      </c>
      <c r="K35" t="str">
        <f>VLOOKUP(B35,[2]OptimizedNearestRoute_DualPoint!$L:$U,9,0)</f>
        <v>full_h04/Gia Lai/GE Mạng cấp III-IV Gia Lai Full v6.kmz/GE Mạng cấp III-IV Gia Lai Full/Mạng cấp IV  Gia Lai Full/Mạng 4 GLI-Ring 2/Ia Hrung - IaGrai/Ia Hrung - Ia Grai - Trung thế</v>
      </c>
    </row>
    <row r="36" spans="2:11" x14ac:dyDescent="0.25">
      <c r="B36" t="s">
        <v>15628</v>
      </c>
      <c r="H36" s="11" t="e">
        <v>#N/A</v>
      </c>
      <c r="I36" s="11" t="e">
        <v>#N/A</v>
      </c>
      <c r="J36" s="11" t="e">
        <f t="shared" si="1"/>
        <v>#N/A</v>
      </c>
      <c r="K36" t="str">
        <f>VLOOKUP(B36,[2]OptimizedNearestRoute_DualPoint!$L:$U,9,0)</f>
        <v>full_h04/Gia Lai/GE Mạng cấp III-IV Gia Lai Full v6.kmz/GE Mạng cấp III-IV Gia Lai Full/Mạng cấp III Gia Lai Full/Ring 3/Hàm Rồng-Gia Lai/Trung Thế</v>
      </c>
    </row>
    <row r="37" spans="2:11" x14ac:dyDescent="0.25">
      <c r="B37" t="s">
        <v>15629</v>
      </c>
      <c r="H37" s="11" t="e">
        <v>#N/A</v>
      </c>
      <c r="I37" s="11" t="e">
        <v>#N/A</v>
      </c>
      <c r="J37" s="11" t="e">
        <f t="shared" si="1"/>
        <v>#N/A</v>
      </c>
      <c r="K37" t="str">
        <f>VLOOKUP(B37,[2]OptimizedNearestRoute_DualPoint!$L:$U,9,0)</f>
        <v>full_h04/Gia Lai/GE Mạng cấp III-IV Gia Lai Full v6.kmz/GE Mạng cấp III-IV Gia Lai Full/Mạng cấp III Gia Lai Full/Ring 3/Chư Pưh- Hàm Rồng/Trung Thế</v>
      </c>
    </row>
    <row r="38" spans="2:11" x14ac:dyDescent="0.25">
      <c r="B38" t="s">
        <v>15630</v>
      </c>
      <c r="H38" s="11" t="e">
        <v>#N/A</v>
      </c>
      <c r="I38" s="11" t="e">
        <v>#N/A</v>
      </c>
      <c r="J38" s="11" t="e">
        <f t="shared" si="1"/>
        <v>#N/A</v>
      </c>
      <c r="K38" t="str">
        <f>VLOOKUP(B38,[2]OptimizedNearestRoute_DualPoint!$L:$U,9,0)</f>
        <v>full_h04/Gia Lai/GE Mạng cấp III-IV Gia Lai Full v6.kmz/GE Mạng cấp III-IV Gia Lai Full/Mạng cấp IV  Gia Lai Full/Mạng 4 GLI-Ring 1/TT2 - Gào/TT2-Gào - Trụ VNPT</v>
      </c>
    </row>
    <row r="39" spans="2:11" x14ac:dyDescent="0.25">
      <c r="B39" t="s">
        <v>15631</v>
      </c>
      <c r="H39" s="11" t="e">
        <v>#N/A</v>
      </c>
      <c r="I39" s="11" t="e">
        <v>#N/A</v>
      </c>
      <c r="J39" s="11" t="e">
        <f t="shared" si="1"/>
        <v>#N/A</v>
      </c>
      <c r="K39" t="str">
        <f>VLOOKUP(B39,[2]OptimizedNearestRoute_DualPoint!$L:$U,9,0)</f>
        <v>full_h04/Gia Lai/GE Mạng cấp III-IV Gia Lai Full v6.kmz/GE Mạng cấp III-IV Gia Lai Full/Mạng cấp IV  Gia Lai Full/Mạng 4 GLI-Ring 1/Gào - Bàu Cạn/Gào - Bàu Cạn - Trung Thế</v>
      </c>
    </row>
    <row r="40" spans="2:11" x14ac:dyDescent="0.25">
      <c r="B40" t="s">
        <v>15632</v>
      </c>
      <c r="H40" s="11" t="e">
        <v>#N/A</v>
      </c>
      <c r="I40" s="11" t="e">
        <v>#N/A</v>
      </c>
      <c r="J40" s="11" t="e">
        <f t="shared" si="1"/>
        <v>#N/A</v>
      </c>
      <c r="K40" t="str">
        <f>VLOOKUP(B40,[2]OptimizedNearestRoute_DualPoint!$L:$U,9,0)</f>
        <v>full_h04/Gia Lai/GE Mạng cấp III-IV Gia Lai Full v6.kmz/GE Mạng cấp III-IV Gia Lai Full/Mạng cấp IV  Gia Lai Full/Mạng 4 GLI-Ring 1/Bàu Cạn-Ia Krel/Bàu Cạn - Ia Krel - Trung Thế</v>
      </c>
    </row>
    <row r="41" spans="2:11" x14ac:dyDescent="0.25">
      <c r="B41" t="s">
        <v>15633</v>
      </c>
      <c r="H41" s="11" t="e">
        <v>#N/A</v>
      </c>
      <c r="I41" s="11" t="e">
        <v>#N/A</v>
      </c>
      <c r="J41" s="11" t="e">
        <f t="shared" si="1"/>
        <v>#N/A</v>
      </c>
      <c r="K41" t="str">
        <f>VLOOKUP(B41,[2]OptimizedNearestRoute_DualPoint!$L:$U,9,0)</f>
        <v>full_h04/Gia Lai/GE Mạng cấp III-IV Gia Lai Full v6.kmz/GE Mạng cấp III-IV Gia Lai Full/Mạng cấp IV  Gia Lai Full/Mạng 4 GLI-Ring 9/Ring 9/TTCMKV Chư Prông - Chư Prông/TTCMKV Chư Prông - Chư Prông - trung thế</v>
      </c>
    </row>
    <row r="42" spans="2:11" x14ac:dyDescent="0.25">
      <c r="B42" t="s">
        <v>15634</v>
      </c>
      <c r="H42" s="11" t="e">
        <v>#N/A</v>
      </c>
      <c r="I42" s="11" t="e">
        <v>#N/A</v>
      </c>
      <c r="J42" s="11" t="e">
        <f t="shared" si="1"/>
        <v>#N/A</v>
      </c>
      <c r="K42" t="str">
        <f>VLOOKUP(B42,[2]OptimizedNearestRoute_DualPoint!$L:$U,9,0)</f>
        <v>full_h04/Gia Lai/GE Mạng cấp III-IV Gia Lai Full v6.kmz/GE Mạng cấp III-IV Gia Lai Full/Mạng cấp III Gia Lai Full/Ring 3/Chư Prông-Chư Pưh/Trung Thế</v>
      </c>
    </row>
    <row r="43" spans="2:11" x14ac:dyDescent="0.25">
      <c r="B43" t="s">
        <v>15635</v>
      </c>
      <c r="H43" s="11" t="e">
        <v>#N/A</v>
      </c>
      <c r="I43" s="11" t="e">
        <v>#N/A</v>
      </c>
      <c r="J43" s="11" t="e">
        <f t="shared" si="1"/>
        <v>#N/A</v>
      </c>
      <c r="K43" t="str">
        <f>VLOOKUP(B43,[2]OptimizedNearestRoute_DualPoint!$L:$U,9,0)</f>
        <v>full_h04/Gia Lai/GE Mạng cấp III-IV Gia Lai Full v6.kmz/GE Mạng cấp III-IV Gia Lai Full/Mạng cấp IV  Gia Lai Full/Mạng 4 GLI-Ring 9/Ring 9/Ia Ko - Ia Hrú/Ia Ko - Ia Hrú - trung thế</v>
      </c>
    </row>
    <row r="44" spans="2:11" x14ac:dyDescent="0.25">
      <c r="B44" t="s">
        <v>15636</v>
      </c>
      <c r="H44" s="11" t="e">
        <v>#N/A</v>
      </c>
      <c r="I44" s="11" t="e">
        <v>#N/A</v>
      </c>
      <c r="J44" s="11" t="e">
        <f t="shared" si="1"/>
        <v>#N/A</v>
      </c>
      <c r="K44" t="str">
        <f>VLOOKUP(B44,[2]OptimizedNearestRoute_DualPoint!$L:$U,9,0)</f>
        <v>full_h04/Gia Lai/GE Mạng cấp III-IV Gia Lai Full v6.kmz/GE Mạng cấp III-IV Gia Lai Full/Mạng cấp IV  Gia Lai Full/Mạng 4 GLI-Ring 8/Ring 8/Ia Mơ - Ia Lâu/Ia Mơ - Ia Lâu - Trung thế (1)</v>
      </c>
    </row>
    <row r="45" spans="2:11" x14ac:dyDescent="0.25">
      <c r="B45" t="s">
        <v>15637</v>
      </c>
      <c r="H45" s="11" t="e">
        <v>#N/A</v>
      </c>
      <c r="I45" s="11" t="e">
        <v>#N/A</v>
      </c>
      <c r="J45" s="11" t="e">
        <f t="shared" si="1"/>
        <v>#N/A</v>
      </c>
      <c r="K45" t="str">
        <f>VLOOKUP(B45,[2]OptimizedNearestRoute_DualPoint!$L:$U,9,0)</f>
        <v>full_h04/Gia Lai/GE Mạng cấp III-IV Gia Lai Full v6.kmz/GE Mạng cấp III-IV Gia Lai Full/Mạng cấp IV  Gia Lai Full/Mạng 4 GLI-Ring 8/Ring 8/TTCMKV Chư Prong - IaPia/TTCMKV CHư Prong - Ia Pia - Trung thế (3)</v>
      </c>
    </row>
    <row r="46" spans="2:11" x14ac:dyDescent="0.25">
      <c r="B46" t="s">
        <v>15638</v>
      </c>
      <c r="H46" s="11" t="e">
        <v>#N/A</v>
      </c>
      <c r="I46" s="11" t="e">
        <v>#N/A</v>
      </c>
      <c r="J46" s="11" t="e">
        <f t="shared" si="1"/>
        <v>#N/A</v>
      </c>
      <c r="K46" t="str">
        <f>VLOOKUP(B46,[2]OptimizedNearestRoute_DualPoint!$L:$U,9,0)</f>
        <v>full_h04/Gia Lai/GE Mạng cấp III-IV Gia Lai Full v6.kmz/GE Mạng cấp III-IV Gia Lai Full/Mạng cấp IV  Gia Lai Full/Mạng 4 GLI-Ring 9/Ring 9/Ia Tôr - Ia Ko/Ia Tôr - Ia Ko - trung thế</v>
      </c>
    </row>
    <row r="47" spans="2:11" x14ac:dyDescent="0.25">
      <c r="B47" t="s">
        <v>15639</v>
      </c>
      <c r="H47" s="11" t="e">
        <v>#N/A</v>
      </c>
      <c r="I47" s="11" t="e">
        <v>#N/A</v>
      </c>
      <c r="J47" s="11" t="e">
        <f t="shared" si="1"/>
        <v>#N/A</v>
      </c>
      <c r="K47" t="str">
        <f>VLOOKUP(B47,[2]OptimizedNearestRoute_DualPoint!$L:$U,9,0)</f>
        <v>full_h04/Gia Lai/GE Mạng cấp III-IV Gia Lai Full v6.kmz/GE Mạng cấp III-IV Gia Lai Full/Mạng cấp IV  Gia Lai Full/Mạng 4 GLI-Ring 11/Ring 11/Bờ Ngoong - AlBá/Bờ Ngoong - AlBá - trung thế</v>
      </c>
    </row>
    <row r="48" spans="2:11" x14ac:dyDescent="0.25">
      <c r="B48" t="s">
        <v>15640</v>
      </c>
      <c r="H48" s="11" t="e">
        <v>#N/A</v>
      </c>
      <c r="I48" s="11" t="e">
        <v>#N/A</v>
      </c>
      <c r="J48" s="11" t="e">
        <f t="shared" si="1"/>
        <v>#N/A</v>
      </c>
      <c r="K48" t="str">
        <f>VLOOKUP(B48,[2]OptimizedNearestRoute_DualPoint!$L:$U,9,0)</f>
        <v>full_h04/Gia Lai/GE Mạng cấp III-IV Gia Lai Full v6.kmz/GE Mạng cấp III-IV Gia Lai Full/Mạng cấp IV  Gia Lai Full/Mạng 4 GLI-Ring 10/Ring 10/TTCMKV Chư Sê - Chư A Thai/TTCMKV Chư Sê - Chư A Thai - trung thế</v>
      </c>
    </row>
    <row r="49" spans="2:11" x14ac:dyDescent="0.25">
      <c r="B49" t="s">
        <v>15641</v>
      </c>
      <c r="H49" s="11" t="e">
        <v>#N/A</v>
      </c>
      <c r="I49" s="11" t="e">
        <v>#N/A</v>
      </c>
      <c r="J49" s="11" t="e">
        <f t="shared" si="1"/>
        <v>#N/A</v>
      </c>
      <c r="K49" t="str">
        <f>VLOOKUP(B49,[2]OptimizedNearestRoute_DualPoint!$L:$U,9,0)</f>
        <v>full_h04/Gia Lai/GE Mạng cấp III-IV Gia Lai Full v6.kmz/GE Mạng cấp III-IV Gia Lai Full/Mạng cấp III Gia Lai Full/Ring 4/Chư Sê- Phú Thiện/Trung Thế</v>
      </c>
    </row>
    <row r="50" spans="2:11" x14ac:dyDescent="0.25">
      <c r="B50" t="s">
        <v>15642</v>
      </c>
      <c r="H50" s="11">
        <v>4.4359999999999999</v>
      </c>
      <c r="I50" s="11" t="s">
        <v>15691</v>
      </c>
      <c r="J50" s="11">
        <f t="shared" si="1"/>
        <v>4436</v>
      </c>
      <c r="K50" t="str">
        <f>VLOOKUP(B50,[2]OptimizedNearestRoute_DualPoint!$L:$U,9,0)</f>
        <v>full_h04/Gia Lai/GE Mạng cấp III-IV Gia Lai Full v6.kmz/GE Mạng cấp III-IV Gia Lai Full/Mạng cấp IV  Gia Lai Full/Mạng 4 BD - Ring 1/CA Công an tỉnh - Quy Nhơn Nam/cot trung the</v>
      </c>
    </row>
    <row r="51" spans="2:11" x14ac:dyDescent="0.25">
      <c r="B51" t="s">
        <v>15643</v>
      </c>
      <c r="H51" s="11" t="e">
        <v>#N/A</v>
      </c>
      <c r="I51" s="11" t="e">
        <v>#N/A</v>
      </c>
      <c r="J51" s="11" t="e">
        <f t="shared" si="1"/>
        <v>#N/A</v>
      </c>
      <c r="K51" t="str">
        <f>VLOOKUP(B51,[2]OptimizedNearestRoute_DualPoint!$L:$U,9,0)</f>
        <v>full_h04/Gia Lai/GE Mạng cấp III-IV Gia Lai Full v6.kmz/GE Mạng cấp III-IV Gia Lai Full/Mạng cấp III Gia Lai Full/Ring 1/Phù Mỹ-  Hoài Ân/Trung Thế</v>
      </c>
    </row>
    <row r="52" spans="2:11" x14ac:dyDescent="0.25">
      <c r="B52" t="s">
        <v>15644</v>
      </c>
      <c r="H52" s="11">
        <v>24.589600000000001</v>
      </c>
      <c r="I52" s="11" t="s">
        <v>15691</v>
      </c>
      <c r="J52" s="11">
        <f t="shared" si="1"/>
        <v>24589.600000000002</v>
      </c>
      <c r="K52" t="str">
        <f>VLOOKUP(B52,[2]OptimizedNearestRoute_DualPoint!$L:$U,9,0)</f>
        <v>full_h04/Gia Lai/GE Mạng cấp III-IV Gia Lai Full v6.kmz/GE Mạng cấp III-IV Gia Lai Full/Mạng cấp IV  Gia Lai Full/Mạng 4 BD - Ring 12/Hoài Nhơn Đông - TTCMKV Hoài Ân/Hoài Nhơn Đông - TTCMKV Hoài Ân_Trung thế</v>
      </c>
    </row>
    <row r="53" spans="2:11" x14ac:dyDescent="0.25">
      <c r="B53" t="s">
        <v>15645</v>
      </c>
      <c r="H53" s="11">
        <v>3.7</v>
      </c>
      <c r="I53" s="11" t="s">
        <v>15692</v>
      </c>
      <c r="J53" s="11">
        <f t="shared" si="1"/>
        <v>3700</v>
      </c>
      <c r="K53" t="str">
        <f>VLOOKUP(B53,[2]OptimizedNearestRoute_DualPoint!$L:$U,9,0)</f>
        <v>full_h04/Gia Lai/GE Mạng cấp III-IV Gia Lai Full v6.kmz/GE Mạng cấp III-IV Gia Lai Full/Mạng cấp III Gia Lai Full/Cấp Phòng-Ban/PX05 - Khối CQ CSĐT/Trung thế</v>
      </c>
    </row>
    <row r="54" spans="2:11" x14ac:dyDescent="0.25">
      <c r="B54" t="s">
        <v>15646</v>
      </c>
      <c r="H54" s="11">
        <v>4.08</v>
      </c>
      <c r="I54" s="11" t="s">
        <v>15692</v>
      </c>
      <c r="J54" s="11">
        <f t="shared" si="1"/>
        <v>4080</v>
      </c>
      <c r="K54" t="str">
        <f>VLOOKUP(B54,[2]OptimizedNearestRoute_DualPoint!$L:$U,9,0)</f>
        <v>full_h04/Gia Lai/GE Mạng cấp III-IV Gia Lai Full v6.kmz/GE Mạng cấp III-IV Gia Lai Full/Mạng cấp III Gia Lai Full/Cấp Phòng-Ban/Khối CQ CSĐT - PA07 cũ/Trung thế</v>
      </c>
    </row>
    <row r="55" spans="2:11" x14ac:dyDescent="0.25">
      <c r="B55" t="s">
        <v>15647</v>
      </c>
      <c r="H55" s="11">
        <v>10.696999999999999</v>
      </c>
      <c r="I55" s="11" t="s">
        <v>15691</v>
      </c>
      <c r="J55" s="11">
        <f t="shared" si="1"/>
        <v>10697</v>
      </c>
      <c r="K55" t="str">
        <f>VLOOKUP(B55,[2]OptimizedNearestRoute_DualPoint!$L:$U,9,0)</f>
        <v>full_h04/Gia Lai/GE Mạng cấp III-IV Gia Lai Full v6.kmz/GE Mạng cấp III-IV Gia Lai Full/Mạng cấp IV  Gia Lai Full/Mạng 4 BD - Ring 6/CA Tỉnh - Tuy Phước/trung thế</v>
      </c>
    </row>
    <row r="56" spans="2:11" x14ac:dyDescent="0.25">
      <c r="B56" t="s">
        <v>15648</v>
      </c>
      <c r="H56" s="11">
        <v>15.5495</v>
      </c>
      <c r="I56" s="11" t="s">
        <v>15691</v>
      </c>
      <c r="J56" s="11">
        <f t="shared" si="1"/>
        <v>15549.5</v>
      </c>
      <c r="K56" t="str">
        <f>VLOOKUP(B56,[2]OptimizedNearestRoute_DualPoint!$L:$U,9,0)</f>
        <v>full_h04/Gia Lai/GE Mạng cấp III-IV Gia Lai Full v6.kmz/GE Mạng cấp III-IV Gia Lai Full/Mạng cấp IV  Gia Lai Full/Mạng 4 BD - Ring 2/Quy Nhơn Tây - CA Công an tỉnh/trung thế</v>
      </c>
    </row>
    <row r="57" spans="2:11" x14ac:dyDescent="0.25">
      <c r="B57" t="s">
        <v>15649</v>
      </c>
      <c r="H57" s="11">
        <v>8.3000000000000007</v>
      </c>
      <c r="I57" s="11" t="s">
        <v>15692</v>
      </c>
      <c r="J57" s="11">
        <f t="shared" si="1"/>
        <v>8300</v>
      </c>
      <c r="K57" t="str">
        <f>VLOOKUP(B57,[2]OptimizedNearestRoute_DualPoint!$L:$U,9,0)</f>
        <v>full_h04/Gia Lai/GE Mạng cấp III-IV Gia Lai Full v6.kmz/GE Mạng cấp III-IV Gia Lai Full/Mạng cấp III Gia Lai Full/Cấp Phòng-Ban/PC08 - PC11B/Trung thế</v>
      </c>
    </row>
    <row r="58" spans="2:11" x14ac:dyDescent="0.25">
      <c r="B58" t="s">
        <v>15650</v>
      </c>
      <c r="H58" s="11">
        <v>11.781000000000001</v>
      </c>
      <c r="I58" s="11" t="s">
        <v>15691</v>
      </c>
      <c r="J58" s="11">
        <f t="shared" si="1"/>
        <v>11781</v>
      </c>
      <c r="K58" t="str">
        <f>VLOOKUP(B58,[2]OptimizedNearestRoute_DualPoint!$L:$U,9,0)</f>
        <v>full_h04/Gia Lai/GE Mạng cấp III-IV Gia Lai Full v6.kmz/GE Mạng cấp III-IV Gia Lai Full/Mạng cấp IV  Gia Lai Full/Mạng 4 BD - Ring 5/An Nhơn Bắc - TTCMKV An Nhơn/trung thế</v>
      </c>
    </row>
    <row r="59" spans="2:11" x14ac:dyDescent="0.25">
      <c r="B59" t="s">
        <v>15651</v>
      </c>
      <c r="H59" s="11" t="e">
        <v>#N/A</v>
      </c>
      <c r="I59" s="11" t="e">
        <v>#N/A</v>
      </c>
      <c r="J59" s="11" t="e">
        <f t="shared" si="1"/>
        <v>#N/A</v>
      </c>
      <c r="K59" t="str">
        <f>VLOOKUP(B59,[2]OptimizedNearestRoute_DualPoint!$L:$U,9,0)</f>
        <v>full_h04/Gia Lai/GE Mạng cấp III-IV Gia Lai Full v6.kmz/GE Mạng cấp III-IV Gia Lai Full/Mạng cấp III Gia Lai Full/Cấp Phòng-Ban/Cơ sở cai nghiện ma tuý (PC04) - TT1 Gia Lai (Quy nhơn)_v1/Trung thế</v>
      </c>
    </row>
    <row r="60" spans="2:11" x14ac:dyDescent="0.25">
      <c r="B60" t="s">
        <v>15652</v>
      </c>
      <c r="H60" s="11">
        <v>3.2869999999999999</v>
      </c>
      <c r="I60" s="11" t="s">
        <v>15691</v>
      </c>
      <c r="J60" s="11">
        <f t="shared" si="1"/>
        <v>3287</v>
      </c>
      <c r="K60" t="str">
        <f>VLOOKUP(B60,[2]OptimizedNearestRoute_DualPoint!$L:$U,9,0)</f>
        <v>full_h04/Gia Lai/GE Mạng cấp III-IV Gia Lai Full v6.kmz/GE Mạng cấp III-IV Gia Lai Full/Mạng cấp IV  Gia Lai Full/Mạng 4 BD - Ring 1/Quy Nhơn Nam - Quy Nhơn/tự trồng</v>
      </c>
    </row>
    <row r="61" spans="2:11" x14ac:dyDescent="0.25">
      <c r="B61" t="s">
        <v>15653</v>
      </c>
      <c r="H61" s="11" t="e">
        <v>#N/A</v>
      </c>
      <c r="I61" s="11" t="e">
        <v>#N/A</v>
      </c>
      <c r="J61" s="11" t="e">
        <f t="shared" si="1"/>
        <v>#N/A</v>
      </c>
      <c r="K61" t="str">
        <f>VLOOKUP(B61,[2]OptimizedNearestRoute_DualPoint!$L:$U,9,0)</f>
        <v>full_h04/Gia Lai/GE Mạng cấp III-IV Gia Lai Full v6.kmz/GE Mạng cấp III-IV Gia Lai Full/Mạng cấp III Gia Lai Full/Ring 2/Vân Canh-TT1 Gia Lai/Trung Thế</v>
      </c>
    </row>
    <row r="62" spans="2:11" x14ac:dyDescent="0.25">
      <c r="B62" t="s">
        <v>15654</v>
      </c>
      <c r="H62" s="11">
        <v>11.122</v>
      </c>
      <c r="I62" s="11" t="s">
        <v>15691</v>
      </c>
      <c r="J62" s="11">
        <f t="shared" si="1"/>
        <v>11122</v>
      </c>
      <c r="K62" t="str">
        <f>VLOOKUP(B62,[2]OptimizedNearestRoute_DualPoint!$L:$U,9,0)</f>
        <v>full_h04/Gia Lai/GE Mạng cấp III-IV Gia Lai Full v6.kmz/GE Mạng cấp III-IV Gia Lai Full/Mạng cấp IV  Gia Lai Full/Mạng 4 BD - Ring 4/CA Tỉnh - Quy Nhơn Đông/trung thế</v>
      </c>
    </row>
    <row r="63" spans="2:11" x14ac:dyDescent="0.25">
      <c r="B63" t="s">
        <v>15655</v>
      </c>
      <c r="H63" s="11">
        <v>5.9130000000000003</v>
      </c>
      <c r="I63" s="11" t="s">
        <v>15691</v>
      </c>
      <c r="J63" s="11">
        <f t="shared" si="1"/>
        <v>5913</v>
      </c>
      <c r="K63" t="str">
        <f>VLOOKUP(B63,[2]OptimizedNearestRoute_DualPoint!$L:$U,9,0)</f>
        <v>full_h04/Gia Lai/GE Mạng cấp III-IV Gia Lai Full v6.kmz/GE Mạng cấp III-IV Gia Lai Full/Mạng cấp IV  Gia Lai Full/Mạng 4 BD - Ring 5/An Nhơn Đông - An Nhơn/trung thế</v>
      </c>
    </row>
    <row r="64" spans="2:11" x14ac:dyDescent="0.25">
      <c r="B64" t="s">
        <v>15656</v>
      </c>
      <c r="H64" s="11">
        <v>20.603400000000001</v>
      </c>
      <c r="I64" s="11" t="s">
        <v>15691</v>
      </c>
      <c r="J64" s="11">
        <f t="shared" si="1"/>
        <v>20603.400000000001</v>
      </c>
      <c r="K64" t="str">
        <f>VLOOKUP(B64,[2]OptimizedNearestRoute_DualPoint!$L:$U,9,0)</f>
        <v>full_h04/Gia Lai/GE Mạng cấp III-IV Gia Lai Full v6.kmz/GE Mạng cấp III-IV Gia Lai Full/Mạng cấp IV  Gia Lai Full/Mạng 4 BD - Ring 9/Bình Hiệp - Hội Sơn/Trung thế</v>
      </c>
    </row>
    <row r="65" spans="2:11" x14ac:dyDescent="0.25">
      <c r="B65" t="s">
        <v>15657</v>
      </c>
      <c r="H65" s="11" t="e">
        <v>#N/A</v>
      </c>
      <c r="I65" s="11" t="e">
        <v>#N/A</v>
      </c>
      <c r="J65" s="11" t="e">
        <f t="shared" si="1"/>
        <v>#N/A</v>
      </c>
      <c r="K65" t="str">
        <f>VLOOKUP(B65,[2]OptimizedNearestRoute_DualPoint!$L:$U,9,0)</f>
        <v>full_h04/Gia Lai/GE Mạng cấp III-IV Gia Lai Full v6.kmz/GE Mạng cấp III-IV Gia Lai Full/Mạng cấp III Gia Lai Full/Ring 1/Tây Sơn- An Nhơn/Hạ Thế</v>
      </c>
    </row>
    <row r="66" spans="2:11" x14ac:dyDescent="0.25">
      <c r="B66" t="s">
        <v>15658</v>
      </c>
      <c r="H66" s="11">
        <v>10.295999999999999</v>
      </c>
      <c r="I66" s="11" t="s">
        <v>15691</v>
      </c>
      <c r="J66" s="11">
        <f t="shared" si="1"/>
        <v>10296</v>
      </c>
      <c r="K66" t="str">
        <f>VLOOKUP(B66,[2]OptimizedNearestRoute_DualPoint!$L:$U,9,0)</f>
        <v>full_h04/Gia Lai/GE Mạng cấp III-IV Gia Lai Full v6.kmz/GE Mạng cấp III-IV Gia Lai Full/Mạng cấp IV  Gia Lai Full/Mạng 4 BD - Ring 5/An Nhơn Tây - An Nhơn Đông/trung thế</v>
      </c>
    </row>
    <row r="67" spans="2:11" x14ac:dyDescent="0.25">
      <c r="B67" t="s">
        <v>15659</v>
      </c>
      <c r="H67" s="11">
        <v>15.995299999999999</v>
      </c>
      <c r="I67" s="11" t="s">
        <v>15691</v>
      </c>
      <c r="J67" s="11">
        <f t="shared" si="1"/>
        <v>15995.3</v>
      </c>
      <c r="K67" t="str">
        <f>VLOOKUP(B67,[2]OptimizedNearestRoute_DualPoint!$L:$U,9,0)</f>
        <v>full_h04/Gia Lai/GE Mạng cấp III-IV Gia Lai Full v6.kmz/GE Mạng cấp III-IV Gia Lai Full/Mạng cấp IV  Gia Lai Full/Mạng 4 BD - Ring 12/TTCMKV Hoài Ân - Hoài Nhơn Nam/TTCMKV Hoài Ân - Hoài Nhơn Nam_Trung thếTrung thế</v>
      </c>
    </row>
    <row r="68" spans="2:11" x14ac:dyDescent="0.25">
      <c r="B68" t="s">
        <v>15660</v>
      </c>
      <c r="H68" s="11">
        <v>11.244</v>
      </c>
      <c r="I68" s="11" t="s">
        <v>15691</v>
      </c>
      <c r="J68" s="11">
        <f t="shared" si="1"/>
        <v>11244</v>
      </c>
      <c r="K68" t="str">
        <f>VLOOKUP(B68,[2]OptimizedNearestRoute_DualPoint!$L:$U,9,0)</f>
        <v>full_h04/Gia Lai/GE Mạng cấp III-IV Gia Lai Full v6.kmz/GE Mạng cấp III-IV Gia Lai Full/Mạng cấp IV  Gia Lai Full/Mạng 4 BD - Ring 12/Hoài Nhơn Nam - Hoài Nhơn/Hoài Nhơn Nam - Hoài Nhơn_Trung thế</v>
      </c>
    </row>
    <row r="69" spans="2:11" x14ac:dyDescent="0.25">
      <c r="B69" t="s">
        <v>15661</v>
      </c>
      <c r="H69" s="11">
        <v>10.628500000000001</v>
      </c>
      <c r="I69" s="11" t="s">
        <v>15691</v>
      </c>
      <c r="J69" s="11">
        <f t="shared" si="1"/>
        <v>10628.5</v>
      </c>
      <c r="K69" t="str">
        <f>VLOOKUP(B69,[2]OptimizedNearestRoute_DualPoint!$L:$U,9,0)</f>
        <v>full_h04/Gia Lai/GE Mạng cấp III-IV Gia Lai Full v6.kmz/GE Mạng cấp III-IV Gia Lai Full/Mạng cấp IV  Gia Lai Full/Mạng 4 BD - Ring 12/Hoài Nhơn Bắc - Hoài Nhơn Đông/Hoài Nhơn Bắc - Hoài Nhơn Đông_Trung thế</v>
      </c>
    </row>
    <row r="70" spans="2:11" x14ac:dyDescent="0.25">
      <c r="B70" t="s">
        <v>15662</v>
      </c>
      <c r="H70" s="11">
        <v>6.532</v>
      </c>
      <c r="I70" s="11" t="s">
        <v>15691</v>
      </c>
      <c r="J70" s="11">
        <f t="shared" si="1"/>
        <v>6532</v>
      </c>
      <c r="K70" t="str">
        <f>VLOOKUP(B70,[2]OptimizedNearestRoute_DualPoint!$L:$U,9,0)</f>
        <v>full_h04/Gia Lai/GE Mạng cấp III-IV Gia Lai Full v6.kmz/GE Mạng cấp III-IV Gia Lai Full/Mạng cấp IV  Gia Lai Full/Mạng 4 BD - Ring 12/Hoài Nhơn Tây - Tam Quan/Hoài Nhơn Tây - Tam Quan_Trung thế</v>
      </c>
    </row>
    <row r="71" spans="2:11" x14ac:dyDescent="0.25">
      <c r="B71" t="s">
        <v>15663</v>
      </c>
      <c r="H71" s="11" t="e">
        <v>#N/A</v>
      </c>
      <c r="I71" s="11" t="e">
        <v>#N/A</v>
      </c>
      <c r="J71" s="11" t="e">
        <f t="shared" si="1"/>
        <v>#N/A</v>
      </c>
      <c r="K71" t="str">
        <f>VLOOKUP(B71,[2]OptimizedNearestRoute_DualPoint!$L:$U,9,0)</f>
        <v>full_h04/Gia Lai/GE Mạng cấp III-IV Gia Lai Full v6.kmz/GE Mạng cấp III-IV Gia Lai Full/Mạng cấp IV  Gia Lai Full/Mạng 4 BD - Ring 12/Tam Quan-Hoài Nhơn Bắc_Trung thế.kmz/Tam Quan-Hoài Nhơn Bắc_Trung thế</v>
      </c>
    </row>
    <row r="72" spans="2:11" x14ac:dyDescent="0.25">
      <c r="B72" t="s">
        <v>15664</v>
      </c>
      <c r="H72" s="11">
        <v>6.8170000000000002</v>
      </c>
      <c r="I72" s="11" t="s">
        <v>15691</v>
      </c>
      <c r="J72" s="11">
        <f t="shared" si="1"/>
        <v>6817</v>
      </c>
      <c r="K72" t="str">
        <f>VLOOKUP(B72,[2]OptimizedNearestRoute_DualPoint!$L:$U,9,0)</f>
        <v>full_h04/Gia Lai/GE Mạng cấp III-IV Gia Lai Full v6.kmz/GE Mạng cấp III-IV Gia Lai Full/Mạng cấp IV  Gia Lai Full/Mạng 4 BD - Ring 9/Phù Cát - Xuân An/Trung thế</v>
      </c>
    </row>
    <row r="73" spans="2:11" x14ac:dyDescent="0.25">
      <c r="B73" t="s">
        <v>15665</v>
      </c>
      <c r="H73" s="11">
        <v>10.715</v>
      </c>
      <c r="I73" s="11" t="s">
        <v>15691</v>
      </c>
      <c r="J73" s="11">
        <f t="shared" si="1"/>
        <v>10715</v>
      </c>
      <c r="K73" t="str">
        <f>VLOOKUP(B73,[2]OptimizedNearestRoute_DualPoint!$L:$U,9,0)</f>
        <v>full_h04/Gia Lai/GE Mạng cấp III-IV Gia Lai Full v6.kmz/GE Mạng cấp III-IV Gia Lai Full/Mạng cấp IV  Gia Lai Full/Mạng 4 BD - Ring 9/Xuân An - Ngô Mây/Trung thế</v>
      </c>
    </row>
    <row r="74" spans="2:11" x14ac:dyDescent="0.25">
      <c r="B74" t="s">
        <v>15666</v>
      </c>
      <c r="H74" s="11">
        <v>22.579000000000001</v>
      </c>
      <c r="I74" s="11" t="s">
        <v>15691</v>
      </c>
      <c r="J74" s="11">
        <f t="shared" si="1"/>
        <v>22579</v>
      </c>
      <c r="K74" t="str">
        <f>VLOOKUP(B74,[2]OptimizedNearestRoute_DualPoint!$L:$U,9,0)</f>
        <v>full_h04/Gia Lai/GE Mạng cấp III-IV Gia Lai Full v6.kmz/GE Mạng cấp III-IV Gia Lai Full/Mạng cấp IV  Gia Lai Full/Mạng 4 BD - Ring 4/Cát Tiến - Đề Gi/trung thế 1</v>
      </c>
    </row>
    <row r="75" spans="2:11" x14ac:dyDescent="0.25">
      <c r="B75" t="s">
        <v>15667</v>
      </c>
      <c r="H75" s="11" t="e">
        <v>#N/A</v>
      </c>
      <c r="I75" s="11" t="e">
        <v>#N/A</v>
      </c>
      <c r="J75" s="11" t="e">
        <f t="shared" si="1"/>
        <v>#N/A</v>
      </c>
      <c r="K75" t="str">
        <f>VLOOKUP(B75,[2]OptimizedNearestRoute_DualPoint!$L:$U,9,0)</f>
        <v>full_h04/Gia Lai/GE Mạng cấp III-IV Gia Lai Full v6.kmz/GE Mạng cấp III-IV Gia Lai Full/Mạng cấp III Gia Lai Full/Ring 1/TT1 Gia Lai- Cát Tiến/Trung Thế</v>
      </c>
    </row>
    <row r="76" spans="2:11" x14ac:dyDescent="0.25">
      <c r="B76" t="s">
        <v>144</v>
      </c>
      <c r="H76" s="11" t="e">
        <v>#N/A</v>
      </c>
      <c r="I76" s="11" t="e">
        <v>#N/A</v>
      </c>
      <c r="J76" s="11" t="e">
        <f t="shared" si="1"/>
        <v>#N/A</v>
      </c>
      <c r="K76" t="str">
        <f>VLOOKUP(B76,[2]OptimizedNearestRoute_DualPoint!$L:$U,9,0)</f>
        <v>full_h04/Gia Lai/GE Mạng cấp III-IV Gia Lai Full v6.kmz/GE Mạng cấp III-IV Gia Lai Full/Mạng cấp III Gia Lai Full/Ring 1/Hoài Ân- Vĩnh Kim/Trung Thế</v>
      </c>
    </row>
    <row r="77" spans="2:11" x14ac:dyDescent="0.25">
      <c r="B77" t="s">
        <v>15668</v>
      </c>
      <c r="H77" s="11">
        <v>13.807</v>
      </c>
      <c r="I77" s="11" t="s">
        <v>15691</v>
      </c>
      <c r="J77" s="11">
        <f t="shared" si="1"/>
        <v>13807</v>
      </c>
      <c r="K77" t="str">
        <f>VLOOKUP(B77,[2]OptimizedNearestRoute_DualPoint!$L:$U,9,0)</f>
        <v>full_h04/Gia Lai/GE Mạng cấp III-IV Gia Lai Full v6.kmz/GE Mạng cấp III-IV Gia Lai Full/Mạng cấp IV  Gia Lai Full/Mạng 4 BD - Ring 9/Hội Sơn - Hòa Hội/Trung thế</v>
      </c>
    </row>
    <row r="78" spans="2:11" x14ac:dyDescent="0.25">
      <c r="B78" t="s">
        <v>15669</v>
      </c>
      <c r="H78" s="11">
        <v>21.694599999999998</v>
      </c>
      <c r="I78" s="11" t="s">
        <v>15691</v>
      </c>
      <c r="J78" s="11">
        <f t="shared" si="1"/>
        <v>21694.6</v>
      </c>
      <c r="K78" t="str">
        <f>VLOOKUP(B78,[2]OptimizedNearestRoute_DualPoint!$L:$U,9,0)</f>
        <v>full_h04/Gia Lai/GE Mạng cấp III-IV Gia Lai Full v6.kmz/GE Mạng cấp III-IV Gia Lai Full/Mạng cấp IV  Gia Lai Full/Mạng 4 BD - Ring 10/Phù Mỹ Tây - Phù Mỹ Đông/Trung thế</v>
      </c>
    </row>
    <row r="79" spans="2:11" x14ac:dyDescent="0.25">
      <c r="B79" t="s">
        <v>15670</v>
      </c>
      <c r="H79" s="11">
        <v>6.6920000000000002</v>
      </c>
      <c r="I79" s="11" t="s">
        <v>15691</v>
      </c>
      <c r="J79" s="11">
        <f t="shared" si="1"/>
        <v>6692</v>
      </c>
      <c r="K79" t="str">
        <f>VLOOKUP(B79,[2]OptimizedNearestRoute_DualPoint!$L:$U,9,0)</f>
        <v>full_h04/Gia Lai/GE Mạng cấp III-IV Gia Lai Full v6.kmz/GE Mạng cấp III-IV Gia Lai Full/Mạng cấp IV  Gia Lai Full/Mạng 4 BD - Ring 4/Phù Mỹ Nam - TTCMKV Phù Mỹ/trung thế</v>
      </c>
    </row>
    <row r="80" spans="2:11" x14ac:dyDescent="0.25">
      <c r="B80" t="s">
        <v>15671</v>
      </c>
      <c r="H80" s="11">
        <v>10.46</v>
      </c>
      <c r="I80" s="11" t="s">
        <v>15691</v>
      </c>
      <c r="J80" s="11">
        <f t="shared" si="1"/>
        <v>10460</v>
      </c>
      <c r="K80" t="str">
        <f>VLOOKUP(B80,[2]OptimizedNearestRoute_DualPoint!$L:$U,9,0)</f>
        <v>full_h04/Gia Lai/GE Mạng cấp III-IV Gia Lai Full v6.kmz/GE Mạng cấp III-IV Gia Lai Full/Mạng cấp IV  Gia Lai Full/Mạng 4 BD - Ring 4/Đề Gi - An Lương/trung thế</v>
      </c>
    </row>
    <row r="81" spans="2:11" x14ac:dyDescent="0.25">
      <c r="B81" t="s">
        <v>15672</v>
      </c>
      <c r="H81" s="11">
        <v>14.202</v>
      </c>
      <c r="I81" s="11" t="s">
        <v>15691</v>
      </c>
      <c r="J81" s="11">
        <f t="shared" si="1"/>
        <v>14202</v>
      </c>
      <c r="K81" t="str">
        <f>VLOOKUP(B81,[2]OptimizedNearestRoute_DualPoint!$L:$U,9,0)</f>
        <v>full_h04/Gia Lai/GE Mạng cấp III-IV Gia Lai Full v6.kmz/GE Mạng cấp III-IV Gia Lai Full/Mạng cấp IV  Gia Lai Full/Mạng 4 BD - Ring 10/Phù Mỹ Đông - Bình Dương/Trồng mới</v>
      </c>
    </row>
    <row r="82" spans="2:11" x14ac:dyDescent="0.25">
      <c r="B82" t="s">
        <v>15673</v>
      </c>
      <c r="H82" s="11">
        <v>22.564</v>
      </c>
      <c r="I82" s="11" t="s">
        <v>15691</v>
      </c>
      <c r="J82" s="11">
        <f t="shared" si="1"/>
        <v>22564</v>
      </c>
      <c r="K82" t="str">
        <f>VLOOKUP(B82,[2]OptimizedNearestRoute_DualPoint!$L:$U,9,0)</f>
        <v>full_h04/Gia Lai/GE Mạng cấp III-IV Gia Lai Full v6.kmz/GE Mạng cấp III-IV Gia Lai Full/Mạng cấp IV  Gia Lai Full/Mạng 4 BD - Ring 10/Phù Mỹ Bắc - TTCMKV Hoài Ân/Trung thế</v>
      </c>
    </row>
    <row r="83" spans="2:11" x14ac:dyDescent="0.25">
      <c r="B83" t="s">
        <v>15674</v>
      </c>
      <c r="H83" s="11">
        <v>19.420999999999999</v>
      </c>
      <c r="I83" s="11" t="s">
        <v>15691</v>
      </c>
      <c r="J83" s="11">
        <f t="shared" si="1"/>
        <v>19421</v>
      </c>
      <c r="K83" t="str">
        <f>VLOOKUP(B83,[2]OptimizedNearestRoute_DualPoint!$L:$U,9,0)</f>
        <v>full_h04/Gia Lai/GE Mạng cấp III-IV Gia Lai Full v6.kmz/GE Mạng cấp III-IV Gia Lai Full/Mạng cấp IV  Gia Lai Full/Mạng 4 BD - Ring 5/CA Tỉnh - Tuy Phước Tây/trung thế</v>
      </c>
    </row>
    <row r="84" spans="2:11" x14ac:dyDescent="0.25">
      <c r="B84" t="s">
        <v>15675</v>
      </c>
      <c r="H84" s="11" t="e">
        <v>#N/A</v>
      </c>
      <c r="I84" s="11" t="e">
        <v>#N/A</v>
      </c>
      <c r="J84" s="11" t="e">
        <f t="shared" si="1"/>
        <v>#N/A</v>
      </c>
      <c r="K84" t="str">
        <f>VLOOKUP(B84,[2]OptimizedNearestRoute_DualPoint!$L:$U,9,0)</f>
        <v>full_h04/Gia Lai/GE Mạng cấp III-IV Gia Lai Full v6.kmz/GE Mạng cấp III-IV Gia Lai Full/Mạng cấp III Gia Lai Full/Ring 1/An Nhơn-TT1 Gia Lai/Trung Thế</v>
      </c>
    </row>
    <row r="85" spans="2:11" x14ac:dyDescent="0.25">
      <c r="B85" t="s">
        <v>15676</v>
      </c>
      <c r="H85" s="11">
        <v>4.6150000000000002</v>
      </c>
      <c r="I85" s="11" t="s">
        <v>15691</v>
      </c>
      <c r="J85" s="11">
        <f t="shared" ref="J85:J87" si="2">H85*1000</f>
        <v>4615</v>
      </c>
      <c r="K85" t="str">
        <f>VLOOKUP(B85,[2]OptimizedNearestRoute_DualPoint!$L:$U,9,0)</f>
        <v>full_h04/Gia Lai/GE Mạng cấp III-IV Gia Lai Full v6.kmz/GE Mạng cấp III-IV Gia Lai Full/Mạng cấp IV  Gia Lai Full/Mạng 4 BD - Ring 6/Tuy Phước Bắc - Bình Định/trung thế</v>
      </c>
    </row>
    <row r="86" spans="2:11" x14ac:dyDescent="0.25">
      <c r="B86" t="s">
        <v>15677</v>
      </c>
      <c r="H86" s="11">
        <v>42.056599999999996</v>
      </c>
      <c r="I86" s="11" t="s">
        <v>15691</v>
      </c>
      <c r="J86" s="11">
        <f t="shared" si="2"/>
        <v>42056.6</v>
      </c>
      <c r="K86" t="str">
        <f>VLOOKUP(B86,[2]OptimizedNearestRoute_DualPoint!$L:$U,9,0)</f>
        <v>full_h04/Gia Lai/GE Mạng cấp III-IV Gia Lai Full v6.kmz/GE Mạng cấp III-IV Gia Lai Full/Mạng cấp IV  Gia Lai Full/Mạng 4 BD - Ring 13/TTCMKV Hoài Ân - An Vinh/TTCMKV Hoài Ân - An Vinh_Trung thế</v>
      </c>
    </row>
    <row r="87" spans="2:11" x14ac:dyDescent="0.25">
      <c r="B87" t="s">
        <v>15678</v>
      </c>
      <c r="H87" s="11">
        <v>9.7059999999999995</v>
      </c>
      <c r="I87" s="11" t="s">
        <v>15691</v>
      </c>
      <c r="J87" s="11">
        <f t="shared" si="2"/>
        <v>9706</v>
      </c>
      <c r="K87" t="str">
        <f>VLOOKUP(B87,[2]OptimizedNearestRoute_DualPoint!$L:$U,9,0)</f>
        <v>full_h04/Gia Lai/GE Mạng cấp III-IV Gia Lai Full v6.kmz/GE Mạng cấp III-IV Gia Lai Full/Mạng cấp IV  Gia Lai Full/Mạng 4 BD - Ring 2/Canh Vinh - Quy Nhơn Tây/trung thế</v>
      </c>
    </row>
  </sheetData>
  <autoFilter ref="B1:I87" xr:uid="{08F96229-872C-40FA-998D-B7D99A113C9C}">
    <filterColumn colId="0">
      <customFilters>
        <customFilter operator="notEqual" val=" "/>
      </customFilters>
    </filterColumn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OptimizedNearestRoute_DualPoint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2025-12-03T14:34:59Z</dcterms:created>
  <dcterms:modified xsi:type="dcterms:W3CDTF">2025-12-04T10:48:56Z</dcterms:modified>
</cp:coreProperties>
</file>